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-120" yWindow="-120" windowWidth="19416" windowHeight="11016" tabRatio="601" firstSheet="29" activeTab="33"/>
  </bookViews>
  <sheets>
    <sheet name="TABLEAU" sheetId="14" r:id="rId1"/>
    <sheet name="Feuil1" sheetId="34" r:id="rId2"/>
    <sheet name="FOUR MISE A JOUR" sheetId="32" r:id="rId3"/>
    <sheet name="CALCUL EN m2" sheetId="29" r:id="rId4"/>
    <sheet name="FOURNITURES" sheetId="1" r:id="rId5"/>
    <sheet name="GSD DD LARG 100 G " sheetId="2" r:id="rId6"/>
    <sheet name="GSD DD 150 G " sheetId="3" r:id="rId7"/>
    <sheet name="COMPARAISON GRILLE LOC IMP" sheetId="20" r:id="rId8"/>
    <sheet name="GSD DD LAR 200 G " sheetId="4" r:id="rId9"/>
    <sheet name="GSD DD LAR 300 G " sheetId="6" r:id="rId10"/>
    <sheet name="GSD DD LAR 400 G" sheetId="7" r:id="rId11"/>
    <sheet name="GSD DD LARG 100 BL" sheetId="8" r:id="rId12"/>
    <sheet name="GSD DD LARG 150 BL" sheetId="9" r:id="rId13"/>
    <sheet name="GSD DD LARG 200 BL" sheetId="10" r:id="rId14"/>
    <sheet name="GSD DD LARG 300 BL" sheetId="11" r:id="rId15"/>
    <sheet name="GSD DD LARG 400 BL" sheetId="12" r:id="rId16"/>
    <sheet name="GBF  ALU GR ET BL" sheetId="13" r:id="rId17"/>
    <sheet name="GDD GRIS HSD" sheetId="15" r:id="rId18"/>
    <sheet name="GDD BL HSD" sheetId="16" r:id="rId19"/>
    <sheet name="GSD BL HSD" sheetId="17" r:id="rId20"/>
    <sheet name="GBF GR HSD" sheetId="27" r:id="rId21"/>
    <sheet name="GSD GRIS HSD" sheetId="18" r:id="rId22"/>
    <sheet name="GBF BL HSD" sheetId="19" r:id="rId23"/>
    <sheet name="GAINAIR GDD29 AOUT" sheetId="23" r:id="rId24"/>
    <sheet name="Feuil2" sheetId="21" r:id="rId25"/>
    <sheet name=" GAINAIR" sheetId="24" r:id="rId26"/>
    <sheet name="GRILLES HST VERTICALE" sheetId="25" r:id="rId27"/>
    <sheet name="ETS EL HARTI" sheetId="26" r:id="rId28"/>
    <sheet name="FICHE FOURNITURE" sheetId="33" r:id="rId29"/>
    <sheet name="GLOBALE contract" sheetId="28" r:id="rId30"/>
    <sheet name="GAINAIR GRILLES" sheetId="30" r:id="rId31"/>
    <sheet name="TARIF GRILLES ALI BABA" sheetId="31" r:id="rId32"/>
    <sheet name="DETAIL GRIS ALI BABA" sheetId="35" r:id="rId33"/>
    <sheet name="chiffrage icat" sheetId="36" r:id="rId34"/>
  </sheets>
  <calcPr calcId="145621"/>
</workbook>
</file>

<file path=xl/calcChain.xml><?xml version="1.0" encoding="utf-8"?>
<calcChain xmlns="http://schemas.openxmlformats.org/spreadsheetml/2006/main">
  <c r="E10834" i="29" l="1"/>
  <c r="E10831" i="29"/>
  <c r="E10830" i="29"/>
  <c r="E10829" i="29"/>
  <c r="E10828" i="29"/>
  <c r="E10827" i="29"/>
  <c r="E10832" i="29" s="1"/>
  <c r="E10833" i="29" s="1"/>
  <c r="E10835" i="29" l="1"/>
  <c r="E10822" i="29"/>
  <c r="E10819" i="29"/>
  <c r="E10818" i="29"/>
  <c r="E10817" i="29"/>
  <c r="E10816" i="29"/>
  <c r="E10815" i="29"/>
  <c r="E10814" i="29"/>
  <c r="E10820" i="29" l="1"/>
  <c r="E10821" i="29" s="1"/>
  <c r="E10823" i="29" s="1"/>
  <c r="E10808" i="29"/>
  <c r="E10805" i="29"/>
  <c r="E10804" i="29"/>
  <c r="E10803" i="29"/>
  <c r="E10802" i="29"/>
  <c r="E10801" i="29"/>
  <c r="E10800" i="29"/>
  <c r="E10806" i="29" s="1"/>
  <c r="E10807" i="29" s="1"/>
  <c r="E10809" i="29" s="1"/>
  <c r="E10794" i="29"/>
  <c r="E10791" i="29"/>
  <c r="E10790" i="29"/>
  <c r="E10789" i="29"/>
  <c r="E10788" i="29"/>
  <c r="E10787" i="29"/>
  <c r="E10786" i="29"/>
  <c r="E10792" i="29" l="1"/>
  <c r="E10793" i="29" s="1"/>
  <c r="E10795" i="29" s="1"/>
  <c r="E10780" i="29"/>
  <c r="E10777" i="29"/>
  <c r="E10776" i="29"/>
  <c r="E10775" i="29"/>
  <c r="E10774" i="29"/>
  <c r="E10773" i="29"/>
  <c r="E10767" i="29"/>
  <c r="E10764" i="29"/>
  <c r="E10763" i="29"/>
  <c r="E10762" i="29"/>
  <c r="E10761" i="29"/>
  <c r="E10760" i="29"/>
  <c r="E10765" i="29" s="1"/>
  <c r="E10766" i="29" s="1"/>
  <c r="E10768" i="29" s="1"/>
  <c r="E10754" i="29"/>
  <c r="E10751" i="29"/>
  <c r="E10750" i="29"/>
  <c r="E10749" i="29"/>
  <c r="E10748" i="29"/>
  <c r="E10747" i="29"/>
  <c r="E10746" i="29"/>
  <c r="E10745" i="29"/>
  <c r="E10744" i="29"/>
  <c r="E10778" i="29" l="1"/>
  <c r="E10779" i="29" s="1"/>
  <c r="E10781" i="29" s="1"/>
  <c r="E10752" i="29"/>
  <c r="E10753" i="29" s="1"/>
  <c r="E10755" i="29" s="1"/>
  <c r="E10737" i="29" l="1"/>
  <c r="E10734" i="29"/>
  <c r="E10733" i="29"/>
  <c r="E10732" i="29"/>
  <c r="E10731" i="29"/>
  <c r="E10730" i="29"/>
  <c r="E10735" i="29" s="1"/>
  <c r="E10736" i="29" s="1"/>
  <c r="E10725" i="29"/>
  <c r="E10722" i="29"/>
  <c r="E10721" i="29"/>
  <c r="E10720" i="29"/>
  <c r="E10719" i="29"/>
  <c r="E10718" i="29"/>
  <c r="E10738" i="29" l="1"/>
  <c r="E10723" i="29"/>
  <c r="E10724" i="29" s="1"/>
  <c r="E10726" i="29" s="1"/>
  <c r="E10713" i="29"/>
  <c r="E10710" i="29"/>
  <c r="E10709" i="29"/>
  <c r="E10708" i="29"/>
  <c r="E10707" i="29"/>
  <c r="E10706" i="29"/>
  <c r="E10705" i="29"/>
  <c r="E10711" i="29" s="1"/>
  <c r="E10712" i="29" s="1"/>
  <c r="E10714" i="29" s="1"/>
  <c r="E10699" i="29" l="1"/>
  <c r="E10696" i="29"/>
  <c r="E10695" i="29"/>
  <c r="E10694" i="29"/>
  <c r="E10693" i="29"/>
  <c r="E10692" i="29"/>
  <c r="E10687" i="29"/>
  <c r="E10684" i="29"/>
  <c r="E10683" i="29"/>
  <c r="E10682" i="29"/>
  <c r="E10681" i="29"/>
  <c r="E10680" i="29"/>
  <c r="E10679" i="29"/>
  <c r="E10697" i="29" l="1"/>
  <c r="E10698" i="29" s="1"/>
  <c r="E10700" i="29" s="1"/>
  <c r="E10685" i="29"/>
  <c r="E10686" i="29" s="1"/>
  <c r="E10688" i="29" s="1"/>
  <c r="E10673" i="29"/>
  <c r="E10670" i="29"/>
  <c r="E10669" i="29"/>
  <c r="E10668" i="29"/>
  <c r="E10667" i="29"/>
  <c r="E10666" i="29"/>
  <c r="E10665" i="29"/>
  <c r="E10658" i="29"/>
  <c r="E10655" i="29"/>
  <c r="E10654" i="29"/>
  <c r="E10653" i="29"/>
  <c r="E10652" i="29"/>
  <c r="E10651" i="29"/>
  <c r="E10650" i="29"/>
  <c r="E10656" i="29" s="1"/>
  <c r="E10657" i="29" s="1"/>
  <c r="E10659" i="29" s="1"/>
  <c r="E10671" i="29" l="1"/>
  <c r="E10672" i="29" s="1"/>
  <c r="E10674" i="29" s="1"/>
  <c r="E10644" i="29"/>
  <c r="E10641" i="29"/>
  <c r="E10640" i="29"/>
  <c r="E10639" i="29"/>
  <c r="E10638" i="29"/>
  <c r="E10637" i="29"/>
  <c r="E10642" i="29" s="1"/>
  <c r="E10643" i="29" s="1"/>
  <c r="E10645" i="29" s="1"/>
  <c r="E10632" i="29" l="1"/>
  <c r="E10629" i="29"/>
  <c r="E10628" i="29"/>
  <c r="E10627" i="29"/>
  <c r="E10626" i="29"/>
  <c r="E10625" i="29"/>
  <c r="E10624" i="29"/>
  <c r="E10630" i="29" l="1"/>
  <c r="E10631" i="29" s="1"/>
  <c r="E10633" i="29" s="1"/>
  <c r="E10618" i="29"/>
  <c r="E10615" i="29"/>
  <c r="E10614" i="29"/>
  <c r="E10613" i="29"/>
  <c r="E10612" i="29"/>
  <c r="E10611" i="29"/>
  <c r="E10616" i="29" s="1"/>
  <c r="E10617" i="29" s="1"/>
  <c r="E10619" i="29" s="1"/>
  <c r="E10606" i="29"/>
  <c r="E10603" i="29"/>
  <c r="E10602" i="29"/>
  <c r="E10601" i="29"/>
  <c r="E10600" i="29"/>
  <c r="E10599" i="29"/>
  <c r="E10594" i="29"/>
  <c r="E10591" i="29"/>
  <c r="E10590" i="29"/>
  <c r="E10589" i="29"/>
  <c r="E10588" i="29"/>
  <c r="E10587" i="29"/>
  <c r="E10582" i="29"/>
  <c r="E10579" i="29"/>
  <c r="E10578" i="29"/>
  <c r="E10577" i="29"/>
  <c r="E10576" i="29"/>
  <c r="E10580" i="29" s="1"/>
  <c r="E10581" i="29" s="1"/>
  <c r="E10583" i="29" s="1"/>
  <c r="E10575" i="29"/>
  <c r="E10604" i="29" l="1"/>
  <c r="E10605" i="29" s="1"/>
  <c r="E10607" i="29" s="1"/>
  <c r="E10592" i="29"/>
  <c r="E10593" i="29" s="1"/>
  <c r="E10595" i="29" s="1"/>
  <c r="E3049" i="28"/>
  <c r="E3046" i="28"/>
  <c r="E3045" i="28"/>
  <c r="E3044" i="28"/>
  <c r="E3043" i="28"/>
  <c r="E3042" i="28"/>
  <c r="E3047" i="28" l="1"/>
  <c r="E3048" i="28" s="1"/>
  <c r="E3050" i="28" s="1"/>
  <c r="E10570" i="29"/>
  <c r="E10567" i="29"/>
  <c r="E10566" i="29"/>
  <c r="E10565" i="29"/>
  <c r="E10564" i="29"/>
  <c r="E10563" i="29"/>
  <c r="E10558" i="29"/>
  <c r="E10555" i="29"/>
  <c r="E10554" i="29"/>
  <c r="E10553" i="29"/>
  <c r="E10552" i="29"/>
  <c r="E10551" i="29"/>
  <c r="E10545" i="29"/>
  <c r="E10546" i="29"/>
  <c r="E10543" i="29"/>
  <c r="E10542" i="29"/>
  <c r="E10541" i="29"/>
  <c r="E10540" i="29"/>
  <c r="E10539" i="29"/>
  <c r="E10568" i="29" l="1"/>
  <c r="E10569" i="29" s="1"/>
  <c r="E10571" i="29" s="1"/>
  <c r="E10556" i="29"/>
  <c r="E10557" i="29" s="1"/>
  <c r="E10559" i="29" s="1"/>
  <c r="E10544" i="29"/>
  <c r="E10547" i="29" s="1"/>
  <c r="E3037" i="28"/>
  <c r="E3034" i="28"/>
  <c r="E3033" i="28"/>
  <c r="E3032" i="28"/>
  <c r="E3031" i="28"/>
  <c r="E3030" i="28"/>
  <c r="E3029" i="28"/>
  <c r="E3035" i="28" l="1"/>
  <c r="E3036" i="28" s="1"/>
  <c r="E3038" i="28" s="1"/>
  <c r="E10535" i="29"/>
  <c r="E10532" i="29"/>
  <c r="E10531" i="29"/>
  <c r="E10530" i="29"/>
  <c r="E10529" i="29"/>
  <c r="E10528" i="29"/>
  <c r="E10533" i="29" s="1"/>
  <c r="E10534" i="29" s="1"/>
  <c r="E10536" i="29" l="1"/>
  <c r="E10523" i="29"/>
  <c r="E10520" i="29"/>
  <c r="E10519" i="29"/>
  <c r="E10518" i="29"/>
  <c r="E10517" i="29"/>
  <c r="E10516" i="29"/>
  <c r="E10515" i="29"/>
  <c r="E10521" i="29" l="1"/>
  <c r="E10522" i="29" s="1"/>
  <c r="E10524" i="29" s="1"/>
  <c r="E10509" i="29"/>
  <c r="E10506" i="29"/>
  <c r="E10505" i="29"/>
  <c r="E10504" i="29"/>
  <c r="E10503" i="29"/>
  <c r="E10502" i="29"/>
  <c r="E10501" i="29"/>
  <c r="E10495" i="29"/>
  <c r="E10492" i="29"/>
  <c r="E10491" i="29"/>
  <c r="E10490" i="29"/>
  <c r="E10489" i="29"/>
  <c r="E10488" i="29"/>
  <c r="E10487" i="29"/>
  <c r="E10481" i="29"/>
  <c r="E10478" i="29"/>
  <c r="E10477" i="29"/>
  <c r="E10476" i="29"/>
  <c r="E10475" i="29"/>
  <c r="E10479" i="29" s="1"/>
  <c r="E10480" i="29" s="1"/>
  <c r="E10482" i="29" s="1"/>
  <c r="E10474" i="29"/>
  <c r="E10469" i="29"/>
  <c r="E10466" i="29"/>
  <c r="E10465" i="29"/>
  <c r="E10464" i="29"/>
  <c r="E10463" i="29"/>
  <c r="E10462" i="29"/>
  <c r="E10467" i="29" s="1"/>
  <c r="E10468" i="29" s="1"/>
  <c r="E10470" i="29" s="1"/>
  <c r="E10457" i="29"/>
  <c r="E10454" i="29"/>
  <c r="E10453" i="29"/>
  <c r="E10452" i="29"/>
  <c r="E10451" i="29"/>
  <c r="E10450" i="29"/>
  <c r="E10445" i="29"/>
  <c r="E10442" i="29"/>
  <c r="E10441" i="29"/>
  <c r="E10440" i="29"/>
  <c r="E10439" i="29"/>
  <c r="E10443" i="29" s="1"/>
  <c r="E10444" i="29" s="1"/>
  <c r="E10446" i="29" s="1"/>
  <c r="E10438" i="29"/>
  <c r="E10433" i="29"/>
  <c r="E10430" i="29"/>
  <c r="E10429" i="29"/>
  <c r="E10428" i="29"/>
  <c r="E10427" i="29"/>
  <c r="E10426" i="29"/>
  <c r="E10421" i="29"/>
  <c r="E10418" i="29"/>
  <c r="E10417" i="29"/>
  <c r="E10416" i="29"/>
  <c r="E10415" i="29"/>
  <c r="E10414" i="29"/>
  <c r="E10409" i="29"/>
  <c r="E10406" i="29"/>
  <c r="E10405" i="29"/>
  <c r="E10404" i="29"/>
  <c r="E10403" i="29"/>
  <c r="E10402" i="29"/>
  <c r="E10407" i="29" s="1"/>
  <c r="E10408" i="29" s="1"/>
  <c r="E10410" i="29" s="1"/>
  <c r="E10397" i="29"/>
  <c r="E10394" i="29"/>
  <c r="E10393" i="29"/>
  <c r="E10392" i="29"/>
  <c r="E10391" i="29"/>
  <c r="E10390" i="29"/>
  <c r="E10384" i="29"/>
  <c r="E10381" i="29"/>
  <c r="E10380" i="29"/>
  <c r="E10379" i="29"/>
  <c r="E10378" i="29"/>
  <c r="E10377" i="29"/>
  <c r="E10371" i="29"/>
  <c r="E10368" i="29"/>
  <c r="E10367" i="29"/>
  <c r="E10366" i="29"/>
  <c r="E10365" i="29"/>
  <c r="E10364" i="29"/>
  <c r="E10507" i="29" l="1"/>
  <c r="E10508" i="29" s="1"/>
  <c r="E10510" i="29" s="1"/>
  <c r="E10493" i="29"/>
  <c r="E10494" i="29" s="1"/>
  <c r="E10496" i="29" s="1"/>
  <c r="E10455" i="29"/>
  <c r="E10456" i="29" s="1"/>
  <c r="E10458" i="29" s="1"/>
  <c r="E10431" i="29"/>
  <c r="E10432" i="29" s="1"/>
  <c r="E10434" i="29" s="1"/>
  <c r="E10419" i="29"/>
  <c r="E10420" i="29" s="1"/>
  <c r="E10422" i="29" s="1"/>
  <c r="E10395" i="29"/>
  <c r="E10396" i="29" s="1"/>
  <c r="E10398" i="29" s="1"/>
  <c r="E10382" i="29"/>
  <c r="E10383" i="29" s="1"/>
  <c r="E10385" i="29" s="1"/>
  <c r="E10369" i="29"/>
  <c r="E10370" i="29" s="1"/>
  <c r="E10372" i="29" s="1"/>
  <c r="E10359" i="29"/>
  <c r="E10356" i="29"/>
  <c r="E10355" i="29"/>
  <c r="E10354" i="29"/>
  <c r="E10353" i="29"/>
  <c r="E10352" i="29"/>
  <c r="E10357" i="29" s="1"/>
  <c r="E10358" i="29" s="1"/>
  <c r="E10360" i="29" s="1"/>
  <c r="E10347" i="29" l="1"/>
  <c r="E10344" i="29"/>
  <c r="E10343" i="29"/>
  <c r="E10342" i="29"/>
  <c r="E10341" i="29"/>
  <c r="E10340" i="29"/>
  <c r="E10335" i="29"/>
  <c r="E10332" i="29"/>
  <c r="E10331" i="29"/>
  <c r="E10330" i="29"/>
  <c r="E10329" i="29"/>
  <c r="E10328" i="29"/>
  <c r="E10327" i="29"/>
  <c r="E10326" i="29"/>
  <c r="E10325" i="29"/>
  <c r="E10345" i="29" l="1"/>
  <c r="E10346" i="29" s="1"/>
  <c r="E10348" i="29" s="1"/>
  <c r="E10333" i="29"/>
  <c r="E10334" i="29" s="1"/>
  <c r="E10336" i="29" s="1"/>
  <c r="E3024" i="28"/>
  <c r="E3021" i="28"/>
  <c r="E3020" i="28"/>
  <c r="E3019" i="28"/>
  <c r="E3018" i="28"/>
  <c r="E3017" i="28"/>
  <c r="E3016" i="28"/>
  <c r="E3011" i="28"/>
  <c r="E3008" i="28"/>
  <c r="E3007" i="28"/>
  <c r="E3006" i="28"/>
  <c r="E3005" i="28"/>
  <c r="E3004" i="28"/>
  <c r="E3003" i="28"/>
  <c r="E3022" i="28" l="1"/>
  <c r="E3023" i="28" s="1"/>
  <c r="E3025" i="28" s="1"/>
  <c r="E3009" i="28"/>
  <c r="E3010" i="28" s="1"/>
  <c r="E3012" i="28" s="1"/>
  <c r="E10319" i="29"/>
  <c r="E10316" i="29"/>
  <c r="E10315" i="29"/>
  <c r="E10314" i="29"/>
  <c r="E10313" i="29"/>
  <c r="E10312" i="29"/>
  <c r="E10311" i="29"/>
  <c r="E10317" i="29" s="1"/>
  <c r="E10318" i="29" s="1"/>
  <c r="E10320" i="29" s="1"/>
  <c r="E10305" i="29"/>
  <c r="E10302" i="29"/>
  <c r="E10301" i="29"/>
  <c r="E10300" i="29"/>
  <c r="E10299" i="29"/>
  <c r="E10298" i="29"/>
  <c r="E10297" i="29"/>
  <c r="E10303" i="29" l="1"/>
  <c r="E10304" i="29" s="1"/>
  <c r="E10306" i="29" s="1"/>
  <c r="E10290" i="29"/>
  <c r="E10287" i="29"/>
  <c r="E10286" i="29"/>
  <c r="E10285" i="29"/>
  <c r="E10284" i="29"/>
  <c r="E10283" i="29"/>
  <c r="E10282" i="29"/>
  <c r="E10288" i="29" l="1"/>
  <c r="E10289" i="29" s="1"/>
  <c r="E10291" i="29" s="1"/>
  <c r="E10266" i="29"/>
  <c r="E10276" i="29"/>
  <c r="E10273" i="29"/>
  <c r="E10272" i="29"/>
  <c r="E10271" i="29"/>
  <c r="E10270" i="29"/>
  <c r="E10269" i="29"/>
  <c r="E10268" i="29"/>
  <c r="E10267" i="29"/>
  <c r="E10259" i="29"/>
  <c r="E10256" i="29"/>
  <c r="E10255" i="29"/>
  <c r="E10254" i="29"/>
  <c r="E10253" i="29"/>
  <c r="E10252" i="29"/>
  <c r="E10251" i="29"/>
  <c r="E10250" i="29"/>
  <c r="E10249" i="29"/>
  <c r="E10243" i="29"/>
  <c r="E10240" i="29"/>
  <c r="E10239" i="29"/>
  <c r="E10238" i="29"/>
  <c r="E10237" i="29"/>
  <c r="E10236" i="29"/>
  <c r="E10235" i="29"/>
  <c r="E10241" i="29" s="1"/>
  <c r="E10242" i="29" s="1"/>
  <c r="E10244" i="29" s="1"/>
  <c r="E10229" i="29"/>
  <c r="E10226" i="29"/>
  <c r="E10225" i="29"/>
  <c r="E10224" i="29"/>
  <c r="E10223" i="29"/>
  <c r="E10222" i="29"/>
  <c r="E10221" i="29"/>
  <c r="E10227" i="29" l="1"/>
  <c r="E10228" i="29" s="1"/>
  <c r="E10230" i="29" s="1"/>
  <c r="E10274" i="29"/>
  <c r="E10275" i="29" s="1"/>
  <c r="E10277" i="29" s="1"/>
  <c r="E10257" i="29"/>
  <c r="E10258" i="29" s="1"/>
  <c r="E10260" i="29" s="1"/>
  <c r="E10215" i="29"/>
  <c r="E10212" i="29"/>
  <c r="E10211" i="29"/>
  <c r="E10210" i="29"/>
  <c r="E10209" i="29"/>
  <c r="E10213" i="29" s="1"/>
  <c r="E10214" i="29" s="1"/>
  <c r="E10216" i="29" s="1"/>
  <c r="E10208" i="29"/>
  <c r="E10203" i="29" l="1"/>
  <c r="E10200" i="29"/>
  <c r="E10199" i="29"/>
  <c r="E10198" i="29"/>
  <c r="E10197" i="29"/>
  <c r="E10196" i="29"/>
  <c r="E10201" i="29" s="1"/>
  <c r="E10202" i="29" s="1"/>
  <c r="E10204" i="29" s="1"/>
  <c r="E10191" i="29" l="1"/>
  <c r="E10188" i="29"/>
  <c r="E10187" i="29"/>
  <c r="E10186" i="29"/>
  <c r="E10185" i="29"/>
  <c r="E10184" i="29"/>
  <c r="E10179" i="29"/>
  <c r="E10176" i="29"/>
  <c r="E10175" i="29"/>
  <c r="E10174" i="29"/>
  <c r="E10173" i="29"/>
  <c r="E10172" i="29"/>
  <c r="E10177" i="29" s="1"/>
  <c r="E10178" i="29" s="1"/>
  <c r="E10180" i="29" s="1"/>
  <c r="E10189" i="29" l="1"/>
  <c r="E10190" i="29" s="1"/>
  <c r="E10192" i="29" s="1"/>
  <c r="E2998" i="28"/>
  <c r="E2995" i="28"/>
  <c r="E2994" i="28"/>
  <c r="E2993" i="28"/>
  <c r="E2992" i="28"/>
  <c r="E2991" i="28"/>
  <c r="E2990" i="28"/>
  <c r="E2996" i="28" l="1"/>
  <c r="E2997" i="28" s="1"/>
  <c r="E2999" i="28" s="1"/>
  <c r="E10167" i="29" l="1"/>
  <c r="E10164" i="29"/>
  <c r="E10163" i="29"/>
  <c r="E10162" i="29"/>
  <c r="E10161" i="29"/>
  <c r="E10160" i="29"/>
  <c r="E10165" i="29" s="1"/>
  <c r="E10166" i="29" s="1"/>
  <c r="E10168" i="29" s="1"/>
  <c r="E10154" i="29"/>
  <c r="E10151" i="29"/>
  <c r="E10150" i="29"/>
  <c r="E10149" i="29"/>
  <c r="E10148" i="29"/>
  <c r="E10147" i="29"/>
  <c r="E10152" i="29" s="1"/>
  <c r="E10153" i="29" s="1"/>
  <c r="E10155" i="29" s="1"/>
  <c r="E10142" i="29" l="1"/>
  <c r="E10139" i="29"/>
  <c r="E10138" i="29"/>
  <c r="E10137" i="29"/>
  <c r="E10136" i="29"/>
  <c r="E10135" i="29"/>
  <c r="E10134" i="29"/>
  <c r="E10128" i="29"/>
  <c r="E10125" i="29"/>
  <c r="E10124" i="29"/>
  <c r="E10123" i="29"/>
  <c r="E10122" i="29"/>
  <c r="E10121" i="29"/>
  <c r="E10140" i="29" l="1"/>
  <c r="E10141" i="29" s="1"/>
  <c r="E10143" i="29" s="1"/>
  <c r="E10126" i="29"/>
  <c r="E10127" i="29" s="1"/>
  <c r="E10129" i="29" s="1"/>
  <c r="E10116" i="29"/>
  <c r="E10113" i="29"/>
  <c r="E10112" i="29"/>
  <c r="E10111" i="29"/>
  <c r="E10110" i="29"/>
  <c r="E10109" i="29"/>
  <c r="E10104" i="29"/>
  <c r="E10101" i="29"/>
  <c r="E10100" i="29"/>
  <c r="E10099" i="29"/>
  <c r="E10098" i="29"/>
  <c r="E10097" i="29"/>
  <c r="E10096" i="29"/>
  <c r="E10090" i="29"/>
  <c r="E10087" i="29"/>
  <c r="E10086" i="29"/>
  <c r="E10085" i="29"/>
  <c r="E10084" i="29"/>
  <c r="E10088" i="29" s="1"/>
  <c r="E10089" i="29" s="1"/>
  <c r="E10091" i="29" s="1"/>
  <c r="E10083" i="29"/>
  <c r="E10078" i="29"/>
  <c r="E10075" i="29"/>
  <c r="E10074" i="29"/>
  <c r="E10073" i="29"/>
  <c r="E10072" i="29"/>
  <c r="E10071" i="29"/>
  <c r="E10066" i="29"/>
  <c r="E10063" i="29"/>
  <c r="E10062" i="29"/>
  <c r="E10061" i="29"/>
  <c r="E10060" i="29"/>
  <c r="E10059" i="29"/>
  <c r="E10054" i="29"/>
  <c r="E10051" i="29"/>
  <c r="E10050" i="29"/>
  <c r="E10049" i="29"/>
  <c r="E10048" i="29"/>
  <c r="E10047" i="29"/>
  <c r="E10052" i="29" s="1"/>
  <c r="E10053" i="29" s="1"/>
  <c r="E10055" i="29" s="1"/>
  <c r="E10042" i="29"/>
  <c r="E10039" i="29"/>
  <c r="E10038" i="29"/>
  <c r="E10037" i="29"/>
  <c r="E10036" i="29"/>
  <c r="E10035" i="29"/>
  <c r="E10064" i="29" l="1"/>
  <c r="E10065" i="29" s="1"/>
  <c r="E10067" i="29" s="1"/>
  <c r="E10114" i="29"/>
  <c r="E10115" i="29" s="1"/>
  <c r="E10117" i="29" s="1"/>
  <c r="E10102" i="29"/>
  <c r="E10103" i="29" s="1"/>
  <c r="E10105" i="29" s="1"/>
  <c r="E10076" i="29"/>
  <c r="E10077" i="29" s="1"/>
  <c r="E10079" i="29" s="1"/>
  <c r="E10040" i="29"/>
  <c r="E10041" i="29" s="1"/>
  <c r="E10043" i="29" s="1"/>
  <c r="E10030" i="29"/>
  <c r="E10027" i="29"/>
  <c r="E10026" i="29"/>
  <c r="E10025" i="29"/>
  <c r="E10024" i="29"/>
  <c r="E10023" i="29"/>
  <c r="E10018" i="29"/>
  <c r="E10015" i="29"/>
  <c r="E10014" i="29"/>
  <c r="E10013" i="29"/>
  <c r="E10012" i="29"/>
  <c r="E10011" i="29"/>
  <c r="E10016" i="29" l="1"/>
  <c r="E10017" i="29" s="1"/>
  <c r="E10019" i="29" s="1"/>
  <c r="E10028" i="29"/>
  <c r="E10029" i="29" s="1"/>
  <c r="E10031" i="29" s="1"/>
  <c r="E10006" i="29"/>
  <c r="E10003" i="29"/>
  <c r="E10002" i="29"/>
  <c r="E10001" i="29"/>
  <c r="E10000" i="29"/>
  <c r="E9999" i="29"/>
  <c r="E9998" i="29"/>
  <c r="E9997" i="29"/>
  <c r="E9996" i="29"/>
  <c r="E10004" i="29" l="1"/>
  <c r="E10005" i="29" s="1"/>
  <c r="E10007" i="29" s="1"/>
  <c r="E2985" i="28"/>
  <c r="E2982" i="28"/>
  <c r="E2981" i="28"/>
  <c r="E2980" i="28"/>
  <c r="E2979" i="28"/>
  <c r="E2978" i="28"/>
  <c r="E2977" i="28"/>
  <c r="E9990" i="29"/>
  <c r="E9987" i="29"/>
  <c r="E9986" i="29"/>
  <c r="E9985" i="29"/>
  <c r="E9984" i="29"/>
  <c r="E9983" i="29"/>
  <c r="E9988" i="29" s="1"/>
  <c r="E2983" i="28" l="1"/>
  <c r="E2984" i="28" s="1"/>
  <c r="E2986" i="28" s="1"/>
  <c r="E9989" i="29"/>
  <c r="E9991" i="29" s="1"/>
  <c r="E9977" i="29"/>
  <c r="E9974" i="29"/>
  <c r="E9973" i="29"/>
  <c r="E9972" i="29"/>
  <c r="E9971" i="29"/>
  <c r="E9970" i="29"/>
  <c r="E9969" i="29"/>
  <c r="E9963" i="29"/>
  <c r="E9960" i="29"/>
  <c r="E9959" i="29"/>
  <c r="E9958" i="29"/>
  <c r="E9957" i="29"/>
  <c r="E9956" i="29"/>
  <c r="E9955" i="29"/>
  <c r="E9954" i="29"/>
  <c r="E9953" i="29"/>
  <c r="E9975" i="29" l="1"/>
  <c r="E9976" i="29" s="1"/>
  <c r="E9978" i="29" s="1"/>
  <c r="E9961" i="29"/>
  <c r="E9962" i="29" s="1"/>
  <c r="E9964" i="29" s="1"/>
  <c r="E9947" i="29"/>
  <c r="E9944" i="29"/>
  <c r="E9943" i="29"/>
  <c r="E9942" i="29"/>
  <c r="E9941" i="29"/>
  <c r="E9940" i="29"/>
  <c r="E9934" i="29"/>
  <c r="E9931" i="29"/>
  <c r="E9930" i="29"/>
  <c r="E9929" i="29"/>
  <c r="E9928" i="29"/>
  <c r="E9927" i="29"/>
  <c r="E9932" i="29" s="1"/>
  <c r="E9933" i="29" s="1"/>
  <c r="E9935" i="29" s="1"/>
  <c r="E9922" i="29"/>
  <c r="E9919" i="29"/>
  <c r="E9918" i="29"/>
  <c r="E9917" i="29"/>
  <c r="E9916" i="29"/>
  <c r="E9915" i="29"/>
  <c r="E9914" i="29"/>
  <c r="E9913" i="29"/>
  <c r="E9912" i="29"/>
  <c r="E9920" i="29" s="1"/>
  <c r="E9907" i="29"/>
  <c r="E9904" i="29"/>
  <c r="E9903" i="29"/>
  <c r="E9902" i="29"/>
  <c r="E9901" i="29"/>
  <c r="E9900" i="29"/>
  <c r="E9899" i="29"/>
  <c r="E9898" i="29"/>
  <c r="E9897" i="29"/>
  <c r="E9905" i="29" s="1"/>
  <c r="E9906" i="29" s="1"/>
  <c r="E9908" i="29" s="1"/>
  <c r="E9945" i="29" l="1"/>
  <c r="E9946" i="29" s="1"/>
  <c r="E9948" i="29" s="1"/>
  <c r="E9921" i="29"/>
  <c r="E9923" i="29" s="1"/>
  <c r="E9892" i="29"/>
  <c r="E9889" i="29"/>
  <c r="E9888" i="29"/>
  <c r="E9887" i="29"/>
  <c r="E9886" i="29"/>
  <c r="E9885" i="29"/>
  <c r="E9880" i="29"/>
  <c r="E9877" i="29"/>
  <c r="E9876" i="29"/>
  <c r="E9875" i="29"/>
  <c r="E9874" i="29"/>
  <c r="E9873" i="29"/>
  <c r="E9878" i="29" s="1"/>
  <c r="E9879" i="29" s="1"/>
  <c r="E9881" i="29" s="1"/>
  <c r="E9868" i="29"/>
  <c r="E9865" i="29"/>
  <c r="E9864" i="29"/>
  <c r="E9863" i="29"/>
  <c r="E9862" i="29"/>
  <c r="E9861" i="29"/>
  <c r="E9856" i="29"/>
  <c r="E9853" i="29"/>
  <c r="E9852" i="29"/>
  <c r="E9851" i="29"/>
  <c r="E9850" i="29"/>
  <c r="E9849" i="29"/>
  <c r="E9844" i="29"/>
  <c r="E9841" i="29"/>
  <c r="E9840" i="29"/>
  <c r="E9839" i="29"/>
  <c r="E9838" i="29"/>
  <c r="E9837" i="29"/>
  <c r="E9831" i="29"/>
  <c r="E9828" i="29"/>
  <c r="E9827" i="29"/>
  <c r="E9826" i="29"/>
  <c r="E9825" i="29"/>
  <c r="E9824" i="29"/>
  <c r="E9890" i="29" l="1"/>
  <c r="E9891" i="29" s="1"/>
  <c r="E9893" i="29" s="1"/>
  <c r="E9866" i="29"/>
  <c r="E9867" i="29" s="1"/>
  <c r="E9869" i="29" s="1"/>
  <c r="E9854" i="29"/>
  <c r="E9855" i="29" s="1"/>
  <c r="E9857" i="29" s="1"/>
  <c r="E9842" i="29"/>
  <c r="E9843" i="29" s="1"/>
  <c r="E9845" i="29" s="1"/>
  <c r="E9829" i="29"/>
  <c r="E9830" i="29" s="1"/>
  <c r="E9832" i="29" s="1"/>
  <c r="E9819" i="29"/>
  <c r="E9816" i="29"/>
  <c r="E9815" i="29"/>
  <c r="E9814" i="29"/>
  <c r="E9813" i="29"/>
  <c r="E9812" i="29"/>
  <c r="E9811" i="29"/>
  <c r="E9810" i="29"/>
  <c r="E9809" i="29"/>
  <c r="E9804" i="29"/>
  <c r="E9801" i="29"/>
  <c r="E9800" i="29"/>
  <c r="E9799" i="29"/>
  <c r="E9798" i="29"/>
  <c r="E9797" i="29"/>
  <c r="E9796" i="29"/>
  <c r="E9795" i="29"/>
  <c r="E9794" i="29"/>
  <c r="E9789" i="29"/>
  <c r="E9786" i="29"/>
  <c r="E9785" i="29"/>
  <c r="E9784" i="29"/>
  <c r="E9783" i="29"/>
  <c r="E9782" i="29"/>
  <c r="E9781" i="29"/>
  <c r="E9780" i="29"/>
  <c r="E9779" i="29"/>
  <c r="E9774" i="29"/>
  <c r="E9771" i="29"/>
  <c r="E9770" i="29"/>
  <c r="E9769" i="29"/>
  <c r="E9768" i="29"/>
  <c r="E9767" i="29"/>
  <c r="E9766" i="29"/>
  <c r="E9765" i="29"/>
  <c r="E9764" i="29"/>
  <c r="E9759" i="29"/>
  <c r="E9756" i="29"/>
  <c r="E9755" i="29"/>
  <c r="E9754" i="29"/>
  <c r="E9753" i="29"/>
  <c r="E9752" i="29"/>
  <c r="E9751" i="29"/>
  <c r="E9746" i="29"/>
  <c r="E9743" i="29"/>
  <c r="E9742" i="29"/>
  <c r="E9741" i="29"/>
  <c r="E9740" i="29"/>
  <c r="E9739" i="29"/>
  <c r="E9738" i="29"/>
  <c r="E9744" i="29" s="1"/>
  <c r="E9745" i="29" s="1"/>
  <c r="E9747" i="29" s="1"/>
  <c r="E9733" i="29"/>
  <c r="E9730" i="29"/>
  <c r="E9729" i="29"/>
  <c r="E9728" i="29"/>
  <c r="E9727" i="29"/>
  <c r="E9726" i="29"/>
  <c r="E9725" i="29"/>
  <c r="E9817" i="29" l="1"/>
  <c r="E9818" i="29" s="1"/>
  <c r="E9820" i="29" s="1"/>
  <c r="E9802" i="29"/>
  <c r="E9803" i="29" s="1"/>
  <c r="E9805" i="29" s="1"/>
  <c r="E9787" i="29"/>
  <c r="E9788" i="29" s="1"/>
  <c r="E9790" i="29" s="1"/>
  <c r="E9772" i="29"/>
  <c r="E9773" i="29" s="1"/>
  <c r="E9775" i="29" s="1"/>
  <c r="E9757" i="29"/>
  <c r="E9758" i="29" s="1"/>
  <c r="E9760" i="29" s="1"/>
  <c r="E9731" i="29"/>
  <c r="E9732" i="29" s="1"/>
  <c r="E9734" i="29" s="1"/>
  <c r="E9720" i="29"/>
  <c r="E9717" i="29"/>
  <c r="E9716" i="29"/>
  <c r="E9715" i="29"/>
  <c r="E9714" i="29"/>
  <c r="E9713" i="29"/>
  <c r="E9712" i="29"/>
  <c r="E9718" i="29" l="1"/>
  <c r="E9719" i="29" s="1"/>
  <c r="E9721" i="29" s="1"/>
  <c r="E9707" i="29"/>
  <c r="E9704" i="29"/>
  <c r="E9703" i="29"/>
  <c r="E9702" i="29"/>
  <c r="E9701" i="29"/>
  <c r="E9700" i="29"/>
  <c r="E9705" i="29" l="1"/>
  <c r="E9706" i="29" s="1"/>
  <c r="E9708" i="29" s="1"/>
  <c r="E9695" i="29"/>
  <c r="E9692" i="29"/>
  <c r="E9691" i="29"/>
  <c r="E9690" i="29"/>
  <c r="E9689" i="29"/>
  <c r="E9688" i="29"/>
  <c r="E9687" i="29"/>
  <c r="E9686" i="29"/>
  <c r="E9685" i="29"/>
  <c r="E9680" i="29"/>
  <c r="E9677" i="29"/>
  <c r="E9676" i="29"/>
  <c r="E9675" i="29"/>
  <c r="E9674" i="29"/>
  <c r="E9673" i="29"/>
  <c r="E9672" i="29"/>
  <c r="E9693" i="29" l="1"/>
  <c r="E9694" i="29" s="1"/>
  <c r="E9696" i="29" s="1"/>
  <c r="E9678" i="29"/>
  <c r="E9679" i="29" s="1"/>
  <c r="E9681" i="29" s="1"/>
  <c r="E2971" i="28"/>
  <c r="E2968" i="28"/>
  <c r="E2967" i="28"/>
  <c r="E2966" i="28"/>
  <c r="E2965" i="28"/>
  <c r="E2964" i="28"/>
  <c r="E2963" i="28"/>
  <c r="E9667" i="29"/>
  <c r="E9664" i="29"/>
  <c r="E9663" i="29"/>
  <c r="E9662" i="29"/>
  <c r="E9661" i="29"/>
  <c r="E9660" i="29"/>
  <c r="E2969" i="28" l="1"/>
  <c r="E2970" i="28" s="1"/>
  <c r="E2972" i="28" s="1"/>
  <c r="E9665" i="29"/>
  <c r="E9666" i="29" s="1"/>
  <c r="E9668" i="29" s="1"/>
  <c r="E9655" i="29"/>
  <c r="E9652" i="29"/>
  <c r="E9651" i="29"/>
  <c r="E9650" i="29"/>
  <c r="E9649" i="29"/>
  <c r="E9648" i="29"/>
  <c r="E9653" i="29" l="1"/>
  <c r="E9654" i="29" s="1"/>
  <c r="E9656" i="29" s="1"/>
  <c r="E9643" i="29"/>
  <c r="E9640" i="29"/>
  <c r="E9639" i="29"/>
  <c r="E9638" i="29"/>
  <c r="E9637" i="29"/>
  <c r="E9636" i="29"/>
  <c r="E9635" i="29"/>
  <c r="E9634" i="29"/>
  <c r="E9633" i="29"/>
  <c r="E9628" i="29"/>
  <c r="E9625" i="29"/>
  <c r="E9624" i="29"/>
  <c r="E9623" i="29"/>
  <c r="E9622" i="29"/>
  <c r="E9621" i="29"/>
  <c r="E9620" i="29"/>
  <c r="E9619" i="29"/>
  <c r="E9618" i="29"/>
  <c r="E9613" i="29"/>
  <c r="E9610" i="29"/>
  <c r="E9609" i="29"/>
  <c r="E9608" i="29"/>
  <c r="E9607" i="29"/>
  <c r="E9606" i="29"/>
  <c r="E9605" i="29"/>
  <c r="E9604" i="29"/>
  <c r="E9603" i="29"/>
  <c r="E9598" i="29"/>
  <c r="E9595" i="29"/>
  <c r="E9594" i="29"/>
  <c r="E9593" i="29"/>
  <c r="E9592" i="29"/>
  <c r="E9591" i="29"/>
  <c r="E9590" i="29"/>
  <c r="E9585" i="29"/>
  <c r="E9582" i="29"/>
  <c r="E9581" i="29"/>
  <c r="E9580" i="29"/>
  <c r="E9579" i="29"/>
  <c r="E9578" i="29"/>
  <c r="E9577" i="29"/>
  <c r="E9641" i="29" l="1"/>
  <c r="E9642" i="29" s="1"/>
  <c r="E9644" i="29" s="1"/>
  <c r="E9611" i="29"/>
  <c r="E9612" i="29" s="1"/>
  <c r="E9614" i="29" s="1"/>
  <c r="E9626" i="29"/>
  <c r="E9627" i="29" s="1"/>
  <c r="E9629" i="29" s="1"/>
  <c r="E9596" i="29"/>
  <c r="E9597" i="29" s="1"/>
  <c r="E9599" i="29" s="1"/>
  <c r="E9583" i="29"/>
  <c r="E9584" i="29" s="1"/>
  <c r="E9586" i="29" s="1"/>
  <c r="E9572" i="29"/>
  <c r="E9569" i="29"/>
  <c r="E9568" i="29"/>
  <c r="E9567" i="29"/>
  <c r="E9566" i="29"/>
  <c r="E9565" i="29"/>
  <c r="E9564" i="29"/>
  <c r="E2958" i="28"/>
  <c r="E2955" i="28"/>
  <c r="E2954" i="28"/>
  <c r="E2953" i="28"/>
  <c r="E2952" i="28"/>
  <c r="E2951" i="28"/>
  <c r="E2950" i="28"/>
  <c r="E2949" i="28"/>
  <c r="E2948" i="28"/>
  <c r="E2943" i="28"/>
  <c r="E2940" i="28"/>
  <c r="E2939" i="28"/>
  <c r="E2938" i="28"/>
  <c r="E2937" i="28"/>
  <c r="E2936" i="28"/>
  <c r="E2935" i="28"/>
  <c r="E2934" i="28"/>
  <c r="E2933" i="28"/>
  <c r="E9570" i="29" l="1"/>
  <c r="E9571" i="29" s="1"/>
  <c r="E9573" i="29" s="1"/>
  <c r="E2956" i="28"/>
  <c r="E2957" i="28" s="1"/>
  <c r="E2959" i="28" s="1"/>
  <c r="E2941" i="28"/>
  <c r="E2942" i="28" s="1"/>
  <c r="E2944" i="28" s="1"/>
  <c r="E9559" i="29"/>
  <c r="E9556" i="29"/>
  <c r="E9555" i="29"/>
  <c r="E9554" i="29"/>
  <c r="E9553" i="29"/>
  <c r="E9552" i="29"/>
  <c r="E9551" i="29"/>
  <c r="E9546" i="29"/>
  <c r="E9543" i="29"/>
  <c r="E9542" i="29"/>
  <c r="E9541" i="29"/>
  <c r="E9540" i="29"/>
  <c r="E9539" i="29"/>
  <c r="E9538" i="29"/>
  <c r="E9533" i="29"/>
  <c r="E9530" i="29"/>
  <c r="E9529" i="29"/>
  <c r="E9528" i="29"/>
  <c r="E9527" i="29"/>
  <c r="E9526" i="29"/>
  <c r="E9525" i="29"/>
  <c r="E9557" i="29" l="1"/>
  <c r="E9558" i="29" s="1"/>
  <c r="E9560" i="29" s="1"/>
  <c r="E9544" i="29"/>
  <c r="E9545" i="29" s="1"/>
  <c r="E9547" i="29" s="1"/>
  <c r="E9531" i="29"/>
  <c r="E9532" i="29" s="1"/>
  <c r="E9534" i="29" s="1"/>
  <c r="E9520" i="29"/>
  <c r="E9517" i="29"/>
  <c r="E9516" i="29"/>
  <c r="E9515" i="29"/>
  <c r="E9514" i="29"/>
  <c r="E9513" i="29"/>
  <c r="E9512" i="29"/>
  <c r="E9518" i="29" l="1"/>
  <c r="E9519" i="29" s="1"/>
  <c r="E9521" i="29" s="1"/>
  <c r="E2928" i="28"/>
  <c r="E2925" i="28"/>
  <c r="E2924" i="28"/>
  <c r="E2923" i="28"/>
  <c r="E2922" i="28"/>
  <c r="E2921" i="28"/>
  <c r="E2920" i="28"/>
  <c r="E2919" i="28"/>
  <c r="E2918" i="28"/>
  <c r="E9506" i="29"/>
  <c r="E9503" i="29"/>
  <c r="E9502" i="29"/>
  <c r="E9501" i="29"/>
  <c r="E9500" i="29"/>
  <c r="E9499" i="29"/>
  <c r="E9498" i="29"/>
  <c r="E9493" i="29"/>
  <c r="E9490" i="29"/>
  <c r="E9489" i="29"/>
  <c r="E9488" i="29"/>
  <c r="E9487" i="29"/>
  <c r="E9486" i="29"/>
  <c r="E9481" i="29"/>
  <c r="E9478" i="29"/>
  <c r="E9477" i="29"/>
  <c r="E9476" i="29"/>
  <c r="E9475" i="29"/>
  <c r="E9474" i="29"/>
  <c r="E9491" i="29" l="1"/>
  <c r="E9492" i="29" s="1"/>
  <c r="E9494" i="29" s="1"/>
  <c r="E2926" i="28"/>
  <c r="E2927" i="28" s="1"/>
  <c r="E2929" i="28" s="1"/>
  <c r="E9504" i="29"/>
  <c r="E9505" i="29" s="1"/>
  <c r="E9507" i="29" s="1"/>
  <c r="E9479" i="29"/>
  <c r="E9480" i="29" s="1"/>
  <c r="E9482" i="29" s="1"/>
  <c r="E9469" i="29"/>
  <c r="E9466" i="29"/>
  <c r="E9465" i="29"/>
  <c r="E9464" i="29"/>
  <c r="E9463" i="29"/>
  <c r="E9462" i="29"/>
  <c r="E9461" i="29"/>
  <c r="E9455" i="29"/>
  <c r="E9452" i="29"/>
  <c r="E9451" i="29"/>
  <c r="E9450" i="29"/>
  <c r="E9449" i="29"/>
  <c r="E9448" i="29"/>
  <c r="E9447" i="29"/>
  <c r="E9441" i="29"/>
  <c r="E9438" i="29"/>
  <c r="E9437" i="29"/>
  <c r="E9436" i="29"/>
  <c r="E9435" i="29"/>
  <c r="E9434" i="29"/>
  <c r="E9433" i="29"/>
  <c r="E2913" i="28"/>
  <c r="E2910" i="28"/>
  <c r="E2909" i="28"/>
  <c r="E2908" i="28"/>
  <c r="E2907" i="28"/>
  <c r="E2906" i="28"/>
  <c r="E2905" i="28"/>
  <c r="E2904" i="28"/>
  <c r="E2903" i="28"/>
  <c r="E9439" i="29" l="1"/>
  <c r="E9440" i="29" s="1"/>
  <c r="E9442" i="29" s="1"/>
  <c r="E9453" i="29"/>
  <c r="E9454" i="29" s="1"/>
  <c r="E9456" i="29" s="1"/>
  <c r="E9467" i="29"/>
  <c r="E9468" i="29" s="1"/>
  <c r="E9470" i="29" s="1"/>
  <c r="E2911" i="28"/>
  <c r="E2912" i="28" s="1"/>
  <c r="E2914" i="28" s="1"/>
  <c r="E9427" i="29"/>
  <c r="E9424" i="29"/>
  <c r="E9423" i="29"/>
  <c r="E9422" i="29"/>
  <c r="E9421" i="29"/>
  <c r="E9420" i="29"/>
  <c r="E9419" i="29"/>
  <c r="E9413" i="29"/>
  <c r="E9410" i="29"/>
  <c r="E9409" i="29"/>
  <c r="E9408" i="29"/>
  <c r="E9407" i="29"/>
  <c r="E9406" i="29"/>
  <c r="E9405" i="29"/>
  <c r="E9399" i="29"/>
  <c r="E9396" i="29"/>
  <c r="E9395" i="29"/>
  <c r="E9394" i="29"/>
  <c r="E9393" i="29"/>
  <c r="E9392" i="29"/>
  <c r="E9425" i="29" l="1"/>
  <c r="E9397" i="29"/>
  <c r="E9398" i="29" s="1"/>
  <c r="E9400" i="29" s="1"/>
  <c r="E9411" i="29"/>
  <c r="E9412" i="29" s="1"/>
  <c r="E9414" i="29" s="1"/>
  <c r="E9387" i="29"/>
  <c r="E9384" i="29"/>
  <c r="E9383" i="29"/>
  <c r="E9382" i="29"/>
  <c r="E9381" i="29"/>
  <c r="E9380" i="29"/>
  <c r="E9375" i="29"/>
  <c r="E9372" i="29"/>
  <c r="E9371" i="29"/>
  <c r="E9370" i="29"/>
  <c r="E9369" i="29"/>
  <c r="E9368" i="29"/>
  <c r="E9363" i="29"/>
  <c r="E9360" i="29"/>
  <c r="E9359" i="29"/>
  <c r="E9358" i="29"/>
  <c r="E9357" i="29"/>
  <c r="E9356" i="29"/>
  <c r="E9355" i="29"/>
  <c r="E9361" i="29" s="1"/>
  <c r="E9385" i="29" l="1"/>
  <c r="E9386" i="29" s="1"/>
  <c r="E9388" i="29" s="1"/>
  <c r="E9426" i="29"/>
  <c r="E9428" i="29" s="1"/>
  <c r="E9373" i="29"/>
  <c r="E9374" i="29" s="1"/>
  <c r="E9376" i="29" s="1"/>
  <c r="E9362" i="29"/>
  <c r="E9364" i="29" s="1"/>
  <c r="E9349" i="29"/>
  <c r="E9346" i="29"/>
  <c r="E9345" i="29"/>
  <c r="E9344" i="29"/>
  <c r="E9343" i="29"/>
  <c r="E9342" i="29"/>
  <c r="E9341" i="29"/>
  <c r="E9347" i="29" l="1"/>
  <c r="E9348" i="29" s="1"/>
  <c r="E9350" i="29" s="1"/>
  <c r="E9335" i="29"/>
  <c r="E9332" i="29"/>
  <c r="E9331" i="29"/>
  <c r="E9330" i="29"/>
  <c r="E9329" i="29"/>
  <c r="E9328" i="29"/>
  <c r="E9333" i="29" l="1"/>
  <c r="E9334" i="29" s="1"/>
  <c r="E9336" i="29"/>
  <c r="E9323" i="29"/>
  <c r="E9320" i="29"/>
  <c r="E9319" i="29"/>
  <c r="E9318" i="29"/>
  <c r="E9317" i="29"/>
  <c r="E9316" i="29"/>
  <c r="E9315" i="29"/>
  <c r="E9314" i="29"/>
  <c r="E9313" i="29"/>
  <c r="E9308" i="29"/>
  <c r="E9305" i="29"/>
  <c r="E9304" i="29"/>
  <c r="E9303" i="29"/>
  <c r="E9302" i="29"/>
  <c r="E9301" i="29"/>
  <c r="E9306" i="29" s="1"/>
  <c r="E9307" i="29" s="1"/>
  <c r="E9309" i="29" s="1"/>
  <c r="E9321" i="29" l="1"/>
  <c r="E9295" i="29"/>
  <c r="E9292" i="29"/>
  <c r="E9291" i="29"/>
  <c r="E9290" i="29"/>
  <c r="E9289" i="29"/>
  <c r="E9288" i="29"/>
  <c r="E9322" i="29" l="1"/>
  <c r="E9324" i="29" s="1"/>
  <c r="E9293" i="29"/>
  <c r="E9294" i="29" s="1"/>
  <c r="E9296" i="29" s="1"/>
  <c r="E2898" i="28"/>
  <c r="E2895" i="28"/>
  <c r="E2894" i="28"/>
  <c r="E2893" i="28"/>
  <c r="E2892" i="28"/>
  <c r="E2891" i="28"/>
  <c r="E2890" i="28"/>
  <c r="E2896" i="28" l="1"/>
  <c r="E2897" i="28" s="1"/>
  <c r="E2899" i="28" s="1"/>
  <c r="E9282" i="29"/>
  <c r="E9279" i="29"/>
  <c r="E9278" i="29"/>
  <c r="E9277" i="29"/>
  <c r="E9276" i="29"/>
  <c r="E9275" i="29"/>
  <c r="E9270" i="29"/>
  <c r="E9267" i="29"/>
  <c r="E9266" i="29"/>
  <c r="E9265" i="29"/>
  <c r="E9264" i="29"/>
  <c r="E9263" i="29"/>
  <c r="E9268" i="29" l="1"/>
  <c r="E9269" i="29" s="1"/>
  <c r="E9271" i="29" s="1"/>
  <c r="E9280" i="29"/>
  <c r="E9281" i="29" s="1"/>
  <c r="E9283" i="29" s="1"/>
  <c r="E2882" i="28"/>
  <c r="E2881" i="28"/>
  <c r="E2880" i="28"/>
  <c r="E2879" i="28"/>
  <c r="E2878" i="28"/>
  <c r="E2877" i="28"/>
  <c r="E2883" i="28" l="1"/>
  <c r="E2884" i="28" s="1"/>
  <c r="E2886" i="28" s="1"/>
  <c r="E9258" i="29"/>
  <c r="E9255" i="29"/>
  <c r="E9254" i="29"/>
  <c r="E9253" i="29"/>
  <c r="E9252" i="29"/>
  <c r="E9251" i="29"/>
  <c r="E9256" i="29" l="1"/>
  <c r="E9257" i="29" s="1"/>
  <c r="E9259" i="29" s="1"/>
  <c r="E9246" i="29"/>
  <c r="E9243" i="29"/>
  <c r="E9242" i="29"/>
  <c r="E9241" i="29"/>
  <c r="E9240" i="29"/>
  <c r="E9239" i="29"/>
  <c r="E9238" i="29"/>
  <c r="E9244" i="29" s="1"/>
  <c r="E9245" i="29" s="1"/>
  <c r="E9247" i="29" s="1"/>
  <c r="E9232" i="29" l="1"/>
  <c r="E9229" i="29"/>
  <c r="E9228" i="29"/>
  <c r="E9227" i="29"/>
  <c r="E9226" i="29"/>
  <c r="E9225" i="29"/>
  <c r="E9220" i="29"/>
  <c r="E9217" i="29"/>
  <c r="E9216" i="29"/>
  <c r="E9215" i="29"/>
  <c r="E9214" i="29"/>
  <c r="E9213" i="29"/>
  <c r="E9230" i="29" l="1"/>
  <c r="E9231" i="29" s="1"/>
  <c r="E9233" i="29" s="1"/>
  <c r="E9218" i="29"/>
  <c r="E9219" i="29" s="1"/>
  <c r="E9221" i="29" s="1"/>
  <c r="E9208" i="29"/>
  <c r="E9205" i="29"/>
  <c r="E9204" i="29"/>
  <c r="E9203" i="29"/>
  <c r="E9202" i="29"/>
  <c r="E9201" i="29"/>
  <c r="E9200" i="29"/>
  <c r="E9195" i="29"/>
  <c r="E9192" i="29"/>
  <c r="E9191" i="29"/>
  <c r="E9190" i="29"/>
  <c r="E9189" i="29"/>
  <c r="E9188" i="29"/>
  <c r="E9206" i="29" l="1"/>
  <c r="E9207" i="29" s="1"/>
  <c r="E9209" i="29" s="1"/>
  <c r="E9193" i="29"/>
  <c r="E9194" i="29" s="1"/>
  <c r="E9196" i="29" s="1"/>
  <c r="E9183" i="29"/>
  <c r="E9180" i="29"/>
  <c r="E9179" i="29"/>
  <c r="E9178" i="29"/>
  <c r="E9177" i="29"/>
  <c r="E9176" i="29"/>
  <c r="E9171" i="29"/>
  <c r="E9168" i="29"/>
  <c r="E9167" i="29"/>
  <c r="E9166" i="29"/>
  <c r="E9165" i="29"/>
  <c r="E9164" i="29"/>
  <c r="E9169" i="29" s="1"/>
  <c r="E9170" i="29" s="1"/>
  <c r="E9159" i="29"/>
  <c r="E9156" i="29"/>
  <c r="E9155" i="29"/>
  <c r="E9154" i="29"/>
  <c r="E9153" i="29"/>
  <c r="E9152" i="29"/>
  <c r="E9157" i="29" s="1"/>
  <c r="E9181" i="29" l="1"/>
  <c r="E9182" i="29" s="1"/>
  <c r="E9158" i="29"/>
  <c r="E9160" i="29" s="1"/>
  <c r="E9184" i="29"/>
  <c r="E2872" i="28"/>
  <c r="E2869" i="28"/>
  <c r="E2868" i="28"/>
  <c r="E2867" i="28"/>
  <c r="E2866" i="28"/>
  <c r="E2865" i="28"/>
  <c r="E2864" i="28"/>
  <c r="E2870" i="28" s="1"/>
  <c r="E2871" i="28" s="1"/>
  <c r="E2873" i="28" s="1"/>
  <c r="E2859" i="28"/>
  <c r="E2856" i="28"/>
  <c r="E2855" i="28"/>
  <c r="E2854" i="28"/>
  <c r="E2853" i="28"/>
  <c r="E2852" i="28"/>
  <c r="E2851" i="28"/>
  <c r="E9147" i="29"/>
  <c r="E9144" i="29"/>
  <c r="E9143" i="29"/>
  <c r="E9142" i="29"/>
  <c r="E9141" i="29"/>
  <c r="E9140" i="29"/>
  <c r="E9139" i="29"/>
  <c r="E9145" i="29" s="1"/>
  <c r="E9146" i="29" s="1"/>
  <c r="E9148" i="29" s="1"/>
  <c r="E2857" i="28" l="1"/>
  <c r="E2858" i="28" s="1"/>
  <c r="E2860" i="28" s="1"/>
  <c r="E9133" i="29"/>
  <c r="E9130" i="29"/>
  <c r="E9129" i="29"/>
  <c r="E9128" i="29"/>
  <c r="E9127" i="29"/>
  <c r="E9126" i="29"/>
  <c r="E9131" i="29" l="1"/>
  <c r="E9132" i="29" s="1"/>
  <c r="E9134" i="29" s="1"/>
  <c r="E9121" i="29" l="1"/>
  <c r="E9118" i="29"/>
  <c r="E9117" i="29"/>
  <c r="E9116" i="29"/>
  <c r="E9115" i="29"/>
  <c r="E9114" i="29"/>
  <c r="E9113" i="29"/>
  <c r="E9112" i="29"/>
  <c r="E9111" i="29"/>
  <c r="E9119" i="29" l="1"/>
  <c r="E9120" i="29" s="1"/>
  <c r="E9122" i="29" s="1"/>
  <c r="E9106" i="29"/>
  <c r="E9103" i="29"/>
  <c r="E9102" i="29"/>
  <c r="E9101" i="29"/>
  <c r="E9100" i="29"/>
  <c r="E9099" i="29"/>
  <c r="E9098" i="29"/>
  <c r="E9097" i="29"/>
  <c r="E9096" i="29"/>
  <c r="E9104" i="29" s="1"/>
  <c r="E9105" i="29" s="1"/>
  <c r="E9107" i="29" s="1"/>
  <c r="E9091" i="29" l="1"/>
  <c r="E9088" i="29"/>
  <c r="E9087" i="29"/>
  <c r="E9086" i="29"/>
  <c r="E9085" i="29"/>
  <c r="E9084" i="29"/>
  <c r="E9083" i="29"/>
  <c r="E9082" i="29"/>
  <c r="E9081" i="29"/>
  <c r="E9089" i="29" l="1"/>
  <c r="E9090" i="29" s="1"/>
  <c r="E9092" i="29" s="1"/>
  <c r="E9072" i="29"/>
  <c r="E9073" i="29"/>
  <c r="E9071" i="29"/>
  <c r="E9070" i="29"/>
  <c r="E9069" i="29"/>
  <c r="E9076" i="29"/>
  <c r="E9074" i="29" l="1"/>
  <c r="E9075" i="29" s="1"/>
  <c r="E9077" i="29" s="1"/>
  <c r="E2845" i="28"/>
  <c r="E2842" i="28"/>
  <c r="E2841" i="28"/>
  <c r="E2840" i="28"/>
  <c r="E2839" i="28"/>
  <c r="E2838" i="28"/>
  <c r="E2837" i="28"/>
  <c r="E2836" i="28"/>
  <c r="E2835" i="28"/>
  <c r="E2843" i="28" l="1"/>
  <c r="E2844" i="28" s="1"/>
  <c r="E2846" i="28" s="1"/>
  <c r="E9064" i="29"/>
  <c r="E9061" i="29"/>
  <c r="E9060" i="29"/>
  <c r="E9059" i="29"/>
  <c r="E9058" i="29"/>
  <c r="E9057" i="29"/>
  <c r="E9056" i="29"/>
  <c r="E9062" i="29" l="1"/>
  <c r="E9063" i="29" s="1"/>
  <c r="E9065" i="29" s="1"/>
  <c r="E9050" i="29"/>
  <c r="E9047" i="29"/>
  <c r="E9046" i="29"/>
  <c r="E9045" i="29"/>
  <c r="E9044" i="29"/>
  <c r="E9043" i="29"/>
  <c r="E9042" i="29"/>
  <c r="E9048" i="29" l="1"/>
  <c r="E9035" i="29"/>
  <c r="E9032" i="29"/>
  <c r="E9031" i="29"/>
  <c r="E9030" i="29"/>
  <c r="E9029" i="29"/>
  <c r="E9028" i="29"/>
  <c r="E9027" i="29"/>
  <c r="E9026" i="29"/>
  <c r="E9025" i="29"/>
  <c r="E9049" i="29" l="1"/>
  <c r="E9051" i="29" s="1"/>
  <c r="E9033" i="29"/>
  <c r="E9034" i="29" s="1"/>
  <c r="E9036" i="29" s="1"/>
  <c r="E9020" i="29"/>
  <c r="E9017" i="29"/>
  <c r="E9016" i="29"/>
  <c r="E9015" i="29"/>
  <c r="E9014" i="29"/>
  <c r="E9013" i="29"/>
  <c r="E9012" i="29"/>
  <c r="E9018" i="29" l="1"/>
  <c r="E9019" i="29" s="1"/>
  <c r="E9021" i="29" s="1"/>
  <c r="E9006" i="29"/>
  <c r="E9003" i="29"/>
  <c r="E9002" i="29"/>
  <c r="E9001" i="29"/>
  <c r="E9000" i="29"/>
  <c r="E8999" i="29"/>
  <c r="E8998" i="29"/>
  <c r="E8997" i="29"/>
  <c r="E8996" i="29"/>
  <c r="E8991" i="29"/>
  <c r="E8988" i="29"/>
  <c r="E8987" i="29"/>
  <c r="E8986" i="29"/>
  <c r="E8985" i="29"/>
  <c r="E8984" i="29"/>
  <c r="E8983" i="29"/>
  <c r="E8982" i="29"/>
  <c r="E8981" i="29"/>
  <c r="E8989" i="29" l="1"/>
  <c r="E8990" i="29" s="1"/>
  <c r="E8992" i="29" s="1"/>
  <c r="E9004" i="29"/>
  <c r="E8976" i="29"/>
  <c r="E8973" i="29"/>
  <c r="E8972" i="29"/>
  <c r="E8971" i="29"/>
  <c r="E8970" i="29"/>
  <c r="E8969" i="29"/>
  <c r="E8964" i="29"/>
  <c r="E8961" i="29"/>
  <c r="E8960" i="29"/>
  <c r="E8959" i="29"/>
  <c r="E8958" i="29"/>
  <c r="E8957" i="29"/>
  <c r="E2830" i="28"/>
  <c r="E2827" i="28"/>
  <c r="E2826" i="28"/>
  <c r="E2825" i="28"/>
  <c r="E2824" i="28"/>
  <c r="E2823" i="28"/>
  <c r="E2822" i="28"/>
  <c r="E2821" i="28"/>
  <c r="E2820" i="28"/>
  <c r="E2815" i="28"/>
  <c r="E2812" i="28"/>
  <c r="E2811" i="28"/>
  <c r="E2810" i="28"/>
  <c r="E2809" i="28"/>
  <c r="E2808" i="28"/>
  <c r="E2807" i="28"/>
  <c r="E2828" i="28" l="1"/>
  <c r="E2829" i="28" s="1"/>
  <c r="E2831" i="28" s="1"/>
  <c r="E9005" i="29"/>
  <c r="E9007" i="29" s="1"/>
  <c r="E8974" i="29"/>
  <c r="E8975" i="29" s="1"/>
  <c r="E8977" i="29" s="1"/>
  <c r="E8962" i="29"/>
  <c r="E2813" i="28"/>
  <c r="E2814" i="28" s="1"/>
  <c r="E2816" i="28" s="1"/>
  <c r="E8952" i="29"/>
  <c r="E8949" i="29"/>
  <c r="E8948" i="29"/>
  <c r="E8947" i="29"/>
  <c r="E8946" i="29"/>
  <c r="E8945" i="29"/>
  <c r="E8963" i="29" l="1"/>
  <c r="E8965" i="29" s="1"/>
  <c r="E8950" i="29"/>
  <c r="E8940" i="29"/>
  <c r="E8937" i="29"/>
  <c r="E8936" i="29"/>
  <c r="E8935" i="29"/>
  <c r="E8934" i="29"/>
  <c r="E8933" i="29"/>
  <c r="E8932" i="29"/>
  <c r="E8951" i="29" l="1"/>
  <c r="E8953" i="29" s="1"/>
  <c r="E8938" i="29"/>
  <c r="E8926" i="29"/>
  <c r="E8923" i="29"/>
  <c r="E8922" i="29"/>
  <c r="E8921" i="29"/>
  <c r="E8920" i="29"/>
  <c r="E8919" i="29"/>
  <c r="E8914" i="29"/>
  <c r="E8911" i="29"/>
  <c r="E8910" i="29"/>
  <c r="E8909" i="29"/>
  <c r="E8908" i="29"/>
  <c r="E8907" i="29"/>
  <c r="E8902" i="29"/>
  <c r="E8899" i="29"/>
  <c r="E8898" i="29"/>
  <c r="E8897" i="29"/>
  <c r="E8896" i="29"/>
  <c r="E8895" i="29"/>
  <c r="E8894" i="29"/>
  <c r="E8893" i="29"/>
  <c r="E8892" i="29"/>
  <c r="E8939" i="29" l="1"/>
  <c r="E8941" i="29" s="1"/>
  <c r="E8924" i="29"/>
  <c r="E8925" i="29" s="1"/>
  <c r="E8927" i="29" s="1"/>
  <c r="E8912" i="29"/>
  <c r="E8913" i="29" s="1"/>
  <c r="E8915" i="29" s="1"/>
  <c r="E8900" i="29"/>
  <c r="E8901" i="29" s="1"/>
  <c r="E8903" i="29" s="1"/>
  <c r="E8887" i="29"/>
  <c r="E8884" i="29"/>
  <c r="E8883" i="29"/>
  <c r="E8882" i="29"/>
  <c r="E8881" i="29"/>
  <c r="E8880" i="29"/>
  <c r="E8875" i="29"/>
  <c r="E8872" i="29"/>
  <c r="E8871" i="29"/>
  <c r="E8870" i="29"/>
  <c r="E8869" i="29"/>
  <c r="E8868" i="29"/>
  <c r="E8885" i="29" l="1"/>
  <c r="E8886" i="29" s="1"/>
  <c r="E8888" i="29" s="1"/>
  <c r="E8873" i="29"/>
  <c r="E8874" i="29" s="1"/>
  <c r="E8876" i="29" s="1"/>
  <c r="E8861" i="29" l="1"/>
  <c r="E8858" i="29"/>
  <c r="E8857" i="29"/>
  <c r="E8856" i="29"/>
  <c r="E8855" i="29"/>
  <c r="E8854" i="29"/>
  <c r="E8853" i="29"/>
  <c r="E8859" i="29" l="1"/>
  <c r="E8860" i="29" s="1"/>
  <c r="E8862" i="29" s="1"/>
  <c r="E8847" i="29"/>
  <c r="E8844" i="29"/>
  <c r="E8843" i="29"/>
  <c r="E8842" i="29"/>
  <c r="E8841" i="29"/>
  <c r="E8840" i="29"/>
  <c r="E8839" i="29"/>
  <c r="E8833" i="29"/>
  <c r="E8830" i="29"/>
  <c r="E8829" i="29"/>
  <c r="E8828" i="29"/>
  <c r="E8827" i="29"/>
  <c r="E8826" i="29"/>
  <c r="E8825" i="29"/>
  <c r="E8818" i="29"/>
  <c r="E8815" i="29"/>
  <c r="E8814" i="29"/>
  <c r="E8813" i="29"/>
  <c r="E8812" i="29"/>
  <c r="E8811" i="29"/>
  <c r="E8810" i="29"/>
  <c r="E8803" i="29"/>
  <c r="E8800" i="29"/>
  <c r="E8799" i="29"/>
  <c r="E8798" i="29"/>
  <c r="E8797" i="29"/>
  <c r="E8796" i="29"/>
  <c r="E8795" i="29"/>
  <c r="E8789" i="29"/>
  <c r="E8786" i="29"/>
  <c r="E8785" i="29"/>
  <c r="E8784" i="29"/>
  <c r="E8783" i="29"/>
  <c r="E8782" i="29"/>
  <c r="E8831" i="29" l="1"/>
  <c r="E8832" i="29" s="1"/>
  <c r="E8834" i="29" s="1"/>
  <c r="E8801" i="29"/>
  <c r="E8802" i="29" s="1"/>
  <c r="E8804" i="29" s="1"/>
  <c r="E8845" i="29"/>
  <c r="E8846" i="29" s="1"/>
  <c r="E8848" i="29" s="1"/>
  <c r="E8816" i="29"/>
  <c r="E8787" i="29"/>
  <c r="E8788" i="29" s="1"/>
  <c r="E8790" i="29" s="1"/>
  <c r="E8776" i="29"/>
  <c r="E8773" i="29"/>
  <c r="E8772" i="29"/>
  <c r="E8771" i="29"/>
  <c r="E8770" i="29"/>
  <c r="E8769" i="29"/>
  <c r="E8764" i="29"/>
  <c r="E8761" i="29"/>
  <c r="E8760" i="29"/>
  <c r="E8759" i="29"/>
  <c r="E8758" i="29"/>
  <c r="E8757" i="29"/>
  <c r="E8752" i="29"/>
  <c r="E8749" i="29"/>
  <c r="E8748" i="29"/>
  <c r="E8747" i="29"/>
  <c r="E8746" i="29"/>
  <c r="E8745" i="29"/>
  <c r="E8740" i="29"/>
  <c r="E8737" i="29"/>
  <c r="E8736" i="29"/>
  <c r="E8735" i="29"/>
  <c r="E8734" i="29"/>
  <c r="E8733" i="29"/>
  <c r="E8762" i="29" l="1"/>
  <c r="E8763" i="29" s="1"/>
  <c r="E8765" i="29" s="1"/>
  <c r="E8817" i="29"/>
  <c r="E8819" i="29" s="1"/>
  <c r="E8774" i="29"/>
  <c r="E8775" i="29" s="1"/>
  <c r="E8777" i="29" s="1"/>
  <c r="E8750" i="29"/>
  <c r="E8751" i="29" s="1"/>
  <c r="E8753" i="29" s="1"/>
  <c r="E8738" i="29"/>
  <c r="E8739" i="29" s="1"/>
  <c r="E8741" i="29" s="1"/>
  <c r="E8728" i="29"/>
  <c r="E8725" i="29"/>
  <c r="E8724" i="29"/>
  <c r="E8723" i="29"/>
  <c r="E8722" i="29"/>
  <c r="E8721" i="29"/>
  <c r="E8716" i="29"/>
  <c r="E8713" i="29"/>
  <c r="E8712" i="29"/>
  <c r="E8711" i="29"/>
  <c r="E8710" i="29"/>
  <c r="E8709" i="29"/>
  <c r="E2802" i="28"/>
  <c r="E2799" i="28"/>
  <c r="E2798" i="28"/>
  <c r="E2797" i="28"/>
  <c r="E2796" i="28"/>
  <c r="E2795" i="28"/>
  <c r="E2794" i="28"/>
  <c r="E184" i="35"/>
  <c r="E181" i="35"/>
  <c r="E180" i="35"/>
  <c r="E179" i="35"/>
  <c r="E178" i="35"/>
  <c r="E177" i="35"/>
  <c r="E176" i="35"/>
  <c r="E182" i="35" s="1"/>
  <c r="E183" i="35" s="1"/>
  <c r="E185" i="35" s="1"/>
  <c r="E169" i="35"/>
  <c r="E166" i="35"/>
  <c r="E165" i="35"/>
  <c r="E164" i="35"/>
  <c r="E163" i="35"/>
  <c r="E162" i="35"/>
  <c r="E161" i="35"/>
  <c r="E167" i="35" s="1"/>
  <c r="E168" i="35" s="1"/>
  <c r="E170" i="35" s="1"/>
  <c r="E154" i="35"/>
  <c r="E151" i="35"/>
  <c r="E150" i="35"/>
  <c r="E149" i="35"/>
  <c r="E148" i="35"/>
  <c r="E147" i="35"/>
  <c r="E146" i="35"/>
  <c r="E139" i="35"/>
  <c r="E136" i="35"/>
  <c r="E135" i="35"/>
  <c r="E134" i="35"/>
  <c r="E133" i="35"/>
  <c r="E132" i="35"/>
  <c r="E131" i="35"/>
  <c r="E137" i="35" s="1"/>
  <c r="E138" i="35" s="1"/>
  <c r="E140" i="35" s="1"/>
  <c r="E124" i="35"/>
  <c r="E121" i="35"/>
  <c r="E120" i="35"/>
  <c r="E119" i="35"/>
  <c r="E118" i="35"/>
  <c r="E117" i="35"/>
  <c r="E116" i="35"/>
  <c r="E122" i="35" s="1"/>
  <c r="E123" i="35" s="1"/>
  <c r="E125" i="35" s="1"/>
  <c r="E110" i="35"/>
  <c r="E107" i="35"/>
  <c r="E106" i="35"/>
  <c r="E105" i="35"/>
  <c r="E104" i="35"/>
  <c r="E103" i="35"/>
  <c r="E102" i="35"/>
  <c r="E108" i="35" s="1"/>
  <c r="E109" i="35" s="1"/>
  <c r="E111" i="35" s="1"/>
  <c r="E95" i="35"/>
  <c r="E92" i="35"/>
  <c r="E91" i="35"/>
  <c r="E90" i="35"/>
  <c r="E89" i="35"/>
  <c r="E88" i="35"/>
  <c r="E87" i="35"/>
  <c r="E93" i="35" s="1"/>
  <c r="E94" i="35" s="1"/>
  <c r="E96" i="35" s="1"/>
  <c r="E81" i="35"/>
  <c r="E78" i="35"/>
  <c r="E77" i="35"/>
  <c r="E76" i="35"/>
  <c r="E75" i="35"/>
  <c r="E74" i="35"/>
  <c r="E73" i="35"/>
  <c r="E79" i="35" s="1"/>
  <c r="E80" i="35" s="1"/>
  <c r="E82" i="35" s="1"/>
  <c r="E67" i="35"/>
  <c r="E64" i="35"/>
  <c r="E63" i="35"/>
  <c r="E62" i="35"/>
  <c r="E61" i="35"/>
  <c r="E60" i="35"/>
  <c r="E59" i="35"/>
  <c r="E65" i="35" s="1"/>
  <c r="E66" i="35" s="1"/>
  <c r="E68" i="35" s="1"/>
  <c r="E54" i="35"/>
  <c r="E51" i="35"/>
  <c r="E50" i="35"/>
  <c r="E49" i="35"/>
  <c r="E48" i="35"/>
  <c r="E47" i="35"/>
  <c r="E46" i="35"/>
  <c r="E52" i="35" s="1"/>
  <c r="E53" i="35" s="1"/>
  <c r="E55" i="35" s="1"/>
  <c r="E40" i="35"/>
  <c r="E37" i="35"/>
  <c r="E36" i="35"/>
  <c r="E35" i="35"/>
  <c r="E34" i="35"/>
  <c r="E33" i="35"/>
  <c r="E32" i="35"/>
  <c r="E38" i="35" s="1"/>
  <c r="E39" i="35" s="1"/>
  <c r="E41" i="35" s="1"/>
  <c r="E27" i="35"/>
  <c r="E24" i="35"/>
  <c r="E23" i="35"/>
  <c r="E22" i="35"/>
  <c r="E21" i="35"/>
  <c r="E20" i="35"/>
  <c r="E19" i="35"/>
  <c r="E25" i="35" s="1"/>
  <c r="E26" i="35" s="1"/>
  <c r="E28" i="35" s="1"/>
  <c r="E13" i="35"/>
  <c r="E10" i="35"/>
  <c r="E9" i="35"/>
  <c r="E8" i="35"/>
  <c r="E7" i="35"/>
  <c r="E6" i="35"/>
  <c r="E5" i="35"/>
  <c r="E11" i="35" s="1"/>
  <c r="E12" i="35" s="1"/>
  <c r="E14" i="35" s="1"/>
  <c r="E8704" i="29"/>
  <c r="E8701" i="29"/>
  <c r="E8700" i="29"/>
  <c r="E8699" i="29"/>
  <c r="E8698" i="29"/>
  <c r="E8697" i="29"/>
  <c r="E8702" i="29" s="1"/>
  <c r="E8703" i="29" s="1"/>
  <c r="E8705" i="29" s="1"/>
  <c r="E8692" i="29"/>
  <c r="E8689" i="29"/>
  <c r="E8688" i="29"/>
  <c r="E8687" i="29"/>
  <c r="E8686" i="29"/>
  <c r="E8685" i="29"/>
  <c r="E8684" i="29"/>
  <c r="E8683" i="29"/>
  <c r="E8682" i="29"/>
  <c r="E8677" i="29"/>
  <c r="E8674" i="29"/>
  <c r="E8673" i="29"/>
  <c r="E8672" i="29"/>
  <c r="E8671" i="29"/>
  <c r="E8670" i="29"/>
  <c r="E8665" i="29"/>
  <c r="E8662" i="29"/>
  <c r="E8661" i="29"/>
  <c r="E8660" i="29"/>
  <c r="E8659" i="29"/>
  <c r="E8658" i="29"/>
  <c r="E8653" i="29"/>
  <c r="E8650" i="29"/>
  <c r="E8649" i="29"/>
  <c r="E8648" i="29"/>
  <c r="E8647" i="29"/>
  <c r="E8646" i="29"/>
  <c r="E8726" i="29" l="1"/>
  <c r="E8727" i="29" s="1"/>
  <c r="E8729" i="29" s="1"/>
  <c r="E8714" i="29"/>
  <c r="E8715" i="29" s="1"/>
  <c r="E8717" i="29" s="1"/>
  <c r="E2800" i="28"/>
  <c r="E2801" i="28" s="1"/>
  <c r="E2803" i="28" s="1"/>
  <c r="E152" i="35"/>
  <c r="E153" i="35" s="1"/>
  <c r="E155" i="35" s="1"/>
  <c r="E8690" i="29"/>
  <c r="E8675" i="29"/>
  <c r="E8676" i="29" s="1"/>
  <c r="E8678" i="29" s="1"/>
  <c r="E8663" i="29"/>
  <c r="E8664" i="29" s="1"/>
  <c r="E8666" i="29" s="1"/>
  <c r="E8651" i="29"/>
  <c r="E8652" i="29" s="1"/>
  <c r="E8654" i="29" s="1"/>
  <c r="E8641" i="29"/>
  <c r="E8638" i="29"/>
  <c r="E8637" i="29"/>
  <c r="E8636" i="29"/>
  <c r="E8635" i="29"/>
  <c r="E8634" i="29"/>
  <c r="E8628" i="29"/>
  <c r="E8625" i="29"/>
  <c r="E8624" i="29"/>
  <c r="E8623" i="29"/>
  <c r="E8622" i="29"/>
  <c r="E8621" i="29"/>
  <c r="E8691" i="29" l="1"/>
  <c r="E8693" i="29" s="1"/>
  <c r="E8639" i="29"/>
  <c r="E8640" i="29" s="1"/>
  <c r="E8642" i="29" s="1"/>
  <c r="E8626" i="29"/>
  <c r="E8616" i="29"/>
  <c r="E8613" i="29"/>
  <c r="E8612" i="29"/>
  <c r="E8611" i="29"/>
  <c r="E8610" i="29"/>
  <c r="E8609" i="29"/>
  <c r="E8608" i="29"/>
  <c r="E8607" i="29"/>
  <c r="E8606" i="29"/>
  <c r="E8627" i="29" l="1"/>
  <c r="E8629" i="29" s="1"/>
  <c r="E8614" i="29"/>
  <c r="E8601" i="29"/>
  <c r="E8598" i="29"/>
  <c r="E8597" i="29"/>
  <c r="E8596" i="29"/>
  <c r="E8595" i="29"/>
  <c r="E8594" i="29"/>
  <c r="E8599" i="29" l="1"/>
  <c r="E8600" i="29" s="1"/>
  <c r="E8602" i="29" s="1"/>
  <c r="E8615" i="29"/>
  <c r="E8617" i="29" s="1"/>
  <c r="E8589" i="29"/>
  <c r="E8586" i="29"/>
  <c r="E8585" i="29"/>
  <c r="E8584" i="29"/>
  <c r="E8583" i="29"/>
  <c r="E8582" i="29"/>
  <c r="E8581" i="29"/>
  <c r="E2789" i="28"/>
  <c r="E2786" i="28"/>
  <c r="E2785" i="28"/>
  <c r="E2784" i="28"/>
  <c r="E2783" i="28"/>
  <c r="E2782" i="28"/>
  <c r="E2781" i="28"/>
  <c r="E2787" i="28" s="1"/>
  <c r="E2788" i="28" s="1"/>
  <c r="E2790" i="28" s="1"/>
  <c r="E8587" i="29" l="1"/>
  <c r="E2774" i="28"/>
  <c r="E2771" i="28"/>
  <c r="E2770" i="28"/>
  <c r="E2769" i="28"/>
  <c r="E2768" i="28"/>
  <c r="E2767" i="28"/>
  <c r="E2766" i="28"/>
  <c r="E8588" i="29" l="1"/>
  <c r="E8590" i="29" s="1"/>
  <c r="E2772" i="28"/>
  <c r="E2773" i="28" s="1"/>
  <c r="E2775" i="28" s="1"/>
  <c r="E8575" i="29"/>
  <c r="E8572" i="29"/>
  <c r="E8571" i="29"/>
  <c r="E8570" i="29"/>
  <c r="E8569" i="29"/>
  <c r="E8568" i="29"/>
  <c r="E8563" i="29"/>
  <c r="E8560" i="29"/>
  <c r="E8559" i="29"/>
  <c r="E8558" i="29"/>
  <c r="E8557" i="29"/>
  <c r="E8556" i="29"/>
  <c r="E8573" i="29" l="1"/>
  <c r="E8574" i="29" s="1"/>
  <c r="E8576" i="29" s="1"/>
  <c r="E8561" i="29"/>
  <c r="E8562" i="29" s="1"/>
  <c r="E8564" i="29" s="1"/>
  <c r="E8551" i="29"/>
  <c r="E8548" i="29"/>
  <c r="E8547" i="29"/>
  <c r="E8546" i="29"/>
  <c r="E8545" i="29"/>
  <c r="E8544" i="29"/>
  <c r="E8543" i="29"/>
  <c r="E8537" i="29"/>
  <c r="E8534" i="29"/>
  <c r="E8533" i="29"/>
  <c r="E8532" i="29"/>
  <c r="E8531" i="29"/>
  <c r="E8530" i="29"/>
  <c r="E8529" i="29"/>
  <c r="E8549" i="29" l="1"/>
  <c r="E8550" i="29" s="1"/>
  <c r="E8552" i="29" s="1"/>
  <c r="E8535" i="29"/>
  <c r="E8536" i="29" s="1"/>
  <c r="E8538" i="29" s="1"/>
  <c r="E2760" i="28"/>
  <c r="E2757" i="28"/>
  <c r="E2756" i="28"/>
  <c r="E2755" i="28"/>
  <c r="E2754" i="28"/>
  <c r="E2753" i="28"/>
  <c r="E2752" i="28"/>
  <c r="E2758" i="28" l="1"/>
  <c r="E2759" i="28" s="1"/>
  <c r="E2761" i="28" s="1"/>
  <c r="E8523" i="29"/>
  <c r="E8520" i="29"/>
  <c r="E8519" i="29"/>
  <c r="E8518" i="29"/>
  <c r="E8517" i="29"/>
  <c r="E8516" i="29"/>
  <c r="E8511" i="29"/>
  <c r="E8508" i="29"/>
  <c r="E8507" i="29"/>
  <c r="E8506" i="29"/>
  <c r="E8505" i="29"/>
  <c r="E8504" i="29"/>
  <c r="E8521" i="29" l="1"/>
  <c r="E8522" i="29" s="1"/>
  <c r="E8524" i="29" s="1"/>
  <c r="E8509" i="29"/>
  <c r="E8510" i="29" s="1"/>
  <c r="E8512" i="29" s="1"/>
  <c r="E8499" i="29"/>
  <c r="E8496" i="29"/>
  <c r="E8495" i="29"/>
  <c r="E8494" i="29"/>
  <c r="E8493" i="29"/>
  <c r="E8492" i="29"/>
  <c r="E8491" i="29"/>
  <c r="E8485" i="29"/>
  <c r="E8482" i="29"/>
  <c r="E8481" i="29"/>
  <c r="E8480" i="29"/>
  <c r="E8479" i="29"/>
  <c r="E8478" i="29"/>
  <c r="E8477" i="29"/>
  <c r="E8497" i="29" l="1"/>
  <c r="E8498" i="29" s="1"/>
  <c r="E8500" i="29" s="1"/>
  <c r="E8483" i="29"/>
  <c r="E8484" i="29" s="1"/>
  <c r="E8486" i="29" s="1"/>
  <c r="E8471" i="29"/>
  <c r="E8468" i="29"/>
  <c r="E8467" i="29"/>
  <c r="E8466" i="29"/>
  <c r="E8465" i="29"/>
  <c r="E8464" i="29"/>
  <c r="E8469" i="29" s="1"/>
  <c r="E8470" i="29" l="1"/>
  <c r="E8472" i="29" s="1"/>
  <c r="E8459" i="29"/>
  <c r="E8456" i="29"/>
  <c r="E8455" i="29"/>
  <c r="E8454" i="29"/>
  <c r="E8453" i="29"/>
  <c r="E8452" i="29"/>
  <c r="E8457" i="29" l="1"/>
  <c r="E8458" i="29" s="1"/>
  <c r="E8460" i="29" s="1"/>
  <c r="E8447" i="29"/>
  <c r="E8444" i="29"/>
  <c r="E8443" i="29"/>
  <c r="E8442" i="29"/>
  <c r="E8441" i="29"/>
  <c r="E8440" i="29"/>
  <c r="E8445" i="29" l="1"/>
  <c r="E8446" i="29" s="1"/>
  <c r="E8448" i="29" s="1"/>
  <c r="E8435" i="29"/>
  <c r="E8432" i="29"/>
  <c r="E8431" i="29"/>
  <c r="E8430" i="29"/>
  <c r="E8429" i="29"/>
  <c r="E8428" i="29"/>
  <c r="E8427" i="29"/>
  <c r="E8426" i="29"/>
  <c r="E8425" i="29"/>
  <c r="E8433" i="29" l="1"/>
  <c r="E8434" i="29" s="1"/>
  <c r="E8436" i="29" s="1"/>
  <c r="E2746" i="28"/>
  <c r="E2743" i="28"/>
  <c r="E2742" i="28"/>
  <c r="E2741" i="28"/>
  <c r="E2740" i="28"/>
  <c r="E2739" i="28"/>
  <c r="E2738" i="28"/>
  <c r="E2744" i="28" l="1"/>
  <c r="E2745" i="28" s="1"/>
  <c r="E2747" i="28" s="1"/>
  <c r="E8420" i="29"/>
  <c r="E8417" i="29"/>
  <c r="E8416" i="29"/>
  <c r="E8415" i="29"/>
  <c r="E8414" i="29"/>
  <c r="E8413" i="29"/>
  <c r="E8408" i="29"/>
  <c r="E8405" i="29"/>
  <c r="E8404" i="29"/>
  <c r="E8403" i="29"/>
  <c r="E8402" i="29"/>
  <c r="E8401" i="29"/>
  <c r="E8396" i="29"/>
  <c r="E8393" i="29"/>
  <c r="E8392" i="29"/>
  <c r="E8391" i="29"/>
  <c r="E8390" i="29"/>
  <c r="E8389" i="29"/>
  <c r="E8384" i="29"/>
  <c r="E8381" i="29"/>
  <c r="E8380" i="29"/>
  <c r="E8379" i="29"/>
  <c r="E8378" i="29"/>
  <c r="E8377" i="29"/>
  <c r="E8406" i="29" l="1"/>
  <c r="E8407" i="29" s="1"/>
  <c r="E8409" i="29" s="1"/>
  <c r="E8394" i="29"/>
  <c r="E8395" i="29" s="1"/>
  <c r="E8397" i="29" s="1"/>
  <c r="E8418" i="29"/>
  <c r="E8419" i="29" s="1"/>
  <c r="E8421" i="29" s="1"/>
  <c r="E8382" i="29"/>
  <c r="E8383" i="29" s="1"/>
  <c r="E8385" i="29" s="1"/>
  <c r="E8372" i="29"/>
  <c r="E8369" i="29"/>
  <c r="E8368" i="29"/>
  <c r="E8367" i="29"/>
  <c r="E8366" i="29"/>
  <c r="E8365" i="29"/>
  <c r="E8370" i="29" l="1"/>
  <c r="E8371" i="29" s="1"/>
  <c r="E8373" i="29" s="1"/>
  <c r="E8360" i="29"/>
  <c r="E8357" i="29"/>
  <c r="E8356" i="29"/>
  <c r="E8355" i="29"/>
  <c r="E8354" i="29"/>
  <c r="E8353" i="29"/>
  <c r="E8352" i="29"/>
  <c r="E8351" i="29"/>
  <c r="E8350" i="29"/>
  <c r="E8358" i="29" l="1"/>
  <c r="E8359" i="29" s="1"/>
  <c r="E8361" i="29" s="1"/>
  <c r="E2732" i="28"/>
  <c r="E2729" i="28"/>
  <c r="E2728" i="28"/>
  <c r="E2727" i="28"/>
  <c r="E2726" i="28"/>
  <c r="E2725" i="28"/>
  <c r="E2724" i="28"/>
  <c r="E2730" i="28" l="1"/>
  <c r="E2731" i="28" s="1"/>
  <c r="E2733" i="28" s="1"/>
  <c r="E2734" i="28" s="1"/>
  <c r="E2718" i="28"/>
  <c r="E2715" i="28"/>
  <c r="E2714" i="28"/>
  <c r="E2713" i="28"/>
  <c r="E2712" i="28"/>
  <c r="E2711" i="28"/>
  <c r="E2710" i="28"/>
  <c r="E2704" i="28"/>
  <c r="E2701" i="28"/>
  <c r="E2700" i="28"/>
  <c r="E2699" i="28"/>
  <c r="E2698" i="28"/>
  <c r="E2697" i="28"/>
  <c r="E2696" i="28"/>
  <c r="E2716" i="28" l="1"/>
  <c r="E2717" i="28" s="1"/>
  <c r="E2719" i="28" s="1"/>
  <c r="E2720" i="28" s="1"/>
  <c r="E2702" i="28"/>
  <c r="E2703" i="28" s="1"/>
  <c r="E2705" i="28" s="1"/>
  <c r="E2706" i="28" s="1"/>
  <c r="E8345" i="29"/>
  <c r="E8342" i="29"/>
  <c r="E8341" i="29"/>
  <c r="E8340" i="29"/>
  <c r="E8339" i="29"/>
  <c r="E8338" i="29"/>
  <c r="E8343" i="29" l="1"/>
  <c r="E8344" i="29" s="1"/>
  <c r="E8346" i="29" s="1"/>
  <c r="E8333" i="29" l="1"/>
  <c r="E8330" i="29"/>
  <c r="E8329" i="29"/>
  <c r="E8328" i="29"/>
  <c r="E8327" i="29"/>
  <c r="E8326" i="29"/>
  <c r="E8325" i="29"/>
  <c r="E8320" i="29"/>
  <c r="E8317" i="29"/>
  <c r="E8316" i="29"/>
  <c r="E8315" i="29"/>
  <c r="E8314" i="29"/>
  <c r="E8313" i="29"/>
  <c r="E8312" i="29"/>
  <c r="E8311" i="29"/>
  <c r="E8310" i="29"/>
  <c r="E8318" i="29" s="1"/>
  <c r="E8319" i="29" s="1"/>
  <c r="E8321" i="29" s="1"/>
  <c r="E8331" i="29" l="1"/>
  <c r="E8332" i="29" s="1"/>
  <c r="E8334" i="29" s="1"/>
  <c r="E8305" i="29"/>
  <c r="E8302" i="29"/>
  <c r="E8301" i="29"/>
  <c r="E8300" i="29"/>
  <c r="E8299" i="29"/>
  <c r="E8298" i="29"/>
  <c r="E8303" i="29" l="1"/>
  <c r="E8304" i="29" s="1"/>
  <c r="E8306" i="29" s="1"/>
  <c r="E8293" i="29"/>
  <c r="E8290" i="29"/>
  <c r="E8289" i="29"/>
  <c r="E8288" i="29"/>
  <c r="E8287" i="29"/>
  <c r="E8286" i="29"/>
  <c r="E8281" i="29"/>
  <c r="E8278" i="29"/>
  <c r="E8277" i="29"/>
  <c r="E8276" i="29"/>
  <c r="E8275" i="29"/>
  <c r="E8274" i="29"/>
  <c r="E8291" i="29" l="1"/>
  <c r="E8292" i="29" s="1"/>
  <c r="E8294" i="29" s="1"/>
  <c r="E8279" i="29"/>
  <c r="E8280" i="29" s="1"/>
  <c r="E8282" i="29" s="1"/>
  <c r="E8268" i="29"/>
  <c r="E8265" i="29"/>
  <c r="E8264" i="29"/>
  <c r="E8263" i="29"/>
  <c r="E8262" i="29"/>
  <c r="E8261" i="29"/>
  <c r="E8266" i="29" l="1"/>
  <c r="E8267" i="29" s="1"/>
  <c r="E8269" i="29" s="1"/>
  <c r="E8255" i="29" l="1"/>
  <c r="E8252" i="29"/>
  <c r="E8251" i="29"/>
  <c r="E8250" i="29"/>
  <c r="E8249" i="29"/>
  <c r="E8248" i="29"/>
  <c r="E8253" i="29" l="1"/>
  <c r="E8254" i="29" s="1"/>
  <c r="E8256" i="29" s="1"/>
  <c r="E8243" i="29"/>
  <c r="E8240" i="29"/>
  <c r="E8239" i="29"/>
  <c r="E8238" i="29"/>
  <c r="E8237" i="29"/>
  <c r="E8236" i="29"/>
  <c r="E8235" i="29"/>
  <c r="E8241" i="29" l="1"/>
  <c r="E8242" i="29" s="1"/>
  <c r="E8244" i="29" s="1"/>
  <c r="E8229" i="29"/>
  <c r="E8226" i="29"/>
  <c r="E8225" i="29"/>
  <c r="E8224" i="29"/>
  <c r="E8223" i="29"/>
  <c r="E8222" i="29"/>
  <c r="E8227" i="29" l="1"/>
  <c r="E8228" i="29" s="1"/>
  <c r="E8230" i="29" s="1"/>
  <c r="E8217" i="29" l="1"/>
  <c r="E8214" i="29"/>
  <c r="E8213" i="29"/>
  <c r="E8212" i="29"/>
  <c r="E8211" i="29"/>
  <c r="E8210" i="29"/>
  <c r="E8215" i="29" l="1"/>
  <c r="E8216" i="29" s="1"/>
  <c r="E8218" i="29" s="1"/>
  <c r="E2690" i="28"/>
  <c r="E2687" i="28"/>
  <c r="E2686" i="28"/>
  <c r="E2685" i="28"/>
  <c r="E2684" i="28"/>
  <c r="E2683" i="28"/>
  <c r="E2682" i="28"/>
  <c r="E2688" i="28" l="1"/>
  <c r="E2689" i="28" s="1"/>
  <c r="E2691" i="28" s="1"/>
  <c r="E2692" i="28" s="1"/>
  <c r="E8205" i="29"/>
  <c r="E8202" i="29"/>
  <c r="E8201" i="29"/>
  <c r="E8200" i="29"/>
  <c r="E8199" i="29"/>
  <c r="E8198" i="29"/>
  <c r="E8197" i="29"/>
  <c r="E2676" i="28"/>
  <c r="E2673" i="28"/>
  <c r="E2672" i="28"/>
  <c r="E2671" i="28"/>
  <c r="E2670" i="28"/>
  <c r="E2669" i="28"/>
  <c r="E2668" i="28"/>
  <c r="E8203" i="29" l="1"/>
  <c r="E8204" i="29" s="1"/>
  <c r="E8206" i="29" s="1"/>
  <c r="E2674" i="28"/>
  <c r="E2675" i="28" s="1"/>
  <c r="E2677" i="28" s="1"/>
  <c r="E2678" i="28" s="1"/>
  <c r="E2663" i="28"/>
  <c r="E2660" i="28"/>
  <c r="E2659" i="28"/>
  <c r="E2658" i="28"/>
  <c r="E2657" i="28"/>
  <c r="E2656" i="28"/>
  <c r="E2661" i="28" s="1"/>
  <c r="E2662" i="28" s="1"/>
  <c r="E2664" i="28" s="1"/>
  <c r="E2650" i="28"/>
  <c r="E2647" i="28"/>
  <c r="E2646" i="28"/>
  <c r="E2645" i="28"/>
  <c r="E2644" i="28"/>
  <c r="E2643" i="28"/>
  <c r="E2648" i="28" s="1"/>
  <c r="E2649" i="28" s="1"/>
  <c r="E2651" i="28" l="1"/>
  <c r="E8191" i="29"/>
  <c r="E8188" i="29"/>
  <c r="E8187" i="29"/>
  <c r="E8186" i="29"/>
  <c r="E8185" i="29"/>
  <c r="E8184" i="29"/>
  <c r="E8189" i="29" l="1"/>
  <c r="E8190" i="29" s="1"/>
  <c r="E8192" i="29" s="1"/>
  <c r="E8179" i="29"/>
  <c r="E8176" i="29"/>
  <c r="E8175" i="29"/>
  <c r="E8174" i="29"/>
  <c r="E8173" i="29"/>
  <c r="E8172" i="29"/>
  <c r="E8171" i="29"/>
  <c r="E8177" i="29" l="1"/>
  <c r="E8178" i="29" s="1"/>
  <c r="E8180" i="29" s="1"/>
  <c r="E8165" i="29"/>
  <c r="E8162" i="29"/>
  <c r="E8161" i="29"/>
  <c r="E8160" i="29"/>
  <c r="E8159" i="29"/>
  <c r="E8158" i="29"/>
  <c r="E8157" i="29"/>
  <c r="E8163" i="29" l="1"/>
  <c r="E8164" i="29" s="1"/>
  <c r="E8166" i="29" s="1"/>
  <c r="E8151" i="29" l="1"/>
  <c r="E8148" i="29"/>
  <c r="E8147" i="29"/>
  <c r="E8146" i="29"/>
  <c r="E8145" i="29"/>
  <c r="E8144" i="29"/>
  <c r="E8143" i="29"/>
  <c r="E8149" i="29" l="1"/>
  <c r="E8150" i="29" s="1"/>
  <c r="E8152" i="29" s="1"/>
  <c r="E8137" i="29"/>
  <c r="E8134" i="29"/>
  <c r="E8133" i="29"/>
  <c r="E8132" i="29"/>
  <c r="E8131" i="29"/>
  <c r="E8130" i="29"/>
  <c r="E8129" i="29"/>
  <c r="E8123" i="29"/>
  <c r="E8120" i="29"/>
  <c r="E8119" i="29"/>
  <c r="E8118" i="29"/>
  <c r="E8117" i="29"/>
  <c r="E8116" i="29"/>
  <c r="E8115" i="29"/>
  <c r="E8121" i="29" l="1"/>
  <c r="E8122" i="29" s="1"/>
  <c r="E8124" i="29"/>
  <c r="E8135" i="29"/>
  <c r="E8136" i="29" s="1"/>
  <c r="E8138" i="29" s="1"/>
  <c r="E8109" i="29"/>
  <c r="E8106" i="29"/>
  <c r="E8105" i="29"/>
  <c r="E8104" i="29"/>
  <c r="E8103" i="29"/>
  <c r="E8102" i="29"/>
  <c r="E8101" i="29"/>
  <c r="E8100" i="29"/>
  <c r="E8099" i="29"/>
  <c r="E8093" i="29"/>
  <c r="E8090" i="29"/>
  <c r="E8089" i="29"/>
  <c r="E8088" i="29"/>
  <c r="E8087" i="29"/>
  <c r="E8086" i="29"/>
  <c r="E8085" i="29"/>
  <c r="E8084" i="29"/>
  <c r="E8083" i="29"/>
  <c r="E8078" i="29"/>
  <c r="E8075" i="29"/>
  <c r="E8074" i="29"/>
  <c r="E8073" i="29"/>
  <c r="E8072" i="29"/>
  <c r="E8071" i="29"/>
  <c r="E8107" i="29" l="1"/>
  <c r="E8108" i="29" s="1"/>
  <c r="E8110" i="29" s="1"/>
  <c r="E8091" i="29"/>
  <c r="E8092" i="29" s="1"/>
  <c r="E8094" i="29" s="1"/>
  <c r="E8076" i="29"/>
  <c r="E8077" i="29" s="1"/>
  <c r="E8079" i="29" s="1"/>
  <c r="E8066" i="29"/>
  <c r="E8063" i="29"/>
  <c r="E8062" i="29"/>
  <c r="E8061" i="29"/>
  <c r="E8060" i="29"/>
  <c r="E8059" i="29"/>
  <c r="E8058" i="29"/>
  <c r="E8064" i="29" l="1"/>
  <c r="E8065" i="29" s="1"/>
  <c r="E8067" i="29" s="1"/>
  <c r="E8052" i="29"/>
  <c r="E8049" i="29"/>
  <c r="E8048" i="29"/>
  <c r="E8047" i="29"/>
  <c r="E8046" i="29"/>
  <c r="E8045" i="29"/>
  <c r="E8050" i="29" l="1"/>
  <c r="E8051" i="29" s="1"/>
  <c r="E8053" i="29" s="1"/>
  <c r="E2638" i="28"/>
  <c r="E2635" i="28"/>
  <c r="E2634" i="28"/>
  <c r="E2633" i="28"/>
  <c r="E2632" i="28"/>
  <c r="E2631" i="28"/>
  <c r="E2630" i="28"/>
  <c r="E2629" i="28"/>
  <c r="E2628" i="28"/>
  <c r="E2636" i="28" l="1"/>
  <c r="E2637" i="28" s="1"/>
  <c r="E2639" i="28" s="1"/>
  <c r="E2622" i="28"/>
  <c r="E2619" i="28"/>
  <c r="E2618" i="28"/>
  <c r="E2617" i="28"/>
  <c r="E2616" i="28"/>
  <c r="E2615" i="28"/>
  <c r="E2614" i="28"/>
  <c r="E2620" i="28" s="1"/>
  <c r="E2621" i="28" s="1"/>
  <c r="E2623" i="28" s="1"/>
  <c r="E2624" i="28" s="1"/>
  <c r="E2607" i="28"/>
  <c r="E2604" i="28"/>
  <c r="E2603" i="28"/>
  <c r="E2602" i="28"/>
  <c r="E2601" i="28"/>
  <c r="E2600" i="28"/>
  <c r="E2599" i="28"/>
  <c r="E2592" i="28"/>
  <c r="E2589" i="28"/>
  <c r="E2588" i="28"/>
  <c r="E2587" i="28"/>
  <c r="E2586" i="28"/>
  <c r="E2585" i="28"/>
  <c r="E2584" i="28"/>
  <c r="E2590" i="28" s="1"/>
  <c r="E2591" i="28" s="1"/>
  <c r="E2593" i="28" s="1"/>
  <c r="E2594" i="28" s="1"/>
  <c r="E2605" i="28" l="1"/>
  <c r="E2606" i="28" s="1"/>
  <c r="E2608" i="28" s="1"/>
  <c r="E2609" i="28" s="1"/>
  <c r="E8040" i="29"/>
  <c r="E8037" i="29"/>
  <c r="E8036" i="29"/>
  <c r="E8035" i="29"/>
  <c r="E8034" i="29"/>
  <c r="E8033" i="29"/>
  <c r="E8032" i="29"/>
  <c r="E2577" i="28"/>
  <c r="E2574" i="28"/>
  <c r="E2573" i="28"/>
  <c r="E2572" i="28"/>
  <c r="E2571" i="28"/>
  <c r="E2570" i="28"/>
  <c r="E2569" i="28"/>
  <c r="E8038" i="29" l="1"/>
  <c r="E8039" i="29" s="1"/>
  <c r="E8041" i="29" s="1"/>
  <c r="E2575" i="28"/>
  <c r="E2576" i="28" s="1"/>
  <c r="E2578" i="28" s="1"/>
  <c r="E2579" i="28" s="1"/>
  <c r="E8026" i="29"/>
  <c r="E8023" i="29"/>
  <c r="E8022" i="29"/>
  <c r="E8021" i="29"/>
  <c r="E8020" i="29"/>
  <c r="E8019" i="29"/>
  <c r="E8024" i="29" l="1"/>
  <c r="E8025" i="29" s="1"/>
  <c r="E8027" i="29" s="1"/>
  <c r="E2563" i="28"/>
  <c r="E2560" i="28"/>
  <c r="E2559" i="28"/>
  <c r="E2558" i="28"/>
  <c r="E2557" i="28"/>
  <c r="E2556" i="28"/>
  <c r="E2555" i="28"/>
  <c r="E2561" i="28" l="1"/>
  <c r="E2562" i="28" s="1"/>
  <c r="E2564" i="28" s="1"/>
  <c r="E2565" i="28" s="1"/>
  <c r="E8014" i="29"/>
  <c r="E8011" i="29"/>
  <c r="E8010" i="29"/>
  <c r="E8009" i="29"/>
  <c r="E8008" i="29"/>
  <c r="E8007" i="29"/>
  <c r="E8006" i="29"/>
  <c r="E8005" i="29"/>
  <c r="E8004" i="29"/>
  <c r="E8012" i="29" l="1"/>
  <c r="E2549" i="28"/>
  <c r="E2546" i="28"/>
  <c r="E2545" i="28"/>
  <c r="E2544" i="28"/>
  <c r="E2543" i="28"/>
  <c r="E2542" i="28"/>
  <c r="E2541" i="28"/>
  <c r="E8013" i="29" l="1"/>
  <c r="E8015" i="29" s="1"/>
  <c r="E2547" i="28"/>
  <c r="E2548" i="28" s="1"/>
  <c r="E2550" i="28" s="1"/>
  <c r="E2551" i="28" s="1"/>
  <c r="E7999" i="29"/>
  <c r="E7996" i="29"/>
  <c r="E7995" i="29"/>
  <c r="E7994" i="29"/>
  <c r="E7993" i="29"/>
  <c r="E7992" i="29"/>
  <c r="E7991" i="29"/>
  <c r="E7997" i="29" l="1"/>
  <c r="E7998" i="29" s="1"/>
  <c r="E8000" i="29" s="1"/>
  <c r="E7984" i="29"/>
  <c r="E7981" i="29"/>
  <c r="E7980" i="29"/>
  <c r="E7979" i="29"/>
  <c r="E7978" i="29"/>
  <c r="E7977" i="29"/>
  <c r="E7976" i="29"/>
  <c r="E7982" i="29" l="1"/>
  <c r="E7983" i="29" s="1"/>
  <c r="E7985" i="29" s="1"/>
  <c r="E7970" i="29"/>
  <c r="E7967" i="29"/>
  <c r="E7966" i="29"/>
  <c r="E7965" i="29"/>
  <c r="E7964" i="29"/>
  <c r="E7963" i="29"/>
  <c r="E7958" i="29"/>
  <c r="E7955" i="29"/>
  <c r="E7954" i="29"/>
  <c r="E7953" i="29"/>
  <c r="E7952" i="29"/>
  <c r="E7951" i="29"/>
  <c r="E7946" i="29"/>
  <c r="E7943" i="29"/>
  <c r="E7942" i="29"/>
  <c r="E7941" i="29"/>
  <c r="E7940" i="29"/>
  <c r="E7939" i="29"/>
  <c r="E7938" i="29"/>
  <c r="E7932" i="29"/>
  <c r="E7929" i="29"/>
  <c r="E7928" i="29"/>
  <c r="E7927" i="29"/>
  <c r="E7926" i="29"/>
  <c r="E7925" i="29"/>
  <c r="E2536" i="28"/>
  <c r="E2533" i="28"/>
  <c r="E2532" i="28"/>
  <c r="E2531" i="28"/>
  <c r="E2530" i="28"/>
  <c r="E2529" i="28"/>
  <c r="E2534" i="28" s="1"/>
  <c r="E2535" i="28" s="1"/>
  <c r="E2537" i="28" s="1"/>
  <c r="E7944" i="29" l="1"/>
  <c r="E7945" i="29" s="1"/>
  <c r="E7947" i="29" s="1"/>
  <c r="E7968" i="29"/>
  <c r="E7969" i="29" s="1"/>
  <c r="E7971" i="29" s="1"/>
  <c r="E7956" i="29"/>
  <c r="E7957" i="29" s="1"/>
  <c r="E7959" i="29" s="1"/>
  <c r="E7930" i="29"/>
  <c r="E2523" i="28"/>
  <c r="E2520" i="28"/>
  <c r="E2519" i="28"/>
  <c r="E2518" i="28"/>
  <c r="E2517" i="28"/>
  <c r="E2516" i="28"/>
  <c r="E2515" i="28"/>
  <c r="E7917" i="29"/>
  <c r="E7916" i="29"/>
  <c r="E7915" i="29"/>
  <c r="E7914" i="29"/>
  <c r="E7913" i="29"/>
  <c r="E7912" i="29"/>
  <c r="E7911" i="29"/>
  <c r="E7910" i="29"/>
  <c r="E7905" i="29"/>
  <c r="E7902" i="29"/>
  <c r="E7901" i="29"/>
  <c r="E7900" i="29"/>
  <c r="E7899" i="29"/>
  <c r="E7898" i="29"/>
  <c r="E7897" i="29"/>
  <c r="E7890" i="29"/>
  <c r="E7887" i="29"/>
  <c r="E7886" i="29"/>
  <c r="E7885" i="29"/>
  <c r="E7884" i="29"/>
  <c r="E7883" i="29"/>
  <c r="E7882" i="29"/>
  <c r="E2508" i="28"/>
  <c r="E2505" i="28"/>
  <c r="E2504" i="28"/>
  <c r="E2503" i="28"/>
  <c r="E2502" i="28"/>
  <c r="E2501" i="28"/>
  <c r="E2500" i="28"/>
  <c r="E2506" i="28" l="1"/>
  <c r="E2507" i="28" s="1"/>
  <c r="E2509" i="28" s="1"/>
  <c r="E2510" i="28" s="1"/>
  <c r="E7903" i="29"/>
  <c r="E7931" i="29"/>
  <c r="E7933" i="29" s="1"/>
  <c r="E2521" i="28"/>
  <c r="E7918" i="29"/>
  <c r="E7919" i="29" s="1"/>
  <c r="E7921" i="29" s="1"/>
  <c r="E7888" i="29"/>
  <c r="E7889" i="29" s="1"/>
  <c r="E7876" i="29"/>
  <c r="E7873" i="29"/>
  <c r="E7872" i="29"/>
  <c r="E7871" i="29"/>
  <c r="E7870" i="29"/>
  <c r="E7869" i="29"/>
  <c r="E7868" i="29"/>
  <c r="E7867" i="29"/>
  <c r="E7866" i="29"/>
  <c r="E2524" i="28" l="1"/>
  <c r="E2525" i="28" s="1"/>
  <c r="E7904" i="29"/>
  <c r="E7906" i="29" s="1"/>
  <c r="E7891" i="29"/>
  <c r="E7874" i="29"/>
  <c r="E2494" i="28"/>
  <c r="E2491" i="28"/>
  <c r="E2490" i="28"/>
  <c r="E2489" i="28"/>
  <c r="E2488" i="28"/>
  <c r="E2487" i="28"/>
  <c r="E2486" i="28"/>
  <c r="E7875" i="29" l="1"/>
  <c r="E7877" i="29" s="1"/>
  <c r="E2492" i="28"/>
  <c r="E2493" i="28" s="1"/>
  <c r="E2495" i="28" s="1"/>
  <c r="E2496" i="28" s="1"/>
  <c r="E2480" i="28"/>
  <c r="E2477" i="28"/>
  <c r="E2476" i="28"/>
  <c r="E2475" i="28"/>
  <c r="E2474" i="28"/>
  <c r="E2473" i="28"/>
  <c r="E2472" i="28"/>
  <c r="E2478" i="28" l="1"/>
  <c r="E2479" i="28" s="1"/>
  <c r="E2481" i="28" s="1"/>
  <c r="E2482" i="28" s="1"/>
  <c r="E7861" i="29"/>
  <c r="E7858" i="29"/>
  <c r="E7857" i="29"/>
  <c r="E7856" i="29"/>
  <c r="E7855" i="29"/>
  <c r="E7854" i="29"/>
  <c r="E7853" i="29"/>
  <c r="E7852" i="29"/>
  <c r="E7851" i="29"/>
  <c r="E7859" i="29" l="1"/>
  <c r="E7860" i="29" s="1"/>
  <c r="E7862" i="29" s="1"/>
  <c r="E7846" i="29"/>
  <c r="E7843" i="29"/>
  <c r="E7842" i="29"/>
  <c r="E7841" i="29"/>
  <c r="E7840" i="29"/>
  <c r="E7839" i="29"/>
  <c r="E7834" i="29"/>
  <c r="E7831" i="29"/>
  <c r="E7830" i="29"/>
  <c r="E7829" i="29"/>
  <c r="E7828" i="29"/>
  <c r="E7827" i="29"/>
  <c r="E7832" i="29" l="1"/>
  <c r="E7833" i="29" s="1"/>
  <c r="E7835" i="29" s="1"/>
  <c r="E7844" i="29"/>
  <c r="E7845" i="29" s="1"/>
  <c r="E7847" i="29" s="1"/>
  <c r="E7821" i="29"/>
  <c r="E7818" i="29"/>
  <c r="E7817" i="29"/>
  <c r="E7816" i="29"/>
  <c r="E7815" i="29"/>
  <c r="E7814" i="29"/>
  <c r="E7813" i="29"/>
  <c r="E7812" i="29"/>
  <c r="E7811" i="29"/>
  <c r="E7806" i="29"/>
  <c r="E7803" i="29"/>
  <c r="E7802" i="29"/>
  <c r="E7801" i="29"/>
  <c r="E7800" i="29"/>
  <c r="E7799" i="29"/>
  <c r="E7798" i="29"/>
  <c r="E7819" i="29" l="1"/>
  <c r="E7804" i="29"/>
  <c r="E7805" i="29" s="1"/>
  <c r="E7807" i="29" s="1"/>
  <c r="E7791" i="29"/>
  <c r="E7788" i="29"/>
  <c r="E7787" i="29"/>
  <c r="E7786" i="29"/>
  <c r="E7785" i="29"/>
  <c r="E7784" i="29"/>
  <c r="E7783" i="29"/>
  <c r="E7789" i="29" l="1"/>
  <c r="E7790" i="29" s="1"/>
  <c r="E7792" i="29" s="1"/>
  <c r="E7820" i="29"/>
  <c r="E7822" i="29" s="1"/>
  <c r="E7777" i="29"/>
  <c r="E7774" i="29"/>
  <c r="E7773" i="29"/>
  <c r="E7772" i="29"/>
  <c r="E7771" i="29"/>
  <c r="E7770" i="29"/>
  <c r="E7765" i="29"/>
  <c r="E7762" i="29"/>
  <c r="E7761" i="29"/>
  <c r="E7760" i="29"/>
  <c r="E7759" i="29"/>
  <c r="E7758" i="29"/>
  <c r="E7753" i="29"/>
  <c r="E7750" i="29"/>
  <c r="E7749" i="29"/>
  <c r="E7748" i="29"/>
  <c r="E7747" i="29"/>
  <c r="E7746" i="29"/>
  <c r="E7751" i="29" l="1"/>
  <c r="E7752" i="29" s="1"/>
  <c r="E7754" i="29" s="1"/>
  <c r="E7775" i="29"/>
  <c r="E7776" i="29" s="1"/>
  <c r="E7778" i="29" s="1"/>
  <c r="E7763" i="29"/>
  <c r="E7764" i="29" s="1"/>
  <c r="E7766" i="29" s="1"/>
  <c r="E7741" i="29"/>
  <c r="E7738" i="29"/>
  <c r="E7737" i="29"/>
  <c r="E7736" i="29"/>
  <c r="E7735" i="29"/>
  <c r="E7734" i="29"/>
  <c r="E7733" i="29"/>
  <c r="E7732" i="29"/>
  <c r="E7731" i="29"/>
  <c r="E7739" i="29" l="1"/>
  <c r="E7740" i="29" l="1"/>
  <c r="E7742" i="29" s="1"/>
  <c r="E7725" i="29"/>
  <c r="E7722" i="29"/>
  <c r="E7721" i="29"/>
  <c r="E7720" i="29"/>
  <c r="E7719" i="29"/>
  <c r="E7718" i="29"/>
  <c r="E7717" i="29"/>
  <c r="E7710" i="29"/>
  <c r="E7707" i="29"/>
  <c r="E7706" i="29"/>
  <c r="E7705" i="29"/>
  <c r="E7704" i="29"/>
  <c r="E7703" i="29"/>
  <c r="E7702" i="29"/>
  <c r="E7696" i="29"/>
  <c r="E7693" i="29"/>
  <c r="E7692" i="29"/>
  <c r="E7691" i="29"/>
  <c r="E7690" i="29"/>
  <c r="E7689" i="29"/>
  <c r="E7688" i="29"/>
  <c r="E7708" i="29" l="1"/>
  <c r="E7709" i="29" s="1"/>
  <c r="E7711" i="29" s="1"/>
  <c r="E7723" i="29"/>
  <c r="E7724" i="29" s="1"/>
  <c r="E7726" i="29" s="1"/>
  <c r="E7694" i="29"/>
  <c r="E7695" i="29" s="1"/>
  <c r="E7697" i="29" s="1"/>
  <c r="E7682" i="29"/>
  <c r="E7679" i="29"/>
  <c r="E7678" i="29"/>
  <c r="E7677" i="29"/>
  <c r="E7676" i="29"/>
  <c r="E7675" i="29"/>
  <c r="E7674" i="29"/>
  <c r="E7680" i="29" l="1"/>
  <c r="E7681" i="29" s="1"/>
  <c r="E7683" i="29" s="1"/>
  <c r="E7668" i="29"/>
  <c r="E7665" i="29"/>
  <c r="E7664" i="29"/>
  <c r="E7663" i="29"/>
  <c r="E7662" i="29"/>
  <c r="E7661" i="29"/>
  <c r="E7660" i="29"/>
  <c r="E7659" i="29"/>
  <c r="E7658" i="29"/>
  <c r="E7653" i="29"/>
  <c r="E7650" i="29"/>
  <c r="E7649" i="29"/>
  <c r="E7648" i="29"/>
  <c r="E7647" i="29"/>
  <c r="E7646" i="29"/>
  <c r="E7645" i="29"/>
  <c r="E7666" i="29" l="1"/>
  <c r="E7667" i="29" s="1"/>
  <c r="E7669" i="29" s="1"/>
  <c r="E7651" i="29"/>
  <c r="E7652" i="29" s="1"/>
  <c r="E7654" i="29" s="1"/>
  <c r="E7639" i="29"/>
  <c r="E7636" i="29"/>
  <c r="E7635" i="29"/>
  <c r="E7634" i="29"/>
  <c r="E7633" i="29"/>
  <c r="E7632" i="29"/>
  <c r="E7631" i="29"/>
  <c r="E7630" i="29"/>
  <c r="E7629" i="29"/>
  <c r="E7637" i="29" l="1"/>
  <c r="E7624" i="29"/>
  <c r="E7621" i="29"/>
  <c r="E7620" i="29"/>
  <c r="E7619" i="29"/>
  <c r="E7618" i="29"/>
  <c r="E7617" i="29"/>
  <c r="E7616" i="29"/>
  <c r="E2467" i="28"/>
  <c r="E2464" i="28"/>
  <c r="E2463" i="28"/>
  <c r="E2462" i="28"/>
  <c r="E2461" i="28"/>
  <c r="E2460" i="28"/>
  <c r="E2459" i="28"/>
  <c r="E7622" i="29" l="1"/>
  <c r="E7623" i="29" s="1"/>
  <c r="E7625" i="29" s="1"/>
  <c r="E7638" i="29"/>
  <c r="E7640" i="29" s="1"/>
  <c r="E2465" i="28"/>
  <c r="E2466" i="28" s="1"/>
  <c r="E2468" i="28" s="1"/>
  <c r="E2454" i="28"/>
  <c r="E2451" i="28"/>
  <c r="E2450" i="28"/>
  <c r="E2449" i="28"/>
  <c r="E2448" i="28"/>
  <c r="E2447" i="28"/>
  <c r="E2441" i="28"/>
  <c r="E2438" i="28"/>
  <c r="E2437" i="28"/>
  <c r="E2436" i="28"/>
  <c r="E2435" i="28"/>
  <c r="E2434" i="28"/>
  <c r="E2439" i="28" l="1"/>
  <c r="E2452" i="28"/>
  <c r="E2453" i="28" s="1"/>
  <c r="E2455" i="28" s="1"/>
  <c r="E2440" i="28"/>
  <c r="E2442" i="28" s="1"/>
  <c r="E2429" i="28"/>
  <c r="E2426" i="28"/>
  <c r="E2425" i="28"/>
  <c r="E2424" i="28"/>
  <c r="E2423" i="28"/>
  <c r="E2422" i="28"/>
  <c r="E2421" i="28"/>
  <c r="E2420" i="28"/>
  <c r="E2419" i="28"/>
  <c r="E2414" i="28"/>
  <c r="E2411" i="28"/>
  <c r="E2410" i="28"/>
  <c r="E2409" i="28"/>
  <c r="E2408" i="28"/>
  <c r="E2407" i="28"/>
  <c r="E2406" i="28"/>
  <c r="E2427" i="28" l="1"/>
  <c r="E2428" i="28" s="1"/>
  <c r="E2430" i="28" s="1"/>
  <c r="E2412" i="28"/>
  <c r="E2413" i="28" s="1"/>
  <c r="E2415" i="28" s="1"/>
  <c r="E7610" i="29"/>
  <c r="E7607" i="29"/>
  <c r="E7606" i="29"/>
  <c r="E7605" i="29"/>
  <c r="E7604" i="29"/>
  <c r="E7603" i="29"/>
  <c r="E7602" i="29"/>
  <c r="E7601" i="29"/>
  <c r="E7600" i="29"/>
  <c r="E2401" i="28"/>
  <c r="E2398" i="28"/>
  <c r="E2397" i="28"/>
  <c r="E2396" i="28"/>
  <c r="E2395" i="28"/>
  <c r="E2394" i="28"/>
  <c r="E2393" i="28"/>
  <c r="E2392" i="28"/>
  <c r="E2391" i="28"/>
  <c r="E7608" i="29" l="1"/>
  <c r="E7609" i="29" s="1"/>
  <c r="E7611" i="29" s="1"/>
  <c r="E2399" i="28"/>
  <c r="E2400" i="28" s="1"/>
  <c r="E2402" i="28" s="1"/>
  <c r="E7595" i="29"/>
  <c r="E7592" i="29"/>
  <c r="E7591" i="29"/>
  <c r="E7590" i="29"/>
  <c r="E7589" i="29"/>
  <c r="E7588" i="29"/>
  <c r="E7587" i="29"/>
  <c r="E7582" i="29"/>
  <c r="E7579" i="29"/>
  <c r="E7578" i="29"/>
  <c r="E7577" i="29"/>
  <c r="E7576" i="29"/>
  <c r="E7575" i="29"/>
  <c r="E7574" i="29"/>
  <c r="E7573" i="29"/>
  <c r="E7572" i="29"/>
  <c r="E7580" i="29" l="1"/>
  <c r="E7593" i="29"/>
  <c r="E7594" i="29" s="1"/>
  <c r="E7596" i="29" s="1"/>
  <c r="E7581" i="29"/>
  <c r="E2385" i="28"/>
  <c r="E2382" i="28"/>
  <c r="E2381" i="28"/>
  <c r="E2380" i="28"/>
  <c r="E2379" i="28"/>
  <c r="E2378" i="28"/>
  <c r="E2377" i="28"/>
  <c r="E2376" i="28"/>
  <c r="E2375" i="28"/>
  <c r="E7567" i="29"/>
  <c r="E7564" i="29"/>
  <c r="E7563" i="29"/>
  <c r="E7562" i="29"/>
  <c r="E7561" i="29"/>
  <c r="E7560" i="29"/>
  <c r="E7559" i="29"/>
  <c r="E7558" i="29"/>
  <c r="E7557" i="29"/>
  <c r="E7551" i="29"/>
  <c r="E7548" i="29"/>
  <c r="E7547" i="29"/>
  <c r="E7546" i="29"/>
  <c r="E7545" i="29"/>
  <c r="E7544" i="29"/>
  <c r="E7543" i="29"/>
  <c r="E7538" i="29"/>
  <c r="E7535" i="29"/>
  <c r="E7534" i="29"/>
  <c r="E7533" i="29"/>
  <c r="E7532" i="29"/>
  <c r="E7531" i="29"/>
  <c r="E7536" i="29" l="1"/>
  <c r="E7537" i="29" s="1"/>
  <c r="E7539" i="29" s="1"/>
  <c r="E7565" i="29"/>
  <c r="E7566" i="29" s="1"/>
  <c r="E2383" i="28"/>
  <c r="E2384" i="28" s="1"/>
  <c r="E2386" i="28" s="1"/>
  <c r="E7568" i="29"/>
  <c r="E7549" i="29"/>
  <c r="E7550" i="29" s="1"/>
  <c r="E7552" i="29" s="1"/>
  <c r="E7526" i="29"/>
  <c r="E7523" i="29"/>
  <c r="E7522" i="29"/>
  <c r="E7521" i="29"/>
  <c r="E7520" i="29"/>
  <c r="E7519" i="29"/>
  <c r="E7524" i="29" l="1"/>
  <c r="E7525" i="29" s="1"/>
  <c r="E7527" i="29" s="1"/>
  <c r="E2369" i="28"/>
  <c r="E2366" i="28"/>
  <c r="E2365" i="28"/>
  <c r="E2364" i="28"/>
  <c r="E2363" i="28"/>
  <c r="E2362" i="28"/>
  <c r="E2361" i="28"/>
  <c r="E2354" i="28"/>
  <c r="E2351" i="28"/>
  <c r="E2350" i="28"/>
  <c r="E2349" i="28"/>
  <c r="E2348" i="28"/>
  <c r="E2347" i="28"/>
  <c r="E2346" i="28"/>
  <c r="E2367" i="28" l="1"/>
  <c r="E2368" i="28" s="1"/>
  <c r="E2370" i="28" s="1"/>
  <c r="E2371" i="28" s="1"/>
  <c r="E2352" i="28"/>
  <c r="E2353" i="28" s="1"/>
  <c r="E2355" i="28" s="1"/>
  <c r="E2356" i="28" s="1"/>
  <c r="E2341" i="28"/>
  <c r="E2338" i="28"/>
  <c r="E2337" i="28"/>
  <c r="E2336" i="28"/>
  <c r="E2335" i="28"/>
  <c r="E2334" i="28"/>
  <c r="E2333" i="28"/>
  <c r="E2332" i="28"/>
  <c r="E2331" i="28"/>
  <c r="E2339" i="28" l="1"/>
  <c r="E2340" i="28" s="1"/>
  <c r="E2342" i="28" s="1"/>
  <c r="E2322" i="28"/>
  <c r="E2321" i="28"/>
  <c r="E2320" i="28"/>
  <c r="E2319" i="28"/>
  <c r="E2318" i="28"/>
  <c r="E2317" i="28"/>
  <c r="E2316" i="28"/>
  <c r="E2315" i="28"/>
  <c r="E2323" i="28" l="1"/>
  <c r="E2324" i="28" s="1"/>
  <c r="E2326" i="28" s="1"/>
  <c r="E7513" i="29"/>
  <c r="E7510" i="29"/>
  <c r="E7509" i="29"/>
  <c r="E7508" i="29"/>
  <c r="E7507" i="29"/>
  <c r="E7506" i="29"/>
  <c r="E7505" i="29"/>
  <c r="E7511" i="29" l="1"/>
  <c r="E7512" i="29" s="1"/>
  <c r="E7514" i="29" s="1"/>
  <c r="E2309" i="28"/>
  <c r="E2306" i="28"/>
  <c r="E2305" i="28"/>
  <c r="E2304" i="28"/>
  <c r="E2303" i="28"/>
  <c r="E2302" i="28"/>
  <c r="E2301" i="28"/>
  <c r="E2307" i="28" l="1"/>
  <c r="E2308" i="28" s="1"/>
  <c r="E2310" i="28" s="1"/>
  <c r="E2311" i="28" s="1"/>
  <c r="E7498" i="29"/>
  <c r="E7495" i="29"/>
  <c r="E7494" i="29"/>
  <c r="E7493" i="29"/>
  <c r="E7492" i="29"/>
  <c r="E7491" i="29"/>
  <c r="E7490" i="29"/>
  <c r="E7489" i="29"/>
  <c r="E7488" i="29"/>
  <c r="E7483" i="29"/>
  <c r="E7480" i="29"/>
  <c r="E7479" i="29"/>
  <c r="E7478" i="29"/>
  <c r="E7477" i="29"/>
  <c r="E7476" i="29"/>
  <c r="E7475" i="29"/>
  <c r="E7470" i="29"/>
  <c r="E7467" i="29"/>
  <c r="E7466" i="29"/>
  <c r="E7465" i="29"/>
  <c r="E7464" i="29"/>
  <c r="E7463" i="29"/>
  <c r="E7462" i="29"/>
  <c r="E7496" i="29" l="1"/>
  <c r="E7497" i="29" s="1"/>
  <c r="E7481" i="29"/>
  <c r="E7482" i="29" s="1"/>
  <c r="E7484" i="29" s="1"/>
  <c r="E7468" i="29"/>
  <c r="E7469" i="29" s="1"/>
  <c r="E7471" i="29" s="1"/>
  <c r="E7457" i="29"/>
  <c r="E7454" i="29"/>
  <c r="E7453" i="29"/>
  <c r="E7452" i="29"/>
  <c r="E7451" i="29"/>
  <c r="E7450" i="29"/>
  <c r="E7449" i="29"/>
  <c r="E7443" i="29"/>
  <c r="E7440" i="29"/>
  <c r="E7439" i="29"/>
  <c r="E7438" i="29"/>
  <c r="E7437" i="29"/>
  <c r="E7436" i="29"/>
  <c r="E7435" i="29"/>
  <c r="E7434" i="29"/>
  <c r="E7433" i="29"/>
  <c r="E7426" i="29"/>
  <c r="E7423" i="29"/>
  <c r="E7422" i="29"/>
  <c r="E7421" i="29"/>
  <c r="E7420" i="29"/>
  <c r="E7419" i="29"/>
  <c r="E7418" i="29"/>
  <c r="E7417" i="29"/>
  <c r="E7416" i="29"/>
  <c r="E7410" i="29"/>
  <c r="E7407" i="29"/>
  <c r="E7406" i="29"/>
  <c r="E7405" i="29"/>
  <c r="E7404" i="29"/>
  <c r="E7403" i="29"/>
  <c r="E7402" i="29"/>
  <c r="E7397" i="29"/>
  <c r="E7394" i="29"/>
  <c r="E7393" i="29"/>
  <c r="E7392" i="29"/>
  <c r="E7391" i="29"/>
  <c r="E7390" i="29"/>
  <c r="E7389" i="29"/>
  <c r="E7384" i="29"/>
  <c r="E7381" i="29"/>
  <c r="E7380" i="29"/>
  <c r="E7379" i="29"/>
  <c r="E7378" i="29"/>
  <c r="E7377" i="29"/>
  <c r="E7376" i="29"/>
  <c r="E7371" i="29"/>
  <c r="E7368" i="29"/>
  <c r="E7367" i="29"/>
  <c r="E7366" i="29"/>
  <c r="E7365" i="29"/>
  <c r="E7364" i="29"/>
  <c r="E7363" i="29"/>
  <c r="E7441" i="29" l="1"/>
  <c r="E7442" i="29" s="1"/>
  <c r="E7444" i="29" s="1"/>
  <c r="E7445" i="29" s="1"/>
  <c r="E7455" i="29"/>
  <c r="E7456" i="29" s="1"/>
  <c r="E7458" i="29" s="1"/>
  <c r="E7499" i="29"/>
  <c r="E7500" i="29" s="1"/>
  <c r="E7424" i="29"/>
  <c r="E7425" i="29" s="1"/>
  <c r="E7427" i="29" s="1"/>
  <c r="E7428" i="29" s="1"/>
  <c r="E7408" i="29"/>
  <c r="E7409" i="29" s="1"/>
  <c r="E7411" i="29" s="1"/>
  <c r="E7395" i="29"/>
  <c r="E7396" i="29" s="1"/>
  <c r="E7398" i="29" s="1"/>
  <c r="E7382" i="29"/>
  <c r="E7383" i="29" s="1"/>
  <c r="E7385" i="29" s="1"/>
  <c r="E7369" i="29"/>
  <c r="E7370" i="29" s="1"/>
  <c r="E7372" i="29" s="1"/>
  <c r="E7358" i="29"/>
  <c r="E7355" i="29"/>
  <c r="E7354" i="29"/>
  <c r="E7353" i="29"/>
  <c r="E7352" i="29"/>
  <c r="E7351" i="29"/>
  <c r="E7350" i="29"/>
  <c r="E7356" i="29" l="1"/>
  <c r="E7357" i="29" s="1"/>
  <c r="E7359" i="29" s="1"/>
  <c r="E7342" i="29"/>
  <c r="E7339" i="29"/>
  <c r="E7338" i="29"/>
  <c r="E7337" i="29"/>
  <c r="E7336" i="29"/>
  <c r="E7335" i="29"/>
  <c r="E7334" i="29"/>
  <c r="E7333" i="29"/>
  <c r="E7332" i="29"/>
  <c r="E7340" i="29" l="1"/>
  <c r="E7341" i="29" s="1"/>
  <c r="E7343" i="29" s="1"/>
  <c r="E7344" i="29" s="1"/>
  <c r="E7327" i="29"/>
  <c r="E7324" i="29"/>
  <c r="E7323" i="29"/>
  <c r="E7322" i="29"/>
  <c r="E7321" i="29"/>
  <c r="E7320" i="29"/>
  <c r="E7325" i="29" l="1"/>
  <c r="E7326" i="29" s="1"/>
  <c r="E7328" i="29" s="1"/>
  <c r="E7314" i="29"/>
  <c r="E7311" i="29"/>
  <c r="E7310" i="29"/>
  <c r="E7309" i="29"/>
  <c r="E7308" i="29"/>
  <c r="E7307" i="29"/>
  <c r="E7312" i="29" l="1"/>
  <c r="E7313" i="29" s="1"/>
  <c r="E7315" i="29" s="1"/>
  <c r="E7301" i="29"/>
  <c r="E7298" i="29"/>
  <c r="E7297" i="29"/>
  <c r="E7296" i="29"/>
  <c r="E7295" i="29"/>
  <c r="E7294" i="29"/>
  <c r="E7299" i="29" l="1"/>
  <c r="E7300" i="29" s="1"/>
  <c r="E7302" i="29" s="1"/>
  <c r="E7288" i="29"/>
  <c r="E7285" i="29"/>
  <c r="E7284" i="29"/>
  <c r="E7283" i="29"/>
  <c r="E7282" i="29"/>
  <c r="E7281" i="29"/>
  <c r="E7286" i="29" l="1"/>
  <c r="E7287" i="29" s="1"/>
  <c r="E7289" i="29" s="1"/>
  <c r="E7276" i="29"/>
  <c r="E7273" i="29"/>
  <c r="E7272" i="29"/>
  <c r="E7271" i="29"/>
  <c r="E7270" i="29"/>
  <c r="E7269" i="29"/>
  <c r="E7268" i="29"/>
  <c r="E7263" i="29"/>
  <c r="E7260" i="29"/>
  <c r="E7259" i="29"/>
  <c r="E7258" i="29"/>
  <c r="E7257" i="29"/>
  <c r="E7256" i="29"/>
  <c r="E7251" i="29"/>
  <c r="E7248" i="29"/>
  <c r="E7247" i="29"/>
  <c r="E7246" i="29"/>
  <c r="E7245" i="29"/>
  <c r="E7244" i="29"/>
  <c r="E7261" i="29" l="1"/>
  <c r="E7262" i="29" s="1"/>
  <c r="E7264" i="29" s="1"/>
  <c r="E7274" i="29"/>
  <c r="E7275" i="29" s="1"/>
  <c r="E7277" i="29" s="1"/>
  <c r="E7249" i="29"/>
  <c r="E7250" i="29" s="1"/>
  <c r="E7252" i="29" s="1"/>
  <c r="E2295" i="28"/>
  <c r="E2292" i="28"/>
  <c r="E2291" i="28"/>
  <c r="E2290" i="28"/>
  <c r="E2289" i="28"/>
  <c r="E2288" i="28"/>
  <c r="E2287" i="28"/>
  <c r="E2279" i="28"/>
  <c r="E2276" i="28"/>
  <c r="E2275" i="28"/>
  <c r="E2274" i="28"/>
  <c r="E2273" i="28"/>
  <c r="E2272" i="28"/>
  <c r="E2277" i="28" s="1"/>
  <c r="E2278" i="28" s="1"/>
  <c r="E9" i="33"/>
  <c r="E10" i="33"/>
  <c r="E11" i="33"/>
  <c r="E8" i="33"/>
  <c r="E2293" i="28" l="1"/>
  <c r="E2294" i="28" s="1"/>
  <c r="E2296" i="28" s="1"/>
  <c r="E2297" i="28" s="1"/>
  <c r="E2280" i="28"/>
  <c r="E7238" i="29"/>
  <c r="E7235" i="29"/>
  <c r="E7234" i="29"/>
  <c r="E7233" i="29"/>
  <c r="E7232" i="29"/>
  <c r="E7231" i="29"/>
  <c r="E7230" i="29"/>
  <c r="E7229" i="29"/>
  <c r="E7228" i="29"/>
  <c r="E7223" i="29"/>
  <c r="E7220" i="29"/>
  <c r="E7219" i="29"/>
  <c r="E7218" i="29"/>
  <c r="E7217" i="29"/>
  <c r="E7216" i="29"/>
  <c r="E7215" i="29"/>
  <c r="E7236" i="29" l="1"/>
  <c r="E7237" i="29" s="1"/>
  <c r="E7239" i="29" s="1"/>
  <c r="E7240" i="29" s="1"/>
  <c r="E7221" i="29"/>
  <c r="E7222" i="29" s="1"/>
  <c r="E7224" i="29" s="1"/>
  <c r="E7209" i="29"/>
  <c r="E7206" i="29"/>
  <c r="E7205" i="29"/>
  <c r="E7204" i="29"/>
  <c r="E7203" i="29"/>
  <c r="E7202" i="29"/>
  <c r="E7201" i="29"/>
  <c r="E7200" i="29"/>
  <c r="E7199" i="29"/>
  <c r="E7194" i="29"/>
  <c r="E7191" i="29"/>
  <c r="E7190" i="29"/>
  <c r="E7189" i="29"/>
  <c r="E7188" i="29"/>
  <c r="E7187" i="29"/>
  <c r="E7186" i="29"/>
  <c r="E7207" i="29" l="1"/>
  <c r="E7208" i="29" s="1"/>
  <c r="E7210" i="29" s="1"/>
  <c r="E7211" i="29" s="1"/>
  <c r="E7192" i="29"/>
  <c r="E7193" i="29" s="1"/>
  <c r="E7195" i="29" s="1"/>
  <c r="E7180" i="29"/>
  <c r="E7177" i="29"/>
  <c r="E7176" i="29"/>
  <c r="E7175" i="29"/>
  <c r="E7174" i="29"/>
  <c r="E7173" i="29"/>
  <c r="E7172" i="29"/>
  <c r="E7171" i="29"/>
  <c r="E7170" i="29"/>
  <c r="E7178" i="29" l="1"/>
  <c r="E7179" i="29" s="1"/>
  <c r="E7181" i="29" s="1"/>
  <c r="E7182" i="29" s="1"/>
  <c r="E7165" i="29"/>
  <c r="E7162" i="29"/>
  <c r="E7161" i="29"/>
  <c r="E7160" i="29"/>
  <c r="E7159" i="29"/>
  <c r="E7158" i="29"/>
  <c r="E7153" i="29"/>
  <c r="E7150" i="29"/>
  <c r="E7149" i="29"/>
  <c r="E7148" i="29"/>
  <c r="E7147" i="29"/>
  <c r="E7146" i="29"/>
  <c r="E7141" i="29"/>
  <c r="E7138" i="29"/>
  <c r="E7137" i="29"/>
  <c r="E7136" i="29"/>
  <c r="E7135" i="29"/>
  <c r="E7134" i="29"/>
  <c r="E7139" i="29" l="1"/>
  <c r="E7140" i="29" s="1"/>
  <c r="E7142" i="29" s="1"/>
  <c r="E7151" i="29"/>
  <c r="E7152" i="29" s="1"/>
  <c r="E7154" i="29" s="1"/>
  <c r="E7163" i="29"/>
  <c r="E7164" i="29" s="1"/>
  <c r="E7166" i="29" s="1"/>
  <c r="E7129" i="29"/>
  <c r="E7126" i="29"/>
  <c r="E7125" i="29"/>
  <c r="E7124" i="29"/>
  <c r="E7123" i="29"/>
  <c r="E7122" i="29"/>
  <c r="E7117" i="29"/>
  <c r="E7114" i="29"/>
  <c r="E7113" i="29"/>
  <c r="E7112" i="29"/>
  <c r="E7111" i="29"/>
  <c r="E7110" i="29"/>
  <c r="E7109" i="29"/>
  <c r="E7103" i="29"/>
  <c r="E7100" i="29"/>
  <c r="E7099" i="29"/>
  <c r="E7098" i="29"/>
  <c r="E7097" i="29"/>
  <c r="E7096" i="29"/>
  <c r="E7095" i="29"/>
  <c r="E7094" i="29"/>
  <c r="E7093" i="29"/>
  <c r="E7127" i="29" l="1"/>
  <c r="E7128" i="29" s="1"/>
  <c r="E7130" i="29" s="1"/>
  <c r="E7115" i="29"/>
  <c r="E7116" i="29" s="1"/>
  <c r="E7118" i="29" s="1"/>
  <c r="E7101" i="29"/>
  <c r="E7102" i="29" s="1"/>
  <c r="E7104" i="29" s="1"/>
  <c r="E7105" i="29" s="1"/>
  <c r="E2263" i="28"/>
  <c r="E2262" i="28"/>
  <c r="E2261" i="28"/>
  <c r="E2260" i="28"/>
  <c r="E2259" i="28"/>
  <c r="E2258" i="28"/>
  <c r="E2257" i="28"/>
  <c r="E2256" i="28"/>
  <c r="E2264" i="28" l="1"/>
  <c r="E2265" i="28" s="1"/>
  <c r="E2267" i="28" s="1"/>
  <c r="E7088" i="29"/>
  <c r="E7085" i="29"/>
  <c r="E7084" i="29"/>
  <c r="E7083" i="29"/>
  <c r="E7082" i="29"/>
  <c r="E7081" i="29"/>
  <c r="E7076" i="29"/>
  <c r="E7073" i="29"/>
  <c r="E7072" i="29"/>
  <c r="E7071" i="29"/>
  <c r="E7070" i="29"/>
  <c r="E7069" i="29"/>
  <c r="E7086" i="29" l="1"/>
  <c r="E7087" i="29" s="1"/>
  <c r="E7089" i="29" s="1"/>
  <c r="E7074" i="29"/>
  <c r="E7075" i="29" s="1"/>
  <c r="E7077" i="29" s="1"/>
  <c r="E2250" i="28"/>
  <c r="E2247" i="28"/>
  <c r="E2246" i="28"/>
  <c r="E2245" i="28"/>
  <c r="E2244" i="28"/>
  <c r="E2243" i="28"/>
  <c r="E2242" i="28"/>
  <c r="E7064" i="29"/>
  <c r="E7061" i="29"/>
  <c r="E7060" i="29"/>
  <c r="E7059" i="29"/>
  <c r="E7058" i="29"/>
  <c r="E7057" i="29"/>
  <c r="E2248" i="28" l="1"/>
  <c r="E2249" i="28" s="1"/>
  <c r="E2251" i="28" s="1"/>
  <c r="E2252" i="28" s="1"/>
  <c r="E7062" i="29"/>
  <c r="E7063" i="29" s="1"/>
  <c r="E7065" i="29" s="1"/>
  <c r="E7052" i="29" l="1"/>
  <c r="E7049" i="29"/>
  <c r="E7048" i="29"/>
  <c r="E7047" i="29"/>
  <c r="E7046" i="29"/>
  <c r="E7045" i="29"/>
  <c r="E7050" i="29" l="1"/>
  <c r="E7051" i="29" s="1"/>
  <c r="E7053" i="29" s="1"/>
  <c r="E7040" i="29"/>
  <c r="E7037" i="29"/>
  <c r="E7036" i="29"/>
  <c r="E7035" i="29"/>
  <c r="E7034" i="29"/>
  <c r="E7033" i="29"/>
  <c r="E7038" i="29" l="1"/>
  <c r="E7039" i="29" s="1"/>
  <c r="E7041" i="29" s="1"/>
  <c r="E7028" i="29" l="1"/>
  <c r="E7025" i="29"/>
  <c r="E7024" i="29"/>
  <c r="E7023" i="29"/>
  <c r="E7022" i="29"/>
  <c r="E7021" i="29"/>
  <c r="E2236" i="28"/>
  <c r="E2233" i="28"/>
  <c r="E2232" i="28"/>
  <c r="E2231" i="28"/>
  <c r="E2230" i="28"/>
  <c r="E2229" i="28"/>
  <c r="E2228" i="28"/>
  <c r="E2227" i="28"/>
  <c r="E2226" i="28"/>
  <c r="E2220" i="28"/>
  <c r="E2217" i="28"/>
  <c r="E2216" i="28"/>
  <c r="E2215" i="28"/>
  <c r="E2214" i="28"/>
  <c r="E2213" i="28"/>
  <c r="E2212" i="28"/>
  <c r="E2206" i="28"/>
  <c r="E2203" i="28"/>
  <c r="E2202" i="28"/>
  <c r="E2201" i="28"/>
  <c r="E2200" i="28"/>
  <c r="E2199" i="28"/>
  <c r="E2198" i="28"/>
  <c r="E7016" i="29"/>
  <c r="E7013" i="29"/>
  <c r="E7012" i="29"/>
  <c r="E7011" i="29"/>
  <c r="E7010" i="29"/>
  <c r="E7009" i="29"/>
  <c r="E7026" i="29" l="1"/>
  <c r="E7014" i="29"/>
  <c r="E7015" i="29" s="1"/>
  <c r="E7017" i="29" s="1"/>
  <c r="E7027" i="29"/>
  <c r="E7029" i="29" s="1"/>
  <c r="E2234" i="28"/>
  <c r="E2235" i="28" s="1"/>
  <c r="E2237" i="28" s="1"/>
  <c r="E2238" i="28" s="1"/>
  <c r="E2218" i="28"/>
  <c r="E2219" i="28" s="1"/>
  <c r="E2221" i="28" s="1"/>
  <c r="E2222" i="28" s="1"/>
  <c r="E2204" i="28"/>
  <c r="E2205" i="28" s="1"/>
  <c r="E2207" i="28" s="1"/>
  <c r="E2208" i="28" s="1"/>
  <c r="E7003" i="29"/>
  <c r="E7000" i="29"/>
  <c r="E6999" i="29"/>
  <c r="E6998" i="29"/>
  <c r="E6997" i="29"/>
  <c r="E6996" i="29"/>
  <c r="E6995" i="29"/>
  <c r="E6994" i="29"/>
  <c r="E6993" i="29"/>
  <c r="E6987" i="29"/>
  <c r="E6984" i="29"/>
  <c r="E6983" i="29"/>
  <c r="E6982" i="29"/>
  <c r="E6981" i="29"/>
  <c r="E6980" i="29"/>
  <c r="E6979" i="29"/>
  <c r="E6978" i="29"/>
  <c r="E6977" i="29"/>
  <c r="E6971" i="29"/>
  <c r="E6968" i="29"/>
  <c r="E6967" i="29"/>
  <c r="E6966" i="29"/>
  <c r="E6965" i="29"/>
  <c r="E6964" i="29"/>
  <c r="E6963" i="29"/>
  <c r="E6962" i="29"/>
  <c r="E6961" i="29"/>
  <c r="E6955" i="29"/>
  <c r="E6952" i="29"/>
  <c r="E6951" i="29"/>
  <c r="E6950" i="29"/>
  <c r="E6949" i="29"/>
  <c r="E6948" i="29"/>
  <c r="E6947" i="29"/>
  <c r="E6946" i="29"/>
  <c r="E6945" i="29"/>
  <c r="E6953" i="29" l="1"/>
  <c r="E6954" i="29" s="1"/>
  <c r="E6956" i="29" s="1"/>
  <c r="E6969" i="29"/>
  <c r="E6970" i="29" s="1"/>
  <c r="E7001" i="29"/>
  <c r="E7002" i="29" s="1"/>
  <c r="E7004" i="29" s="1"/>
  <c r="E7005" i="29" s="1"/>
  <c r="E6985" i="29"/>
  <c r="E6986" i="29" s="1"/>
  <c r="E6957" i="29"/>
  <c r="E2192" i="28"/>
  <c r="E2189" i="28"/>
  <c r="E2188" i="28"/>
  <c r="E2187" i="28"/>
  <c r="E2186" i="28"/>
  <c r="E2185" i="28"/>
  <c r="E2184" i="28"/>
  <c r="E2183" i="28"/>
  <c r="E2182" i="28"/>
  <c r="E2190" i="28" l="1"/>
  <c r="E2191" i="28" s="1"/>
  <c r="E2193" i="28" s="1"/>
  <c r="E6972" i="29"/>
  <c r="E6973" i="29" s="1"/>
  <c r="E6988" i="29"/>
  <c r="E6989" i="29" s="1"/>
  <c r="E6940" i="29"/>
  <c r="E6937" i="29"/>
  <c r="E6936" i="29"/>
  <c r="E6935" i="29"/>
  <c r="E6934" i="29"/>
  <c r="E6933" i="29"/>
  <c r="E6932" i="29"/>
  <c r="E6927" i="29"/>
  <c r="E6924" i="29"/>
  <c r="E6923" i="29"/>
  <c r="E6922" i="29"/>
  <c r="E6921" i="29"/>
  <c r="E6920" i="29"/>
  <c r="E6938" i="29" l="1"/>
  <c r="E6939" i="29" s="1"/>
  <c r="E6941" i="29" s="1"/>
  <c r="E6925" i="29"/>
  <c r="E6926" i="29" s="1"/>
  <c r="E6928" i="29" s="1"/>
  <c r="E2176" i="28"/>
  <c r="E2173" i="28"/>
  <c r="E2172" i="28"/>
  <c r="E2171" i="28"/>
  <c r="E2170" i="28"/>
  <c r="E2169" i="28"/>
  <c r="E2168" i="28"/>
  <c r="E2162" i="28"/>
  <c r="E2159" i="28"/>
  <c r="E2158" i="28"/>
  <c r="E2157" i="28"/>
  <c r="E2156" i="28"/>
  <c r="E2155" i="28"/>
  <c r="E2154" i="28"/>
  <c r="E2153" i="28"/>
  <c r="E2152" i="28"/>
  <c r="E2174" i="28" l="1"/>
  <c r="E2175" i="28" s="1"/>
  <c r="E2177" i="28" s="1"/>
  <c r="E2160" i="28"/>
  <c r="E2161" i="28" s="1"/>
  <c r="E2163" i="28" s="1"/>
  <c r="E2146" i="28"/>
  <c r="E2143" i="28"/>
  <c r="E2142" i="28"/>
  <c r="E2141" i="28"/>
  <c r="E2140" i="28"/>
  <c r="E2139" i="28"/>
  <c r="E2138" i="28"/>
  <c r="E2137" i="28"/>
  <c r="E2136" i="28"/>
  <c r="E2129" i="28"/>
  <c r="E2126" i="28"/>
  <c r="E2125" i="28"/>
  <c r="E2124" i="28"/>
  <c r="E2123" i="28"/>
  <c r="E2122" i="28"/>
  <c r="E2121" i="28"/>
  <c r="E2120" i="28"/>
  <c r="E2119" i="28"/>
  <c r="E2144" i="28" l="1"/>
  <c r="E2145" i="28" s="1"/>
  <c r="E2147" i="28" s="1"/>
  <c r="E2127" i="28"/>
  <c r="E2128" i="28" s="1"/>
  <c r="E2130" i="28" s="1"/>
  <c r="E6915" i="29"/>
  <c r="E6912" i="29"/>
  <c r="E6911" i="29"/>
  <c r="E6910" i="29"/>
  <c r="E6909" i="29"/>
  <c r="E6908" i="29"/>
  <c r="E6913" i="29" l="1"/>
  <c r="E6914" i="29" s="1"/>
  <c r="E6916" i="29" s="1"/>
  <c r="E6902" i="29"/>
  <c r="E6899" i="29"/>
  <c r="E6898" i="29"/>
  <c r="E6897" i="29"/>
  <c r="E6896" i="29"/>
  <c r="E6895" i="29"/>
  <c r="E6894" i="29"/>
  <c r="E6893" i="29"/>
  <c r="E6892" i="29"/>
  <c r="E6900" i="29" l="1"/>
  <c r="E6887" i="29"/>
  <c r="E6884" i="29"/>
  <c r="E6883" i="29"/>
  <c r="E6882" i="29"/>
  <c r="E6881" i="29"/>
  <c r="E6880" i="29"/>
  <c r="E6869" i="29"/>
  <c r="E6875" i="29"/>
  <c r="E6872" i="29"/>
  <c r="E6871" i="29"/>
  <c r="E6870" i="29"/>
  <c r="E6868" i="29"/>
  <c r="E6867" i="29"/>
  <c r="E6856" i="29"/>
  <c r="E6857" i="29"/>
  <c r="E6858" i="29"/>
  <c r="E6859" i="29"/>
  <c r="E6855" i="29"/>
  <c r="E6854" i="29"/>
  <c r="E6862" i="29"/>
  <c r="E6885" i="29" l="1"/>
  <c r="E6860" i="29"/>
  <c r="E6873" i="29"/>
  <c r="E6874" i="29" s="1"/>
  <c r="E6876" i="29" s="1"/>
  <c r="E6901" i="29"/>
  <c r="E6903" i="29" s="1"/>
  <c r="E6904" i="29" s="1"/>
  <c r="E6886" i="29"/>
  <c r="E6888" i="29" s="1"/>
  <c r="E6861" i="29"/>
  <c r="E6863" i="29" s="1"/>
  <c r="E6849" i="29"/>
  <c r="E6845" i="29"/>
  <c r="E6844" i="29"/>
  <c r="E6843" i="29"/>
  <c r="E6842" i="29"/>
  <c r="E6841" i="29"/>
  <c r="E6836" i="29"/>
  <c r="E6832" i="29"/>
  <c r="E6831" i="29"/>
  <c r="E6830" i="29"/>
  <c r="E6829" i="29"/>
  <c r="E6828" i="29"/>
  <c r="E6834" i="29" l="1"/>
  <c r="E6835" i="29" s="1"/>
  <c r="E6847" i="29"/>
  <c r="E6848" i="29" s="1"/>
  <c r="E6850" i="29" s="1"/>
  <c r="E6837" i="29"/>
  <c r="E6822" i="29" l="1"/>
  <c r="E6819" i="29"/>
  <c r="E6818" i="29"/>
  <c r="E6817" i="29"/>
  <c r="E6816" i="29"/>
  <c r="E6815" i="29"/>
  <c r="E6814" i="29"/>
  <c r="E6813" i="29"/>
  <c r="E6812" i="29"/>
  <c r="E6820" i="29" l="1"/>
  <c r="E6821" i="29" s="1"/>
  <c r="E2113" i="28"/>
  <c r="E2110" i="28"/>
  <c r="E2109" i="28"/>
  <c r="E2108" i="28"/>
  <c r="E2107" i="28"/>
  <c r="E2106" i="28"/>
  <c r="E2105" i="28"/>
  <c r="E2099" i="28"/>
  <c r="E2096" i="28"/>
  <c r="E2095" i="28"/>
  <c r="E2094" i="28"/>
  <c r="E2093" i="28"/>
  <c r="E2092" i="28"/>
  <c r="E2091" i="28"/>
  <c r="E6823" i="29" l="1"/>
  <c r="E6824" i="29" s="1"/>
  <c r="E2111" i="28"/>
  <c r="E2112" i="28" s="1"/>
  <c r="E2114" i="28" s="1"/>
  <c r="E2097" i="28"/>
  <c r="E2098" i="28" s="1"/>
  <c r="E2100" i="28" s="1"/>
  <c r="E6807" i="29"/>
  <c r="E6804" i="29"/>
  <c r="E6803" i="29"/>
  <c r="E6802" i="29"/>
  <c r="E6801" i="29"/>
  <c r="E6800" i="29"/>
  <c r="E6799" i="29"/>
  <c r="E2084" i="28"/>
  <c r="E2081" i="28"/>
  <c r="E2080" i="28"/>
  <c r="E2079" i="28"/>
  <c r="E2078" i="28"/>
  <c r="E2077" i="28"/>
  <c r="E2071" i="28"/>
  <c r="E2068" i="28"/>
  <c r="E2067" i="28"/>
  <c r="E2066" i="28"/>
  <c r="E2065" i="28"/>
  <c r="E2064" i="28"/>
  <c r="E2063" i="28"/>
  <c r="E6805" i="29" l="1"/>
  <c r="E6806" i="29" s="1"/>
  <c r="E6808" i="29" s="1"/>
  <c r="E2082" i="28"/>
  <c r="E2083" i="28" s="1"/>
  <c r="E2085" i="28" s="1"/>
  <c r="E2069" i="28"/>
  <c r="E2070" i="28" s="1"/>
  <c r="E2072" i="28" s="1"/>
  <c r="E2055" i="28"/>
  <c r="E2052" i="28"/>
  <c r="E2051" i="28"/>
  <c r="E2050" i="28"/>
  <c r="E2049" i="28"/>
  <c r="E2048" i="28"/>
  <c r="E2042" i="28"/>
  <c r="E2039" i="28"/>
  <c r="E2038" i="28"/>
  <c r="E2037" i="28"/>
  <c r="E2036" i="28"/>
  <c r="E2035" i="28"/>
  <c r="E2034" i="28"/>
  <c r="E2040" i="28" l="1"/>
  <c r="E2041" i="28" s="1"/>
  <c r="E2043" i="28" s="1"/>
  <c r="E2053" i="28"/>
  <c r="E2054" i="28" s="1"/>
  <c r="E2056" i="28" s="1"/>
  <c r="E2028" i="28"/>
  <c r="E2025" i="28"/>
  <c r="E2024" i="28"/>
  <c r="E2023" i="28"/>
  <c r="E2022" i="28"/>
  <c r="E2021" i="28"/>
  <c r="E2020" i="28"/>
  <c r="E2014" i="28"/>
  <c r="E2011" i="28"/>
  <c r="E2010" i="28"/>
  <c r="E2009" i="28"/>
  <c r="E2008" i="28"/>
  <c r="E2007" i="28"/>
  <c r="E2006" i="28"/>
  <c r="E2000" i="28"/>
  <c r="E1997" i="28"/>
  <c r="E1996" i="28"/>
  <c r="E1995" i="28"/>
  <c r="E1994" i="28"/>
  <c r="E1993" i="28"/>
  <c r="E1992" i="28"/>
  <c r="E1987" i="28"/>
  <c r="E1984" i="28"/>
  <c r="E1983" i="28"/>
  <c r="E1982" i="28"/>
  <c r="E1981" i="28"/>
  <c r="E1980" i="28"/>
  <c r="E1979" i="28"/>
  <c r="E6794" i="29"/>
  <c r="E6791" i="29"/>
  <c r="E6790" i="29"/>
  <c r="E6789" i="29"/>
  <c r="E6788" i="29"/>
  <c r="E6787" i="29"/>
  <c r="E1985" i="28" l="1"/>
  <c r="E1986" i="28" s="1"/>
  <c r="E1988" i="28" s="1"/>
  <c r="E6792" i="29"/>
  <c r="E2026" i="28"/>
  <c r="E2027" i="28" s="1"/>
  <c r="E2029" i="28" s="1"/>
  <c r="E2012" i="28"/>
  <c r="E2013" i="28" s="1"/>
  <c r="E2015" i="28" s="1"/>
  <c r="E1998" i="28"/>
  <c r="E1999" i="28" s="1"/>
  <c r="E2001" i="28" s="1"/>
  <c r="E6793" i="29"/>
  <c r="E6795" i="29" s="1"/>
  <c r="E6781" i="29"/>
  <c r="E6778" i="29"/>
  <c r="E6777" i="29"/>
  <c r="E6776" i="29"/>
  <c r="E6775" i="29"/>
  <c r="E6774" i="29"/>
  <c r="E6773" i="29"/>
  <c r="E6772" i="29"/>
  <c r="E6771" i="29"/>
  <c r="E6765" i="29"/>
  <c r="E6762" i="29"/>
  <c r="E6761" i="29"/>
  <c r="E6760" i="29"/>
  <c r="E6759" i="29"/>
  <c r="E6758" i="29"/>
  <c r="E6757" i="29"/>
  <c r="E6756" i="29"/>
  <c r="E6755" i="29"/>
  <c r="E6748" i="29"/>
  <c r="E6745" i="29"/>
  <c r="E6744" i="29"/>
  <c r="E6743" i="29"/>
  <c r="E6742" i="29"/>
  <c r="E6741" i="29"/>
  <c r="E6740" i="29"/>
  <c r="E6739" i="29"/>
  <c r="E6738" i="29"/>
  <c r="E6732" i="29"/>
  <c r="E6729" i="29"/>
  <c r="E6728" i="29"/>
  <c r="E6727" i="29"/>
  <c r="E6726" i="29"/>
  <c r="E6725" i="29"/>
  <c r="E6724" i="29"/>
  <c r="E6723" i="29"/>
  <c r="E6722" i="29"/>
  <c r="E1973" i="28"/>
  <c r="E1970" i="28"/>
  <c r="E1969" i="28"/>
  <c r="E1968" i="28"/>
  <c r="E1967" i="28"/>
  <c r="E1966" i="28"/>
  <c r="E1965" i="28"/>
  <c r="E1964" i="28"/>
  <c r="E1963" i="28"/>
  <c r="E1957" i="28"/>
  <c r="E1954" i="28"/>
  <c r="E1953" i="28"/>
  <c r="E1952" i="28"/>
  <c r="E1951" i="28"/>
  <c r="E1950" i="28"/>
  <c r="E1949" i="28"/>
  <c r="E1948" i="28"/>
  <c r="E1947" i="28"/>
  <c r="E1942" i="28"/>
  <c r="E1939" i="28"/>
  <c r="E1938" i="28"/>
  <c r="E1937" i="28"/>
  <c r="E1936" i="28"/>
  <c r="E1935" i="28"/>
  <c r="E1934" i="28"/>
  <c r="E1933" i="28"/>
  <c r="E1932" i="28"/>
  <c r="E1927" i="28"/>
  <c r="E1924" i="28"/>
  <c r="E1923" i="28"/>
  <c r="E1922" i="28"/>
  <c r="E1921" i="28"/>
  <c r="E1920" i="28"/>
  <c r="E1919" i="28"/>
  <c r="E6763" i="29" l="1"/>
  <c r="E6764" i="29" s="1"/>
  <c r="E6766" i="29" s="1"/>
  <c r="E6767" i="29" s="1"/>
  <c r="E6779" i="29"/>
  <c r="E6780" i="29" s="1"/>
  <c r="E6782" i="29" s="1"/>
  <c r="E6783" i="29" s="1"/>
  <c r="E6746" i="29"/>
  <c r="E6747" i="29" s="1"/>
  <c r="E6749" i="29" s="1"/>
  <c r="E6750" i="29" s="1"/>
  <c r="E6730" i="29"/>
  <c r="E6731" i="29" s="1"/>
  <c r="E6733" i="29" s="1"/>
  <c r="E6734" i="29" s="1"/>
  <c r="E1971" i="28"/>
  <c r="E1972" i="28" s="1"/>
  <c r="E1974" i="28" s="1"/>
  <c r="E1955" i="28"/>
  <c r="E1956" i="28" s="1"/>
  <c r="E1958" i="28" s="1"/>
  <c r="E1940" i="28"/>
  <c r="E1941" i="28" s="1"/>
  <c r="E1943" i="28" s="1"/>
  <c r="E1925" i="28"/>
  <c r="E1926" i="28" s="1"/>
  <c r="E1928" i="28" s="1"/>
  <c r="E6717" i="29"/>
  <c r="E6714" i="29"/>
  <c r="E6713" i="29"/>
  <c r="E6712" i="29"/>
  <c r="E6711" i="29"/>
  <c r="E6710" i="29"/>
  <c r="E6704" i="29"/>
  <c r="E6701" i="29"/>
  <c r="E6700" i="29"/>
  <c r="E6699" i="29"/>
  <c r="E6698" i="29"/>
  <c r="E6697" i="29"/>
  <c r="E6692" i="29"/>
  <c r="E6689" i="29"/>
  <c r="E6688" i="29"/>
  <c r="E6687" i="29"/>
  <c r="E6686" i="29"/>
  <c r="E6685" i="29"/>
  <c r="E6679" i="29"/>
  <c r="E6676" i="29"/>
  <c r="E6675" i="29"/>
  <c r="E6674" i="29"/>
  <c r="E6673" i="29"/>
  <c r="E6672" i="29"/>
  <c r="E6667" i="29"/>
  <c r="E6664" i="29"/>
  <c r="E6663" i="29"/>
  <c r="E6662" i="29"/>
  <c r="E6661" i="29"/>
  <c r="E6660" i="29"/>
  <c r="E6655" i="29"/>
  <c r="E6652" i="29"/>
  <c r="E6651" i="29"/>
  <c r="E6650" i="29"/>
  <c r="E6649" i="29"/>
  <c r="E6648" i="29"/>
  <c r="E6647" i="29"/>
  <c r="E6642" i="29"/>
  <c r="E6639" i="29"/>
  <c r="E6638" i="29"/>
  <c r="E6637" i="29"/>
  <c r="E6636" i="29"/>
  <c r="E6635" i="29"/>
  <c r="E6634" i="29"/>
  <c r="E6629" i="29"/>
  <c r="E6626" i="29"/>
  <c r="E6625" i="29"/>
  <c r="E6624" i="29"/>
  <c r="E6623" i="29"/>
  <c r="E6622" i="29"/>
  <c r="E6621" i="29"/>
  <c r="E6653" i="29" l="1"/>
  <c r="E6654" i="29" s="1"/>
  <c r="E6656" i="29" s="1"/>
  <c r="E6690" i="29"/>
  <c r="E6691" i="29" s="1"/>
  <c r="E6693" i="29" s="1"/>
  <c r="E6640" i="29"/>
  <c r="E6641" i="29" s="1"/>
  <c r="E6643" i="29" s="1"/>
  <c r="E6677" i="29"/>
  <c r="E6678" i="29" s="1"/>
  <c r="E6680" i="29" s="1"/>
  <c r="E6715" i="29"/>
  <c r="E6716" i="29" s="1"/>
  <c r="E6718" i="29" s="1"/>
  <c r="E6702" i="29"/>
  <c r="E6705" i="29" s="1"/>
  <c r="E6665" i="29"/>
  <c r="E6666" i="29" s="1"/>
  <c r="E6668" i="29" s="1"/>
  <c r="E6627" i="29"/>
  <c r="E6628" i="29" s="1"/>
  <c r="E6630" i="29" s="1"/>
  <c r="E6616" i="29"/>
  <c r="E6613" i="29"/>
  <c r="E6612" i="29"/>
  <c r="E6611" i="29"/>
  <c r="E6610" i="29"/>
  <c r="E6609" i="29"/>
  <c r="E6608" i="29"/>
  <c r="E6614" i="29" l="1"/>
  <c r="E6615" i="29" s="1"/>
  <c r="E6617" i="29" s="1"/>
  <c r="E6603" i="29"/>
  <c r="E6600" i="29"/>
  <c r="E6599" i="29"/>
  <c r="E6598" i="29"/>
  <c r="E6597" i="29"/>
  <c r="E6596" i="29"/>
  <c r="E6595" i="29"/>
  <c r="E6590" i="29"/>
  <c r="E6587" i="29"/>
  <c r="E6586" i="29"/>
  <c r="E6585" i="29"/>
  <c r="E6584" i="29"/>
  <c r="E6583" i="29"/>
  <c r="E6582" i="29"/>
  <c r="E6577" i="29"/>
  <c r="E6574" i="29"/>
  <c r="E6573" i="29"/>
  <c r="E6572" i="29"/>
  <c r="E6571" i="29"/>
  <c r="E6570" i="29"/>
  <c r="E6569" i="29"/>
  <c r="E6568" i="29"/>
  <c r="E6567" i="29"/>
  <c r="E6601" i="29" l="1"/>
  <c r="E6602" i="29" s="1"/>
  <c r="E6604" i="29" s="1"/>
  <c r="E6588" i="29"/>
  <c r="E6589" i="29" s="1"/>
  <c r="E6591" i="29" s="1"/>
  <c r="E6575" i="29"/>
  <c r="E6576" i="29" s="1"/>
  <c r="E6578" i="29" s="1"/>
  <c r="E6562" i="29" l="1"/>
  <c r="E6559" i="29"/>
  <c r="E6558" i="29"/>
  <c r="E6557" i="29"/>
  <c r="E6556" i="29"/>
  <c r="E6555" i="29"/>
  <c r="E6554" i="29"/>
  <c r="E6549" i="29"/>
  <c r="E6546" i="29"/>
  <c r="E6545" i="29"/>
  <c r="E6544" i="29"/>
  <c r="E6543" i="29"/>
  <c r="E6542" i="29"/>
  <c r="E6541" i="29"/>
  <c r="E6536" i="29"/>
  <c r="E6533" i="29"/>
  <c r="E6532" i="29"/>
  <c r="E6531" i="29"/>
  <c r="E6530" i="29"/>
  <c r="E6529" i="29"/>
  <c r="E6528" i="29"/>
  <c r="E6522" i="29"/>
  <c r="E6519" i="29"/>
  <c r="E6518" i="29"/>
  <c r="E6517" i="29"/>
  <c r="E6516" i="29"/>
  <c r="E6515" i="29"/>
  <c r="E6514" i="29"/>
  <c r="E1914" i="28"/>
  <c r="E1911" i="28"/>
  <c r="E1910" i="28"/>
  <c r="E1909" i="28"/>
  <c r="E1908" i="28"/>
  <c r="E1907" i="28"/>
  <c r="E6534" i="29" l="1"/>
  <c r="E6535" i="29" s="1"/>
  <c r="E6537" i="29" s="1"/>
  <c r="E1912" i="28"/>
  <c r="E1913" i="28" s="1"/>
  <c r="E1915" i="28" s="1"/>
  <c r="E6520" i="29"/>
  <c r="E6521" i="29" s="1"/>
  <c r="E6523" i="29" s="1"/>
  <c r="E6547" i="29"/>
  <c r="E6548" i="29" s="1"/>
  <c r="E6550" i="29" s="1"/>
  <c r="E6560" i="29"/>
  <c r="E6561" i="29" s="1"/>
  <c r="E6563" i="29" s="1"/>
  <c r="E1902" i="28" l="1"/>
  <c r="E1899" i="28"/>
  <c r="E1898" i="28"/>
  <c r="E1897" i="28"/>
  <c r="E1896" i="28"/>
  <c r="E1895" i="28"/>
  <c r="E1894" i="28"/>
  <c r="E1888" i="28"/>
  <c r="E1885" i="28"/>
  <c r="E1884" i="28"/>
  <c r="E1883" i="28"/>
  <c r="E1882" i="28"/>
  <c r="E1881" i="28"/>
  <c r="E1880" i="28"/>
  <c r="E1886" i="28" l="1"/>
  <c r="E1887" i="28"/>
  <c r="E1889" i="28" s="1"/>
  <c r="E1900" i="28"/>
  <c r="E1901" i="28" s="1"/>
  <c r="E1903" i="28" s="1"/>
  <c r="E6505" i="29"/>
  <c r="E6504" i="29"/>
  <c r="E6503" i="29"/>
  <c r="E6502" i="29"/>
  <c r="E6501" i="29"/>
  <c r="E6500" i="29"/>
  <c r="E6506" i="29" l="1"/>
  <c r="E6507" i="29" s="1"/>
  <c r="E6509" i="29" s="1"/>
  <c r="E6493" i="29"/>
  <c r="E6490" i="29"/>
  <c r="E6489" i="29"/>
  <c r="E6488" i="29"/>
  <c r="E6487" i="29"/>
  <c r="E6486" i="29"/>
  <c r="E6485" i="29"/>
  <c r="E6479" i="29"/>
  <c r="E6476" i="29"/>
  <c r="E6475" i="29"/>
  <c r="E6474" i="29"/>
  <c r="E6473" i="29"/>
  <c r="E6472" i="29"/>
  <c r="E6471" i="29"/>
  <c r="E6491" i="29" l="1"/>
  <c r="E6477" i="29"/>
  <c r="E6478" i="29" s="1"/>
  <c r="E6466" i="29"/>
  <c r="E6463" i="29"/>
  <c r="E6462" i="29"/>
  <c r="E6461" i="29"/>
  <c r="E6460" i="29"/>
  <c r="E6459" i="29"/>
  <c r="E6458" i="29"/>
  <c r="E6453" i="29"/>
  <c r="E6450" i="29"/>
  <c r="E6449" i="29"/>
  <c r="E6448" i="29"/>
  <c r="E6447" i="29"/>
  <c r="E6446" i="29"/>
  <c r="E6445" i="29"/>
  <c r="E6444" i="29"/>
  <c r="E6443" i="29"/>
  <c r="E6438" i="29"/>
  <c r="E6435" i="29"/>
  <c r="E6434" i="29"/>
  <c r="E6433" i="29"/>
  <c r="E6432" i="29"/>
  <c r="E6431" i="29"/>
  <c r="E6426" i="29"/>
  <c r="E6423" i="29"/>
  <c r="E6422" i="29"/>
  <c r="E6421" i="29"/>
  <c r="E6420" i="29"/>
  <c r="E6419" i="29"/>
  <c r="E6418" i="29"/>
  <c r="E6492" i="29" l="1"/>
  <c r="E6494" i="29" s="1"/>
  <c r="E6480" i="29"/>
  <c r="E6464" i="29"/>
  <c r="E6465" i="29" s="1"/>
  <c r="E6467" i="29" s="1"/>
  <c r="E6451" i="29"/>
  <c r="E6452" i="29" s="1"/>
  <c r="E6454" i="29" s="1"/>
  <c r="E6436" i="29"/>
  <c r="E6424" i="29"/>
  <c r="E6425" i="29" s="1"/>
  <c r="E6427" i="29" s="1"/>
  <c r="E6437" i="29" l="1"/>
  <c r="E6439" i="29" s="1"/>
  <c r="E6413" i="29"/>
  <c r="E6410" i="29"/>
  <c r="E6409" i="29"/>
  <c r="E6408" i="29"/>
  <c r="E6407" i="29"/>
  <c r="E6406" i="29"/>
  <c r="E6405" i="29"/>
  <c r="E6404" i="29"/>
  <c r="E6403" i="29"/>
  <c r="E6398" i="29"/>
  <c r="E6395" i="29"/>
  <c r="E6394" i="29"/>
  <c r="E6393" i="29"/>
  <c r="E6392" i="29"/>
  <c r="E6391" i="29"/>
  <c r="E6390" i="29"/>
  <c r="E6389" i="29"/>
  <c r="E6388" i="29"/>
  <c r="E6411" i="29" l="1"/>
  <c r="E6412" i="29" s="1"/>
  <c r="E6414" i="29" s="1"/>
  <c r="E6396" i="29"/>
  <c r="E6383" i="29"/>
  <c r="E6380" i="29"/>
  <c r="E6379" i="29"/>
  <c r="E6378" i="29"/>
  <c r="E6377" i="29"/>
  <c r="E6376" i="29"/>
  <c r="E6375" i="29"/>
  <c r="E6397" i="29" l="1"/>
  <c r="E6399" i="29" s="1"/>
  <c r="E6381" i="29"/>
  <c r="E6382" i="29" s="1"/>
  <c r="E6384" i="29" s="1"/>
  <c r="E1875" i="28"/>
  <c r="E1872" i="28"/>
  <c r="E1871" i="28"/>
  <c r="E1870" i="28"/>
  <c r="E1869" i="28"/>
  <c r="E1868" i="28"/>
  <c r="E1867" i="28"/>
  <c r="E1866" i="28"/>
  <c r="E1865" i="28"/>
  <c r="E1873" i="28" l="1"/>
  <c r="E1874" i="28" s="1"/>
  <c r="E6370" i="29"/>
  <c r="E6367" i="29"/>
  <c r="E6366" i="29"/>
  <c r="E6365" i="29"/>
  <c r="E6364" i="29"/>
  <c r="E6363" i="29"/>
  <c r="E6358" i="29"/>
  <c r="E6355" i="29"/>
  <c r="E6354" i="29"/>
  <c r="E6353" i="29"/>
  <c r="E6352" i="29"/>
  <c r="E6351" i="29"/>
  <c r="E6350" i="29"/>
  <c r="E6356" i="29" l="1"/>
  <c r="E6357" i="29" s="1"/>
  <c r="E6359" i="29" s="1"/>
  <c r="E6368" i="29"/>
  <c r="E6369" i="29" s="1"/>
  <c r="E6371" i="29" s="1"/>
  <c r="E6345" i="29"/>
  <c r="E6342" i="29"/>
  <c r="E6341" i="29"/>
  <c r="E6340" i="29"/>
  <c r="E6339" i="29"/>
  <c r="E6338" i="29"/>
  <c r="E6333" i="29"/>
  <c r="E6330" i="29"/>
  <c r="E6329" i="29"/>
  <c r="E6328" i="29"/>
  <c r="E6327" i="29"/>
  <c r="E6326" i="29"/>
  <c r="E6343" i="29" l="1"/>
  <c r="E6344" i="29" s="1"/>
  <c r="E6346" i="29" s="1"/>
  <c r="E6331" i="29"/>
  <c r="E1860" i="28"/>
  <c r="E1857" i="28"/>
  <c r="E1856" i="28"/>
  <c r="E1855" i="28"/>
  <c r="E1854" i="28"/>
  <c r="E1853" i="28"/>
  <c r="E6321" i="29"/>
  <c r="E6318" i="29"/>
  <c r="E6317" i="29"/>
  <c r="E6316" i="29"/>
  <c r="E6315" i="29"/>
  <c r="E6314" i="29"/>
  <c r="E6313" i="29"/>
  <c r="E6312" i="29"/>
  <c r="E6311" i="29"/>
  <c r="E6307" i="29"/>
  <c r="E6304" i="29"/>
  <c r="E6303" i="29"/>
  <c r="E6302" i="29"/>
  <c r="E6301" i="29"/>
  <c r="E6300" i="29"/>
  <c r="E6299" i="29"/>
  <c r="E6332" i="29" l="1"/>
  <c r="E6334" i="29" s="1"/>
  <c r="E6319" i="29"/>
  <c r="E6320" i="29" s="1"/>
  <c r="E6322" i="29" s="1"/>
  <c r="E1858" i="28"/>
  <c r="E1859" i="28" s="1"/>
  <c r="E1861" i="28" s="1"/>
  <c r="E6305" i="29"/>
  <c r="E6306" i="29" s="1"/>
  <c r="E6308" i="29" s="1"/>
  <c r="E6293" i="29"/>
  <c r="E6290" i="29"/>
  <c r="E6289" i="29"/>
  <c r="E6288" i="29"/>
  <c r="E6287" i="29"/>
  <c r="E6286" i="29"/>
  <c r="E6285" i="29"/>
  <c r="E1848" i="28"/>
  <c r="E1845" i="28"/>
  <c r="E1844" i="28"/>
  <c r="E1843" i="28"/>
  <c r="E1842" i="28"/>
  <c r="E1841" i="28"/>
  <c r="E1840" i="28"/>
  <c r="E6291" i="29" l="1"/>
  <c r="E6292" i="29" s="1"/>
  <c r="E6294" i="29" s="1"/>
  <c r="E1846" i="28"/>
  <c r="E1847" i="28" s="1"/>
  <c r="E1849" i="28" s="1"/>
  <c r="E6280" i="29" l="1"/>
  <c r="E6277" i="29"/>
  <c r="E6276" i="29"/>
  <c r="E6275" i="29"/>
  <c r="E6274" i="29"/>
  <c r="E6273" i="29"/>
  <c r="E6272" i="29"/>
  <c r="E6271" i="29"/>
  <c r="E6270" i="29"/>
  <c r="E6278" i="29" l="1"/>
  <c r="E6265" i="29"/>
  <c r="E6262" i="29"/>
  <c r="E6261" i="29"/>
  <c r="E6260" i="29"/>
  <c r="E6259" i="29"/>
  <c r="E6258" i="29"/>
  <c r="E6257" i="29"/>
  <c r="Q6" i="34"/>
  <c r="O6" i="34"/>
  <c r="N6" i="34"/>
  <c r="M6" i="34"/>
  <c r="L6" i="34"/>
  <c r="K6" i="34"/>
  <c r="J6" i="34"/>
  <c r="I6" i="34"/>
  <c r="G6" i="34"/>
  <c r="F6" i="34"/>
  <c r="D6" i="34"/>
  <c r="E6252" i="29"/>
  <c r="E6249" i="29"/>
  <c r="E6248" i="29"/>
  <c r="E6247" i="29"/>
  <c r="E6246" i="29"/>
  <c r="E6245" i="29"/>
  <c r="E6244" i="29"/>
  <c r="E6243" i="29"/>
  <c r="E6242" i="29"/>
  <c r="E6250" i="29" l="1"/>
  <c r="E6251" i="29" s="1"/>
  <c r="E6253" i="29" s="1"/>
  <c r="E6279" i="29"/>
  <c r="E6281" i="29" s="1"/>
  <c r="E6263" i="29"/>
  <c r="E6264" i="29" s="1"/>
  <c r="E6266" i="29" s="1"/>
  <c r="E6236" i="29" l="1"/>
  <c r="E6233" i="29"/>
  <c r="E6232" i="29"/>
  <c r="E6231" i="29"/>
  <c r="E6230" i="29"/>
  <c r="E6229" i="29"/>
  <c r="E6228" i="29"/>
  <c r="E6227" i="29"/>
  <c r="E6226" i="29"/>
  <c r="E6220" i="29"/>
  <c r="E6217" i="29"/>
  <c r="E6216" i="29"/>
  <c r="E6215" i="29"/>
  <c r="E6214" i="29"/>
  <c r="E6213" i="29"/>
  <c r="E6212" i="29"/>
  <c r="E6211" i="29"/>
  <c r="E6210" i="29"/>
  <c r="E6234" i="29" l="1"/>
  <c r="E6235" i="29" s="1"/>
  <c r="E6237" i="29" s="1"/>
  <c r="E6218" i="29"/>
  <c r="E6205" i="29"/>
  <c r="E6202" i="29"/>
  <c r="E6201" i="29"/>
  <c r="E6200" i="29"/>
  <c r="E6199" i="29"/>
  <c r="E6198" i="29"/>
  <c r="E6197" i="29"/>
  <c r="E6184" i="29"/>
  <c r="E6185" i="29"/>
  <c r="E6186" i="29"/>
  <c r="E6187" i="29"/>
  <c r="E6188" i="29"/>
  <c r="E6189" i="29"/>
  <c r="E6192" i="29"/>
  <c r="E6190" i="29" l="1"/>
  <c r="E6191" i="29" s="1"/>
  <c r="E6193" i="29" s="1"/>
  <c r="E6219" i="29"/>
  <c r="E6221" i="29" s="1"/>
  <c r="E6203" i="29"/>
  <c r="E6204" i="29" s="1"/>
  <c r="E6206" i="29" s="1"/>
  <c r="E6179" i="29" l="1"/>
  <c r="E6176" i="29"/>
  <c r="E6175" i="29"/>
  <c r="E6174" i="29"/>
  <c r="E6173" i="29"/>
  <c r="E6172" i="29"/>
  <c r="E6171" i="29"/>
  <c r="E6170" i="29"/>
  <c r="E6169" i="29"/>
  <c r="E6164" i="29"/>
  <c r="E6161" i="29"/>
  <c r="E6160" i="29"/>
  <c r="E6159" i="29"/>
  <c r="E6158" i="29"/>
  <c r="E6157" i="29"/>
  <c r="E6156" i="29"/>
  <c r="E6177" i="29" l="1"/>
  <c r="E6162" i="29"/>
  <c r="E6151" i="29"/>
  <c r="E6148" i="29"/>
  <c r="E6147" i="29"/>
  <c r="E6146" i="29"/>
  <c r="E6145" i="29"/>
  <c r="E6144" i="29"/>
  <c r="E6143" i="29"/>
  <c r="E6138" i="29"/>
  <c r="E6135" i="29"/>
  <c r="E6134" i="29"/>
  <c r="E6133" i="29"/>
  <c r="E6132" i="29"/>
  <c r="E6131" i="29"/>
  <c r="E6136" i="29" l="1"/>
  <c r="E6137" i="29" s="1"/>
  <c r="E6139" i="29" s="1"/>
  <c r="E6178" i="29"/>
  <c r="E6180" i="29" s="1"/>
  <c r="E6163" i="29"/>
  <c r="E6165" i="29" s="1"/>
  <c r="E6149" i="29"/>
  <c r="E6150" i="29" s="1"/>
  <c r="E6152" i="29" s="1"/>
  <c r="E6126" i="29"/>
  <c r="E6123" i="29"/>
  <c r="E6122" i="29"/>
  <c r="E6121" i="29"/>
  <c r="E6120" i="29"/>
  <c r="E6119" i="29"/>
  <c r="E6118" i="29"/>
  <c r="E6113" i="29"/>
  <c r="E6110" i="29"/>
  <c r="E6109" i="29"/>
  <c r="E6108" i="29"/>
  <c r="E6107" i="29"/>
  <c r="E6106" i="29"/>
  <c r="E6111" i="29" l="1"/>
  <c r="E6112" i="29" s="1"/>
  <c r="E6114" i="29" s="1"/>
  <c r="E6124" i="29"/>
  <c r="E6125" i="29" l="1"/>
  <c r="E6127" i="29" s="1"/>
  <c r="E6100" i="29"/>
  <c r="E6097" i="29"/>
  <c r="E6096" i="29"/>
  <c r="E6095" i="29"/>
  <c r="E6094" i="29"/>
  <c r="E6093" i="29"/>
  <c r="E6092" i="29"/>
  <c r="E1835" i="28"/>
  <c r="E1832" i="28"/>
  <c r="E1831" i="28"/>
  <c r="E1830" i="28"/>
  <c r="E1829" i="28"/>
  <c r="E1828" i="28"/>
  <c r="E1827" i="28"/>
  <c r="E1822" i="28"/>
  <c r="E1819" i="28"/>
  <c r="E1818" i="28"/>
  <c r="E1817" i="28"/>
  <c r="E1816" i="28"/>
  <c r="E1815" i="28"/>
  <c r="E1814" i="28"/>
  <c r="E6098" i="29" l="1"/>
  <c r="E6099" i="29" s="1"/>
  <c r="E6101" i="29" s="1"/>
  <c r="E1833" i="28"/>
  <c r="E1834" i="28" s="1"/>
  <c r="E1836" i="28" s="1"/>
  <c r="E1820" i="28"/>
  <c r="E1821" i="28" s="1"/>
  <c r="E1823" i="28" s="1"/>
  <c r="E6087" i="29"/>
  <c r="E6084" i="29"/>
  <c r="E6083" i="29"/>
  <c r="E6082" i="29"/>
  <c r="E6081" i="29"/>
  <c r="E6080" i="29"/>
  <c r="E6079" i="29"/>
  <c r="E6074" i="29"/>
  <c r="E6071" i="29"/>
  <c r="E6070" i="29"/>
  <c r="E6069" i="29"/>
  <c r="E6068" i="29"/>
  <c r="E6067" i="29"/>
  <c r="E6066" i="29"/>
  <c r="E6061" i="29"/>
  <c r="E6058" i="29"/>
  <c r="E6057" i="29"/>
  <c r="E6056" i="29"/>
  <c r="E6055" i="29"/>
  <c r="E6054" i="29"/>
  <c r="E6053" i="29"/>
  <c r="E6052" i="29"/>
  <c r="E6051" i="29"/>
  <c r="E6072" i="29" l="1"/>
  <c r="E6073" i="29" s="1"/>
  <c r="E6075" i="29" s="1"/>
  <c r="E6085" i="29"/>
  <c r="E6086" i="29" s="1"/>
  <c r="E6088" i="29" s="1"/>
  <c r="E6059" i="29"/>
  <c r="E6060" i="29" s="1"/>
  <c r="E6062" i="29" s="1"/>
  <c r="E6046" i="29"/>
  <c r="E6043" i="29"/>
  <c r="E6042" i="29"/>
  <c r="E6041" i="29"/>
  <c r="E6040" i="29"/>
  <c r="E6039" i="29"/>
  <c r="E6038" i="29"/>
  <c r="E6044" i="29" l="1"/>
  <c r="E6045" i="29" s="1"/>
  <c r="E6047" i="29" s="1"/>
  <c r="E6033" i="29"/>
  <c r="E6030" i="29"/>
  <c r="E6029" i="29"/>
  <c r="E6028" i="29"/>
  <c r="E6027" i="29"/>
  <c r="E6026" i="29"/>
  <c r="E6031" i="29" l="1"/>
  <c r="E6032" i="29" s="1"/>
  <c r="E6034" i="29" s="1"/>
  <c r="E6021" i="29"/>
  <c r="E6018" i="29"/>
  <c r="E6017" i="29"/>
  <c r="E6016" i="29"/>
  <c r="E6015" i="29"/>
  <c r="E6014" i="29"/>
  <c r="E6013" i="29"/>
  <c r="E6007" i="29"/>
  <c r="E6004" i="29"/>
  <c r="E6003" i="29"/>
  <c r="E6002" i="29"/>
  <c r="E6001" i="29"/>
  <c r="E6000" i="29"/>
  <c r="E5999" i="29"/>
  <c r="E5994" i="29"/>
  <c r="E5991" i="29"/>
  <c r="E5990" i="29"/>
  <c r="E5989" i="29"/>
  <c r="E5988" i="29"/>
  <c r="E5987" i="29"/>
  <c r="E5986" i="29"/>
  <c r="E5985" i="29"/>
  <c r="E5984" i="29"/>
  <c r="E5979" i="29"/>
  <c r="E5976" i="29"/>
  <c r="E5975" i="29"/>
  <c r="E5974" i="29"/>
  <c r="E5973" i="29"/>
  <c r="E5972" i="29"/>
  <c r="E5971" i="29"/>
  <c r="E5977" i="29" l="1"/>
  <c r="E5978" i="29" s="1"/>
  <c r="E6005" i="29"/>
  <c r="E6006" i="29" s="1"/>
  <c r="E6008" i="29" s="1"/>
  <c r="E6019" i="29"/>
  <c r="E5992" i="29"/>
  <c r="E5980" i="29"/>
  <c r="E5993" i="29" l="1"/>
  <c r="E5995" i="29" s="1"/>
  <c r="E6020" i="29"/>
  <c r="E6022" i="29" s="1"/>
  <c r="E1809" i="28"/>
  <c r="E1806" i="28"/>
  <c r="E1805" i="28"/>
  <c r="E1804" i="28"/>
  <c r="E1803" i="28"/>
  <c r="E1802" i="28"/>
  <c r="E1801" i="28"/>
  <c r="E1796" i="28"/>
  <c r="E1793" i="28"/>
  <c r="E1792" i="28"/>
  <c r="E1791" i="28"/>
  <c r="E1790" i="28"/>
  <c r="E1789" i="28"/>
  <c r="E1788" i="28"/>
  <c r="E1807" i="28" l="1"/>
  <c r="E1808" i="28" s="1"/>
  <c r="E1810" i="28" s="1"/>
  <c r="E1794" i="28"/>
  <c r="E1795" i="28" s="1"/>
  <c r="E1797" i="28" s="1"/>
  <c r="E1783" i="28"/>
  <c r="E1780" i="28"/>
  <c r="E1779" i="28"/>
  <c r="E1778" i="28"/>
  <c r="E1777" i="28"/>
  <c r="E1776" i="28"/>
  <c r="E1775" i="28"/>
  <c r="E1774" i="28"/>
  <c r="E1773" i="28"/>
  <c r="E1781" i="28" l="1"/>
  <c r="E1782" i="28" s="1"/>
  <c r="E1784" i="28" s="1"/>
  <c r="E1767" i="28"/>
  <c r="E1764" i="28"/>
  <c r="E1763" i="28"/>
  <c r="E1762" i="28"/>
  <c r="E1761" i="28"/>
  <c r="E1760" i="28"/>
  <c r="E1759" i="28"/>
  <c r="E1765" i="28" l="1"/>
  <c r="E1766" i="28" s="1"/>
  <c r="E1768" i="28" s="1"/>
  <c r="E5965" i="29"/>
  <c r="E5962" i="29"/>
  <c r="E5961" i="29"/>
  <c r="E5960" i="29"/>
  <c r="E5959" i="29"/>
  <c r="E5958" i="29"/>
  <c r="E5957" i="29"/>
  <c r="E5951" i="29"/>
  <c r="E5948" i="29"/>
  <c r="E5947" i="29"/>
  <c r="E5946" i="29"/>
  <c r="E5945" i="29"/>
  <c r="E5944" i="29"/>
  <c r="E5943" i="29"/>
  <c r="E5949" i="29" l="1"/>
  <c r="E5950" i="29" s="1"/>
  <c r="E5963" i="29"/>
  <c r="E5952" i="29"/>
  <c r="F5939" i="29"/>
  <c r="E5938" i="29"/>
  <c r="E5935" i="29"/>
  <c r="E5934" i="29"/>
  <c r="E5933" i="29"/>
  <c r="E5932" i="29"/>
  <c r="E5931" i="29"/>
  <c r="E5930" i="29"/>
  <c r="E5929" i="29"/>
  <c r="E5928" i="29"/>
  <c r="E5964" i="29" l="1"/>
  <c r="E5966" i="29" s="1"/>
  <c r="E5936" i="29"/>
  <c r="E5937" i="29" s="1"/>
  <c r="E5939" i="29" s="1"/>
  <c r="E5922" i="29"/>
  <c r="E5919" i="29"/>
  <c r="E5918" i="29"/>
  <c r="E5917" i="29"/>
  <c r="E5916" i="29"/>
  <c r="E5915" i="29"/>
  <c r="E5914" i="29"/>
  <c r="E5909" i="29"/>
  <c r="E5906" i="29"/>
  <c r="E5905" i="29"/>
  <c r="E5904" i="29"/>
  <c r="E5903" i="29"/>
  <c r="E5902" i="29"/>
  <c r="E5901" i="29"/>
  <c r="E5920" i="29" l="1"/>
  <c r="E5921" i="29" s="1"/>
  <c r="E5923" i="29" s="1"/>
  <c r="E5907" i="29"/>
  <c r="E5908" i="29" s="1"/>
  <c r="E5910" i="29" s="1"/>
  <c r="E1754" i="28"/>
  <c r="E1751" i="28"/>
  <c r="E1750" i="28"/>
  <c r="E1749" i="28"/>
  <c r="E1748" i="28"/>
  <c r="E1747" i="28"/>
  <c r="E1742" i="28"/>
  <c r="E1739" i="28"/>
  <c r="E1738" i="28"/>
  <c r="E1737" i="28"/>
  <c r="E1736" i="28"/>
  <c r="E1735" i="28"/>
  <c r="E1740" i="28" l="1"/>
  <c r="E1741" i="28" s="1"/>
  <c r="E1743" i="28" s="1"/>
  <c r="E1752" i="28"/>
  <c r="E1753" i="28" s="1"/>
  <c r="E1755" i="28" s="1"/>
  <c r="E1730" i="28"/>
  <c r="E1727" i="28"/>
  <c r="E1726" i="28"/>
  <c r="E1725" i="28"/>
  <c r="E1724" i="28"/>
  <c r="E1723" i="28"/>
  <c r="E1722" i="28"/>
  <c r="E1721" i="28"/>
  <c r="E1720" i="28"/>
  <c r="E1728" i="28" l="1"/>
  <c r="E1729" i="28" s="1"/>
  <c r="E1731" i="28" s="1"/>
  <c r="E5896" i="29"/>
  <c r="E5893" i="29"/>
  <c r="E5892" i="29"/>
  <c r="E5891" i="29"/>
  <c r="E5890" i="29"/>
  <c r="E5889" i="29"/>
  <c r="E5884" i="29"/>
  <c r="E5881" i="29"/>
  <c r="E5880" i="29"/>
  <c r="E5879" i="29"/>
  <c r="E5878" i="29"/>
  <c r="E5877" i="29"/>
  <c r="E5876" i="29"/>
  <c r="E5871" i="29"/>
  <c r="E5868" i="29"/>
  <c r="E5867" i="29"/>
  <c r="E5866" i="29"/>
  <c r="E5865" i="29"/>
  <c r="E5864" i="29"/>
  <c r="E5863" i="29"/>
  <c r="E5894" i="29" l="1"/>
  <c r="E5895" i="29" s="1"/>
  <c r="E5897" i="29" s="1"/>
  <c r="E5882" i="29"/>
  <c r="E5883" i="29" s="1"/>
  <c r="E5885" i="29" s="1"/>
  <c r="E5869" i="29"/>
  <c r="E5870" i="29" s="1"/>
  <c r="E5872" i="29" s="1"/>
  <c r="E5857" i="29"/>
  <c r="E5854" i="29"/>
  <c r="E5853" i="29"/>
  <c r="E5852" i="29"/>
  <c r="E5851" i="29"/>
  <c r="E5850" i="29"/>
  <c r="E5855" i="29" l="1"/>
  <c r="E5856" i="29" s="1"/>
  <c r="E5858" i="29" s="1"/>
  <c r="E5845" i="29"/>
  <c r="E5842" i="29"/>
  <c r="E5841" i="29"/>
  <c r="E5840" i="29"/>
  <c r="E5839" i="29"/>
  <c r="E5838" i="29"/>
  <c r="E5837" i="29"/>
  <c r="E5836" i="29"/>
  <c r="E5835" i="29"/>
  <c r="E5843" i="29" l="1"/>
  <c r="E5844" i="29" s="1"/>
  <c r="E5846" i="29" s="1"/>
  <c r="E1715" i="28"/>
  <c r="E1712" i="28"/>
  <c r="E1711" i="28"/>
  <c r="E1710" i="28"/>
  <c r="E1709" i="28"/>
  <c r="E1708" i="28"/>
  <c r="E1707" i="28"/>
  <c r="E1713" i="28" l="1"/>
  <c r="E1714" i="28" s="1"/>
  <c r="E1716" i="28" s="1"/>
  <c r="E5830" i="29" l="1"/>
  <c r="E5827" i="29"/>
  <c r="E5826" i="29"/>
  <c r="E5825" i="29"/>
  <c r="E5824" i="29"/>
  <c r="E5823" i="29"/>
  <c r="E5822" i="29"/>
  <c r="E5821" i="29"/>
  <c r="E5820" i="29"/>
  <c r="E5828" i="29" l="1"/>
  <c r="E5829" i="29" s="1"/>
  <c r="E5831" i="29" s="1"/>
  <c r="E1702" i="28"/>
  <c r="E1699" i="28"/>
  <c r="E1698" i="28"/>
  <c r="E1697" i="28"/>
  <c r="E1696" i="28"/>
  <c r="E1695" i="28"/>
  <c r="E1694" i="28"/>
  <c r="E1693" i="28"/>
  <c r="E1692" i="28"/>
  <c r="E1700" i="28" l="1"/>
  <c r="E1701" i="28" s="1"/>
  <c r="E1703" i="28" s="1"/>
  <c r="E5814" i="29"/>
  <c r="E5811" i="29"/>
  <c r="E5810" i="29"/>
  <c r="E5809" i="29"/>
  <c r="E5808" i="29"/>
  <c r="E5807" i="29"/>
  <c r="E5812" i="29" l="1"/>
  <c r="E5813" i="29" s="1"/>
  <c r="E5815" i="29" s="1"/>
  <c r="E5802" i="29"/>
  <c r="E5799" i="29"/>
  <c r="E5798" i="29"/>
  <c r="E5797" i="29"/>
  <c r="E5796" i="29"/>
  <c r="E5795" i="29"/>
  <c r="E5794" i="29"/>
  <c r="E5789" i="29"/>
  <c r="E5786" i="29"/>
  <c r="E5785" i="29"/>
  <c r="E5784" i="29"/>
  <c r="E5783" i="29"/>
  <c r="E5782" i="29"/>
  <c r="E5781" i="29"/>
  <c r="E5776" i="29"/>
  <c r="E5773" i="29"/>
  <c r="E5772" i="29"/>
  <c r="E5771" i="29"/>
  <c r="E5770" i="29"/>
  <c r="E5769" i="29"/>
  <c r="E5764" i="29"/>
  <c r="E5761" i="29"/>
  <c r="E5760" i="29"/>
  <c r="E5759" i="29"/>
  <c r="E5758" i="29"/>
  <c r="E5757" i="29"/>
  <c r="E5756" i="29"/>
  <c r="E5762" i="29" l="1"/>
  <c r="E5763" i="29" s="1"/>
  <c r="E5765" i="29" s="1"/>
  <c r="E5800" i="29"/>
  <c r="E5801" i="29" s="1"/>
  <c r="E5803" i="29" s="1"/>
  <c r="E5774" i="29"/>
  <c r="E5775" i="29" s="1"/>
  <c r="E5777" i="29" s="1"/>
  <c r="E5787" i="29"/>
  <c r="E5788" i="29" s="1"/>
  <c r="E5790" i="29" s="1"/>
  <c r="E5751" i="29"/>
  <c r="E5748" i="29"/>
  <c r="E5747" i="29"/>
  <c r="E5746" i="29"/>
  <c r="E5745" i="29"/>
  <c r="E5744" i="29"/>
  <c r="E5743" i="29"/>
  <c r="E5738" i="29"/>
  <c r="E5735" i="29"/>
  <c r="E5734" i="29"/>
  <c r="E5733" i="29"/>
  <c r="E5732" i="29"/>
  <c r="E5731" i="29"/>
  <c r="E5730" i="29"/>
  <c r="E5736" i="29" l="1"/>
  <c r="E5737" i="29" s="1"/>
  <c r="E5739" i="29" s="1"/>
  <c r="E5749" i="29"/>
  <c r="E5750" i="29" s="1"/>
  <c r="E5752" i="29" s="1"/>
  <c r="E5725" i="29"/>
  <c r="E5722" i="29"/>
  <c r="E5721" i="29"/>
  <c r="E5720" i="29"/>
  <c r="E5719" i="29"/>
  <c r="E5718" i="29"/>
  <c r="E5717" i="29"/>
  <c r="E5723" i="29" l="1"/>
  <c r="E5711" i="29"/>
  <c r="E5708" i="29"/>
  <c r="E5707" i="29"/>
  <c r="E5706" i="29"/>
  <c r="E5705" i="29"/>
  <c r="E5704" i="29"/>
  <c r="E5703" i="29"/>
  <c r="E5709" i="29" l="1"/>
  <c r="E5710" i="29" s="1"/>
  <c r="E5712" i="29" s="1"/>
  <c r="E5724" i="29"/>
  <c r="E5726" i="29" s="1"/>
  <c r="E66" i="30" l="1"/>
  <c r="E63" i="30"/>
  <c r="E62" i="30"/>
  <c r="E61" i="30"/>
  <c r="E60" i="30"/>
  <c r="E59" i="30"/>
  <c r="E64" i="30" s="1"/>
  <c r="E65" i="30" s="1"/>
  <c r="E67" i="30" s="1"/>
  <c r="E1687" i="28" l="1"/>
  <c r="E1684" i="28"/>
  <c r="E1683" i="28"/>
  <c r="E1682" i="28"/>
  <c r="E1681" i="28"/>
  <c r="E1680" i="28"/>
  <c r="E1675" i="28"/>
  <c r="E1672" i="28"/>
  <c r="E1671" i="28"/>
  <c r="E1670" i="28"/>
  <c r="E1669" i="28"/>
  <c r="E1668" i="28"/>
  <c r="E1667" i="28"/>
  <c r="E1673" i="28" l="1"/>
  <c r="E1674" i="28" s="1"/>
  <c r="E1676" i="28" s="1"/>
  <c r="E1685" i="28"/>
  <c r="E1686" i="28" s="1"/>
  <c r="E1688" i="28" s="1"/>
  <c r="E1662" i="28" l="1"/>
  <c r="E1659" i="28"/>
  <c r="E1658" i="28"/>
  <c r="E1657" i="28"/>
  <c r="E1656" i="28"/>
  <c r="E1655" i="28"/>
  <c r="E1654" i="28"/>
  <c r="E1653" i="28"/>
  <c r="E1652" i="28"/>
  <c r="E1660" i="28" l="1"/>
  <c r="E1661" i="28" s="1"/>
  <c r="E1663" i="28" s="1"/>
  <c r="E1647" i="28"/>
  <c r="E1644" i="28"/>
  <c r="E1643" i="28"/>
  <c r="E1642" i="28"/>
  <c r="E1641" i="28"/>
  <c r="E1640" i="28"/>
  <c r="E1639" i="28"/>
  <c r="E5698" i="29"/>
  <c r="E5695" i="29"/>
  <c r="E5694" i="29"/>
  <c r="E5693" i="29"/>
  <c r="E5692" i="29"/>
  <c r="E5691" i="29"/>
  <c r="E5690" i="29"/>
  <c r="E5685" i="29"/>
  <c r="E5682" i="29"/>
  <c r="E5681" i="29"/>
  <c r="E5680" i="29"/>
  <c r="E5679" i="29"/>
  <c r="E5678" i="29"/>
  <c r="E5677" i="29"/>
  <c r="E5683" i="29" l="1"/>
  <c r="E5684" i="29" s="1"/>
  <c r="E5686" i="29" s="1"/>
  <c r="E1645" i="28"/>
  <c r="E1646" i="28" s="1"/>
  <c r="E1648" i="28" s="1"/>
  <c r="E5696" i="29"/>
  <c r="E5697" i="29" s="1"/>
  <c r="E5699" i="29" s="1"/>
  <c r="E5672" i="29" l="1"/>
  <c r="E5669" i="29"/>
  <c r="E5668" i="29"/>
  <c r="E5667" i="29"/>
  <c r="E5666" i="29"/>
  <c r="E5665" i="29"/>
  <c r="E5670" i="29" l="1"/>
  <c r="E5651" i="29"/>
  <c r="E5652" i="29"/>
  <c r="E5653" i="29"/>
  <c r="E5654" i="29"/>
  <c r="E5655" i="29"/>
  <c r="E5656" i="29"/>
  <c r="E5659" i="29"/>
  <c r="E5657" i="29" l="1"/>
  <c r="E5658" i="29" s="1"/>
  <c r="E5660" i="29" s="1"/>
  <c r="E5671" i="29"/>
  <c r="E5673" i="29" s="1"/>
  <c r="E1634" i="28"/>
  <c r="E1631" i="28"/>
  <c r="E1630" i="28"/>
  <c r="E1629" i="28"/>
  <c r="E1628" i="28"/>
  <c r="E1627" i="28"/>
  <c r="E1626" i="28"/>
  <c r="E1632" i="28" l="1"/>
  <c r="E1633" i="28" s="1"/>
  <c r="E1635" i="28" s="1"/>
  <c r="E5646" i="29"/>
  <c r="E5643" i="29"/>
  <c r="E5642" i="29"/>
  <c r="E5641" i="29"/>
  <c r="E5640" i="29"/>
  <c r="E5639" i="29"/>
  <c r="E5638" i="29"/>
  <c r="E5633" i="29"/>
  <c r="E5630" i="29"/>
  <c r="E5629" i="29"/>
  <c r="E5628" i="29"/>
  <c r="E5627" i="29"/>
  <c r="E5626" i="29"/>
  <c r="E5625" i="29"/>
  <c r="E5644" i="29" l="1"/>
  <c r="E5645" i="29" s="1"/>
  <c r="E5647" i="29" s="1"/>
  <c r="E5631" i="29"/>
  <c r="E5632" i="29" l="1"/>
  <c r="E5634" i="29" s="1"/>
  <c r="E5620" i="29"/>
  <c r="E5617" i="29"/>
  <c r="E5616" i="29"/>
  <c r="E5615" i="29"/>
  <c r="E5614" i="29"/>
  <c r="E5613" i="29"/>
  <c r="E5608" i="29"/>
  <c r="E5605" i="29"/>
  <c r="E5604" i="29"/>
  <c r="E5603" i="29"/>
  <c r="E5602" i="29"/>
  <c r="E5601" i="29"/>
  <c r="E5596" i="29"/>
  <c r="E5593" i="29"/>
  <c r="E5592" i="29"/>
  <c r="E5591" i="29"/>
  <c r="E5590" i="29"/>
  <c r="E5589" i="29"/>
  <c r="E5583" i="29"/>
  <c r="E5580" i="29"/>
  <c r="E5579" i="29"/>
  <c r="E5578" i="29"/>
  <c r="E5577" i="29"/>
  <c r="E5576" i="29"/>
  <c r="E5618" i="29" l="1"/>
  <c r="E5619" i="29" s="1"/>
  <c r="E5621" i="29" s="1"/>
  <c r="E5606" i="29"/>
  <c r="E5607" i="29" s="1"/>
  <c r="E5609" i="29" s="1"/>
  <c r="E5594" i="29"/>
  <c r="E5595" i="29" s="1"/>
  <c r="E5597" i="29" s="1"/>
  <c r="E5581" i="29"/>
  <c r="E5571" i="29"/>
  <c r="E5568" i="29"/>
  <c r="E5567" i="29"/>
  <c r="E5566" i="29"/>
  <c r="E5565" i="29"/>
  <c r="E5564" i="29"/>
  <c r="E5563" i="29"/>
  <c r="E5558" i="29"/>
  <c r="E5555" i="29"/>
  <c r="E5554" i="29"/>
  <c r="E5553" i="29"/>
  <c r="E5552" i="29"/>
  <c r="E5551" i="29"/>
  <c r="E5550" i="29"/>
  <c r="E5545" i="29"/>
  <c r="E5542" i="29"/>
  <c r="E5541" i="29"/>
  <c r="E5540" i="29"/>
  <c r="E5539" i="29"/>
  <c r="E5538" i="29"/>
  <c r="E5537" i="29"/>
  <c r="E5532" i="29"/>
  <c r="E5529" i="29"/>
  <c r="E5528" i="29"/>
  <c r="E5527" i="29"/>
  <c r="E5526" i="29"/>
  <c r="E5525" i="29"/>
  <c r="E5524" i="29"/>
  <c r="E5569" i="29" l="1"/>
  <c r="E5570" i="29" s="1"/>
  <c r="E5572" i="29" s="1"/>
  <c r="E5556" i="29"/>
  <c r="E5557" i="29" s="1"/>
  <c r="E5559" i="29" s="1"/>
  <c r="E5582" i="29"/>
  <c r="E5584" i="29" s="1"/>
  <c r="E5543" i="29"/>
  <c r="E5544" i="29" s="1"/>
  <c r="E5546" i="29" s="1"/>
  <c r="E5530" i="29"/>
  <c r="E5519" i="29"/>
  <c r="E5516" i="29"/>
  <c r="E5515" i="29"/>
  <c r="E5514" i="29"/>
  <c r="E5513" i="29"/>
  <c r="E5512" i="29"/>
  <c r="E5511" i="29"/>
  <c r="E1621" i="28"/>
  <c r="E1618" i="28"/>
  <c r="E1617" i="28"/>
  <c r="E1616" i="28"/>
  <c r="E1615" i="28"/>
  <c r="E1614" i="28"/>
  <c r="E1613" i="28"/>
  <c r="E5517" i="29" l="1"/>
  <c r="E5518" i="29" s="1"/>
  <c r="E5520" i="29" s="1"/>
  <c r="E5531" i="29"/>
  <c r="E5533" i="29" s="1"/>
  <c r="E1619" i="28"/>
  <c r="E1620" i="28" s="1"/>
  <c r="E1622" i="28" s="1"/>
  <c r="E5506" i="29" l="1"/>
  <c r="E5503" i="29"/>
  <c r="E5502" i="29"/>
  <c r="E5501" i="29"/>
  <c r="E5500" i="29"/>
  <c r="E5499" i="29"/>
  <c r="E5498" i="29"/>
  <c r="E5492" i="29"/>
  <c r="E5489" i="29"/>
  <c r="E5488" i="29"/>
  <c r="E5487" i="29"/>
  <c r="E5486" i="29"/>
  <c r="E5485" i="29"/>
  <c r="E5484" i="29"/>
  <c r="E5483" i="29"/>
  <c r="E5482" i="29"/>
  <c r="E5478" i="29"/>
  <c r="E5475" i="29"/>
  <c r="E5474" i="29"/>
  <c r="E5473" i="29"/>
  <c r="E5472" i="29"/>
  <c r="E5471" i="29"/>
  <c r="E5470" i="29"/>
  <c r="E5469" i="29"/>
  <c r="E5468" i="29"/>
  <c r="E5504" i="29" l="1"/>
  <c r="E5505" i="29" s="1"/>
  <c r="E5507" i="29" s="1"/>
  <c r="E5490" i="29"/>
  <c r="E5491" i="29" s="1"/>
  <c r="E5493" i="29" s="1"/>
  <c r="E5476" i="29"/>
  <c r="E5477" i="29" s="1"/>
  <c r="E5479" i="29" s="1"/>
  <c r="E5463" i="29"/>
  <c r="E5460" i="29"/>
  <c r="E5459" i="29"/>
  <c r="E5458" i="29"/>
  <c r="E5457" i="29"/>
  <c r="E5456" i="29"/>
  <c r="E5461" i="29" l="1"/>
  <c r="E5462" i="29" s="1"/>
  <c r="E5464" i="29" s="1"/>
  <c r="E5451" i="29"/>
  <c r="E5448" i="29"/>
  <c r="E5447" i="29"/>
  <c r="E5446" i="29"/>
  <c r="E5445" i="29"/>
  <c r="E5444" i="29"/>
  <c r="E5443" i="29"/>
  <c r="E5438" i="29"/>
  <c r="E5435" i="29"/>
  <c r="E5434" i="29"/>
  <c r="E5433" i="29"/>
  <c r="E5432" i="29"/>
  <c r="E5431" i="29"/>
  <c r="E5430" i="29"/>
  <c r="E5425" i="29"/>
  <c r="E5422" i="29"/>
  <c r="E5421" i="29"/>
  <c r="E5420" i="29"/>
  <c r="E5419" i="29"/>
  <c r="E5418" i="29"/>
  <c r="E5413" i="29"/>
  <c r="E5410" i="29"/>
  <c r="E5409" i="29"/>
  <c r="E5408" i="29"/>
  <c r="E5407" i="29"/>
  <c r="E5406" i="29"/>
  <c r="E5405" i="29"/>
  <c r="E5436" i="29" l="1"/>
  <c r="E5437" i="29" s="1"/>
  <c r="E5439" i="29" s="1"/>
  <c r="E5411" i="29"/>
  <c r="E5412" i="29" s="1"/>
  <c r="E5423" i="29"/>
  <c r="E5424" i="29" s="1"/>
  <c r="E5449" i="29"/>
  <c r="E5450" i="29" s="1"/>
  <c r="E5452" i="29" s="1"/>
  <c r="E5426" i="29"/>
  <c r="E5414" i="29"/>
  <c r="E1608" i="28"/>
  <c r="E1605" i="28"/>
  <c r="E1604" i="28"/>
  <c r="E1603" i="28"/>
  <c r="E1602" i="28"/>
  <c r="E1601" i="28"/>
  <c r="E1600" i="28"/>
  <c r="E1606" i="28" l="1"/>
  <c r="E1607" i="28" s="1"/>
  <c r="E1609" i="28" s="1"/>
  <c r="E5400" i="29"/>
  <c r="E5397" i="29"/>
  <c r="E5396" i="29"/>
  <c r="E5395" i="29"/>
  <c r="E5394" i="29"/>
  <c r="E5393" i="29"/>
  <c r="E5392" i="29"/>
  <c r="E5398" i="29" l="1"/>
  <c r="E1595" i="28"/>
  <c r="E1592" i="28"/>
  <c r="E1591" i="28"/>
  <c r="E1590" i="28"/>
  <c r="E1589" i="28"/>
  <c r="E1588" i="28"/>
  <c r="E1587" i="28"/>
  <c r="E1582" i="28"/>
  <c r="E1579" i="28"/>
  <c r="E1578" i="28"/>
  <c r="E1577" i="28"/>
  <c r="E1576" i="28"/>
  <c r="E1575" i="28"/>
  <c r="E1574" i="28"/>
  <c r="E1593" i="28" l="1"/>
  <c r="E1594" i="28" s="1"/>
  <c r="E1596" i="28" s="1"/>
  <c r="E5399" i="29"/>
  <c r="E5401" i="29" s="1"/>
  <c r="E1580" i="28"/>
  <c r="E1581" i="28" s="1"/>
  <c r="E1583" i="28" s="1"/>
  <c r="E5387" i="29"/>
  <c r="E5384" i="29"/>
  <c r="E5383" i="29"/>
  <c r="E5382" i="29"/>
  <c r="E5381" i="29"/>
  <c r="E5380" i="29"/>
  <c r="E5379" i="29"/>
  <c r="E5385" i="29" l="1"/>
  <c r="E5386" i="29" s="1"/>
  <c r="E5388" i="29" s="1"/>
  <c r="E5374" i="29"/>
  <c r="E5371" i="29"/>
  <c r="E5370" i="29"/>
  <c r="E5369" i="29"/>
  <c r="E5368" i="29"/>
  <c r="E5367" i="29"/>
  <c r="K5273" i="29"/>
  <c r="K5270" i="29"/>
  <c r="K5269" i="29"/>
  <c r="K5268" i="29"/>
  <c r="K5267" i="29"/>
  <c r="K5266" i="29"/>
  <c r="K5271" i="29" l="1"/>
  <c r="K5272" i="29" s="1"/>
  <c r="K5274" i="29" s="1"/>
  <c r="E5372" i="29"/>
  <c r="E5373" i="29" s="1"/>
  <c r="E5375" i="29" s="1"/>
  <c r="E5362" i="29"/>
  <c r="E5359" i="29"/>
  <c r="E5358" i="29"/>
  <c r="E5357" i="29"/>
  <c r="E5356" i="29"/>
  <c r="E5355" i="29"/>
  <c r="E5360" i="29" l="1"/>
  <c r="E5361" i="29" s="1"/>
  <c r="E5363" i="29" s="1"/>
  <c r="E5349" i="29"/>
  <c r="E5346" i="29"/>
  <c r="E5345" i="29"/>
  <c r="E5344" i="29"/>
  <c r="E5343" i="29"/>
  <c r="E5342" i="29"/>
  <c r="E5337" i="29"/>
  <c r="E5334" i="29"/>
  <c r="E5333" i="29"/>
  <c r="E5332" i="29"/>
  <c r="E5331" i="29"/>
  <c r="E5330" i="29"/>
  <c r="E1569" i="28"/>
  <c r="E1566" i="28"/>
  <c r="E1565" i="28"/>
  <c r="E1564" i="28"/>
  <c r="E1563" i="28"/>
  <c r="E1562" i="28"/>
  <c r="E1561" i="28"/>
  <c r="E1567" i="28" l="1"/>
  <c r="E1568" i="28" s="1"/>
  <c r="E1570" i="28" s="1"/>
  <c r="E5335" i="29"/>
  <c r="E5336" i="29" s="1"/>
  <c r="E5338" i="29" s="1"/>
  <c r="E5347" i="29"/>
  <c r="E5348" i="29" s="1"/>
  <c r="E5350" i="29" s="1"/>
  <c r="E5325" i="29"/>
  <c r="E5322" i="29"/>
  <c r="E5321" i="29"/>
  <c r="E5320" i="29"/>
  <c r="E5319" i="29"/>
  <c r="E5318" i="29"/>
  <c r="E5317" i="29"/>
  <c r="E5323" i="29" l="1"/>
  <c r="E5312" i="29"/>
  <c r="E5309" i="29"/>
  <c r="E5308" i="29"/>
  <c r="E5307" i="29"/>
  <c r="E5306" i="29"/>
  <c r="E5305" i="29"/>
  <c r="E5299" i="29"/>
  <c r="E5296" i="29"/>
  <c r="E5295" i="29"/>
  <c r="E5294" i="29"/>
  <c r="E5293" i="29"/>
  <c r="E5292" i="29"/>
  <c r="E5297" i="29" l="1"/>
  <c r="E5298" i="29" s="1"/>
  <c r="E5300" i="29" s="1"/>
  <c r="E5324" i="29"/>
  <c r="E5326" i="29" s="1"/>
  <c r="E5310" i="29"/>
  <c r="E5286" i="29"/>
  <c r="E5283" i="29"/>
  <c r="E5282" i="29"/>
  <c r="E5281" i="29"/>
  <c r="E5280" i="29"/>
  <c r="E5279" i="29"/>
  <c r="E5278" i="29"/>
  <c r="E5284" i="29" l="1"/>
  <c r="E5285" i="29" s="1"/>
  <c r="E5287" i="29" s="1"/>
  <c r="E5311" i="29"/>
  <c r="E5313" i="29" s="1"/>
  <c r="E5266" i="29"/>
  <c r="E5267" i="29"/>
  <c r="E5268" i="29"/>
  <c r="E5269" i="29"/>
  <c r="E5270" i="29"/>
  <c r="E5273" i="29"/>
  <c r="E5271" i="29" l="1"/>
  <c r="E5272" i="29" s="1"/>
  <c r="E5274" i="29" s="1"/>
  <c r="E1556" i="28"/>
  <c r="E1553" i="28"/>
  <c r="E1552" i="28"/>
  <c r="E1551" i="28"/>
  <c r="E1550" i="28"/>
  <c r="E1549" i="28"/>
  <c r="E1548" i="28"/>
  <c r="E1543" i="28"/>
  <c r="E1540" i="28"/>
  <c r="E1539" i="28"/>
  <c r="E1538" i="28"/>
  <c r="E1537" i="28"/>
  <c r="E1536" i="28"/>
  <c r="E1535" i="28"/>
  <c r="E1530" i="28"/>
  <c r="E1527" i="28"/>
  <c r="E1526" i="28"/>
  <c r="E1525" i="28"/>
  <c r="E1524" i="28"/>
  <c r="E1523" i="28"/>
  <c r="E1522" i="28"/>
  <c r="E1521" i="28"/>
  <c r="E1520" i="28"/>
  <c r="E5260" i="29"/>
  <c r="E5257" i="29"/>
  <c r="E5256" i="29"/>
  <c r="E5255" i="29"/>
  <c r="E5254" i="29"/>
  <c r="E5253" i="29"/>
  <c r="E1515" i="28"/>
  <c r="E1512" i="28"/>
  <c r="E1511" i="28"/>
  <c r="E1510" i="28"/>
  <c r="E1509" i="28"/>
  <c r="E1508" i="28"/>
  <c r="E1507" i="28"/>
  <c r="E1502" i="28"/>
  <c r="E1499" i="28"/>
  <c r="E1498" i="28"/>
  <c r="E1497" i="28"/>
  <c r="E1496" i="28"/>
  <c r="E1495" i="28"/>
  <c r="E1494" i="28"/>
  <c r="E1489" i="28"/>
  <c r="E1486" i="28"/>
  <c r="E1485" i="28"/>
  <c r="E1484" i="28"/>
  <c r="E1483" i="28"/>
  <c r="E1482" i="28"/>
  <c r="E1481" i="28"/>
  <c r="E1476" i="28"/>
  <c r="E1473" i="28"/>
  <c r="E1472" i="28"/>
  <c r="E1471" i="28"/>
  <c r="E1470" i="28"/>
  <c r="E1469" i="28"/>
  <c r="E1468" i="28"/>
  <c r="E5248" i="29"/>
  <c r="E5245" i="29"/>
  <c r="E5244" i="29"/>
  <c r="E5243" i="29"/>
  <c r="E5242" i="29"/>
  <c r="E5241" i="29"/>
  <c r="E5240" i="29"/>
  <c r="E5239" i="29"/>
  <c r="E5238" i="29"/>
  <c r="E5233" i="29"/>
  <c r="E5230" i="29"/>
  <c r="E5229" i="29"/>
  <c r="E5228" i="29"/>
  <c r="E5227" i="29"/>
  <c r="E5226" i="29"/>
  <c r="E5225" i="29"/>
  <c r="E5219" i="29"/>
  <c r="E5216" i="29"/>
  <c r="E5215" i="29"/>
  <c r="E5214" i="29"/>
  <c r="E5213" i="29"/>
  <c r="E5212" i="29"/>
  <c r="E5211" i="29"/>
  <c r="E1541" i="28" l="1"/>
  <c r="E1542" i="28" s="1"/>
  <c r="E1544" i="28" s="1"/>
  <c r="E5246" i="29"/>
  <c r="E5247" i="29" s="1"/>
  <c r="E5249" i="29" s="1"/>
  <c r="E1487" i="28"/>
  <c r="E1488" i="28" s="1"/>
  <c r="E1554" i="28"/>
  <c r="E1555" i="28" s="1"/>
  <c r="E1557" i="28" s="1"/>
  <c r="E1528" i="28"/>
  <c r="E1529" i="28" s="1"/>
  <c r="E5258" i="29"/>
  <c r="E5259" i="29" s="1"/>
  <c r="E5261" i="29" s="1"/>
  <c r="E1513" i="28"/>
  <c r="E1514" i="28" s="1"/>
  <c r="E1516" i="28" s="1"/>
  <c r="E1500" i="28"/>
  <c r="E1501" i="28" s="1"/>
  <c r="E1503" i="28" s="1"/>
  <c r="E1490" i="28"/>
  <c r="E1474" i="28"/>
  <c r="E1475" i="28" s="1"/>
  <c r="E1477" i="28" s="1"/>
  <c r="E5231" i="29"/>
  <c r="E5232" i="29" s="1"/>
  <c r="E5234" i="29" s="1"/>
  <c r="E5217" i="29"/>
  <c r="E5218" i="29" s="1"/>
  <c r="E5220" i="29" s="1"/>
  <c r="L5193" i="29"/>
  <c r="L5190" i="29"/>
  <c r="L5189" i="29"/>
  <c r="L5188" i="29"/>
  <c r="L5187" i="29"/>
  <c r="L5186" i="29"/>
  <c r="E5206" i="29"/>
  <c r="E5203" i="29"/>
  <c r="E5202" i="29"/>
  <c r="E5201" i="29"/>
  <c r="E5200" i="29"/>
  <c r="E5199" i="29"/>
  <c r="L5191" i="29" l="1"/>
  <c r="L5194" i="29" s="1"/>
  <c r="E5204" i="29"/>
  <c r="E5205" i="29" s="1"/>
  <c r="E5207" i="29" s="1"/>
  <c r="E5193" i="29"/>
  <c r="E5190" i="29"/>
  <c r="E5189" i="29"/>
  <c r="E5188" i="29"/>
  <c r="E5187" i="29"/>
  <c r="E5186" i="29"/>
  <c r="E1463" i="28"/>
  <c r="E1460" i="28"/>
  <c r="E1459" i="28"/>
  <c r="E1458" i="28"/>
  <c r="E1457" i="28"/>
  <c r="E1456" i="28"/>
  <c r="E1455" i="28"/>
  <c r="E1454" i="28"/>
  <c r="E1453" i="28"/>
  <c r="E5181" i="29"/>
  <c r="E5178" i="29"/>
  <c r="E5177" i="29"/>
  <c r="E5176" i="29"/>
  <c r="E5175" i="29"/>
  <c r="E5174" i="29"/>
  <c r="E5173" i="29"/>
  <c r="E5172" i="29"/>
  <c r="E5171" i="29"/>
  <c r="E5166" i="29"/>
  <c r="E5163" i="29"/>
  <c r="E5162" i="29"/>
  <c r="E5161" i="29"/>
  <c r="E5160" i="29"/>
  <c r="E5159" i="29"/>
  <c r="E5158" i="29"/>
  <c r="E5191" i="29" l="1"/>
  <c r="E1461" i="28"/>
  <c r="E5179" i="29"/>
  <c r="E5180" i="29" s="1"/>
  <c r="E5182" i="29" s="1"/>
  <c r="E5164" i="29"/>
  <c r="E5165" i="29" s="1"/>
  <c r="E5167" i="29" s="1"/>
  <c r="E1462" i="28" l="1"/>
  <c r="E1464" i="28" s="1"/>
  <c r="E5192" i="29"/>
  <c r="E5194" i="29" s="1"/>
  <c r="E5153" i="29"/>
  <c r="E5150" i="29"/>
  <c r="E5149" i="29"/>
  <c r="E5148" i="29"/>
  <c r="E5147" i="29"/>
  <c r="E5146" i="29"/>
  <c r="E5151" i="29" l="1"/>
  <c r="E5152" i="29" s="1"/>
  <c r="E5154" i="29" s="1"/>
  <c r="E5139" i="29"/>
  <c r="E5136" i="29"/>
  <c r="E5135" i="29"/>
  <c r="E5134" i="29"/>
  <c r="E5133" i="29"/>
  <c r="E5132" i="29"/>
  <c r="E5131" i="29"/>
  <c r="E5137" i="29" l="1"/>
  <c r="E5138" i="29" s="1"/>
  <c r="E5140" i="29" s="1"/>
  <c r="E5125" i="29"/>
  <c r="E5122" i="29"/>
  <c r="E5121" i="29"/>
  <c r="E5120" i="29"/>
  <c r="E5119" i="29"/>
  <c r="E5118" i="29"/>
  <c r="E5117" i="29"/>
  <c r="E5123" i="29" l="1"/>
  <c r="E5124" i="29" s="1"/>
  <c r="E5126" i="29" s="1"/>
  <c r="E5111" i="29"/>
  <c r="E5108" i="29"/>
  <c r="E5107" i="29"/>
  <c r="E5106" i="29"/>
  <c r="E5105" i="29"/>
  <c r="E5104" i="29"/>
  <c r="E5103" i="29"/>
  <c r="E5109" i="29" l="1"/>
  <c r="E5110" i="29" s="1"/>
  <c r="E5112" i="29" s="1"/>
  <c r="E1448" i="28"/>
  <c r="E1445" i="28"/>
  <c r="E1444" i="28"/>
  <c r="E1443" i="28"/>
  <c r="E1442" i="28"/>
  <c r="E1441" i="28"/>
  <c r="E1440" i="28"/>
  <c r="E1439" i="28"/>
  <c r="E1438" i="28"/>
  <c r="E1432" i="28"/>
  <c r="E1429" i="28"/>
  <c r="E1428" i="28"/>
  <c r="E1427" i="28"/>
  <c r="E1426" i="28"/>
  <c r="E1425" i="28"/>
  <c r="E1424" i="28"/>
  <c r="E5097" i="29"/>
  <c r="E5094" i="29"/>
  <c r="E5093" i="29"/>
  <c r="E5092" i="29"/>
  <c r="E5091" i="29"/>
  <c r="E5090" i="29"/>
  <c r="E5089" i="29"/>
  <c r="E1419" i="28"/>
  <c r="E1416" i="28"/>
  <c r="E1415" i="28"/>
  <c r="E1414" i="28"/>
  <c r="E1413" i="28"/>
  <c r="E1412" i="28"/>
  <c r="E1405" i="28"/>
  <c r="E1402" i="28"/>
  <c r="E1401" i="28"/>
  <c r="E1400" i="28"/>
  <c r="E1399" i="28"/>
  <c r="E1398" i="28"/>
  <c r="E1397" i="28"/>
  <c r="E1392" i="28"/>
  <c r="E1389" i="28"/>
  <c r="E1388" i="28"/>
  <c r="E1387" i="28"/>
  <c r="E1386" i="28"/>
  <c r="E1385" i="28"/>
  <c r="E1384" i="28"/>
  <c r="E1383" i="28"/>
  <c r="E1382" i="28"/>
  <c r="E1370" i="28"/>
  <c r="E1368" i="28"/>
  <c r="E1376" i="28"/>
  <c r="E1373" i="28"/>
  <c r="E1372" i="28"/>
  <c r="E1371" i="28"/>
  <c r="E1369" i="28"/>
  <c r="E1367" i="28"/>
  <c r="E1366" i="28"/>
  <c r="E1360" i="28"/>
  <c r="E1357" i="28"/>
  <c r="E1356" i="28"/>
  <c r="E1355" i="28"/>
  <c r="E1354" i="28"/>
  <c r="E1353" i="28"/>
  <c r="E1352" i="28"/>
  <c r="E5084" i="29"/>
  <c r="E5081" i="29"/>
  <c r="E5080" i="29"/>
  <c r="E5079" i="29"/>
  <c r="E5078" i="29"/>
  <c r="E5077" i="29"/>
  <c r="E1446" i="28" l="1"/>
  <c r="E1447" i="28" s="1"/>
  <c r="E1449" i="28" s="1"/>
  <c r="E1430" i="28"/>
  <c r="E1431" i="28" s="1"/>
  <c r="E1433" i="28" s="1"/>
  <c r="E5095" i="29"/>
  <c r="E5082" i="29"/>
  <c r="E5083" i="29" s="1"/>
  <c r="E5085" i="29" s="1"/>
  <c r="E1417" i="28"/>
  <c r="E1403" i="28"/>
  <c r="E1404" i="28" s="1"/>
  <c r="E1390" i="28"/>
  <c r="E1391" i="28" s="1"/>
  <c r="E1393" i="28" s="1"/>
  <c r="E1374" i="28"/>
  <c r="E1375" i="28" s="1"/>
  <c r="E1377" i="28" s="1"/>
  <c r="E1358" i="28"/>
  <c r="E1359" i="28" s="1"/>
  <c r="E1361" i="28" s="1"/>
  <c r="E5071" i="29"/>
  <c r="E5068" i="29"/>
  <c r="E5067" i="29"/>
  <c r="E5066" i="29"/>
  <c r="E5065" i="29"/>
  <c r="E5064" i="29"/>
  <c r="E5096" i="29" l="1"/>
  <c r="E5098" i="29" s="1"/>
  <c r="E1418" i="28"/>
  <c r="E1420" i="28" s="1"/>
  <c r="E5069" i="29"/>
  <c r="E5070" i="29" s="1"/>
  <c r="E5072" i="29" s="1"/>
  <c r="E5058" i="29"/>
  <c r="E5055" i="29"/>
  <c r="E5054" i="29"/>
  <c r="E5053" i="29"/>
  <c r="E5052" i="29"/>
  <c r="E5051" i="29"/>
  <c r="E5045" i="29"/>
  <c r="E5042" i="29"/>
  <c r="E5041" i="29"/>
  <c r="E5040" i="29"/>
  <c r="E5039" i="29"/>
  <c r="E5038" i="29"/>
  <c r="E5033" i="29"/>
  <c r="E5030" i="29"/>
  <c r="E5029" i="29"/>
  <c r="E5028" i="29"/>
  <c r="E5027" i="29"/>
  <c r="E5026" i="29"/>
  <c r="E5020" i="29"/>
  <c r="E5017" i="29"/>
  <c r="E5016" i="29"/>
  <c r="E5015" i="29"/>
  <c r="E5014" i="29"/>
  <c r="E5013" i="29"/>
  <c r="E5008" i="29"/>
  <c r="E5005" i="29"/>
  <c r="E5004" i="29"/>
  <c r="E5003" i="29"/>
  <c r="E5002" i="29"/>
  <c r="E5001" i="29"/>
  <c r="E5000" i="29"/>
  <c r="E5018" i="29" l="1"/>
  <c r="E5019" i="29" s="1"/>
  <c r="E5021" i="29" s="1"/>
  <c r="E5006" i="29"/>
  <c r="E5007" i="29" s="1"/>
  <c r="E5009" i="29" s="1"/>
  <c r="E5056" i="29"/>
  <c r="E5057" i="29" s="1"/>
  <c r="E5059" i="29" s="1"/>
  <c r="E5043" i="29"/>
  <c r="E5044" i="29" s="1"/>
  <c r="E5046" i="29" s="1"/>
  <c r="E5031" i="29"/>
  <c r="E5032" i="29" s="1"/>
  <c r="E5034" i="29" s="1"/>
  <c r="E1347" i="28" l="1"/>
  <c r="E1344" i="28"/>
  <c r="E1343" i="28"/>
  <c r="E1342" i="28"/>
  <c r="E1341" i="28"/>
  <c r="E1340" i="28"/>
  <c r="E1339" i="28"/>
  <c r="E4995" i="29"/>
  <c r="E4992" i="29"/>
  <c r="E4991" i="29"/>
  <c r="E4990" i="29"/>
  <c r="E4989" i="29"/>
  <c r="E4988" i="29"/>
  <c r="E1345" i="28" l="1"/>
  <c r="E1346" i="28" s="1"/>
  <c r="E1348" i="28" s="1"/>
  <c r="E4993" i="29"/>
  <c r="E4994" i="29" s="1"/>
  <c r="E4996" i="29" s="1"/>
  <c r="E4980" i="29"/>
  <c r="E4979" i="29"/>
  <c r="E4978" i="29"/>
  <c r="E4977" i="29"/>
  <c r="E4976" i="29"/>
  <c r="E4975" i="29"/>
  <c r="E4981" i="29" l="1"/>
  <c r="E4982" i="29" s="1"/>
  <c r="E4984" i="29" s="1"/>
  <c r="E4969" i="29"/>
  <c r="E4966" i="29"/>
  <c r="E4965" i="29"/>
  <c r="E4964" i="29"/>
  <c r="E4963" i="29"/>
  <c r="E4962" i="29"/>
  <c r="E4961" i="29"/>
  <c r="E4960" i="29"/>
  <c r="E4959" i="29"/>
  <c r="E4953" i="29"/>
  <c r="E4950" i="29"/>
  <c r="E4949" i="29"/>
  <c r="E4948" i="29"/>
  <c r="E4947" i="29"/>
  <c r="E4946" i="29"/>
  <c r="E4945" i="29"/>
  <c r="E4940" i="29"/>
  <c r="E4937" i="29"/>
  <c r="E4936" i="29"/>
  <c r="E4935" i="29"/>
  <c r="E4934" i="29"/>
  <c r="E4933" i="29"/>
  <c r="E4932" i="29"/>
  <c r="E4927" i="29"/>
  <c r="E4924" i="29"/>
  <c r="E4923" i="29"/>
  <c r="E4922" i="29"/>
  <c r="E4921" i="29"/>
  <c r="E4920" i="29"/>
  <c r="E4915" i="29"/>
  <c r="E4912" i="29"/>
  <c r="E4911" i="29"/>
  <c r="E4910" i="29"/>
  <c r="E4909" i="29"/>
  <c r="E4908" i="29"/>
  <c r="E4903" i="29"/>
  <c r="E4900" i="29"/>
  <c r="E4899" i="29"/>
  <c r="E4898" i="29"/>
  <c r="E4897" i="29"/>
  <c r="E4896" i="29"/>
  <c r="E4895" i="29"/>
  <c r="E1333" i="28"/>
  <c r="E1330" i="28"/>
  <c r="E1329" i="28"/>
  <c r="E1328" i="28"/>
  <c r="E1327" i="28"/>
  <c r="E1326" i="28"/>
  <c r="E1325" i="28"/>
  <c r="E1319" i="28"/>
  <c r="E1316" i="28"/>
  <c r="E1315" i="28"/>
  <c r="E1314" i="28"/>
  <c r="E1313" i="28"/>
  <c r="E1312" i="28"/>
  <c r="E1311" i="28"/>
  <c r="E4913" i="29" l="1"/>
  <c r="E4967" i="29"/>
  <c r="E4968" i="29" s="1"/>
  <c r="E4970" i="29" s="1"/>
  <c r="E4925" i="29"/>
  <c r="E4926" i="29" s="1"/>
  <c r="E4928" i="29" s="1"/>
  <c r="E4901" i="29"/>
  <c r="E4902" i="29" s="1"/>
  <c r="E4904" i="29" s="1"/>
  <c r="E4951" i="29"/>
  <c r="E4952" i="29" s="1"/>
  <c r="E4954" i="29" s="1"/>
  <c r="E4938" i="29"/>
  <c r="E4939" i="29" s="1"/>
  <c r="E4941" i="29" s="1"/>
  <c r="E4914" i="29"/>
  <c r="E4916" i="29" s="1"/>
  <c r="E1331" i="28"/>
  <c r="E1332" i="28" s="1"/>
  <c r="E1334" i="28" s="1"/>
  <c r="E1317" i="28"/>
  <c r="E1318" i="28" s="1"/>
  <c r="E1320" i="28" s="1"/>
  <c r="E4890" i="29"/>
  <c r="E4887" i="29"/>
  <c r="E4886" i="29"/>
  <c r="E4885" i="29"/>
  <c r="E4884" i="29"/>
  <c r="E4883" i="29"/>
  <c r="E4882" i="29"/>
  <c r="E1306" i="28"/>
  <c r="E1303" i="28"/>
  <c r="E1302" i="28"/>
  <c r="E1301" i="28"/>
  <c r="E1300" i="28"/>
  <c r="E1299" i="28"/>
  <c r="E1298" i="28"/>
  <c r="E4876" i="29"/>
  <c r="E4873" i="29"/>
  <c r="E4872" i="29"/>
  <c r="E4871" i="29"/>
  <c r="E4870" i="29"/>
  <c r="E4869" i="29"/>
  <c r="E4868" i="29"/>
  <c r="E4862" i="29"/>
  <c r="E4859" i="29"/>
  <c r="E4858" i="29"/>
  <c r="E4857" i="29"/>
  <c r="E4856" i="29"/>
  <c r="E4855" i="29"/>
  <c r="E4854" i="29"/>
  <c r="E4848" i="29"/>
  <c r="E4845" i="29"/>
  <c r="E4844" i="29"/>
  <c r="E4843" i="29"/>
  <c r="E4842" i="29"/>
  <c r="E4841" i="29"/>
  <c r="E4840" i="29"/>
  <c r="E4834" i="29"/>
  <c r="E4831" i="29"/>
  <c r="E4830" i="29"/>
  <c r="E4829" i="29"/>
  <c r="E4828" i="29"/>
  <c r="E4827" i="29"/>
  <c r="E4826" i="29"/>
  <c r="E4846" i="29" l="1"/>
  <c r="E4847" i="29" s="1"/>
  <c r="E4849" i="29" s="1"/>
  <c r="E4888" i="29"/>
  <c r="E1304" i="28"/>
  <c r="E1305" i="28" s="1"/>
  <c r="E1307" i="28" s="1"/>
  <c r="E4874" i="29"/>
  <c r="E4875" i="29" s="1"/>
  <c r="E4877" i="29" s="1"/>
  <c r="E4860" i="29"/>
  <c r="E4861" i="29" s="1"/>
  <c r="E4863" i="29" s="1"/>
  <c r="E4832" i="29"/>
  <c r="E4889" i="29" l="1"/>
  <c r="E4891" i="29" s="1"/>
  <c r="E4833" i="29"/>
  <c r="E4835" i="29" s="1"/>
  <c r="E4791" i="29" l="1"/>
  <c r="E4788" i="29"/>
  <c r="E4787" i="29"/>
  <c r="E4786" i="29"/>
  <c r="E4785" i="29"/>
  <c r="E4784" i="29"/>
  <c r="E4783" i="29"/>
  <c r="E4817" i="29"/>
  <c r="E4816" i="29"/>
  <c r="E4815" i="29"/>
  <c r="E4814" i="29"/>
  <c r="E4813" i="29"/>
  <c r="E4812" i="29"/>
  <c r="E4811" i="29"/>
  <c r="E4810" i="29"/>
  <c r="E4804" i="29"/>
  <c r="E4801" i="29"/>
  <c r="E4800" i="29"/>
  <c r="E4799" i="29"/>
  <c r="E4798" i="29"/>
  <c r="E4797" i="29"/>
  <c r="E4796" i="29"/>
  <c r="E4777" i="29"/>
  <c r="E4774" i="29"/>
  <c r="E4773" i="29"/>
  <c r="E4772" i="29"/>
  <c r="E4771" i="29"/>
  <c r="E4770" i="29"/>
  <c r="E4769" i="29"/>
  <c r="E4763" i="29"/>
  <c r="E4760" i="29"/>
  <c r="E4759" i="29"/>
  <c r="E4758" i="29"/>
  <c r="E4757" i="29"/>
  <c r="E4756" i="29"/>
  <c r="E4761" i="29" l="1"/>
  <c r="E4762" i="29" s="1"/>
  <c r="E4764" i="29" s="1"/>
  <c r="E4789" i="29"/>
  <c r="E4790" i="29" s="1"/>
  <c r="E4792" i="29" s="1"/>
  <c r="E4818" i="29"/>
  <c r="E4802" i="29"/>
  <c r="E4775" i="29"/>
  <c r="E4803" i="29" l="1"/>
  <c r="E4805" i="29" s="1"/>
  <c r="E4776" i="29"/>
  <c r="E4778" i="29" s="1"/>
  <c r="E4819" i="29"/>
  <c r="E4821" i="29" s="1"/>
  <c r="E1293" i="28" l="1"/>
  <c r="E1290" i="28"/>
  <c r="E1289" i="28"/>
  <c r="E1288" i="28"/>
  <c r="E1287" i="28"/>
  <c r="E1286" i="28"/>
  <c r="E1285" i="28"/>
  <c r="E1291" i="28" l="1"/>
  <c r="E1292" i="28" s="1"/>
  <c r="E1294" i="28" s="1"/>
  <c r="E4749" i="29"/>
  <c r="E4746" i="29"/>
  <c r="E4745" i="29"/>
  <c r="E4744" i="29"/>
  <c r="E4743" i="29"/>
  <c r="E4742" i="29"/>
  <c r="E4741" i="29"/>
  <c r="E4747" i="29" l="1"/>
  <c r="E4748" i="29" s="1"/>
  <c r="E4750" i="29" s="1"/>
  <c r="E4736" i="29"/>
  <c r="E4733" i="29"/>
  <c r="E4732" i="29"/>
  <c r="E4731" i="29"/>
  <c r="E4730" i="29"/>
  <c r="E4729" i="29"/>
  <c r="E4722" i="29"/>
  <c r="E4719" i="29"/>
  <c r="E4718" i="29"/>
  <c r="E4717" i="29"/>
  <c r="E4716" i="29"/>
  <c r="E4715" i="29"/>
  <c r="E4708" i="29"/>
  <c r="E4705" i="29"/>
  <c r="E4704" i="29"/>
  <c r="E4703" i="29"/>
  <c r="E4702" i="29"/>
  <c r="E4701" i="29"/>
  <c r="E4734" i="29" l="1"/>
  <c r="E4735" i="29" s="1"/>
  <c r="E4737" i="29" s="1"/>
  <c r="E4720" i="29"/>
  <c r="E4721" i="29" s="1"/>
  <c r="E4723" i="29" s="1"/>
  <c r="E4706" i="29"/>
  <c r="E4707" i="29" s="1"/>
  <c r="E4709" i="29" s="1"/>
  <c r="E4667" i="29"/>
  <c r="E4664" i="29"/>
  <c r="E4663" i="29"/>
  <c r="E4662" i="29"/>
  <c r="E4661" i="29"/>
  <c r="E4660" i="29"/>
  <c r="E4659" i="29"/>
  <c r="E4673" i="29"/>
  <c r="E4674" i="29"/>
  <c r="E4653" i="29"/>
  <c r="E4650" i="29"/>
  <c r="E4649" i="29"/>
  <c r="E4648" i="29"/>
  <c r="E4647" i="29"/>
  <c r="E4646" i="29"/>
  <c r="E4645" i="29"/>
  <c r="E4639" i="29"/>
  <c r="E4681" i="29"/>
  <c r="E4678" i="29"/>
  <c r="E4677" i="29"/>
  <c r="E4676" i="29"/>
  <c r="E4675" i="29"/>
  <c r="E4636" i="29"/>
  <c r="E4635" i="29"/>
  <c r="E4634" i="29"/>
  <c r="E4633" i="29"/>
  <c r="E4632" i="29"/>
  <c r="E4631" i="29"/>
  <c r="E4679" i="29" l="1"/>
  <c r="E4680" i="29" s="1"/>
  <c r="E4682" i="29" s="1"/>
  <c r="E4665" i="29"/>
  <c r="E4666" i="29" s="1"/>
  <c r="E4668" i="29" s="1"/>
  <c r="E4651" i="29"/>
  <c r="E4652" i="29" s="1"/>
  <c r="E4654" i="29" s="1"/>
  <c r="E4637" i="29"/>
  <c r="E1279" i="28"/>
  <c r="E1276" i="28"/>
  <c r="E1275" i="28"/>
  <c r="E1274" i="28"/>
  <c r="E1273" i="28"/>
  <c r="E1272" i="28"/>
  <c r="E1271" i="28"/>
  <c r="E4638" i="29" l="1"/>
  <c r="E4640" i="29" s="1"/>
  <c r="E1277" i="28"/>
  <c r="E1278" i="28" s="1"/>
  <c r="E1280" i="28" s="1"/>
  <c r="E4695" i="29"/>
  <c r="E4692" i="29"/>
  <c r="E4691" i="29"/>
  <c r="E4690" i="29"/>
  <c r="E4689" i="29"/>
  <c r="E4688" i="29"/>
  <c r="E4626" i="29"/>
  <c r="E4623" i="29"/>
  <c r="E4622" i="29"/>
  <c r="E4621" i="29"/>
  <c r="E4620" i="29"/>
  <c r="E4619" i="29"/>
  <c r="E4618" i="29"/>
  <c r="E4617" i="29"/>
  <c r="E4616" i="29"/>
  <c r="E4609" i="29"/>
  <c r="E4606" i="29"/>
  <c r="E4605" i="29"/>
  <c r="E4604" i="29"/>
  <c r="E4603" i="29"/>
  <c r="E4602" i="29"/>
  <c r="E4601" i="29"/>
  <c r="E4600" i="29"/>
  <c r="E4599" i="29"/>
  <c r="E4593" i="29"/>
  <c r="E4590" i="29"/>
  <c r="E4589" i="29"/>
  <c r="E4588" i="29"/>
  <c r="E4587" i="29"/>
  <c r="E4586" i="29"/>
  <c r="E4585" i="29"/>
  <c r="E4584" i="29"/>
  <c r="E4583" i="29"/>
  <c r="E4693" i="29" l="1"/>
  <c r="E4694" i="29" s="1"/>
  <c r="E4696" i="29" s="1"/>
  <c r="E4624" i="29"/>
  <c r="E4625" i="29" s="1"/>
  <c r="E4627" i="29" s="1"/>
  <c r="E4607" i="29"/>
  <c r="E4608" i="29" s="1"/>
  <c r="E4610" i="29" s="1"/>
  <c r="E4591" i="29"/>
  <c r="E4592" i="29" s="1"/>
  <c r="E4594" i="29" s="1"/>
  <c r="E4575" i="29"/>
  <c r="E4574" i="29"/>
  <c r="E4573" i="29"/>
  <c r="E4572" i="29"/>
  <c r="E4571" i="29"/>
  <c r="E4570" i="29"/>
  <c r="E4565" i="29"/>
  <c r="E4562" i="29"/>
  <c r="E4561" i="29"/>
  <c r="E4560" i="29"/>
  <c r="E4559" i="29"/>
  <c r="E4558" i="29"/>
  <c r="E4557" i="29"/>
  <c r="E4551" i="29"/>
  <c r="E4548" i="29"/>
  <c r="E4547" i="29"/>
  <c r="E4546" i="29"/>
  <c r="E4545" i="29"/>
  <c r="E4544" i="29"/>
  <c r="E4543" i="29"/>
  <c r="E4538" i="29"/>
  <c r="E4535" i="29"/>
  <c r="E4534" i="29"/>
  <c r="E4533" i="29"/>
  <c r="E4532" i="29"/>
  <c r="E4531" i="29"/>
  <c r="E4525" i="29"/>
  <c r="E4522" i="29"/>
  <c r="E4521" i="29"/>
  <c r="E4520" i="29"/>
  <c r="E4519" i="29"/>
  <c r="E4518" i="29"/>
  <c r="E4536" i="29" l="1"/>
  <c r="E4537" i="29" s="1"/>
  <c r="E4539" i="29" s="1"/>
  <c r="E4523" i="29"/>
  <c r="E4524" i="29" s="1"/>
  <c r="E4526" i="29" s="1"/>
  <c r="E4576" i="29"/>
  <c r="E4577" i="29" s="1"/>
  <c r="E4579" i="29" s="1"/>
  <c r="E4563" i="29"/>
  <c r="E4564" i="29" s="1"/>
  <c r="E4566" i="29" s="1"/>
  <c r="E4549" i="29"/>
  <c r="E4512" i="29"/>
  <c r="E4509" i="29"/>
  <c r="E4508" i="29"/>
  <c r="E4507" i="29"/>
  <c r="E4506" i="29"/>
  <c r="E4505" i="29"/>
  <c r="E4499" i="29"/>
  <c r="E4496" i="29"/>
  <c r="E4495" i="29"/>
  <c r="E4494" i="29"/>
  <c r="E4493" i="29"/>
  <c r="E4492" i="29"/>
  <c r="E4487" i="29"/>
  <c r="E4484" i="29"/>
  <c r="E4483" i="29"/>
  <c r="E4482" i="29"/>
  <c r="E4481" i="29"/>
  <c r="E4480" i="29"/>
  <c r="E4485" i="29" l="1"/>
  <c r="E4486" i="29" s="1"/>
  <c r="E4550" i="29"/>
  <c r="E4552" i="29" s="1"/>
  <c r="E4510" i="29"/>
  <c r="E4511" i="29" s="1"/>
  <c r="E4513" i="29" s="1"/>
  <c r="E4497" i="29"/>
  <c r="E4498" i="29" s="1"/>
  <c r="E4500" i="29" s="1"/>
  <c r="E4488" i="29"/>
  <c r="E4475" i="29" l="1"/>
  <c r="E4472" i="29"/>
  <c r="E4471" i="29"/>
  <c r="E4470" i="29"/>
  <c r="E4469" i="29"/>
  <c r="E4468" i="29"/>
  <c r="E4467" i="29"/>
  <c r="E4461" i="29"/>
  <c r="E4458" i="29"/>
  <c r="E4457" i="29"/>
  <c r="E4456" i="29"/>
  <c r="E4455" i="29"/>
  <c r="E4454" i="29"/>
  <c r="E4453" i="29"/>
  <c r="E4473" i="29" l="1"/>
  <c r="E4474" i="29" s="1"/>
  <c r="E4476" i="29" s="1"/>
  <c r="E4459" i="29"/>
  <c r="E4447" i="29"/>
  <c r="E4444" i="29"/>
  <c r="E4443" i="29"/>
  <c r="E4442" i="29"/>
  <c r="E4441" i="29"/>
  <c r="E4440" i="29"/>
  <c r="E4460" i="29" l="1"/>
  <c r="E4462" i="29" s="1"/>
  <c r="E4445" i="29"/>
  <c r="E4446" i="29" s="1"/>
  <c r="E4448" i="29" s="1"/>
  <c r="E4434" i="29"/>
  <c r="E4431" i="29"/>
  <c r="E4430" i="29"/>
  <c r="E4429" i="29"/>
  <c r="E4428" i="29"/>
  <c r="E4427" i="29"/>
  <c r="E4426" i="29"/>
  <c r="E4432" i="29" l="1"/>
  <c r="E4420" i="29"/>
  <c r="E4417" i="29"/>
  <c r="E4416" i="29"/>
  <c r="E4415" i="29"/>
  <c r="E4414" i="29"/>
  <c r="E4413" i="29"/>
  <c r="E4412" i="29"/>
  <c r="E1266" i="28"/>
  <c r="E1263" i="28"/>
  <c r="E1262" i="28"/>
  <c r="E1261" i="28"/>
  <c r="E1260" i="28"/>
  <c r="E1259" i="28"/>
  <c r="E1258" i="28"/>
  <c r="E1257" i="28"/>
  <c r="E1256" i="28"/>
  <c r="E4406" i="29"/>
  <c r="E4403" i="29"/>
  <c r="E4402" i="29"/>
  <c r="E4401" i="29"/>
  <c r="E4400" i="29"/>
  <c r="E4399" i="29"/>
  <c r="E4398" i="29"/>
  <c r="E4418" i="29" l="1"/>
  <c r="E4419" i="29" s="1"/>
  <c r="E4421" i="29" s="1"/>
  <c r="E4433" i="29"/>
  <c r="E4435" i="29" s="1"/>
  <c r="E1264" i="28"/>
  <c r="E1265" i="28" s="1"/>
  <c r="E1267" i="28" s="1"/>
  <c r="E4404" i="29"/>
  <c r="E4405" i="29" s="1"/>
  <c r="E4407" i="29" s="1"/>
  <c r="E4393" i="29"/>
  <c r="E4390" i="29"/>
  <c r="E4389" i="29"/>
  <c r="E4388" i="29"/>
  <c r="E4387" i="29"/>
  <c r="E4386" i="29"/>
  <c r="E4385" i="29"/>
  <c r="E4384" i="29"/>
  <c r="E4383" i="29"/>
  <c r="E4391" i="29" l="1"/>
  <c r="E4392" i="29" s="1"/>
  <c r="E4394" i="29" s="1"/>
  <c r="E1250" i="28"/>
  <c r="E1247" i="28"/>
  <c r="E1246" i="28"/>
  <c r="E1245" i="28"/>
  <c r="E1244" i="28"/>
  <c r="E1243" i="28"/>
  <c r="E1242" i="28"/>
  <c r="E1241" i="28"/>
  <c r="E1240" i="28"/>
  <c r="E1248" i="28" l="1"/>
  <c r="E1249" i="28" s="1"/>
  <c r="E1251" i="28" s="1"/>
  <c r="E4378" i="29"/>
  <c r="E4375" i="29"/>
  <c r="E4374" i="29"/>
  <c r="E4373" i="29"/>
  <c r="E4372" i="29"/>
  <c r="E4371" i="29"/>
  <c r="E4370" i="29"/>
  <c r="E4376" i="29" l="1"/>
  <c r="E4377" i="29" s="1"/>
  <c r="E4379" i="29" s="1"/>
  <c r="E1234" i="28"/>
  <c r="E1231" i="28"/>
  <c r="E1230" i="28"/>
  <c r="E1229" i="28"/>
  <c r="E1228" i="28"/>
  <c r="E1227" i="28"/>
  <c r="E1226" i="28"/>
  <c r="E1225" i="28"/>
  <c r="E1224" i="28"/>
  <c r="E1218" i="28"/>
  <c r="E1215" i="28"/>
  <c r="E1214" i="28"/>
  <c r="E1213" i="28"/>
  <c r="E1212" i="28"/>
  <c r="E1211" i="28"/>
  <c r="E1210" i="28"/>
  <c r="E4364" i="29"/>
  <c r="E4361" i="29"/>
  <c r="E4360" i="29"/>
  <c r="E4359" i="29"/>
  <c r="E4358" i="29"/>
  <c r="E4357" i="29"/>
  <c r="E1205" i="28"/>
  <c r="E1202" i="28"/>
  <c r="E1201" i="28"/>
  <c r="E1200" i="28"/>
  <c r="E1199" i="28"/>
  <c r="E1198" i="28"/>
  <c r="E1197" i="28"/>
  <c r="E1196" i="28"/>
  <c r="E1195" i="28"/>
  <c r="E1232" i="28" l="1"/>
  <c r="E1233" i="28" s="1"/>
  <c r="E1235" i="28" s="1"/>
  <c r="E1216" i="28"/>
  <c r="E1217" i="28" s="1"/>
  <c r="E1219" i="28" s="1"/>
  <c r="E1203" i="28"/>
  <c r="E1204" i="28" s="1"/>
  <c r="E1206" i="28" s="1"/>
  <c r="E4362" i="29"/>
  <c r="E4363" i="29" s="1"/>
  <c r="E4365" i="29" s="1"/>
  <c r="E4346" i="29"/>
  <c r="E4344" i="29"/>
  <c r="E4352" i="29"/>
  <c r="E4349" i="29"/>
  <c r="E4348" i="29"/>
  <c r="E4347" i="29"/>
  <c r="E4345" i="29"/>
  <c r="E4343" i="29"/>
  <c r="E4342" i="29"/>
  <c r="E4336" i="29"/>
  <c r="E4333" i="29"/>
  <c r="E4332" i="29"/>
  <c r="E4331" i="29"/>
  <c r="E4330" i="29"/>
  <c r="E4329" i="29"/>
  <c r="E4328" i="29"/>
  <c r="E4327" i="29"/>
  <c r="E4326" i="29"/>
  <c r="E4320" i="29"/>
  <c r="E4317" i="29"/>
  <c r="E4316" i="29"/>
  <c r="E4315" i="29"/>
  <c r="E4314" i="29"/>
  <c r="E4313" i="29"/>
  <c r="E4312" i="29"/>
  <c r="E4334" i="29" l="1"/>
  <c r="E4335" i="29" s="1"/>
  <c r="E4337" i="29" s="1"/>
  <c r="E4351" i="29"/>
  <c r="E4353" i="29" s="1"/>
  <c r="E4318" i="29"/>
  <c r="E4319" i="29" s="1"/>
  <c r="E4321" i="29" s="1"/>
  <c r="E4300" i="29"/>
  <c r="E4301" i="29"/>
  <c r="E4302" i="29"/>
  <c r="E4303" i="29"/>
  <c r="E4304" i="29"/>
  <c r="E4307" i="29"/>
  <c r="E4305" i="29" l="1"/>
  <c r="E1188" i="28"/>
  <c r="E1185" i="28"/>
  <c r="E1184" i="28"/>
  <c r="E1183" i="28"/>
  <c r="E1182" i="28"/>
  <c r="E1181" i="28"/>
  <c r="E1180" i="28"/>
  <c r="E1179" i="28"/>
  <c r="E1178" i="28"/>
  <c r="E4294" i="29"/>
  <c r="E4291" i="29"/>
  <c r="E4290" i="29"/>
  <c r="E4289" i="29"/>
  <c r="E4288" i="29"/>
  <c r="E4287" i="29"/>
  <c r="E4286" i="29"/>
  <c r="E4285" i="29"/>
  <c r="E4284" i="29"/>
  <c r="E1186" i="28" l="1"/>
  <c r="E1187" i="28" s="1"/>
  <c r="E1189" i="28" s="1"/>
  <c r="E4306" i="29"/>
  <c r="E4308" i="29" s="1"/>
  <c r="E4292" i="29"/>
  <c r="E4293" i="29" s="1"/>
  <c r="E4295" i="29" s="1"/>
  <c r="E4278" i="29"/>
  <c r="E4275" i="29"/>
  <c r="E4274" i="29"/>
  <c r="E4273" i="29"/>
  <c r="E4272" i="29"/>
  <c r="E4271" i="29"/>
  <c r="E4270" i="29"/>
  <c r="E4265" i="29"/>
  <c r="E4262" i="29"/>
  <c r="E4261" i="29"/>
  <c r="E4260" i="29"/>
  <c r="E4259" i="29"/>
  <c r="E4258" i="29"/>
  <c r="E4257" i="29"/>
  <c r="E4256" i="29"/>
  <c r="E4255" i="29"/>
  <c r="E4249" i="29"/>
  <c r="E4246" i="29"/>
  <c r="E4245" i="29"/>
  <c r="E4244" i="29"/>
  <c r="E4243" i="29"/>
  <c r="E4242" i="29"/>
  <c r="E4241" i="29"/>
  <c r="E4276" i="29" l="1"/>
  <c r="E4277" i="29" s="1"/>
  <c r="E4279" i="29" s="1"/>
  <c r="E4263" i="29"/>
  <c r="E4264" i="29" s="1"/>
  <c r="E4266" i="29" s="1"/>
  <c r="E4247" i="29"/>
  <c r="E4248" i="29" s="1"/>
  <c r="E4250" i="29" s="1"/>
  <c r="E4236" i="29" l="1"/>
  <c r="E4233" i="29"/>
  <c r="E4232" i="29"/>
  <c r="E4231" i="29"/>
  <c r="E4230" i="29"/>
  <c r="E4229" i="29"/>
  <c r="E4228" i="29"/>
  <c r="E4223" i="29"/>
  <c r="E4220" i="29"/>
  <c r="E4219" i="29"/>
  <c r="E4218" i="29"/>
  <c r="E4217" i="29"/>
  <c r="E4216" i="29"/>
  <c r="E4215" i="29"/>
  <c r="E4221" i="29" l="1"/>
  <c r="E4222" i="29" s="1"/>
  <c r="E4224" i="29" s="1"/>
  <c r="E4234" i="29"/>
  <c r="E4235" i="29" s="1"/>
  <c r="E4237" i="29" s="1"/>
  <c r="E4210" i="29" l="1"/>
  <c r="E4207" i="29"/>
  <c r="E4206" i="29"/>
  <c r="E4205" i="29"/>
  <c r="E4204" i="29"/>
  <c r="E4203" i="29"/>
  <c r="E4202" i="29"/>
  <c r="E4201" i="29"/>
  <c r="E4200" i="29"/>
  <c r="E4208" i="29" l="1"/>
  <c r="E4209" i="29" s="1"/>
  <c r="E4211" i="29" s="1"/>
  <c r="E4182" i="29"/>
  <c r="E4179" i="29"/>
  <c r="E4178" i="29"/>
  <c r="E4177" i="29"/>
  <c r="E4176" i="29"/>
  <c r="E4175" i="29"/>
  <c r="E4174" i="29"/>
  <c r="E4168" i="29"/>
  <c r="E4165" i="29"/>
  <c r="E4164" i="29"/>
  <c r="E4163" i="29"/>
  <c r="E4162" i="29"/>
  <c r="E4161" i="29"/>
  <c r="E4160" i="29"/>
  <c r="E4154" i="29"/>
  <c r="E4151" i="29"/>
  <c r="E4150" i="29"/>
  <c r="E4149" i="29"/>
  <c r="E4148" i="29"/>
  <c r="E4147" i="29"/>
  <c r="E4146" i="29"/>
  <c r="E4140" i="29"/>
  <c r="E4166" i="29" l="1"/>
  <c r="E4167" i="29" s="1"/>
  <c r="E4169" i="29" s="1"/>
  <c r="E4180" i="29"/>
  <c r="E4181" i="29" s="1"/>
  <c r="E4183" i="29" s="1"/>
  <c r="E4152" i="29"/>
  <c r="E4137" i="29"/>
  <c r="E4136" i="29"/>
  <c r="E4135" i="29"/>
  <c r="E4134" i="29"/>
  <c r="E4133" i="29"/>
  <c r="E4132" i="29"/>
  <c r="E4101" i="29"/>
  <c r="E4098" i="29"/>
  <c r="E4097" i="29"/>
  <c r="E4096" i="29"/>
  <c r="E4095" i="29"/>
  <c r="E4094" i="29"/>
  <c r="E4126" i="29"/>
  <c r="E4123" i="29"/>
  <c r="E4122" i="29"/>
  <c r="E4121" i="29"/>
  <c r="E4120" i="29"/>
  <c r="E4119" i="29"/>
  <c r="E4114" i="29"/>
  <c r="E4111" i="29"/>
  <c r="E4110" i="29"/>
  <c r="E4109" i="29"/>
  <c r="E4108" i="29"/>
  <c r="E4107" i="29"/>
  <c r="E4077" i="29"/>
  <c r="E4074" i="29"/>
  <c r="E4073" i="29"/>
  <c r="E4072" i="29"/>
  <c r="E4071" i="29"/>
  <c r="E4070" i="29"/>
  <c r="E4065" i="29"/>
  <c r="E4062" i="29"/>
  <c r="E4061" i="29"/>
  <c r="E4060" i="29"/>
  <c r="E4059" i="29"/>
  <c r="E4058" i="29"/>
  <c r="E4053" i="29"/>
  <c r="E4050" i="29"/>
  <c r="E4049" i="29"/>
  <c r="E4048" i="29"/>
  <c r="E4047" i="29"/>
  <c r="E4046" i="29"/>
  <c r="E4075" i="29" l="1"/>
  <c r="E4076" i="29" s="1"/>
  <c r="E4078" i="29" s="1"/>
  <c r="E4099" i="29"/>
  <c r="E4100" i="29" s="1"/>
  <c r="E4102" i="29" s="1"/>
  <c r="E4153" i="29"/>
  <c r="E4155" i="29" s="1"/>
  <c r="E4138" i="29"/>
  <c r="E4124" i="29"/>
  <c r="E4125" i="29" s="1"/>
  <c r="E4127" i="29" s="1"/>
  <c r="E4112" i="29"/>
  <c r="E4113" i="29" s="1"/>
  <c r="E4115" i="29" s="1"/>
  <c r="E4063" i="29"/>
  <c r="E4064" i="29" s="1"/>
  <c r="E4066" i="29" s="1"/>
  <c r="E4051" i="29"/>
  <c r="E4052" i="29" s="1"/>
  <c r="E4054" i="29" s="1"/>
  <c r="E4139" i="29" l="1"/>
  <c r="E4141" i="29" s="1"/>
  <c r="E4040" i="29"/>
  <c r="E4037" i="29"/>
  <c r="E4036" i="29"/>
  <c r="E4035" i="29"/>
  <c r="E4034" i="29"/>
  <c r="E4033" i="29"/>
  <c r="E4028" i="29"/>
  <c r="E4025" i="29"/>
  <c r="E4024" i="29"/>
  <c r="E4023" i="29"/>
  <c r="E4022" i="29"/>
  <c r="E4021" i="29"/>
  <c r="E4194" i="29"/>
  <c r="E4191" i="29"/>
  <c r="E4190" i="29"/>
  <c r="E4189" i="29"/>
  <c r="E4188" i="29"/>
  <c r="E4187" i="29"/>
  <c r="E4004" i="29"/>
  <c r="E4001" i="29"/>
  <c r="E4000" i="29"/>
  <c r="E3999" i="29"/>
  <c r="E3998" i="29"/>
  <c r="E3997" i="29"/>
  <c r="E4038" i="29" l="1"/>
  <c r="E4039" i="29" s="1"/>
  <c r="E4041" i="29" s="1"/>
  <c r="E4002" i="29"/>
  <c r="E4003" i="29" s="1"/>
  <c r="E4005" i="29" s="1"/>
  <c r="E4192" i="29"/>
  <c r="E4193" i="29" s="1"/>
  <c r="E4195" i="29" s="1"/>
  <c r="E4026" i="29"/>
  <c r="E4027" i="29" s="1"/>
  <c r="E4029" i="29" s="1"/>
  <c r="E4086" i="29"/>
  <c r="E4085" i="29"/>
  <c r="E4084" i="29"/>
  <c r="E4083" i="29"/>
  <c r="E4082" i="29"/>
  <c r="E4087" i="29" l="1"/>
  <c r="E4088" i="29" s="1"/>
  <c r="E4090" i="29" s="1"/>
  <c r="E1169" i="28"/>
  <c r="E1168" i="28"/>
  <c r="E1167" i="28"/>
  <c r="E1166" i="28"/>
  <c r="E1165" i="28"/>
  <c r="E1164" i="28"/>
  <c r="E1170" i="28" l="1"/>
  <c r="E1171" i="28" s="1"/>
  <c r="E1173" i="28" s="1"/>
  <c r="E3992" i="29"/>
  <c r="E3989" i="29"/>
  <c r="E3988" i="29"/>
  <c r="E3987" i="29"/>
  <c r="E3986" i="29"/>
  <c r="E3985" i="29"/>
  <c r="E3990" i="29" l="1"/>
  <c r="E3991" i="29" s="1"/>
  <c r="E3993" i="29" s="1"/>
  <c r="E3978" i="29"/>
  <c r="E3975" i="29"/>
  <c r="E3974" i="29"/>
  <c r="E3973" i="29"/>
  <c r="E3972" i="29"/>
  <c r="E3971" i="29"/>
  <c r="E3976" i="29" l="1"/>
  <c r="E3977" i="29" s="1"/>
  <c r="E3979" i="29" s="1"/>
  <c r="E3966" i="29"/>
  <c r="E3963" i="29"/>
  <c r="E3962" i="29"/>
  <c r="E3961" i="29"/>
  <c r="E3960" i="29"/>
  <c r="E3959" i="29"/>
  <c r="E3958" i="29"/>
  <c r="E3957" i="29"/>
  <c r="E3956" i="29"/>
  <c r="E3938" i="29"/>
  <c r="E3950" i="29"/>
  <c r="E3947" i="29"/>
  <c r="E3946" i="29"/>
  <c r="E3945" i="29"/>
  <c r="E3944" i="29"/>
  <c r="E3943" i="29"/>
  <c r="E3935" i="29"/>
  <c r="E3934" i="29"/>
  <c r="E3933" i="29"/>
  <c r="E3932" i="29"/>
  <c r="E3931" i="29"/>
  <c r="E3930" i="29"/>
  <c r="E3948" i="29" l="1"/>
  <c r="E3949" i="29" s="1"/>
  <c r="E3951" i="29" s="1"/>
  <c r="E3964" i="29"/>
  <c r="E3936" i="29"/>
  <c r="E3925" i="29"/>
  <c r="E3922" i="29"/>
  <c r="E3921" i="29"/>
  <c r="E3920" i="29"/>
  <c r="E3919" i="29"/>
  <c r="E3918" i="29"/>
  <c r="E3965" i="29" l="1"/>
  <c r="E3967" i="29" s="1"/>
  <c r="E3937" i="29"/>
  <c r="E3939" i="29" s="1"/>
  <c r="E3923" i="29"/>
  <c r="E3924" i="29" s="1"/>
  <c r="E3926" i="29" s="1"/>
  <c r="E3909" i="29" l="1"/>
  <c r="E3908" i="29"/>
  <c r="E3907" i="29"/>
  <c r="E3906" i="29"/>
  <c r="E3905" i="29"/>
  <c r="E3904" i="29"/>
  <c r="E3896" i="29"/>
  <c r="E3895" i="29"/>
  <c r="E3894" i="29"/>
  <c r="E3893" i="29"/>
  <c r="E3892" i="29"/>
  <c r="E3891" i="29"/>
  <c r="E3886" i="29"/>
  <c r="E3883" i="29"/>
  <c r="E3882" i="29"/>
  <c r="E3881" i="29"/>
  <c r="E3880" i="29"/>
  <c r="E3879" i="29"/>
  <c r="E3878" i="29"/>
  <c r="E3877" i="29"/>
  <c r="E3876" i="29"/>
  <c r="E3910" i="29" l="1"/>
  <c r="E3911" i="29" s="1"/>
  <c r="E3913" i="29" s="1"/>
  <c r="E3897" i="29"/>
  <c r="E3898" i="29" s="1"/>
  <c r="E3900" i="29" s="1"/>
  <c r="E3884" i="29"/>
  <c r="E3885" i="29" s="1"/>
  <c r="E3887" i="29" s="1"/>
  <c r="E3870" i="29"/>
  <c r="E3867" i="29"/>
  <c r="E3866" i="29"/>
  <c r="E3865" i="29"/>
  <c r="E3864" i="29"/>
  <c r="E3863" i="29"/>
  <c r="E3862" i="29"/>
  <c r="E3868" i="29" l="1"/>
  <c r="E3869" i="29" s="1"/>
  <c r="E3871" i="29" s="1"/>
  <c r="E1159" i="28"/>
  <c r="E1156" i="28"/>
  <c r="E1155" i="28"/>
  <c r="E1154" i="28"/>
  <c r="E1153" i="28"/>
  <c r="E1152" i="28"/>
  <c r="E1151" i="28"/>
  <c r="E1150" i="28"/>
  <c r="E1149" i="28"/>
  <c r="E1157" i="28" l="1"/>
  <c r="E1158" i="28" s="1"/>
  <c r="E1160" i="28" s="1"/>
  <c r="E3857" i="29"/>
  <c r="E3854" i="29"/>
  <c r="E3853" i="29"/>
  <c r="E3852" i="29"/>
  <c r="E3851" i="29"/>
  <c r="E3850" i="29"/>
  <c r="E3849" i="29"/>
  <c r="E3848" i="29"/>
  <c r="E3847" i="29"/>
  <c r="E3855" i="29" l="1"/>
  <c r="E3856" i="29" s="1"/>
  <c r="E3858" i="29" s="1"/>
  <c r="E3841" i="29"/>
  <c r="E3838" i="29"/>
  <c r="E3837" i="29"/>
  <c r="E3836" i="29"/>
  <c r="E3835" i="29"/>
  <c r="E3834" i="29"/>
  <c r="E3833" i="29"/>
  <c r="E3839" i="29" l="1"/>
  <c r="E3840" i="29" s="1"/>
  <c r="E3842" i="29" s="1"/>
  <c r="E3826" i="29"/>
  <c r="E3823" i="29"/>
  <c r="E3822" i="29"/>
  <c r="E3821" i="29"/>
  <c r="E3820" i="29"/>
  <c r="E3819" i="29"/>
  <c r="E3818" i="29"/>
  <c r="E3824" i="29" l="1"/>
  <c r="E3825" i="29" s="1"/>
  <c r="E3827" i="29" s="1"/>
  <c r="E3811" i="29"/>
  <c r="E3808" i="29"/>
  <c r="E3807" i="29"/>
  <c r="E3806" i="29"/>
  <c r="E3805" i="29"/>
  <c r="E3804" i="29"/>
  <c r="E3803" i="29"/>
  <c r="E3797" i="29"/>
  <c r="E3794" i="29"/>
  <c r="E3793" i="29"/>
  <c r="E3792" i="29"/>
  <c r="E3791" i="29"/>
  <c r="E3790" i="29"/>
  <c r="E3789" i="29"/>
  <c r="E3788" i="29"/>
  <c r="E3787" i="29"/>
  <c r="E3781" i="29"/>
  <c r="E3778" i="29"/>
  <c r="E3777" i="29"/>
  <c r="E3776" i="29"/>
  <c r="E3775" i="29"/>
  <c r="E3774" i="29"/>
  <c r="E3773" i="29"/>
  <c r="E3772" i="29"/>
  <c r="E3771" i="29"/>
  <c r="E3779" i="29" l="1"/>
  <c r="E3780" i="29" s="1"/>
  <c r="E3782" i="29" s="1"/>
  <c r="E3795" i="29"/>
  <c r="E3796" i="29" s="1"/>
  <c r="E3798" i="29" s="1"/>
  <c r="E3809" i="29"/>
  <c r="E3810" i="29" s="1"/>
  <c r="E3812" i="29" s="1"/>
  <c r="E3764" i="29"/>
  <c r="E3761" i="29"/>
  <c r="E3760" i="29"/>
  <c r="E3759" i="29"/>
  <c r="E3758" i="29"/>
  <c r="E3757" i="29"/>
  <c r="E3756" i="29"/>
  <c r="E3755" i="29"/>
  <c r="E3754" i="29"/>
  <c r="E3743" i="29"/>
  <c r="E3742" i="29"/>
  <c r="E3741" i="29"/>
  <c r="E3740" i="29"/>
  <c r="E3739" i="29"/>
  <c r="E3738" i="29"/>
  <c r="E3745" i="29" l="1"/>
  <c r="E3746" i="29" s="1"/>
  <c r="E3748" i="29" s="1"/>
  <c r="E3762" i="29"/>
  <c r="E1143" i="28"/>
  <c r="E1140" i="28"/>
  <c r="E1139" i="28"/>
  <c r="E1138" i="28"/>
  <c r="E1137" i="28"/>
  <c r="E1136" i="28"/>
  <c r="E1135" i="28"/>
  <c r="E1134" i="28"/>
  <c r="E1133" i="28"/>
  <c r="E3733" i="29"/>
  <c r="E3730" i="29"/>
  <c r="E3729" i="29"/>
  <c r="E3728" i="29"/>
  <c r="E3727" i="29"/>
  <c r="E3726" i="29"/>
  <c r="E3725" i="29"/>
  <c r="E3724" i="29"/>
  <c r="E3723" i="29"/>
  <c r="E3763" i="29" l="1"/>
  <c r="E3765" i="29" s="1"/>
  <c r="E1141" i="28"/>
  <c r="E1142" i="28" s="1"/>
  <c r="E1144" i="28" s="1"/>
  <c r="E3731" i="29"/>
  <c r="E3716" i="29"/>
  <c r="E3713" i="29"/>
  <c r="E3712" i="29"/>
  <c r="E3711" i="29"/>
  <c r="E3710" i="29"/>
  <c r="E3709" i="29"/>
  <c r="E3708" i="29"/>
  <c r="E3707" i="29"/>
  <c r="E3706" i="29"/>
  <c r="E3732" i="29" l="1"/>
  <c r="E3734" i="29" s="1"/>
  <c r="E3714" i="29"/>
  <c r="E3715" i="29" s="1"/>
  <c r="E3717" i="29" s="1"/>
  <c r="E3699" i="29"/>
  <c r="E3696" i="29"/>
  <c r="E3695" i="29"/>
  <c r="E3694" i="29"/>
  <c r="E3693" i="29"/>
  <c r="E3692" i="29"/>
  <c r="E3688" i="29"/>
  <c r="E3685" i="29"/>
  <c r="E3684" i="29"/>
  <c r="E3683" i="29"/>
  <c r="E3682" i="29"/>
  <c r="E3681" i="29"/>
  <c r="E3697" i="29" l="1"/>
  <c r="E3698" i="29" s="1"/>
  <c r="E3700" i="29" s="1"/>
  <c r="E3686" i="29"/>
  <c r="E3687" i="29" s="1"/>
  <c r="E3689" i="29" s="1"/>
  <c r="E3671" i="29" l="1"/>
  <c r="E3670" i="29"/>
  <c r="E3669" i="29"/>
  <c r="E3668" i="29"/>
  <c r="E3667" i="29"/>
  <c r="E3666" i="29"/>
  <c r="E3657" i="29"/>
  <c r="E3656" i="29"/>
  <c r="E3655" i="29"/>
  <c r="E3654" i="29"/>
  <c r="E3653" i="29"/>
  <c r="E3652" i="29"/>
  <c r="E3659" i="29" l="1"/>
  <c r="E3660" i="29" s="1"/>
  <c r="E3662" i="29" s="1"/>
  <c r="E3673" i="29"/>
  <c r="E3674" i="29" s="1"/>
  <c r="E3676" i="29" s="1"/>
  <c r="E3643" i="29"/>
  <c r="E3642" i="29"/>
  <c r="E3641" i="29"/>
  <c r="E3640" i="29"/>
  <c r="E3639" i="29"/>
  <c r="E3638" i="29"/>
  <c r="E3628" i="29"/>
  <c r="E3627" i="29"/>
  <c r="E3626" i="29"/>
  <c r="E3625" i="29"/>
  <c r="E3624" i="29"/>
  <c r="E3623" i="29"/>
  <c r="E3630" i="29" l="1"/>
  <c r="E3631" i="29" s="1"/>
  <c r="E3633" i="29" s="1"/>
  <c r="E3645" i="29"/>
  <c r="E3646" i="29" s="1"/>
  <c r="E3648" i="29" s="1"/>
  <c r="E3618" i="29"/>
  <c r="E3615" i="29"/>
  <c r="E3614" i="29"/>
  <c r="E3613" i="29"/>
  <c r="E3612" i="29"/>
  <c r="E3611" i="29"/>
  <c r="E3616" i="29" l="1"/>
  <c r="E3617" i="29" s="1"/>
  <c r="E3619" i="29" s="1"/>
  <c r="E3605" i="29"/>
  <c r="E3602" i="29"/>
  <c r="E3601" i="29"/>
  <c r="E3600" i="29"/>
  <c r="E3599" i="29"/>
  <c r="E3598" i="29"/>
  <c r="E1123" i="28"/>
  <c r="E1122" i="28"/>
  <c r="E1121" i="28"/>
  <c r="E1120" i="28"/>
  <c r="E1119" i="28"/>
  <c r="E1118" i="28"/>
  <c r="E3603" i="29" l="1"/>
  <c r="E1124" i="28"/>
  <c r="E1125" i="28" s="1"/>
  <c r="E1127" i="28" s="1"/>
  <c r="E3604" i="29" l="1"/>
  <c r="E3606" i="29" s="1"/>
  <c r="E3588" i="29"/>
  <c r="E3587" i="29"/>
  <c r="E3586" i="29"/>
  <c r="E3585" i="29"/>
  <c r="E3584" i="29"/>
  <c r="E3583" i="29"/>
  <c r="E3574" i="29"/>
  <c r="E3573" i="29"/>
  <c r="E3572" i="29"/>
  <c r="E3571" i="29"/>
  <c r="E3570" i="29"/>
  <c r="E3569" i="29"/>
  <c r="E3590" i="29" l="1"/>
  <c r="E3591" i="29" s="1"/>
  <c r="E3593" i="29" s="1"/>
  <c r="E3576" i="29"/>
  <c r="E3577" i="29" s="1"/>
  <c r="E3579" i="29" s="1"/>
  <c r="E3559" i="29"/>
  <c r="E3558" i="29"/>
  <c r="E3557" i="29"/>
  <c r="E3556" i="29"/>
  <c r="E3555" i="29"/>
  <c r="E3554" i="29"/>
  <c r="E3561" i="29" l="1"/>
  <c r="E3562" i="29" s="1"/>
  <c r="E3564" i="29" s="1"/>
  <c r="E1110" i="28"/>
  <c r="E1109" i="28"/>
  <c r="E1108" i="28"/>
  <c r="E1107" i="28"/>
  <c r="E1106" i="28"/>
  <c r="E1105" i="28"/>
  <c r="E1097" i="28"/>
  <c r="E1096" i="28"/>
  <c r="E1095" i="28"/>
  <c r="E1094" i="28"/>
  <c r="E1093" i="28"/>
  <c r="E1092" i="28"/>
  <c r="E3549" i="29"/>
  <c r="E3546" i="29"/>
  <c r="E3545" i="29"/>
  <c r="E3544" i="29"/>
  <c r="E3543" i="29"/>
  <c r="E3542" i="29"/>
  <c r="E3541" i="29"/>
  <c r="E3540" i="29"/>
  <c r="E3539" i="29"/>
  <c r="E1111" i="28" l="1"/>
  <c r="E1112" i="28" s="1"/>
  <c r="E1114" i="28" s="1"/>
  <c r="E1098" i="28"/>
  <c r="E1099" i="28" s="1"/>
  <c r="E1101" i="28" s="1"/>
  <c r="E3547" i="29"/>
  <c r="E3548" i="29" s="1"/>
  <c r="E3550" i="29" s="1"/>
  <c r="E3529" i="29"/>
  <c r="E3528" i="29"/>
  <c r="E3527" i="29"/>
  <c r="E3526" i="29"/>
  <c r="E3525" i="29"/>
  <c r="E3524" i="29"/>
  <c r="E3530" i="29" l="1"/>
  <c r="E3531" i="29" s="1"/>
  <c r="E3533" i="29" s="1"/>
  <c r="E3519" i="29"/>
  <c r="E3516" i="29"/>
  <c r="E3515" i="29"/>
  <c r="E3514" i="29"/>
  <c r="E3513" i="29"/>
  <c r="E3512" i="29"/>
  <c r="K3507" i="29"/>
  <c r="K3504" i="29"/>
  <c r="K3503" i="29"/>
  <c r="K3502" i="29"/>
  <c r="K3501" i="29"/>
  <c r="K3500" i="29"/>
  <c r="E3507" i="29"/>
  <c r="E3504" i="29"/>
  <c r="E3503" i="29"/>
  <c r="E3502" i="29"/>
  <c r="E3501" i="29"/>
  <c r="E3500" i="29"/>
  <c r="K3505" i="29" l="1"/>
  <c r="K3508" i="29" s="1"/>
  <c r="E3517" i="29"/>
  <c r="E3518" i="29" s="1"/>
  <c r="E3520" i="29" s="1"/>
  <c r="E3505" i="29"/>
  <c r="E3494" i="29"/>
  <c r="E3491" i="29"/>
  <c r="E3490" i="29"/>
  <c r="E3489" i="29"/>
  <c r="E3488" i="29"/>
  <c r="E3487" i="29"/>
  <c r="E3482" i="29"/>
  <c r="E3479" i="29"/>
  <c r="E3478" i="29"/>
  <c r="E3477" i="29"/>
  <c r="E3476" i="29"/>
  <c r="E3475" i="29"/>
  <c r="E1087" i="28"/>
  <c r="E1084" i="28"/>
  <c r="E1083" i="28"/>
  <c r="E1082" i="28"/>
  <c r="E1081" i="28"/>
  <c r="E1080" i="28"/>
  <c r="E1079" i="28"/>
  <c r="E1078" i="28"/>
  <c r="E1077" i="28"/>
  <c r="E1071" i="28"/>
  <c r="E1068" i="28"/>
  <c r="E1067" i="28"/>
  <c r="E1066" i="28"/>
  <c r="E1065" i="28"/>
  <c r="E1064" i="28"/>
  <c r="E1063" i="28"/>
  <c r="E1062" i="28"/>
  <c r="E1061" i="28"/>
  <c r="E1055" i="28"/>
  <c r="E1052" i="28"/>
  <c r="E1051" i="28"/>
  <c r="E1050" i="28"/>
  <c r="E1049" i="28"/>
  <c r="E1048" i="28"/>
  <c r="E1047" i="28"/>
  <c r="E1046" i="28"/>
  <c r="E1045" i="28"/>
  <c r="E3506" i="29" l="1"/>
  <c r="E3508" i="29" s="1"/>
  <c r="E3492" i="29"/>
  <c r="E3493" i="29" s="1"/>
  <c r="E3495" i="29" s="1"/>
  <c r="E3480" i="29"/>
  <c r="E3481" i="29" s="1"/>
  <c r="E3483" i="29" s="1"/>
  <c r="E1085" i="28"/>
  <c r="E1086" i="28" s="1"/>
  <c r="E1088" i="28" s="1"/>
  <c r="E1069" i="28"/>
  <c r="E1070" i="28" s="1"/>
  <c r="E1072" i="28" s="1"/>
  <c r="E1053" i="28"/>
  <c r="E1054" i="28" s="1"/>
  <c r="E1056" i="28" s="1"/>
  <c r="E3467" i="29"/>
  <c r="E3466" i="29"/>
  <c r="E3465" i="29"/>
  <c r="E3464" i="29"/>
  <c r="E3463" i="29"/>
  <c r="E3462" i="29"/>
  <c r="E3454" i="29"/>
  <c r="E3453" i="29"/>
  <c r="E3452" i="29"/>
  <c r="E3451" i="29"/>
  <c r="E3450" i="29"/>
  <c r="E3449" i="29"/>
  <c r="E3441" i="29"/>
  <c r="E3440" i="29"/>
  <c r="E3439" i="29"/>
  <c r="E3438" i="29"/>
  <c r="E3437" i="29"/>
  <c r="E3436" i="29"/>
  <c r="E3455" i="29" l="1"/>
  <c r="E3456" i="29" s="1"/>
  <c r="E3458" i="29" s="1"/>
  <c r="E3468" i="29"/>
  <c r="E3469" i="29" s="1"/>
  <c r="E3471" i="29" s="1"/>
  <c r="E3442" i="29"/>
  <c r="E3443" i="29" s="1"/>
  <c r="E3445" i="29" s="1"/>
  <c r="E3431" i="29"/>
  <c r="E3428" i="29"/>
  <c r="E3427" i="29"/>
  <c r="E3426" i="29"/>
  <c r="E3425" i="29"/>
  <c r="E3424" i="29"/>
  <c r="E3429" i="29" l="1"/>
  <c r="E3430" i="29" s="1"/>
  <c r="E3432" i="29" s="1"/>
  <c r="E1039" i="28"/>
  <c r="E1036" i="28"/>
  <c r="E1035" i="28"/>
  <c r="E1034" i="28"/>
  <c r="E1033" i="28"/>
  <c r="E1032" i="28"/>
  <c r="E1031" i="28"/>
  <c r="E1030" i="28"/>
  <c r="E1029" i="28"/>
  <c r="E3418" i="29"/>
  <c r="E3415" i="29"/>
  <c r="E3414" i="29"/>
  <c r="E3413" i="29"/>
  <c r="E3412" i="29"/>
  <c r="E3411" i="29"/>
  <c r="E3406" i="29"/>
  <c r="E3403" i="29"/>
  <c r="E3402" i="29"/>
  <c r="E3401" i="29"/>
  <c r="E3400" i="29"/>
  <c r="E3399" i="29"/>
  <c r="E3404" i="29" l="1"/>
  <c r="E3405" i="29" s="1"/>
  <c r="E3407" i="29" s="1"/>
  <c r="E1037" i="28"/>
  <c r="E1038" i="28" s="1"/>
  <c r="E1040" i="28" s="1"/>
  <c r="E3416" i="29"/>
  <c r="E3417" i="29" s="1"/>
  <c r="E3419" i="29" s="1"/>
  <c r="E1020" i="28"/>
  <c r="E1019" i="28"/>
  <c r="E1018" i="28"/>
  <c r="E1017" i="28"/>
  <c r="E1016" i="28"/>
  <c r="E1015" i="28"/>
  <c r="E1021" i="28" l="1"/>
  <c r="E1022" i="28" s="1"/>
  <c r="E1024" i="28" s="1"/>
  <c r="E3389" i="29"/>
  <c r="E3388" i="29"/>
  <c r="E3387" i="29"/>
  <c r="E3386" i="29"/>
  <c r="E3385" i="29"/>
  <c r="E3384" i="29"/>
  <c r="E1010" i="28"/>
  <c r="E1007" i="28"/>
  <c r="E1006" i="28"/>
  <c r="E1005" i="28"/>
  <c r="E1004" i="28"/>
  <c r="E1003" i="28"/>
  <c r="E1002" i="28"/>
  <c r="E1001" i="28"/>
  <c r="E1000" i="28"/>
  <c r="E3390" i="29" l="1"/>
  <c r="E1008" i="28"/>
  <c r="E1009" i="28" s="1"/>
  <c r="E1011" i="28" s="1"/>
  <c r="E3379" i="29"/>
  <c r="E3376" i="29"/>
  <c r="E3375" i="29"/>
  <c r="E3374" i="29"/>
  <c r="E3373" i="29"/>
  <c r="E3372" i="29"/>
  <c r="E3371" i="29"/>
  <c r="E3365" i="29"/>
  <c r="E3362" i="29"/>
  <c r="E3361" i="29"/>
  <c r="E3360" i="29"/>
  <c r="E3359" i="29"/>
  <c r="E3358" i="29"/>
  <c r="E3357" i="29"/>
  <c r="E3352" i="29"/>
  <c r="E3349" i="29"/>
  <c r="E3348" i="29"/>
  <c r="E3347" i="29"/>
  <c r="E3346" i="29"/>
  <c r="E3345" i="29"/>
  <c r="E3344" i="29"/>
  <c r="E3339" i="29"/>
  <c r="E3336" i="29"/>
  <c r="E3335" i="29"/>
  <c r="E3334" i="29"/>
  <c r="E3333" i="29"/>
  <c r="E3332" i="29"/>
  <c r="E3331" i="29"/>
  <c r="E3326" i="29"/>
  <c r="E3323" i="29"/>
  <c r="E3322" i="29"/>
  <c r="E3321" i="29"/>
  <c r="E3320" i="29"/>
  <c r="E3319" i="29"/>
  <c r="E3318" i="29"/>
  <c r="E3350" i="29" l="1"/>
  <c r="E3351" i="29" s="1"/>
  <c r="E3353" i="29" s="1"/>
  <c r="E3377" i="29"/>
  <c r="E3378" i="29" s="1"/>
  <c r="E3380" i="29" s="1"/>
  <c r="E3391" i="29"/>
  <c r="E3393" i="29" s="1"/>
  <c r="E3363" i="29"/>
  <c r="E3337" i="29"/>
  <c r="E3338" i="29" s="1"/>
  <c r="E3340" i="29" s="1"/>
  <c r="E3324" i="29"/>
  <c r="E3325" i="29" s="1"/>
  <c r="E3327" i="29" s="1"/>
  <c r="E3364" i="29" l="1"/>
  <c r="E3366" i="29" s="1"/>
  <c r="E3313" i="29"/>
  <c r="E3310" i="29"/>
  <c r="E3309" i="29"/>
  <c r="E3308" i="29"/>
  <c r="E3307" i="29"/>
  <c r="E3306" i="29"/>
  <c r="E991" i="28"/>
  <c r="E990" i="28"/>
  <c r="E989" i="28"/>
  <c r="E988" i="28"/>
  <c r="E987" i="28"/>
  <c r="E986" i="28"/>
  <c r="E3311" i="29" l="1"/>
  <c r="E3312" i="29" s="1"/>
  <c r="E3314" i="29" s="1"/>
  <c r="E992" i="28"/>
  <c r="E993" i="28" s="1"/>
  <c r="E995" i="28" s="1"/>
  <c r="E981" i="28"/>
  <c r="E978" i="28"/>
  <c r="E977" i="28"/>
  <c r="E976" i="28"/>
  <c r="E975" i="28"/>
  <c r="E974" i="28"/>
  <c r="E973" i="28"/>
  <c r="E972" i="28"/>
  <c r="E971" i="28"/>
  <c r="E962" i="28"/>
  <c r="E961" i="28"/>
  <c r="E960" i="28"/>
  <c r="E959" i="28"/>
  <c r="E958" i="28"/>
  <c r="E957" i="28"/>
  <c r="E963" i="28" l="1"/>
  <c r="E964" i="28" s="1"/>
  <c r="E966" i="28" s="1"/>
  <c r="E979" i="28"/>
  <c r="E980" i="28" s="1"/>
  <c r="E982" i="28" s="1"/>
  <c r="E952" i="28" l="1"/>
  <c r="E949" i="28"/>
  <c r="E948" i="28"/>
  <c r="E947" i="28"/>
  <c r="E946" i="28"/>
  <c r="E945" i="28"/>
  <c r="E944" i="28"/>
  <c r="E950" i="28" l="1"/>
  <c r="E951" i="28" s="1"/>
  <c r="E953" i="28" s="1"/>
  <c r="E3300" i="29"/>
  <c r="E3297" i="29"/>
  <c r="E3296" i="29"/>
  <c r="E3295" i="29"/>
  <c r="E3294" i="29"/>
  <c r="E3293" i="29"/>
  <c r="E3292" i="29"/>
  <c r="E3298" i="29" l="1"/>
  <c r="E3299" i="29" s="1"/>
  <c r="E3301" i="29" s="1"/>
  <c r="E3287" i="29"/>
  <c r="E3284" i="29"/>
  <c r="E3283" i="29"/>
  <c r="E3282" i="29"/>
  <c r="E3281" i="29"/>
  <c r="E3280" i="29"/>
  <c r="E3279" i="29"/>
  <c r="E939" i="28"/>
  <c r="E936" i="28"/>
  <c r="E935" i="28"/>
  <c r="E934" i="28"/>
  <c r="E933" i="28"/>
  <c r="E932" i="28"/>
  <c r="E931" i="28"/>
  <c r="E926" i="28"/>
  <c r="E923" i="28"/>
  <c r="E922" i="28"/>
  <c r="E921" i="28"/>
  <c r="E920" i="28"/>
  <c r="E919" i="28"/>
  <c r="E918" i="28"/>
  <c r="E937" i="28" l="1"/>
  <c r="E938" i="28" s="1"/>
  <c r="E940" i="28" s="1"/>
  <c r="E924" i="28"/>
  <c r="E925" i="28" s="1"/>
  <c r="E927" i="28" s="1"/>
  <c r="E3285" i="29"/>
  <c r="E3286" i="29" s="1"/>
  <c r="E3288" i="29" s="1"/>
  <c r="E913" i="28" l="1"/>
  <c r="E910" i="28"/>
  <c r="E909" i="28"/>
  <c r="E908" i="28"/>
  <c r="E907" i="28"/>
  <c r="E906" i="28"/>
  <c r="E905" i="28"/>
  <c r="E3273" i="29"/>
  <c r="E3270" i="29"/>
  <c r="E3269" i="29"/>
  <c r="E3268" i="29"/>
  <c r="E3267" i="29"/>
  <c r="E3266" i="29"/>
  <c r="E3265" i="29"/>
  <c r="E3264" i="29"/>
  <c r="E3263" i="29"/>
  <c r="E911" i="28" l="1"/>
  <c r="E912" i="28" s="1"/>
  <c r="E914" i="28" s="1"/>
  <c r="E3271" i="29"/>
  <c r="E3272" i="29" s="1"/>
  <c r="E3274" i="29" s="1"/>
  <c r="E3256" i="29"/>
  <c r="E3253" i="29"/>
  <c r="E3252" i="29"/>
  <c r="E3251" i="29"/>
  <c r="E3250" i="29"/>
  <c r="E3249" i="29"/>
  <c r="E3248" i="29"/>
  <c r="E3254" i="29" l="1"/>
  <c r="E3255" i="29" l="1"/>
  <c r="E3257" i="29" s="1"/>
  <c r="E3234" i="29"/>
  <c r="E3235" i="29"/>
  <c r="E3236" i="29"/>
  <c r="E3237" i="29"/>
  <c r="E3238" i="29"/>
  <c r="E3241" i="29"/>
  <c r="E3239" i="29" l="1"/>
  <c r="E3240" i="29" s="1"/>
  <c r="E3242" i="29" s="1"/>
  <c r="E205" i="24" l="1"/>
  <c r="E202" i="24"/>
  <c r="E201" i="24"/>
  <c r="E200" i="24"/>
  <c r="E199" i="24"/>
  <c r="E198" i="24"/>
  <c r="E203" i="24" s="1"/>
  <c r="E204" i="24" s="1"/>
  <c r="E206" i="24" s="1"/>
  <c r="E190" i="24"/>
  <c r="E187" i="24"/>
  <c r="E186" i="24"/>
  <c r="E185" i="24"/>
  <c r="E184" i="24"/>
  <c r="E183" i="24"/>
  <c r="E188" i="24" l="1"/>
  <c r="E189" i="24" l="1"/>
  <c r="E191" i="24" s="1"/>
  <c r="E3227" i="29" l="1"/>
  <c r="E3224" i="29"/>
  <c r="E3223" i="29"/>
  <c r="E3222" i="29"/>
  <c r="E3221" i="29"/>
  <c r="E3220" i="29"/>
  <c r="E3219" i="29"/>
  <c r="E3212" i="29"/>
  <c r="E3209" i="29"/>
  <c r="E3208" i="29"/>
  <c r="E3207" i="29"/>
  <c r="E3206" i="29"/>
  <c r="E3205" i="29"/>
  <c r="E3204" i="29"/>
  <c r="E3198" i="29"/>
  <c r="E3195" i="29"/>
  <c r="E3194" i="29"/>
  <c r="E3193" i="29"/>
  <c r="E3192" i="29"/>
  <c r="E3191" i="29"/>
  <c r="E3190" i="29"/>
  <c r="E3184" i="29"/>
  <c r="E3181" i="29"/>
  <c r="E3180" i="29"/>
  <c r="E3179" i="29"/>
  <c r="E3178" i="29"/>
  <c r="E3177" i="29"/>
  <c r="E3176" i="29"/>
  <c r="E3210" i="29" l="1"/>
  <c r="E3225" i="29"/>
  <c r="E3226" i="29" s="1"/>
  <c r="E3211" i="29"/>
  <c r="E3213" i="29" s="1"/>
  <c r="E3228" i="29"/>
  <c r="E3196" i="29"/>
  <c r="E3182" i="29"/>
  <c r="E3168" i="29"/>
  <c r="E3165" i="29"/>
  <c r="E3164" i="29"/>
  <c r="E3163" i="29"/>
  <c r="E3162" i="29"/>
  <c r="E3161" i="29"/>
  <c r="E3160" i="29"/>
  <c r="E3159" i="29"/>
  <c r="E3158" i="29"/>
  <c r="E3150" i="29"/>
  <c r="E3147" i="29"/>
  <c r="E3146" i="29"/>
  <c r="E3145" i="29"/>
  <c r="E3144" i="29"/>
  <c r="E3143" i="29"/>
  <c r="E3142" i="29"/>
  <c r="E3141" i="29"/>
  <c r="E3140" i="29"/>
  <c r="E897" i="28"/>
  <c r="E896" i="28"/>
  <c r="E895" i="28"/>
  <c r="E894" i="28"/>
  <c r="E893" i="28"/>
  <c r="E892" i="28"/>
  <c r="E898" i="28" l="1"/>
  <c r="E899" i="28" s="1"/>
  <c r="E901" i="28" s="1"/>
  <c r="E3183" i="29"/>
  <c r="E3185" i="29" s="1"/>
  <c r="E3197" i="29"/>
  <c r="E3199" i="29" s="1"/>
  <c r="E3166" i="29"/>
  <c r="E3167" i="29" s="1"/>
  <c r="E3169" i="29" s="1"/>
  <c r="E3148" i="29"/>
  <c r="E3149" i="29" s="1"/>
  <c r="E3151" i="29" s="1"/>
  <c r="E3132" i="29"/>
  <c r="E3129" i="29"/>
  <c r="E3128" i="29"/>
  <c r="E3127" i="29"/>
  <c r="E3126" i="29"/>
  <c r="E3125" i="29"/>
  <c r="E3124" i="29"/>
  <c r="E3123" i="29"/>
  <c r="E3122" i="29"/>
  <c r="E3130" i="29" l="1"/>
  <c r="E3114" i="29"/>
  <c r="E3111" i="29"/>
  <c r="E3110" i="29"/>
  <c r="E3109" i="29"/>
  <c r="E3108" i="29"/>
  <c r="E3107" i="29"/>
  <c r="E3106" i="29"/>
  <c r="E3131" i="29" l="1"/>
  <c r="E3133" i="29" s="1"/>
  <c r="E3112" i="29"/>
  <c r="E3113" i="29" s="1"/>
  <c r="E3115" i="29" s="1"/>
  <c r="E3100" i="29"/>
  <c r="E3097" i="29"/>
  <c r="E3096" i="29"/>
  <c r="E3095" i="29"/>
  <c r="E3094" i="29"/>
  <c r="E3093" i="29"/>
  <c r="E3088" i="29"/>
  <c r="E3085" i="29"/>
  <c r="E3084" i="29"/>
  <c r="E3083" i="29"/>
  <c r="E3082" i="29"/>
  <c r="E3081" i="29"/>
  <c r="E3080" i="29"/>
  <c r="E3079" i="29"/>
  <c r="E3078" i="29"/>
  <c r="E3086" i="29" l="1"/>
  <c r="E3087" i="29" s="1"/>
  <c r="E3089" i="29" s="1"/>
  <c r="E3098" i="29"/>
  <c r="E3099" i="29" s="1"/>
  <c r="E3101" i="29" s="1"/>
  <c r="E883" i="28"/>
  <c r="E882" i="28"/>
  <c r="E881" i="28"/>
  <c r="E880" i="28"/>
  <c r="E879" i="28"/>
  <c r="E878" i="28"/>
  <c r="E884" i="28" l="1"/>
  <c r="E3070" i="29"/>
  <c r="E3067" i="29"/>
  <c r="E3066" i="29"/>
  <c r="E3065" i="29"/>
  <c r="E3064" i="29"/>
  <c r="E3063" i="29"/>
  <c r="E3062" i="29"/>
  <c r="E3061" i="29"/>
  <c r="E3060" i="29"/>
  <c r="E3052" i="29"/>
  <c r="E3049" i="29"/>
  <c r="E3048" i="29"/>
  <c r="E3047" i="29"/>
  <c r="E3046" i="29"/>
  <c r="E3045" i="29"/>
  <c r="E3044" i="29"/>
  <c r="E3043" i="29"/>
  <c r="E3042" i="29"/>
  <c r="E885" i="28" l="1"/>
  <c r="E887" i="28" s="1"/>
  <c r="E3068" i="29"/>
  <c r="E3050" i="29"/>
  <c r="E3051" i="29" s="1"/>
  <c r="E3053" i="29" s="1"/>
  <c r="E3034" i="29"/>
  <c r="E3031" i="29"/>
  <c r="E3030" i="29"/>
  <c r="E3029" i="29"/>
  <c r="E3028" i="29"/>
  <c r="E3027" i="29"/>
  <c r="E3026" i="29"/>
  <c r="E3032" i="29" l="1"/>
  <c r="E3033" i="29" s="1"/>
  <c r="E3035" i="29" s="1"/>
  <c r="E3069" i="29"/>
  <c r="E3071" i="29" s="1"/>
  <c r="E3020" i="29"/>
  <c r="E3017" i="29"/>
  <c r="E3016" i="29"/>
  <c r="E3015" i="29"/>
  <c r="E3014" i="29"/>
  <c r="E3013" i="29"/>
  <c r="E3012" i="29"/>
  <c r="E3018" i="29" l="1"/>
  <c r="E3019" i="29" s="1"/>
  <c r="E3021" i="29" s="1"/>
  <c r="E873" i="28" l="1"/>
  <c r="E870" i="28"/>
  <c r="E869" i="28"/>
  <c r="E868" i="28"/>
  <c r="E867" i="28"/>
  <c r="E866" i="28"/>
  <c r="E871" i="28" l="1"/>
  <c r="E872" i="28" s="1"/>
  <c r="E874" i="28" s="1"/>
  <c r="E3007" i="29"/>
  <c r="E3004" i="29"/>
  <c r="E3003" i="29"/>
  <c r="E3002" i="29"/>
  <c r="E3001" i="29"/>
  <c r="E3000" i="29"/>
  <c r="E2999" i="29"/>
  <c r="E2993" i="29"/>
  <c r="E2990" i="29"/>
  <c r="E2989" i="29"/>
  <c r="E2988" i="29"/>
  <c r="E2987" i="29"/>
  <c r="E2986" i="29"/>
  <c r="E2985" i="29"/>
  <c r="E3005" i="29" l="1"/>
  <c r="E3006" i="29" s="1"/>
  <c r="E3008" i="29" s="1"/>
  <c r="E2991" i="29"/>
  <c r="E2992" i="29" s="1"/>
  <c r="E2994" i="29" s="1"/>
  <c r="E2979" i="29"/>
  <c r="E2976" i="29"/>
  <c r="E2975" i="29"/>
  <c r="E2974" i="29"/>
  <c r="E2973" i="29"/>
  <c r="E2972" i="29"/>
  <c r="E2977" i="29" l="1"/>
  <c r="E2978" i="29" s="1"/>
  <c r="E2980" i="29" s="1"/>
  <c r="E2967" i="29"/>
  <c r="E2964" i="29"/>
  <c r="E2963" i="29"/>
  <c r="E2962" i="29"/>
  <c r="E2961" i="29"/>
  <c r="E2960" i="29"/>
  <c r="E2965" i="29" l="1"/>
  <c r="E2966" i="29" s="1"/>
  <c r="E2968" i="29" s="1"/>
  <c r="E861" i="28"/>
  <c r="E858" i="28"/>
  <c r="E857" i="28"/>
  <c r="E856" i="28"/>
  <c r="E855" i="28"/>
  <c r="E854" i="28"/>
  <c r="E859" i="28" l="1"/>
  <c r="E860" i="28" s="1"/>
  <c r="E848" i="28"/>
  <c r="E845" i="28"/>
  <c r="E844" i="28"/>
  <c r="E843" i="28"/>
  <c r="E842" i="28"/>
  <c r="E841" i="28"/>
  <c r="E840" i="28"/>
  <c r="E846" i="28" l="1"/>
  <c r="E847" i="28" s="1"/>
  <c r="E849" i="28" s="1"/>
  <c r="E2955" i="29" l="1"/>
  <c r="E2952" i="29"/>
  <c r="E2951" i="29"/>
  <c r="E2950" i="29"/>
  <c r="E2949" i="29"/>
  <c r="E2948" i="29"/>
  <c r="E2947" i="29"/>
  <c r="E2941" i="29"/>
  <c r="E2938" i="29"/>
  <c r="E2937" i="29"/>
  <c r="E2936" i="29"/>
  <c r="E2935" i="29"/>
  <c r="E2934" i="29"/>
  <c r="E2933" i="29"/>
  <c r="E2928" i="29"/>
  <c r="E2925" i="29"/>
  <c r="E2924" i="29"/>
  <c r="E2923" i="29"/>
  <c r="E2922" i="29"/>
  <c r="E2921" i="29"/>
  <c r="E2920" i="29"/>
  <c r="E2919" i="29"/>
  <c r="E2918" i="29"/>
  <c r="E2911" i="29"/>
  <c r="E2908" i="29"/>
  <c r="E2907" i="29"/>
  <c r="E2906" i="29"/>
  <c r="E2905" i="29"/>
  <c r="E2904" i="29"/>
  <c r="E2903" i="29"/>
  <c r="K2897" i="29"/>
  <c r="K2894" i="29"/>
  <c r="K2893" i="29"/>
  <c r="K2892" i="29"/>
  <c r="K2891" i="29"/>
  <c r="K2890" i="29"/>
  <c r="K2889" i="29"/>
  <c r="K2888" i="29"/>
  <c r="K2887" i="29"/>
  <c r="K2881" i="29"/>
  <c r="K2878" i="29"/>
  <c r="K2877" i="29"/>
  <c r="K2876" i="29"/>
  <c r="K2875" i="29"/>
  <c r="K2874" i="29"/>
  <c r="K2873" i="29"/>
  <c r="E2897" i="29"/>
  <c r="E2894" i="29"/>
  <c r="E2893" i="29"/>
  <c r="E2892" i="29"/>
  <c r="E2891" i="29"/>
  <c r="E2890" i="29"/>
  <c r="E2889" i="29"/>
  <c r="E2888" i="29"/>
  <c r="E2887" i="29"/>
  <c r="E2881" i="29"/>
  <c r="E2878" i="29"/>
  <c r="E2877" i="29"/>
  <c r="E2876" i="29"/>
  <c r="E2875" i="29"/>
  <c r="E2874" i="29"/>
  <c r="E2873" i="29"/>
  <c r="K2895" i="29" l="1"/>
  <c r="E2939" i="29"/>
  <c r="E2940" i="29" s="1"/>
  <c r="E2953" i="29"/>
  <c r="E2954" i="29" s="1"/>
  <c r="E2956" i="29" s="1"/>
  <c r="E2942" i="29"/>
  <c r="K2896" i="29"/>
  <c r="K2898" i="29" s="1"/>
  <c r="E2879" i="29"/>
  <c r="E2909" i="29"/>
  <c r="E2910" i="29" s="1"/>
  <c r="E2926" i="29"/>
  <c r="E2929" i="29" s="1"/>
  <c r="E2912" i="29"/>
  <c r="E2895" i="29"/>
  <c r="K2879" i="29"/>
  <c r="E2867" i="29"/>
  <c r="E2864" i="29"/>
  <c r="E2863" i="29"/>
  <c r="E2862" i="29"/>
  <c r="E2861" i="29"/>
  <c r="E2860" i="29"/>
  <c r="E2859" i="29"/>
  <c r="E2858" i="29"/>
  <c r="E2857" i="29"/>
  <c r="E2851" i="29"/>
  <c r="E2848" i="29"/>
  <c r="E2847" i="29"/>
  <c r="E2846" i="29"/>
  <c r="E2845" i="29"/>
  <c r="E2844" i="29"/>
  <c r="E2843" i="29"/>
  <c r="E2849" i="29" l="1"/>
  <c r="E2850" i="29" s="1"/>
  <c r="E2852" i="29" s="1"/>
  <c r="K2880" i="29"/>
  <c r="K2882" i="29" s="1"/>
  <c r="E2880" i="29"/>
  <c r="E2882" i="29" s="1"/>
  <c r="E2896" i="29"/>
  <c r="E2898" i="29" s="1"/>
  <c r="E2865" i="29"/>
  <c r="E2866" i="29" s="1"/>
  <c r="E2868" i="29" s="1"/>
  <c r="E2838" i="29"/>
  <c r="E2835" i="29"/>
  <c r="E2834" i="29"/>
  <c r="E2833" i="29"/>
  <c r="E2832" i="29"/>
  <c r="E2831" i="29"/>
  <c r="E2830" i="29"/>
  <c r="E2824" i="29"/>
  <c r="E2821" i="29"/>
  <c r="E2820" i="29"/>
  <c r="E2819" i="29"/>
  <c r="E2818" i="29"/>
  <c r="E2817" i="29"/>
  <c r="E2816" i="29"/>
  <c r="E2810" i="29"/>
  <c r="E2807" i="29"/>
  <c r="E2806" i="29"/>
  <c r="E2805" i="29"/>
  <c r="E2804" i="29"/>
  <c r="E2803" i="29"/>
  <c r="E2802" i="29"/>
  <c r="E2797" i="29"/>
  <c r="E2794" i="29"/>
  <c r="E2793" i="29"/>
  <c r="E2792" i="29"/>
  <c r="E2791" i="29"/>
  <c r="E2790" i="29"/>
  <c r="E2784" i="29"/>
  <c r="E2781" i="29"/>
  <c r="E2780" i="29"/>
  <c r="E2779" i="29"/>
  <c r="E2778" i="29"/>
  <c r="E2777" i="29"/>
  <c r="E2776" i="29"/>
  <c r="E831" i="28"/>
  <c r="E830" i="28"/>
  <c r="E829" i="28"/>
  <c r="E828" i="28"/>
  <c r="E827" i="28"/>
  <c r="E826" i="28"/>
  <c r="E2836" i="29" l="1"/>
  <c r="E2837" i="29" s="1"/>
  <c r="E2839" i="29" s="1"/>
  <c r="E2808" i="29"/>
  <c r="E2809" i="29" s="1"/>
  <c r="E2811" i="29" s="1"/>
  <c r="E2822" i="29"/>
  <c r="E2823" i="29" s="1"/>
  <c r="E2825" i="29" s="1"/>
  <c r="E2795" i="29"/>
  <c r="E2796" i="29" s="1"/>
  <c r="E2798" i="29" s="1"/>
  <c r="E2782" i="29"/>
  <c r="E2783" i="29" s="1"/>
  <c r="E2785" i="29" s="1"/>
  <c r="E832" i="28"/>
  <c r="E833" i="28" s="1"/>
  <c r="E835" i="28" s="1"/>
  <c r="E2770" i="29"/>
  <c r="E2767" i="29"/>
  <c r="E2766" i="29"/>
  <c r="E2765" i="29"/>
  <c r="E2764" i="29"/>
  <c r="E2763" i="29"/>
  <c r="E2762" i="29"/>
  <c r="E2757" i="29"/>
  <c r="E2754" i="29"/>
  <c r="E2753" i="29"/>
  <c r="E2752" i="29"/>
  <c r="E2751" i="29"/>
  <c r="E2750" i="29"/>
  <c r="E2768" i="29" l="1"/>
  <c r="E2755" i="29"/>
  <c r="E2756" i="29" s="1"/>
  <c r="E2758" i="29" s="1"/>
  <c r="E2745" i="29"/>
  <c r="E2742" i="29"/>
  <c r="E2741" i="29"/>
  <c r="E2740" i="29"/>
  <c r="E2739" i="29"/>
  <c r="E2738" i="29"/>
  <c r="E194" i="25"/>
  <c r="E196" i="25"/>
  <c r="E193" i="25"/>
  <c r="E192" i="25"/>
  <c r="E191" i="25"/>
  <c r="E190" i="25"/>
  <c r="E189" i="25"/>
  <c r="E188" i="25"/>
  <c r="E2769" i="29" l="1"/>
  <c r="E2771" i="29" s="1"/>
  <c r="E2743" i="29"/>
  <c r="E2744" i="29" s="1"/>
  <c r="E2746" i="29" s="1"/>
  <c r="E195" i="25"/>
  <c r="E197" i="25" s="1"/>
  <c r="E2732" i="29"/>
  <c r="E2729" i="29"/>
  <c r="E2728" i="29"/>
  <c r="E2727" i="29"/>
  <c r="E2726" i="29"/>
  <c r="E2725" i="29"/>
  <c r="E2724" i="29"/>
  <c r="E2730" i="29" l="1"/>
  <c r="E2731" i="29" s="1"/>
  <c r="E2733" i="29" s="1"/>
  <c r="E2718" i="29" l="1"/>
  <c r="E2715" i="29"/>
  <c r="E2714" i="29"/>
  <c r="E2713" i="29"/>
  <c r="E2712" i="29"/>
  <c r="E2711" i="29"/>
  <c r="E2710" i="29"/>
  <c r="E2709" i="29"/>
  <c r="E2708" i="29"/>
  <c r="E2716" i="29" l="1"/>
  <c r="E2717" i="29" s="1"/>
  <c r="E2719" i="29" s="1"/>
  <c r="E2701" i="29"/>
  <c r="E2698" i="29"/>
  <c r="E2697" i="29"/>
  <c r="E2696" i="29"/>
  <c r="E2695" i="29"/>
  <c r="E2694" i="29"/>
  <c r="E2693" i="29"/>
  <c r="E2692" i="29"/>
  <c r="E2691" i="29"/>
  <c r="E2699" i="29" l="1"/>
  <c r="E2700" i="29" s="1"/>
  <c r="E2702" i="29" s="1"/>
  <c r="E2684" i="29"/>
  <c r="E2681" i="29"/>
  <c r="E2680" i="29"/>
  <c r="E2679" i="29"/>
  <c r="E2678" i="29"/>
  <c r="E2677" i="29"/>
  <c r="E2671" i="29"/>
  <c r="E2668" i="29"/>
  <c r="E2667" i="29"/>
  <c r="E2666" i="29"/>
  <c r="E2665" i="29"/>
  <c r="E2664" i="29"/>
  <c r="E2663" i="29"/>
  <c r="E2669" i="29" l="1"/>
  <c r="E2670" i="29" s="1"/>
  <c r="E2672" i="29" s="1"/>
  <c r="E2682" i="29"/>
  <c r="E2683" i="29" s="1"/>
  <c r="E2685" i="29" s="1"/>
  <c r="E2657" i="29"/>
  <c r="E2654" i="29"/>
  <c r="E2653" i="29"/>
  <c r="E2652" i="29"/>
  <c r="E2651" i="29"/>
  <c r="E2650" i="29"/>
  <c r="E2649" i="29"/>
  <c r="E2655" i="29" l="1"/>
  <c r="E2656" i="29" s="1"/>
  <c r="E2658" i="29" s="1"/>
  <c r="E2643" i="29"/>
  <c r="E2640" i="29"/>
  <c r="E2639" i="29"/>
  <c r="E2638" i="29"/>
  <c r="E2637" i="29"/>
  <c r="E2636" i="29"/>
  <c r="E2635" i="29"/>
  <c r="E2630" i="29"/>
  <c r="E2627" i="29"/>
  <c r="E2626" i="29"/>
  <c r="E2625" i="29"/>
  <c r="E2624" i="29"/>
  <c r="E2623" i="29"/>
  <c r="E2622" i="29"/>
  <c r="E2621" i="29"/>
  <c r="E2620" i="29"/>
  <c r="E2614" i="29"/>
  <c r="E2611" i="29"/>
  <c r="E2610" i="29"/>
  <c r="E2609" i="29"/>
  <c r="E2608" i="29"/>
  <c r="E2607" i="29"/>
  <c r="E2606" i="29"/>
  <c r="E2628" i="29" l="1"/>
  <c r="E2629" i="29" s="1"/>
  <c r="E2631" i="29" s="1"/>
  <c r="E2641" i="29"/>
  <c r="E2642" i="29" s="1"/>
  <c r="E2644" i="29" s="1"/>
  <c r="E2612" i="29"/>
  <c r="E2613" i="29" s="1"/>
  <c r="E2615" i="29" s="1"/>
  <c r="E2596" i="29" l="1"/>
  <c r="E2595" i="29"/>
  <c r="E2594" i="29"/>
  <c r="E2593" i="29"/>
  <c r="E2600" i="29" s="1"/>
  <c r="E2592" i="29"/>
  <c r="E2591" i="29"/>
  <c r="E2590" i="29"/>
  <c r="E2589" i="29"/>
  <c r="E821" i="28"/>
  <c r="E818" i="28"/>
  <c r="E817" i="28"/>
  <c r="E816" i="28"/>
  <c r="E815" i="28"/>
  <c r="E814" i="28"/>
  <c r="E813" i="28"/>
  <c r="E812" i="28"/>
  <c r="E811" i="28"/>
  <c r="E804" i="28"/>
  <c r="E801" i="28"/>
  <c r="E800" i="28"/>
  <c r="E799" i="28"/>
  <c r="E798" i="28"/>
  <c r="E797" i="28"/>
  <c r="E802" i="28" l="1"/>
  <c r="E803" i="28" s="1"/>
  <c r="E805" i="28" s="1"/>
  <c r="E819" i="28"/>
  <c r="E2581" i="29"/>
  <c r="E2578" i="29"/>
  <c r="E2577" i="29"/>
  <c r="E2576" i="29"/>
  <c r="E2575" i="29"/>
  <c r="E2574" i="29"/>
  <c r="E2568" i="29"/>
  <c r="E2565" i="29"/>
  <c r="E2564" i="29"/>
  <c r="E2563" i="29"/>
  <c r="E2562" i="29"/>
  <c r="E2561" i="29"/>
  <c r="E820" i="28" l="1"/>
  <c r="E822" i="28" s="1"/>
  <c r="E2566" i="29"/>
  <c r="E2567" i="29" s="1"/>
  <c r="E2569" i="29" s="1"/>
  <c r="E2579" i="29"/>
  <c r="E2580" i="29" s="1"/>
  <c r="E2582" i="29" s="1"/>
  <c r="E2555" i="29"/>
  <c r="E2552" i="29"/>
  <c r="E2551" i="29"/>
  <c r="E2550" i="29"/>
  <c r="E2549" i="29"/>
  <c r="E2548" i="29"/>
  <c r="E2547" i="29"/>
  <c r="E2546" i="29"/>
  <c r="E2545" i="29"/>
  <c r="E2553" i="29" l="1"/>
  <c r="E2554" i="29" s="1"/>
  <c r="E2556" i="29" s="1"/>
  <c r="E2539" i="29" l="1"/>
  <c r="E2536" i="29"/>
  <c r="E2535" i="29"/>
  <c r="E2534" i="29"/>
  <c r="E2533" i="29"/>
  <c r="E2532" i="29"/>
  <c r="E2531" i="29"/>
  <c r="E2537" i="29" l="1"/>
  <c r="E2538" i="29" s="1"/>
  <c r="E2540" i="29" s="1"/>
  <c r="E184" i="25"/>
  <c r="E183" i="25"/>
  <c r="E182" i="25"/>
  <c r="E181" i="25"/>
  <c r="E180" i="25"/>
  <c r="E179" i="25"/>
  <c r="E178" i="25"/>
  <c r="E177" i="25"/>
  <c r="E176" i="25"/>
  <c r="E175" i="25"/>
  <c r="L51" i="20"/>
  <c r="E51" i="20"/>
  <c r="L50" i="20"/>
  <c r="E50" i="20"/>
  <c r="L49" i="20"/>
  <c r="E49" i="20"/>
  <c r="L48" i="20"/>
  <c r="E48" i="20"/>
  <c r="L47" i="20"/>
  <c r="E47" i="20"/>
  <c r="L46" i="20"/>
  <c r="E46" i="20"/>
  <c r="L45" i="20"/>
  <c r="E45" i="20"/>
  <c r="L44" i="20"/>
  <c r="L52" i="20" s="1"/>
  <c r="E44" i="20"/>
  <c r="E52" i="20" s="1"/>
  <c r="L37" i="20"/>
  <c r="E37" i="20"/>
  <c r="L36" i="20"/>
  <c r="E36" i="20"/>
  <c r="L35" i="20"/>
  <c r="E35" i="20"/>
  <c r="L34" i="20"/>
  <c r="E34" i="20"/>
  <c r="L33" i="20"/>
  <c r="E33" i="20"/>
  <c r="L32" i="20"/>
  <c r="E32" i="20"/>
  <c r="L31" i="20"/>
  <c r="E31" i="20"/>
  <c r="L30" i="20"/>
  <c r="E30" i="20"/>
  <c r="E38" i="20" s="1"/>
  <c r="L22" i="20"/>
  <c r="E22" i="20"/>
  <c r="L21" i="20"/>
  <c r="E21" i="20"/>
  <c r="L20" i="20"/>
  <c r="E20" i="20"/>
  <c r="L19" i="20"/>
  <c r="E19" i="20"/>
  <c r="L18" i="20"/>
  <c r="E18" i="20"/>
  <c r="L17" i="20"/>
  <c r="L23" i="20" s="1"/>
  <c r="E17" i="20"/>
  <c r="E23" i="20" s="1"/>
  <c r="L10" i="20"/>
  <c r="E10" i="20"/>
  <c r="L9" i="20"/>
  <c r="E9" i="20"/>
  <c r="L8" i="20"/>
  <c r="E8" i="20"/>
  <c r="L7" i="20"/>
  <c r="E7" i="20"/>
  <c r="L6" i="20"/>
  <c r="L11" i="20" s="1"/>
  <c r="E6" i="20"/>
  <c r="E11" i="20" s="1"/>
  <c r="E2525" i="29"/>
  <c r="E2522" i="29"/>
  <c r="E2521" i="29"/>
  <c r="E2520" i="29"/>
  <c r="E2519" i="29"/>
  <c r="E2518" i="29"/>
  <c r="E2517" i="29"/>
  <c r="L38" i="20" l="1"/>
  <c r="E2523" i="29"/>
  <c r="E2524" i="29" s="1"/>
  <c r="E2526" i="29" s="1"/>
  <c r="E2511" i="29"/>
  <c r="E2508" i="29"/>
  <c r="E2507" i="29"/>
  <c r="E2506" i="29"/>
  <c r="E2505" i="29"/>
  <c r="E2504" i="29"/>
  <c r="E2503" i="29"/>
  <c r="E2502" i="29"/>
  <c r="E2501" i="29"/>
  <c r="E2495" i="29"/>
  <c r="E2492" i="29"/>
  <c r="E2491" i="29"/>
  <c r="E2490" i="29"/>
  <c r="E2489" i="29"/>
  <c r="E2488" i="29"/>
  <c r="E2487" i="29"/>
  <c r="E2481" i="29"/>
  <c r="E2478" i="29"/>
  <c r="E2477" i="29"/>
  <c r="E2476" i="29"/>
  <c r="E2475" i="29"/>
  <c r="E2474" i="29"/>
  <c r="E2473" i="29"/>
  <c r="E2472" i="29"/>
  <c r="E2471" i="29"/>
  <c r="E2464" i="29"/>
  <c r="E2465" i="29" s="1"/>
  <c r="E2461" i="29"/>
  <c r="E2460" i="29"/>
  <c r="E2459" i="29"/>
  <c r="E2458" i="29"/>
  <c r="E2457" i="29"/>
  <c r="E2456" i="29"/>
  <c r="E2479" i="29" l="1"/>
  <c r="E2480" i="29" s="1"/>
  <c r="E2493" i="29"/>
  <c r="E2494" i="29" s="1"/>
  <c r="E2496" i="29" s="1"/>
  <c r="E2482" i="29"/>
  <c r="E2509" i="29"/>
  <c r="E2510" i="29" s="1"/>
  <c r="E2512" i="29" s="1"/>
  <c r="E2462" i="29"/>
  <c r="E2450" i="29"/>
  <c r="E2449" i="29"/>
  <c r="E2448" i="29"/>
  <c r="E2447" i="29"/>
  <c r="E2446" i="29"/>
  <c r="E2445" i="29"/>
  <c r="E2444" i="29"/>
  <c r="E2443" i="29"/>
  <c r="E2437" i="29"/>
  <c r="E2436" i="29"/>
  <c r="E2435" i="29"/>
  <c r="E2434" i="29"/>
  <c r="E2433" i="29"/>
  <c r="E2432" i="29"/>
  <c r="E2451" i="29" l="1"/>
  <c r="E2438" i="29"/>
  <c r="E2427" i="29"/>
  <c r="E2428" i="29" s="1"/>
  <c r="E2424" i="29"/>
  <c r="E2423" i="29"/>
  <c r="E2422" i="29"/>
  <c r="E2421" i="29"/>
  <c r="E2420" i="29"/>
  <c r="E2419" i="29"/>
  <c r="E2413" i="29"/>
  <c r="E2410" i="29"/>
  <c r="E2409" i="29"/>
  <c r="E2408" i="29"/>
  <c r="E2407" i="29"/>
  <c r="E2406" i="29"/>
  <c r="E2405" i="29"/>
  <c r="E2399" i="29"/>
  <c r="E2400" i="29" s="1"/>
  <c r="E2396" i="29"/>
  <c r="E2395" i="29"/>
  <c r="E2394" i="29"/>
  <c r="E2393" i="29"/>
  <c r="E2392" i="29"/>
  <c r="E2391" i="29"/>
  <c r="E2385" i="29"/>
  <c r="E2386" i="29" s="1"/>
  <c r="E2382" i="29"/>
  <c r="E2381" i="29"/>
  <c r="E2380" i="29"/>
  <c r="E2379" i="29"/>
  <c r="E2378" i="29"/>
  <c r="E2377" i="29"/>
  <c r="E2370" i="29"/>
  <c r="E2371" i="29" s="1"/>
  <c r="E2367" i="29"/>
  <c r="E2366" i="29"/>
  <c r="E2365" i="29"/>
  <c r="E2364" i="29"/>
  <c r="E2363" i="29"/>
  <c r="E2362" i="29"/>
  <c r="E2356" i="29"/>
  <c r="E2353" i="29"/>
  <c r="E2352" i="29"/>
  <c r="E2351" i="29"/>
  <c r="E2350" i="29"/>
  <c r="E2349" i="29"/>
  <c r="E2348" i="29"/>
  <c r="E2357" i="29" s="1"/>
  <c r="E2397" i="29" l="1"/>
  <c r="E2383" i="29"/>
  <c r="E2411" i="29"/>
  <c r="E2412" i="29" s="1"/>
  <c r="E2414" i="29" s="1"/>
  <c r="E2354" i="29"/>
  <c r="E2425" i="29"/>
  <c r="E2368" i="29"/>
  <c r="E2342" i="29"/>
  <c r="E2339" i="29"/>
  <c r="E2338" i="29"/>
  <c r="E2337" i="29"/>
  <c r="E2336" i="29"/>
  <c r="E2335" i="29"/>
  <c r="E2340" i="29" l="1"/>
  <c r="E2341" i="29" s="1"/>
  <c r="E2343" i="29" s="1"/>
  <c r="E790" i="28"/>
  <c r="E789" i="28"/>
  <c r="E788" i="28"/>
  <c r="E787" i="28"/>
  <c r="E786" i="28"/>
  <c r="E785" i="28"/>
  <c r="E791" i="28" l="1"/>
  <c r="E793" i="28" s="1"/>
  <c r="Q2329" i="29"/>
  <c r="Q2326" i="29"/>
  <c r="Q2325" i="29"/>
  <c r="Q2324" i="29"/>
  <c r="Q2323" i="29"/>
  <c r="Q2322" i="29"/>
  <c r="Q2317" i="29"/>
  <c r="Q2314" i="29"/>
  <c r="Q2313" i="29"/>
  <c r="Q2312" i="29"/>
  <c r="Q2311" i="29"/>
  <c r="Q2310" i="29"/>
  <c r="Q2309" i="29"/>
  <c r="Q2308" i="29"/>
  <c r="Q2307" i="29"/>
  <c r="Q2301" i="29"/>
  <c r="Q2298" i="29"/>
  <c r="Q2297" i="29"/>
  <c r="Q2296" i="29"/>
  <c r="Q2295" i="29"/>
  <c r="Q2294" i="29"/>
  <c r="Q2293" i="29"/>
  <c r="K2317" i="29"/>
  <c r="K2314" i="29"/>
  <c r="K2313" i="29"/>
  <c r="K2312" i="29"/>
  <c r="K2311" i="29"/>
  <c r="K2310" i="29"/>
  <c r="K2309" i="29"/>
  <c r="K2308" i="29"/>
  <c r="K2307" i="29"/>
  <c r="K2301" i="29"/>
  <c r="K2298" i="29"/>
  <c r="K2297" i="29"/>
  <c r="K2296" i="29"/>
  <c r="K2295" i="29"/>
  <c r="K2294" i="29"/>
  <c r="K2293" i="29"/>
  <c r="K2329" i="29"/>
  <c r="K2326" i="29"/>
  <c r="K2325" i="29"/>
  <c r="K2324" i="29"/>
  <c r="K2323" i="29"/>
  <c r="K2322" i="29"/>
  <c r="K2299" i="29" l="1"/>
  <c r="K2300" i="29" s="1"/>
  <c r="K2302" i="29" s="1"/>
  <c r="Q2299" i="29"/>
  <c r="Q2300" i="29" s="1"/>
  <c r="Q2302" i="29" s="1"/>
  <c r="Q2327" i="29"/>
  <c r="Q2328" i="29" s="1"/>
  <c r="Q2330" i="29" s="1"/>
  <c r="Q2315" i="29"/>
  <c r="Q2316" i="29" s="1"/>
  <c r="Q2318" i="29" s="1"/>
  <c r="K2315" i="29"/>
  <c r="K2316" i="29" s="1"/>
  <c r="K2318" i="29" s="1"/>
  <c r="K2327" i="29"/>
  <c r="K2328" i="29" s="1"/>
  <c r="K2330" i="29" s="1"/>
  <c r="E2329" i="29"/>
  <c r="E2326" i="29"/>
  <c r="E2325" i="29"/>
  <c r="E2324" i="29"/>
  <c r="E2323" i="29"/>
  <c r="E2322" i="29"/>
  <c r="E2317" i="29"/>
  <c r="E2314" i="29"/>
  <c r="E2313" i="29"/>
  <c r="E2312" i="29"/>
  <c r="E2311" i="29"/>
  <c r="E2310" i="29"/>
  <c r="E2309" i="29"/>
  <c r="E2308" i="29"/>
  <c r="E2307" i="29"/>
  <c r="E2301" i="29"/>
  <c r="E2298" i="29"/>
  <c r="E2297" i="29"/>
  <c r="E2296" i="29"/>
  <c r="E2295" i="29"/>
  <c r="E2294" i="29"/>
  <c r="E2293" i="29"/>
  <c r="E2327" i="29" l="1"/>
  <c r="E2328" i="29" s="1"/>
  <c r="E2330" i="29" s="1"/>
  <c r="E2315" i="29"/>
  <c r="E2316" i="29" s="1"/>
  <c r="E2318" i="29" s="1"/>
  <c r="E2299" i="29"/>
  <c r="E2300" i="29" s="1"/>
  <c r="E2302" i="29" s="1"/>
  <c r="E22" i="29"/>
  <c r="E23" i="29" s="1"/>
  <c r="E20" i="29"/>
  <c r="E19" i="29"/>
  <c r="E18" i="29"/>
  <c r="E17" i="29"/>
  <c r="E16" i="29"/>
  <c r="E21" i="29" l="1"/>
  <c r="E780" i="28"/>
  <c r="E778" i="28"/>
  <c r="E777" i="28"/>
  <c r="E776" i="28"/>
  <c r="E775" i="28"/>
  <c r="E774" i="28"/>
  <c r="E773" i="28"/>
  <c r="E779" i="28" l="1"/>
  <c r="E781" i="28" s="1"/>
  <c r="E2286" i="29" l="1"/>
  <c r="E2284" i="29"/>
  <c r="E2283" i="29"/>
  <c r="E2282" i="29"/>
  <c r="E2281" i="29"/>
  <c r="E2280" i="29"/>
  <c r="E2279" i="29"/>
  <c r="E2278" i="29"/>
  <c r="E2277" i="29"/>
  <c r="E768" i="28"/>
  <c r="E767" i="28"/>
  <c r="E766" i="28"/>
  <c r="E765" i="28"/>
  <c r="E764" i="28"/>
  <c r="E763" i="28"/>
  <c r="E758" i="28"/>
  <c r="E757" i="28"/>
  <c r="E756" i="28"/>
  <c r="E755" i="28"/>
  <c r="E754" i="28"/>
  <c r="E753" i="28"/>
  <c r="E748" i="28"/>
  <c r="E746" i="28"/>
  <c r="E745" i="28"/>
  <c r="E744" i="28"/>
  <c r="E743" i="28"/>
  <c r="E742" i="28"/>
  <c r="E741" i="28"/>
  <c r="E740" i="28"/>
  <c r="E739" i="28"/>
  <c r="E769" i="28" l="1"/>
  <c r="E759" i="28"/>
  <c r="E2285" i="29"/>
  <c r="E2287" i="29" s="1"/>
  <c r="E747" i="28"/>
  <c r="E749" i="28" s="1"/>
  <c r="E2270" i="29" l="1"/>
  <c r="E2268" i="29"/>
  <c r="E2267" i="29"/>
  <c r="E2266" i="29"/>
  <c r="E2265" i="29"/>
  <c r="E2264" i="29"/>
  <c r="E2263" i="29"/>
  <c r="E2269" i="29" l="1"/>
  <c r="E2271" i="29" s="1"/>
  <c r="E2258" i="29"/>
  <c r="E2256" i="29"/>
  <c r="E2255" i="29"/>
  <c r="E2254" i="29"/>
  <c r="E2253" i="29"/>
  <c r="E2252" i="29"/>
  <c r="E2251" i="29"/>
  <c r="E2250" i="29"/>
  <c r="E2249" i="29"/>
  <c r="E177" i="24"/>
  <c r="E174" i="24"/>
  <c r="E178" i="24"/>
  <c r="E176" i="24"/>
  <c r="E175" i="24"/>
  <c r="E173" i="24"/>
  <c r="E172" i="24"/>
  <c r="E171" i="24"/>
  <c r="E170" i="24"/>
  <c r="E169" i="24"/>
  <c r="E2257" i="29" l="1"/>
  <c r="E2259" i="29" s="1"/>
  <c r="E179" i="24"/>
  <c r="E732" i="28"/>
  <c r="E730" i="28"/>
  <c r="E729" i="28"/>
  <c r="E728" i="28"/>
  <c r="E727" i="28"/>
  <c r="E726" i="28"/>
  <c r="E725" i="28"/>
  <c r="E731" i="28" l="1"/>
  <c r="E733" i="28" s="1"/>
  <c r="E2243" i="29"/>
  <c r="E2241" i="29"/>
  <c r="E2240" i="29"/>
  <c r="E2239" i="29"/>
  <c r="E2238" i="29"/>
  <c r="E2237" i="29"/>
  <c r="E2236" i="29"/>
  <c r="E2231" i="29"/>
  <c r="E2229" i="29"/>
  <c r="E2228" i="29"/>
  <c r="E2227" i="29"/>
  <c r="E2226" i="29"/>
  <c r="E2225" i="29"/>
  <c r="E2224" i="29"/>
  <c r="E2218" i="29"/>
  <c r="E2216" i="29"/>
  <c r="E2215" i="29"/>
  <c r="E2214" i="29"/>
  <c r="E2213" i="29"/>
  <c r="E2212" i="29"/>
  <c r="E2211" i="29"/>
  <c r="E2205" i="29"/>
  <c r="E2203" i="29"/>
  <c r="E2202" i="29"/>
  <c r="E2201" i="29"/>
  <c r="E2200" i="29"/>
  <c r="E2199" i="29"/>
  <c r="E2198" i="29"/>
  <c r="E2193" i="29"/>
  <c r="E2191" i="29"/>
  <c r="E2190" i="29"/>
  <c r="E2189" i="29"/>
  <c r="E2188" i="29"/>
  <c r="E2187" i="29"/>
  <c r="E2186" i="29"/>
  <c r="E2169" i="29"/>
  <c r="E2180" i="29"/>
  <c r="E2179" i="29"/>
  <c r="E2178" i="29"/>
  <c r="E2177" i="29"/>
  <c r="E2176" i="29"/>
  <c r="E2175" i="29"/>
  <c r="E2168" i="29"/>
  <c r="E2167" i="29"/>
  <c r="E2166" i="29"/>
  <c r="E2165" i="29"/>
  <c r="E2164" i="29"/>
  <c r="E2170" i="29" l="1"/>
  <c r="E2230" i="29"/>
  <c r="E2232" i="29" s="1"/>
  <c r="E2192" i="29"/>
  <c r="E2194" i="29" s="1"/>
  <c r="E2242" i="29"/>
  <c r="E2244" i="29" s="1"/>
  <c r="E2217" i="29"/>
  <c r="E2219" i="29" s="1"/>
  <c r="E2204" i="29"/>
  <c r="E2206" i="29" s="1"/>
  <c r="E2181" i="29"/>
  <c r="E2158" i="29"/>
  <c r="E2156" i="29"/>
  <c r="E2155" i="29"/>
  <c r="E2154" i="29"/>
  <c r="E2153" i="29"/>
  <c r="E2152" i="29"/>
  <c r="E2151" i="29"/>
  <c r="E2157" i="29" l="1"/>
  <c r="E2159" i="29" s="1"/>
  <c r="E720" i="28"/>
  <c r="E718" i="28"/>
  <c r="E717" i="28"/>
  <c r="E716" i="28"/>
  <c r="E715" i="28"/>
  <c r="E714" i="28"/>
  <c r="E713" i="28"/>
  <c r="E708" i="28"/>
  <c r="E706" i="28"/>
  <c r="E705" i="28"/>
  <c r="E704" i="28"/>
  <c r="E703" i="28"/>
  <c r="E702" i="28"/>
  <c r="E701" i="28"/>
  <c r="E695" i="28"/>
  <c r="E693" i="28"/>
  <c r="E692" i="28"/>
  <c r="E691" i="28"/>
  <c r="E690" i="28"/>
  <c r="E689" i="28"/>
  <c r="E688" i="28"/>
  <c r="E719" i="28" l="1"/>
  <c r="E721" i="28" s="1"/>
  <c r="E707" i="28"/>
  <c r="E709" i="28" s="1"/>
  <c r="E694" i="28"/>
  <c r="E696" i="28" s="1"/>
  <c r="E2145" i="29"/>
  <c r="E2143" i="29"/>
  <c r="E2142" i="29"/>
  <c r="E2141" i="29"/>
  <c r="E2140" i="29"/>
  <c r="E2139" i="29"/>
  <c r="E2138" i="29"/>
  <c r="E2132" i="29"/>
  <c r="E2130" i="29"/>
  <c r="E2129" i="29"/>
  <c r="E2128" i="29"/>
  <c r="E2127" i="29"/>
  <c r="E2126" i="29"/>
  <c r="E2125" i="29"/>
  <c r="E683" i="28"/>
  <c r="E681" i="28"/>
  <c r="E680" i="28"/>
  <c r="E679" i="28"/>
  <c r="E678" i="28"/>
  <c r="E677" i="28"/>
  <c r="E676" i="28"/>
  <c r="E682" i="28" l="1"/>
  <c r="E684" i="28" s="1"/>
  <c r="E2131" i="29"/>
  <c r="E2133" i="29" s="1"/>
  <c r="E2144" i="29"/>
  <c r="E2146" i="29" s="1"/>
  <c r="E2120" i="29"/>
  <c r="E2119" i="29"/>
  <c r="E2118" i="29"/>
  <c r="E2117" i="29"/>
  <c r="E2116" i="29"/>
  <c r="E2115" i="29"/>
  <c r="E2110" i="29"/>
  <c r="E2109" i="29"/>
  <c r="E2108" i="29"/>
  <c r="E2107" i="29"/>
  <c r="E2106" i="29"/>
  <c r="E2105" i="29"/>
  <c r="E2100" i="29"/>
  <c r="E2099" i="29"/>
  <c r="E2098" i="29"/>
  <c r="E2097" i="29"/>
  <c r="E2096" i="29"/>
  <c r="E2095" i="29"/>
  <c r="E2111" i="29" l="1"/>
  <c r="E2121" i="29"/>
  <c r="E2101" i="29"/>
  <c r="E671" i="28" l="1"/>
  <c r="E669" i="28"/>
  <c r="E668" i="28"/>
  <c r="E667" i="28"/>
  <c r="E666" i="28"/>
  <c r="E665" i="28"/>
  <c r="E664" i="28"/>
  <c r="E659" i="28"/>
  <c r="E657" i="28"/>
  <c r="E656" i="28"/>
  <c r="E655" i="28"/>
  <c r="E654" i="28"/>
  <c r="E653" i="28"/>
  <c r="E652" i="28"/>
  <c r="E2089" i="29"/>
  <c r="E2088" i="29"/>
  <c r="E2087" i="29"/>
  <c r="E2086" i="29"/>
  <c r="E2085" i="29"/>
  <c r="E2084" i="29"/>
  <c r="E646" i="28"/>
  <c r="E644" i="28"/>
  <c r="E643" i="28"/>
  <c r="E642" i="28"/>
  <c r="E641" i="28"/>
  <c r="E640" i="28"/>
  <c r="E639" i="28"/>
  <c r="E633" i="28"/>
  <c r="E631" i="28"/>
  <c r="E630" i="28"/>
  <c r="E629" i="28"/>
  <c r="E628" i="28"/>
  <c r="E627" i="28"/>
  <c r="E626" i="28"/>
  <c r="E632" i="28" s="1"/>
  <c r="E634" i="28" s="1"/>
  <c r="E2079" i="29"/>
  <c r="E2077" i="29"/>
  <c r="E2076" i="29"/>
  <c r="E2075" i="29"/>
  <c r="E2074" i="29"/>
  <c r="E2073" i="29"/>
  <c r="E2072" i="29"/>
  <c r="E658" i="28" l="1"/>
  <c r="E660" i="28" s="1"/>
  <c r="E2090" i="29"/>
  <c r="E670" i="28"/>
  <c r="E672" i="28" s="1"/>
  <c r="E645" i="28"/>
  <c r="E647" i="28" s="1"/>
  <c r="E2078" i="29"/>
  <c r="E2080" i="29" s="1"/>
  <c r="E620" i="28"/>
  <c r="E618" i="28"/>
  <c r="E617" i="28"/>
  <c r="E616" i="28"/>
  <c r="E615" i="28"/>
  <c r="E614" i="28"/>
  <c r="E613" i="28"/>
  <c r="E612" i="28"/>
  <c r="E611" i="28"/>
  <c r="E619" i="28" l="1"/>
  <c r="E621" i="28" s="1"/>
  <c r="E2066" i="29" l="1"/>
  <c r="E2065" i="29"/>
  <c r="E2064" i="29"/>
  <c r="E2063" i="29"/>
  <c r="E2062" i="29"/>
  <c r="E2061" i="29"/>
  <c r="E2055" i="29"/>
  <c r="E2054" i="29"/>
  <c r="E2053" i="29"/>
  <c r="E2052" i="29"/>
  <c r="E2051" i="29"/>
  <c r="E2050" i="29"/>
  <c r="E2045" i="29"/>
  <c r="E2044" i="29"/>
  <c r="E2043" i="29"/>
  <c r="E2042" i="29"/>
  <c r="E2041" i="29"/>
  <c r="E2040" i="29"/>
  <c r="E2034" i="29"/>
  <c r="E2033" i="29"/>
  <c r="E2032" i="29"/>
  <c r="E2031" i="29"/>
  <c r="E2030" i="29"/>
  <c r="E2029" i="29"/>
  <c r="E2023" i="29"/>
  <c r="E2022" i="29"/>
  <c r="E2021" i="29"/>
  <c r="E2020" i="29"/>
  <c r="E2019" i="29"/>
  <c r="E2018" i="29"/>
  <c r="E2012" i="29"/>
  <c r="E2011" i="29"/>
  <c r="E2010" i="29"/>
  <c r="E2009" i="29"/>
  <c r="E2008" i="29"/>
  <c r="E2007" i="29"/>
  <c r="E2000" i="29"/>
  <c r="E1999" i="29"/>
  <c r="E1998" i="29"/>
  <c r="E1997" i="29"/>
  <c r="E1996" i="29"/>
  <c r="E1995" i="29"/>
  <c r="E1989" i="29"/>
  <c r="E1988" i="29"/>
  <c r="E1987" i="29"/>
  <c r="E1986" i="29"/>
  <c r="E1985" i="29"/>
  <c r="E1984" i="29"/>
  <c r="E1978" i="29"/>
  <c r="E1977" i="29"/>
  <c r="E1976" i="29"/>
  <c r="E1975" i="29"/>
  <c r="E1974" i="29"/>
  <c r="E1973" i="29"/>
  <c r="E1967" i="29"/>
  <c r="E1966" i="29"/>
  <c r="E1965" i="29"/>
  <c r="E1964" i="29"/>
  <c r="E1963" i="29"/>
  <c r="E1962" i="29"/>
  <c r="E1956" i="29"/>
  <c r="E1954" i="29"/>
  <c r="E1953" i="29"/>
  <c r="E1952" i="29"/>
  <c r="E1951" i="29"/>
  <c r="E1950" i="29"/>
  <c r="E1949" i="29"/>
  <c r="F1999" i="29" l="1"/>
  <c r="E1979" i="29"/>
  <c r="E1990" i="29"/>
  <c r="E2024" i="29"/>
  <c r="E2035" i="29"/>
  <c r="E2046" i="29"/>
  <c r="E2056" i="29"/>
  <c r="E2067" i="29"/>
  <c r="E2013" i="29"/>
  <c r="E2001" i="29"/>
  <c r="E1968" i="29"/>
  <c r="E1955" i="29"/>
  <c r="E1957" i="29" s="1"/>
  <c r="E605" i="28"/>
  <c r="E603" i="28"/>
  <c r="E602" i="28"/>
  <c r="E601" i="28"/>
  <c r="E600" i="28"/>
  <c r="E599" i="28"/>
  <c r="E598" i="28"/>
  <c r="E1943" i="29"/>
  <c r="E1941" i="29"/>
  <c r="E1940" i="29"/>
  <c r="E1939" i="29"/>
  <c r="E1938" i="29"/>
  <c r="E1937" i="29"/>
  <c r="E1936" i="29"/>
  <c r="E604" i="28" l="1"/>
  <c r="E606" i="28" s="1"/>
  <c r="E1942" i="29"/>
  <c r="E1944" i="29" s="1"/>
  <c r="E592" i="28" l="1"/>
  <c r="E590" i="28"/>
  <c r="E589" i="28"/>
  <c r="E588" i="28"/>
  <c r="E587" i="28"/>
  <c r="E586" i="28"/>
  <c r="E585" i="28"/>
  <c r="E584" i="28"/>
  <c r="E583" i="28"/>
  <c r="E576" i="28"/>
  <c r="E574" i="28"/>
  <c r="E573" i="28"/>
  <c r="E572" i="28"/>
  <c r="E571" i="28"/>
  <c r="E570" i="28"/>
  <c r="E569" i="28"/>
  <c r="E591" i="28" l="1"/>
  <c r="E593" i="28" s="1"/>
  <c r="E575" i="28"/>
  <c r="E577" i="28" s="1"/>
  <c r="E1930" i="29"/>
  <c r="E1928" i="29"/>
  <c r="E1927" i="29"/>
  <c r="E1926" i="29"/>
  <c r="E1925" i="29"/>
  <c r="E1924" i="29"/>
  <c r="E1923" i="29"/>
  <c r="E1929" i="29" l="1"/>
  <c r="E1931" i="29" s="1"/>
  <c r="E562" i="28"/>
  <c r="E560" i="28"/>
  <c r="E559" i="28"/>
  <c r="E558" i="28"/>
  <c r="E557" i="28"/>
  <c r="E556" i="28"/>
  <c r="E555" i="28"/>
  <c r="E561" i="28" l="1"/>
  <c r="E563" i="28" s="1"/>
  <c r="E1917" i="29"/>
  <c r="E1915" i="29"/>
  <c r="E1914" i="29"/>
  <c r="E1913" i="29"/>
  <c r="E1912" i="29"/>
  <c r="E1911" i="29"/>
  <c r="E1910" i="29"/>
  <c r="E1905" i="29"/>
  <c r="E1904" i="29"/>
  <c r="E1903" i="29"/>
  <c r="E1902" i="29"/>
  <c r="E1901" i="29"/>
  <c r="E1900" i="29"/>
  <c r="E1894" i="29"/>
  <c r="E1892" i="29"/>
  <c r="E1891" i="29"/>
  <c r="E1890" i="29"/>
  <c r="E1889" i="29"/>
  <c r="E1888" i="29"/>
  <c r="E1887" i="29"/>
  <c r="E1880" i="29"/>
  <c r="E1878" i="29"/>
  <c r="E1877" i="29"/>
  <c r="E1876" i="29"/>
  <c r="E1875" i="29"/>
  <c r="E1874" i="29"/>
  <c r="E1873" i="29"/>
  <c r="E1868" i="29"/>
  <c r="E1866" i="29"/>
  <c r="E1865" i="29"/>
  <c r="E1864" i="29"/>
  <c r="E1863" i="29"/>
  <c r="E1862" i="29"/>
  <c r="E1861" i="29"/>
  <c r="E1860" i="29"/>
  <c r="E1859" i="29"/>
  <c r="L1842" i="29"/>
  <c r="L1841" i="29"/>
  <c r="L1840" i="29"/>
  <c r="L1839" i="29"/>
  <c r="L1838" i="29"/>
  <c r="L1837" i="29"/>
  <c r="L1831" i="29"/>
  <c r="L1830" i="29"/>
  <c r="L1829" i="29"/>
  <c r="L1828" i="29"/>
  <c r="L1827" i="29"/>
  <c r="L1826" i="29"/>
  <c r="L1820" i="29"/>
  <c r="L1819" i="29"/>
  <c r="L1818" i="29"/>
  <c r="L1817" i="29"/>
  <c r="L1816" i="29"/>
  <c r="L1815" i="29"/>
  <c r="L1809" i="29"/>
  <c r="L1808" i="29"/>
  <c r="L1807" i="29"/>
  <c r="L1806" i="29"/>
  <c r="L1805" i="29"/>
  <c r="L1804" i="29"/>
  <c r="L1798" i="29"/>
  <c r="L1797" i="29"/>
  <c r="L1796" i="29"/>
  <c r="L1795" i="29"/>
  <c r="L1794" i="29"/>
  <c r="L1793" i="29"/>
  <c r="E1852" i="29"/>
  <c r="E1851" i="29"/>
  <c r="E1850" i="29"/>
  <c r="E1849" i="29"/>
  <c r="E1848" i="29"/>
  <c r="E1847" i="29"/>
  <c r="E1841" i="29"/>
  <c r="E1840" i="29"/>
  <c r="E1839" i="29"/>
  <c r="E1838" i="29"/>
  <c r="E1837" i="29"/>
  <c r="E1836" i="29"/>
  <c r="E1830" i="29"/>
  <c r="E1829" i="29"/>
  <c r="E1828" i="29"/>
  <c r="E1827" i="29"/>
  <c r="E1826" i="29"/>
  <c r="E1825" i="29"/>
  <c r="L1787" i="29"/>
  <c r="L1786" i="29"/>
  <c r="L1785" i="29"/>
  <c r="L1784" i="29"/>
  <c r="L1783" i="29"/>
  <c r="L1782" i="29"/>
  <c r="E1820" i="29"/>
  <c r="E1819" i="29"/>
  <c r="E1818" i="29"/>
  <c r="E1817" i="29"/>
  <c r="E1816" i="29"/>
  <c r="E1815" i="29"/>
  <c r="E1809" i="29"/>
  <c r="E1808" i="29"/>
  <c r="E1807" i="29"/>
  <c r="E1806" i="29"/>
  <c r="E1805" i="29"/>
  <c r="E1804" i="29"/>
  <c r="E1798" i="29"/>
  <c r="E1797" i="29"/>
  <c r="E1796" i="29"/>
  <c r="E1795" i="29"/>
  <c r="E1794" i="29"/>
  <c r="E1793" i="29"/>
  <c r="E1787" i="29"/>
  <c r="E1786" i="29"/>
  <c r="E1785" i="29"/>
  <c r="E1784" i="29"/>
  <c r="E1783" i="29"/>
  <c r="E1782" i="29"/>
  <c r="E1810" i="29" l="1"/>
  <c r="L1788" i="29"/>
  <c r="E1831" i="29"/>
  <c r="L1821" i="29"/>
  <c r="L1843" i="29"/>
  <c r="E1906" i="29"/>
  <c r="E1916" i="29"/>
  <c r="E1918" i="29" s="1"/>
  <c r="E1893" i="29"/>
  <c r="E1895" i="29" s="1"/>
  <c r="E1879" i="29"/>
  <c r="E1881" i="29" s="1"/>
  <c r="E1867" i="29"/>
  <c r="E1869" i="29" s="1"/>
  <c r="L1832" i="29"/>
  <c r="L1810" i="29"/>
  <c r="L1799" i="29"/>
  <c r="E1853" i="29"/>
  <c r="E1842" i="29"/>
  <c r="E1821" i="29"/>
  <c r="E1799" i="29"/>
  <c r="E1788" i="29"/>
  <c r="E1777" i="29"/>
  <c r="E1776" i="29"/>
  <c r="E1775" i="29"/>
  <c r="E1774" i="29"/>
  <c r="E1773" i="29"/>
  <c r="E1772" i="29"/>
  <c r="E1767" i="29"/>
  <c r="E1765" i="29"/>
  <c r="E1764" i="29"/>
  <c r="E1763" i="29"/>
  <c r="E1762" i="29"/>
  <c r="E1761" i="29"/>
  <c r="E1760" i="29"/>
  <c r="E1759" i="29"/>
  <c r="E1758" i="29"/>
  <c r="E549" i="28"/>
  <c r="E548" i="28"/>
  <c r="E547" i="28"/>
  <c r="E546" i="28"/>
  <c r="E545" i="28"/>
  <c r="E544" i="28"/>
  <c r="E1751" i="29"/>
  <c r="E1749" i="29"/>
  <c r="E1748" i="29"/>
  <c r="E1747" i="29"/>
  <c r="E1746" i="29"/>
  <c r="E1745" i="29"/>
  <c r="E1744" i="29"/>
  <c r="E168" i="25"/>
  <c r="E167" i="25"/>
  <c r="E166" i="25"/>
  <c r="E165" i="25"/>
  <c r="E164" i="25"/>
  <c r="E163" i="25"/>
  <c r="E169" i="25" s="1"/>
  <c r="E171" i="25" s="1"/>
  <c r="E158" i="25"/>
  <c r="E157" i="25"/>
  <c r="E156" i="25"/>
  <c r="E155" i="25"/>
  <c r="E154" i="25"/>
  <c r="E153" i="25"/>
  <c r="K1744" i="29"/>
  <c r="K1742" i="29"/>
  <c r="K1741" i="29"/>
  <c r="K1740" i="29"/>
  <c r="K1739" i="29"/>
  <c r="K1738" i="29"/>
  <c r="K1737" i="29"/>
  <c r="K1732" i="29"/>
  <c r="K1730" i="29"/>
  <c r="K1729" i="29"/>
  <c r="K1728" i="29"/>
  <c r="K1727" i="29"/>
  <c r="K1726" i="29"/>
  <c r="K1725" i="29"/>
  <c r="K1720" i="29"/>
  <c r="K1718" i="29"/>
  <c r="K1717" i="29"/>
  <c r="K1716" i="29"/>
  <c r="K1715" i="29"/>
  <c r="K1714" i="29"/>
  <c r="K1713" i="29"/>
  <c r="K1708" i="29"/>
  <c r="K1706" i="29"/>
  <c r="K1705" i="29"/>
  <c r="K1704" i="29"/>
  <c r="K1703" i="29"/>
  <c r="K1702" i="29"/>
  <c r="K1701" i="29"/>
  <c r="E1738" i="29"/>
  <c r="E1737" i="29"/>
  <c r="E1736" i="29"/>
  <c r="E1735" i="29"/>
  <c r="E1734" i="29"/>
  <c r="E1733" i="29"/>
  <c r="E1727" i="29"/>
  <c r="E1726" i="29"/>
  <c r="E1725" i="29"/>
  <c r="E1724" i="29"/>
  <c r="E1723" i="29"/>
  <c r="E1722" i="29"/>
  <c r="E1717" i="29"/>
  <c r="E1716" i="29"/>
  <c r="E1715" i="29"/>
  <c r="E1714" i="29"/>
  <c r="E1713" i="29"/>
  <c r="E1712" i="29"/>
  <c r="E1706" i="29"/>
  <c r="E1705" i="29"/>
  <c r="E1704" i="29"/>
  <c r="E1703" i="29"/>
  <c r="E1702" i="29"/>
  <c r="E1701" i="29"/>
  <c r="E1695" i="29"/>
  <c r="E1694" i="29"/>
  <c r="E1693" i="29"/>
  <c r="E1692" i="29"/>
  <c r="E1691" i="29"/>
  <c r="E1690" i="29"/>
  <c r="E1685" i="29"/>
  <c r="E1683" i="29"/>
  <c r="E1682" i="29"/>
  <c r="E1681" i="29"/>
  <c r="E1680" i="29"/>
  <c r="E1679" i="29"/>
  <c r="E1678" i="29"/>
  <c r="E1673" i="29"/>
  <c r="E1671" i="29"/>
  <c r="E1670" i="29"/>
  <c r="E1669" i="29"/>
  <c r="E1668" i="29"/>
  <c r="E1667" i="29"/>
  <c r="E1666" i="29"/>
  <c r="E1660" i="29"/>
  <c r="E1659" i="29"/>
  <c r="E1658" i="29"/>
  <c r="E1657" i="29"/>
  <c r="E1656" i="29"/>
  <c r="E1655" i="29"/>
  <c r="E1649" i="29"/>
  <c r="E1648" i="29"/>
  <c r="E1647" i="29"/>
  <c r="E1646" i="29"/>
  <c r="E1645" i="29"/>
  <c r="E1644" i="29"/>
  <c r="E1728" i="29" l="1"/>
  <c r="K1731" i="29"/>
  <c r="K1733" i="29" s="1"/>
  <c r="E1766" i="29"/>
  <c r="E1768" i="29" s="1"/>
  <c r="E1778" i="29"/>
  <c r="E1672" i="29"/>
  <c r="E1674" i="29" s="1"/>
  <c r="E550" i="28"/>
  <c r="E1750" i="29"/>
  <c r="E1752" i="29" s="1"/>
  <c r="E159" i="25"/>
  <c r="K1743" i="29"/>
  <c r="K1745" i="29" s="1"/>
  <c r="E1739" i="29"/>
  <c r="K1719" i="29"/>
  <c r="K1721" i="29" s="1"/>
  <c r="E1718" i="29"/>
  <c r="K1707" i="29"/>
  <c r="K1709" i="29" s="1"/>
  <c r="E1707" i="29"/>
  <c r="E1696" i="29"/>
  <c r="E1684" i="29"/>
  <c r="E1686" i="29" s="1"/>
  <c r="E1650" i="29"/>
  <c r="E1661" i="29"/>
  <c r="E1638" i="29"/>
  <c r="E1637" i="29"/>
  <c r="E1636" i="29"/>
  <c r="E1635" i="29"/>
  <c r="E1634" i="29"/>
  <c r="E1633" i="29"/>
  <c r="E1628" i="29"/>
  <c r="E1626" i="29"/>
  <c r="E1625" i="29"/>
  <c r="E1624" i="29"/>
  <c r="E1623" i="29"/>
  <c r="E1622" i="29"/>
  <c r="E1621" i="29"/>
  <c r="E1616" i="29"/>
  <c r="E1615" i="29"/>
  <c r="E1614" i="29"/>
  <c r="E1613" i="29"/>
  <c r="E1612" i="29"/>
  <c r="E1611" i="29"/>
  <c r="E1606" i="29"/>
  <c r="E1605" i="29"/>
  <c r="E1604" i="29"/>
  <c r="E1603" i="29"/>
  <c r="E1602" i="29"/>
  <c r="E1601" i="29"/>
  <c r="E1596" i="29"/>
  <c r="E1594" i="29"/>
  <c r="E1593" i="29"/>
  <c r="E1592" i="29"/>
  <c r="E1591" i="29"/>
  <c r="E1590" i="29"/>
  <c r="E1589" i="29"/>
  <c r="E1583" i="29"/>
  <c r="E1581" i="29"/>
  <c r="E1580" i="29"/>
  <c r="E1579" i="29"/>
  <c r="E1578" i="29"/>
  <c r="E1577" i="29"/>
  <c r="E1576" i="29"/>
  <c r="E1571" i="29"/>
  <c r="E1569" i="29"/>
  <c r="E1568" i="29"/>
  <c r="E1567" i="29"/>
  <c r="E1566" i="29"/>
  <c r="E1565" i="29"/>
  <c r="E1564" i="29"/>
  <c r="E1559" i="29"/>
  <c r="E1558" i="29"/>
  <c r="E1557" i="29"/>
  <c r="E1556" i="29"/>
  <c r="E1555" i="29"/>
  <c r="E1554" i="29"/>
  <c r="E1549" i="29"/>
  <c r="E1547" i="29"/>
  <c r="E1546" i="29"/>
  <c r="E1545" i="29"/>
  <c r="E1544" i="29"/>
  <c r="E1543" i="29"/>
  <c r="E1542" i="29"/>
  <c r="E1536" i="29"/>
  <c r="E1534" i="29"/>
  <c r="E1533" i="29"/>
  <c r="E1532" i="29"/>
  <c r="E1531" i="29"/>
  <c r="E1530" i="29"/>
  <c r="E1529" i="29"/>
  <c r="E1523" i="29"/>
  <c r="E1521" i="29"/>
  <c r="E1520" i="29"/>
  <c r="E1519" i="29"/>
  <c r="E1518" i="29"/>
  <c r="E1517" i="29"/>
  <c r="E1516" i="29"/>
  <c r="E1511" i="29"/>
  <c r="E1510" i="29"/>
  <c r="E1509" i="29"/>
  <c r="E1508" i="29"/>
  <c r="E1507" i="29"/>
  <c r="E1506" i="29"/>
  <c r="E1501" i="29"/>
  <c r="E1500" i="29"/>
  <c r="E1499" i="29"/>
  <c r="E1498" i="29"/>
  <c r="E1497" i="29"/>
  <c r="E1496" i="29"/>
  <c r="E1490" i="29"/>
  <c r="E1489" i="29"/>
  <c r="E1488" i="29"/>
  <c r="E1487" i="29"/>
  <c r="E1486" i="29"/>
  <c r="E1485" i="29"/>
  <c r="E1478" i="29"/>
  <c r="E1477" i="29"/>
  <c r="E1476" i="29"/>
  <c r="E1475" i="29"/>
  <c r="E1474" i="29"/>
  <c r="E1473" i="29"/>
  <c r="E1468" i="29"/>
  <c r="E1467" i="29"/>
  <c r="E1466" i="29"/>
  <c r="E1465" i="29"/>
  <c r="E1464" i="29"/>
  <c r="E1463" i="29"/>
  <c r="E1457" i="29"/>
  <c r="E1456" i="29"/>
  <c r="E1455" i="29"/>
  <c r="E1454" i="29"/>
  <c r="E1453" i="29"/>
  <c r="E1452" i="29"/>
  <c r="E1444" i="29"/>
  <c r="E1445" i="29"/>
  <c r="E1446" i="29"/>
  <c r="E1447" i="29"/>
  <c r="E1443" i="29"/>
  <c r="E1438" i="29"/>
  <c r="E1436" i="29"/>
  <c r="E1435" i="29"/>
  <c r="E1434" i="29"/>
  <c r="E1433" i="29"/>
  <c r="E1432" i="29"/>
  <c r="E1431" i="29"/>
  <c r="E1425" i="29"/>
  <c r="E1424" i="29"/>
  <c r="E1423" i="29"/>
  <c r="E1422" i="29"/>
  <c r="E1421" i="29"/>
  <c r="E1420" i="29"/>
  <c r="R1415" i="29"/>
  <c r="R1413" i="29"/>
  <c r="R1412" i="29"/>
  <c r="R1411" i="29"/>
  <c r="R1410" i="29"/>
  <c r="R1409" i="29"/>
  <c r="R1408" i="29"/>
  <c r="R1407" i="29"/>
  <c r="R1406" i="29"/>
  <c r="L1415" i="29"/>
  <c r="L1413" i="29"/>
  <c r="L1412" i="29"/>
  <c r="L1411" i="29"/>
  <c r="L1410" i="29"/>
  <c r="L1409" i="29"/>
  <c r="L1408" i="29"/>
  <c r="L1407" i="29"/>
  <c r="L1406" i="29"/>
  <c r="R1399" i="29"/>
  <c r="R1397" i="29"/>
  <c r="R1396" i="29"/>
  <c r="R1395" i="29"/>
  <c r="R1394" i="29"/>
  <c r="R1393" i="29"/>
  <c r="R1392" i="29"/>
  <c r="R1391" i="29"/>
  <c r="R1390" i="29"/>
  <c r="L1399" i="29"/>
  <c r="L1397" i="29"/>
  <c r="L1396" i="29"/>
  <c r="L1395" i="29"/>
  <c r="L1394" i="29"/>
  <c r="L1393" i="29"/>
  <c r="L1392" i="29"/>
  <c r="L1391" i="29"/>
  <c r="L1390" i="29"/>
  <c r="Q1368" i="29"/>
  <c r="Q1367" i="29"/>
  <c r="Q1366" i="29"/>
  <c r="Q1365" i="29"/>
  <c r="Q1364" i="29"/>
  <c r="Q1363" i="29"/>
  <c r="K1368" i="29"/>
  <c r="K1367" i="29"/>
  <c r="K1366" i="29"/>
  <c r="K1365" i="29"/>
  <c r="K1364" i="29"/>
  <c r="K1363" i="29"/>
  <c r="Q1382" i="29"/>
  <c r="Q1380" i="29"/>
  <c r="Q1379" i="29"/>
  <c r="Q1378" i="29"/>
  <c r="Q1377" i="29"/>
  <c r="Q1376" i="29"/>
  <c r="Q1375" i="29"/>
  <c r="Q1369" i="29" l="1"/>
  <c r="L1398" i="29"/>
  <c r="L1400" i="29" s="1"/>
  <c r="L1414" i="29"/>
  <c r="L1416" i="29" s="1"/>
  <c r="E1426" i="29"/>
  <c r="E1449" i="29"/>
  <c r="E1560" i="29"/>
  <c r="E1639" i="29"/>
  <c r="E1469" i="29"/>
  <c r="E1479" i="29"/>
  <c r="E1491" i="29"/>
  <c r="E1502" i="29"/>
  <c r="E1512" i="29"/>
  <c r="E1607" i="29"/>
  <c r="E1617" i="29"/>
  <c r="E1627" i="29"/>
  <c r="E1629" i="29" s="1"/>
  <c r="E1595" i="29"/>
  <c r="E1597" i="29" s="1"/>
  <c r="E1582" i="29"/>
  <c r="E1584" i="29" s="1"/>
  <c r="E1570" i="29"/>
  <c r="E1572" i="29" s="1"/>
  <c r="E1548" i="29"/>
  <c r="E1550" i="29" s="1"/>
  <c r="E1535" i="29"/>
  <c r="E1537" i="29" s="1"/>
  <c r="E1522" i="29"/>
  <c r="E1524" i="29" s="1"/>
  <c r="E1458" i="29"/>
  <c r="E1437" i="29"/>
  <c r="E1439" i="29" s="1"/>
  <c r="Q1381" i="29"/>
  <c r="Q1383" i="29" s="1"/>
  <c r="R1414" i="29"/>
  <c r="R1416" i="29" s="1"/>
  <c r="R1398" i="29"/>
  <c r="R1400" i="29" s="1"/>
  <c r="K1369" i="29"/>
  <c r="K1382" i="29"/>
  <c r="K1380" i="29"/>
  <c r="K1379" i="29"/>
  <c r="K1378" i="29"/>
  <c r="K1377" i="29"/>
  <c r="K1376" i="29"/>
  <c r="K1375" i="29"/>
  <c r="E1415" i="29"/>
  <c r="E1413" i="29"/>
  <c r="E1412" i="29"/>
  <c r="E1411" i="29"/>
  <c r="E1410" i="29"/>
  <c r="E1409" i="29"/>
  <c r="E1408" i="29"/>
  <c r="E1407" i="29"/>
  <c r="E1406" i="29"/>
  <c r="E1394" i="29"/>
  <c r="E1392" i="29"/>
  <c r="E1399" i="29"/>
  <c r="E1397" i="29"/>
  <c r="E1396" i="29"/>
  <c r="E1395" i="29"/>
  <c r="E1393" i="29"/>
  <c r="E1391" i="29"/>
  <c r="E1390" i="29"/>
  <c r="E1382" i="29"/>
  <c r="E1380" i="29"/>
  <c r="E1379" i="29"/>
  <c r="E1378" i="29"/>
  <c r="E1377" i="29"/>
  <c r="E1376" i="29"/>
  <c r="E1375" i="29"/>
  <c r="E1368" i="29"/>
  <c r="E1367" i="29"/>
  <c r="E1366" i="29"/>
  <c r="E1365" i="29"/>
  <c r="E1364" i="29"/>
  <c r="E1363" i="29"/>
  <c r="E1414" i="29" l="1"/>
  <c r="E1416" i="29" s="1"/>
  <c r="E1398" i="29"/>
  <c r="E1400" i="29" s="1"/>
  <c r="E1381" i="29"/>
  <c r="E1383" i="29" s="1"/>
  <c r="K1381" i="29"/>
  <c r="K1383" i="29" s="1"/>
  <c r="E1369" i="29"/>
  <c r="E1352" i="29"/>
  <c r="E1350" i="29"/>
  <c r="E1357" i="29"/>
  <c r="E1355" i="29"/>
  <c r="E1354" i="29"/>
  <c r="E1353" i="29"/>
  <c r="E1351" i="29"/>
  <c r="E1349" i="29"/>
  <c r="E1348" i="29"/>
  <c r="E1343" i="29"/>
  <c r="E1341" i="29"/>
  <c r="E1340" i="29"/>
  <c r="E1339" i="29"/>
  <c r="E1338" i="29"/>
  <c r="E1337" i="29"/>
  <c r="E1336" i="29"/>
  <c r="E1356" i="29" l="1"/>
  <c r="E1358" i="29" s="1"/>
  <c r="E1342" i="29"/>
  <c r="E1344" i="29" s="1"/>
  <c r="E1331" i="29" l="1"/>
  <c r="E1330" i="29"/>
  <c r="E1324" i="29"/>
  <c r="E1323" i="29"/>
  <c r="E1332" i="29" l="1"/>
  <c r="E1325" i="29"/>
  <c r="E538" i="28"/>
  <c r="E536" i="28"/>
  <c r="E535" i="28"/>
  <c r="E534" i="28"/>
  <c r="E533" i="28"/>
  <c r="E532" i="28"/>
  <c r="E531" i="28"/>
  <c r="E530" i="28"/>
  <c r="E529" i="28"/>
  <c r="E522" i="28"/>
  <c r="E520" i="28"/>
  <c r="E519" i="28"/>
  <c r="E518" i="28"/>
  <c r="E517" i="28"/>
  <c r="E516" i="28"/>
  <c r="E515" i="28"/>
  <c r="E514" i="28"/>
  <c r="E513" i="28"/>
  <c r="E505" i="28"/>
  <c r="E503" i="28"/>
  <c r="E502" i="28"/>
  <c r="E501" i="28"/>
  <c r="E500" i="28"/>
  <c r="E499" i="28"/>
  <c r="E498" i="28"/>
  <c r="E493" i="28"/>
  <c r="E491" i="28"/>
  <c r="E490" i="28"/>
  <c r="E489" i="28"/>
  <c r="E488" i="28"/>
  <c r="E487" i="28"/>
  <c r="E486" i="28"/>
  <c r="E1317" i="29"/>
  <c r="E1315" i="29"/>
  <c r="E1314" i="29"/>
  <c r="E1313" i="29"/>
  <c r="E1312" i="29"/>
  <c r="E1311" i="29"/>
  <c r="E1310" i="29"/>
  <c r="E521" i="28" l="1"/>
  <c r="E523" i="28" s="1"/>
  <c r="E537" i="28"/>
  <c r="E539" i="28" s="1"/>
  <c r="E504" i="28"/>
  <c r="E506" i="28" s="1"/>
  <c r="E492" i="28"/>
  <c r="E494" i="28" s="1"/>
  <c r="E1316" i="29"/>
  <c r="E1318" i="29" s="1"/>
  <c r="E1303" i="29"/>
  <c r="E1301" i="29"/>
  <c r="E1300" i="29"/>
  <c r="E1299" i="29"/>
  <c r="E1298" i="29"/>
  <c r="E1297" i="29"/>
  <c r="E1296" i="29"/>
  <c r="E1302" i="29" l="1"/>
  <c r="E1304" i="29" s="1"/>
  <c r="E480" i="28"/>
  <c r="E478" i="28"/>
  <c r="E477" i="28"/>
  <c r="E476" i="28"/>
  <c r="E475" i="28"/>
  <c r="E474" i="28"/>
  <c r="E473" i="28"/>
  <c r="E468" i="28"/>
  <c r="E466" i="28"/>
  <c r="E465" i="28"/>
  <c r="E464" i="28"/>
  <c r="E463" i="28"/>
  <c r="E462" i="28"/>
  <c r="E461" i="28"/>
  <c r="E455" i="28"/>
  <c r="E453" i="28"/>
  <c r="E452" i="28"/>
  <c r="E451" i="28"/>
  <c r="E450" i="28"/>
  <c r="E449" i="28"/>
  <c r="E448" i="28"/>
  <c r="E442" i="28"/>
  <c r="E440" i="28"/>
  <c r="E439" i="28"/>
  <c r="E438" i="28"/>
  <c r="E437" i="28"/>
  <c r="E436" i="28"/>
  <c r="E435" i="28"/>
  <c r="E479" i="28" l="1"/>
  <c r="E481" i="28" s="1"/>
  <c r="E467" i="28"/>
  <c r="E469" i="28" s="1"/>
  <c r="E454" i="28"/>
  <c r="E456" i="28" s="1"/>
  <c r="E441" i="28"/>
  <c r="E443" i="28" s="1"/>
  <c r="E1290" i="29"/>
  <c r="E1289" i="29"/>
  <c r="E1288" i="29"/>
  <c r="E1287" i="29"/>
  <c r="E1286" i="29"/>
  <c r="E1285" i="29"/>
  <c r="E1279" i="29"/>
  <c r="E1278" i="29"/>
  <c r="E1277" i="29"/>
  <c r="E1276" i="29"/>
  <c r="E1275" i="29"/>
  <c r="E1274" i="29"/>
  <c r="E1269" i="29"/>
  <c r="E1268" i="29"/>
  <c r="E1267" i="29"/>
  <c r="E1266" i="29"/>
  <c r="E1265" i="29"/>
  <c r="E1264" i="29"/>
  <c r="E428" i="28"/>
  <c r="E427" i="28"/>
  <c r="E426" i="28"/>
  <c r="E425" i="28"/>
  <c r="E424" i="28"/>
  <c r="E423" i="28"/>
  <c r="E416" i="28"/>
  <c r="E415" i="28"/>
  <c r="E414" i="28"/>
  <c r="E413" i="28"/>
  <c r="E412" i="28"/>
  <c r="E411" i="28"/>
  <c r="E417" i="28" l="1"/>
  <c r="E429" i="28"/>
  <c r="E1270" i="29"/>
  <c r="E1280" i="29"/>
  <c r="E1291" i="29"/>
  <c r="E1259" i="29"/>
  <c r="E1257" i="29"/>
  <c r="E1256" i="29"/>
  <c r="E1255" i="29"/>
  <c r="E1254" i="29"/>
  <c r="E1253" i="29"/>
  <c r="E1252" i="29"/>
  <c r="E406" i="28"/>
  <c r="E404" i="28"/>
  <c r="E403" i="28"/>
  <c r="E402" i="28"/>
  <c r="E401" i="28"/>
  <c r="E400" i="28"/>
  <c r="E399" i="28"/>
  <c r="E1258" i="29" l="1"/>
  <c r="E1260" i="29" s="1"/>
  <c r="E405" i="28"/>
  <c r="E407" i="28" s="1"/>
  <c r="E1247" i="29"/>
  <c r="E1246" i="29"/>
  <c r="E1245" i="29"/>
  <c r="E1244" i="29"/>
  <c r="E1243" i="29"/>
  <c r="E1242" i="29"/>
  <c r="E1237" i="29"/>
  <c r="E1236" i="29"/>
  <c r="E1235" i="29"/>
  <c r="E1234" i="29"/>
  <c r="E1233" i="29"/>
  <c r="E1232" i="29"/>
  <c r="E1227" i="29"/>
  <c r="E1226" i="29"/>
  <c r="E1225" i="29"/>
  <c r="E1224" i="29"/>
  <c r="E1223" i="29"/>
  <c r="E1222" i="29"/>
  <c r="E1215" i="29"/>
  <c r="E1214" i="29"/>
  <c r="E1213" i="29"/>
  <c r="E1212" i="29"/>
  <c r="E1211" i="29"/>
  <c r="E1210" i="29"/>
  <c r="E1209" i="29"/>
  <c r="E1208" i="29"/>
  <c r="E1248" i="29" l="1"/>
  <c r="E1238" i="29"/>
  <c r="E1228" i="29"/>
  <c r="E1216" i="29"/>
  <c r="E1218" i="29" s="1"/>
  <c r="E1202" i="29"/>
  <c r="E1200" i="29"/>
  <c r="E1199" i="29"/>
  <c r="E1198" i="29"/>
  <c r="E1197" i="29"/>
  <c r="E1196" i="29"/>
  <c r="E1195" i="29"/>
  <c r="E1189" i="29"/>
  <c r="E1187" i="29"/>
  <c r="E1186" i="29"/>
  <c r="E1185" i="29"/>
  <c r="E1184" i="29"/>
  <c r="E1183" i="29"/>
  <c r="E1182" i="29"/>
  <c r="E1201" i="29" l="1"/>
  <c r="E1203" i="29" s="1"/>
  <c r="E1188" i="29"/>
  <c r="E1190" i="29" s="1"/>
  <c r="E1177" i="29" l="1"/>
  <c r="E1175" i="29"/>
  <c r="E1174" i="29"/>
  <c r="E1173" i="29"/>
  <c r="E1172" i="29"/>
  <c r="E1171" i="29"/>
  <c r="E1170" i="29"/>
  <c r="E1164" i="29"/>
  <c r="E1162" i="29"/>
  <c r="E1161" i="29"/>
  <c r="E1160" i="29"/>
  <c r="E1159" i="29"/>
  <c r="E1158" i="29"/>
  <c r="E1157" i="29"/>
  <c r="E1152" i="29"/>
  <c r="E1150" i="29"/>
  <c r="E1149" i="29"/>
  <c r="E1148" i="29"/>
  <c r="E1147" i="29"/>
  <c r="E1146" i="29"/>
  <c r="E1145" i="29"/>
  <c r="E1151" i="29" l="1"/>
  <c r="E1153" i="29" s="1"/>
  <c r="E1163" i="29"/>
  <c r="E1165" i="29" s="1"/>
  <c r="E1176" i="29"/>
  <c r="E1178" i="29" s="1"/>
  <c r="E394" i="28" l="1"/>
  <c r="E392" i="28"/>
  <c r="E391" i="28"/>
  <c r="E390" i="28"/>
  <c r="E389" i="28"/>
  <c r="E388" i="28"/>
  <c r="E387" i="28"/>
  <c r="E393" i="28" l="1"/>
  <c r="E395" i="28" s="1"/>
  <c r="E1139" i="29"/>
  <c r="E1137" i="29"/>
  <c r="E1136" i="29"/>
  <c r="E1135" i="29"/>
  <c r="E1134" i="29"/>
  <c r="E1133" i="29"/>
  <c r="E1132" i="29"/>
  <c r="E1138" i="29" l="1"/>
  <c r="E1140" i="29" s="1"/>
  <c r="E381" i="28"/>
  <c r="E379" i="28"/>
  <c r="E378" i="28"/>
  <c r="E377" i="28"/>
  <c r="E376" i="28"/>
  <c r="E375" i="28"/>
  <c r="E374" i="28"/>
  <c r="E380" i="28" l="1"/>
  <c r="E382" i="28" s="1"/>
  <c r="E1127" i="29"/>
  <c r="E1125" i="29"/>
  <c r="E1124" i="29"/>
  <c r="E1123" i="29"/>
  <c r="E1122" i="29"/>
  <c r="E1121" i="29"/>
  <c r="E1120" i="29"/>
  <c r="E1115" i="29"/>
  <c r="E1113" i="29"/>
  <c r="E1112" i="29"/>
  <c r="E1111" i="29"/>
  <c r="E1110" i="29"/>
  <c r="E1109" i="29"/>
  <c r="E1108" i="29"/>
  <c r="E1107" i="29"/>
  <c r="E1106" i="29"/>
  <c r="E1126" i="29" l="1"/>
  <c r="E1128" i="29" s="1"/>
  <c r="E1114" i="29"/>
  <c r="E1116" i="29" s="1"/>
  <c r="E367" i="28"/>
  <c r="E366" i="28"/>
  <c r="E365" i="28"/>
  <c r="E364" i="28"/>
  <c r="E363" i="28"/>
  <c r="E357" i="28"/>
  <c r="E356" i="28"/>
  <c r="E355" i="28"/>
  <c r="E354" i="28"/>
  <c r="E353" i="28"/>
  <c r="E352" i="28"/>
  <c r="E147" i="25"/>
  <c r="E146" i="25"/>
  <c r="E145" i="25"/>
  <c r="E144" i="25"/>
  <c r="E143" i="25"/>
  <c r="E142" i="25"/>
  <c r="E369" i="28" l="1"/>
  <c r="E358" i="28"/>
  <c r="E148" i="25"/>
  <c r="E347" i="28"/>
  <c r="E345" i="28"/>
  <c r="E344" i="28"/>
  <c r="E343" i="28"/>
  <c r="E342" i="28"/>
  <c r="E341" i="28"/>
  <c r="E340" i="28"/>
  <c r="E339" i="28"/>
  <c r="E338" i="28"/>
  <c r="E333" i="28"/>
  <c r="E331" i="28"/>
  <c r="E330" i="28"/>
  <c r="E329" i="28"/>
  <c r="E328" i="28"/>
  <c r="E327" i="28"/>
  <c r="E326" i="28"/>
  <c r="E1099" i="29"/>
  <c r="E1097" i="29"/>
  <c r="E1096" i="29"/>
  <c r="E1095" i="29"/>
  <c r="E1094" i="29"/>
  <c r="E1093" i="29"/>
  <c r="E1092" i="29"/>
  <c r="E1085" i="29"/>
  <c r="E1084" i="29"/>
  <c r="E1083" i="29"/>
  <c r="E1082" i="29"/>
  <c r="E1081" i="29"/>
  <c r="E332" i="28" l="1"/>
  <c r="E334" i="28" s="1"/>
  <c r="E1098" i="29"/>
  <c r="E1100" i="29" s="1"/>
  <c r="E346" i="28"/>
  <c r="E348" i="28" s="1"/>
  <c r="E1087" i="29"/>
  <c r="E1075" i="29"/>
  <c r="E1074" i="29"/>
  <c r="E1073" i="29"/>
  <c r="E1072" i="29"/>
  <c r="E1071" i="29"/>
  <c r="E1070" i="29"/>
  <c r="E1076" i="29" l="1"/>
  <c r="E1064" i="29"/>
  <c r="E1063" i="29"/>
  <c r="E1062" i="29"/>
  <c r="E1061" i="29"/>
  <c r="E1060" i="29"/>
  <c r="E1059" i="29"/>
  <c r="E1065" i="29" l="1"/>
  <c r="E1053" i="29"/>
  <c r="E1052" i="29"/>
  <c r="E1051" i="29"/>
  <c r="E1050" i="29"/>
  <c r="E1049" i="29"/>
  <c r="E1048" i="29"/>
  <c r="E1042" i="29"/>
  <c r="E1041" i="29"/>
  <c r="E1040" i="29"/>
  <c r="E1039" i="29"/>
  <c r="E1038" i="29"/>
  <c r="E1037" i="29"/>
  <c r="E1043" i="29" l="1"/>
  <c r="E1054" i="29"/>
  <c r="E1031" i="29"/>
  <c r="E1029" i="29"/>
  <c r="E1028" i="29"/>
  <c r="E1027" i="29"/>
  <c r="E1026" i="29"/>
  <c r="E1025" i="29"/>
  <c r="E1024" i="29"/>
  <c r="E1023" i="29"/>
  <c r="E1022" i="29"/>
  <c r="E1015" i="29"/>
  <c r="E1013" i="29"/>
  <c r="E1012" i="29"/>
  <c r="E1011" i="29"/>
  <c r="E1010" i="29"/>
  <c r="E1009" i="29"/>
  <c r="E1008" i="29"/>
  <c r="E1007" i="29"/>
  <c r="E1006" i="29"/>
  <c r="E1000" i="29"/>
  <c r="E999" i="29"/>
  <c r="E998" i="29"/>
  <c r="E997" i="29"/>
  <c r="E996" i="29"/>
  <c r="E995" i="29"/>
  <c r="E990" i="29"/>
  <c r="E989" i="29"/>
  <c r="E988" i="29"/>
  <c r="E987" i="29"/>
  <c r="E986" i="29"/>
  <c r="E985" i="29"/>
  <c r="E320" i="28"/>
  <c r="E318" i="28"/>
  <c r="E317" i="28"/>
  <c r="E316" i="28"/>
  <c r="E315" i="28"/>
  <c r="E314" i="28"/>
  <c r="E313" i="28"/>
  <c r="E319" i="28" l="1"/>
  <c r="E321" i="28" s="1"/>
  <c r="E1001" i="29"/>
  <c r="E1014" i="29"/>
  <c r="E1016" i="29" s="1"/>
  <c r="E1030" i="29"/>
  <c r="E1032" i="29" s="1"/>
  <c r="E991" i="29"/>
  <c r="E980" i="29"/>
  <c r="E978" i="29"/>
  <c r="E977" i="29"/>
  <c r="E976" i="29"/>
  <c r="E975" i="29"/>
  <c r="E974" i="29"/>
  <c r="E973" i="29"/>
  <c r="E972" i="29"/>
  <c r="E971" i="29"/>
  <c r="E964" i="29"/>
  <c r="E962" i="29"/>
  <c r="E961" i="29"/>
  <c r="E960" i="29"/>
  <c r="E959" i="29"/>
  <c r="E958" i="29"/>
  <c r="E957" i="29"/>
  <c r="E956" i="29"/>
  <c r="E955" i="29"/>
  <c r="E948" i="29"/>
  <c r="E947" i="29"/>
  <c r="E946" i="29"/>
  <c r="E945" i="29"/>
  <c r="E944" i="29"/>
  <c r="E943" i="29"/>
  <c r="E937" i="29"/>
  <c r="E936" i="29"/>
  <c r="E935" i="29"/>
  <c r="E934" i="29"/>
  <c r="E933" i="29"/>
  <c r="E932" i="29"/>
  <c r="E926" i="29"/>
  <c r="E924" i="29"/>
  <c r="E923" i="29"/>
  <c r="E922" i="29"/>
  <c r="E921" i="29"/>
  <c r="E920" i="29"/>
  <c r="E919" i="29"/>
  <c r="E913" i="29"/>
  <c r="E911" i="29"/>
  <c r="E910" i="29"/>
  <c r="E909" i="29"/>
  <c r="E908" i="29"/>
  <c r="E907" i="29"/>
  <c r="E906" i="29"/>
  <c r="E905" i="29"/>
  <c r="E904" i="29"/>
  <c r="E898" i="29"/>
  <c r="E896" i="29"/>
  <c r="E895" i="29"/>
  <c r="E894" i="29"/>
  <c r="E893" i="29"/>
  <c r="E892" i="29"/>
  <c r="E891" i="29"/>
  <c r="E979" i="29" l="1"/>
  <c r="E981" i="29" s="1"/>
  <c r="E963" i="29"/>
  <c r="E965" i="29" s="1"/>
  <c r="E949" i="29"/>
  <c r="E938" i="29"/>
  <c r="E925" i="29"/>
  <c r="E927" i="29" s="1"/>
  <c r="E912" i="29"/>
  <c r="E914" i="29" s="1"/>
  <c r="E897" i="29"/>
  <c r="E899" i="29" s="1"/>
  <c r="E884" i="29"/>
  <c r="E883" i="29"/>
  <c r="E882" i="29"/>
  <c r="E881" i="29"/>
  <c r="E880" i="29"/>
  <c r="E886" i="29" l="1"/>
  <c r="E874" i="29" l="1"/>
  <c r="E873" i="29"/>
  <c r="E872" i="29"/>
  <c r="E871" i="29"/>
  <c r="E870" i="29"/>
  <c r="E869" i="29"/>
  <c r="E864" i="29"/>
  <c r="E863" i="29"/>
  <c r="E862" i="29"/>
  <c r="E861" i="29"/>
  <c r="E860" i="29"/>
  <c r="E859" i="29"/>
  <c r="E853" i="29"/>
  <c r="E851" i="29"/>
  <c r="E850" i="29"/>
  <c r="E849" i="29"/>
  <c r="E848" i="29"/>
  <c r="E847" i="29"/>
  <c r="E846" i="29"/>
  <c r="E845" i="29"/>
  <c r="E844" i="29"/>
  <c r="E302" i="28"/>
  <c r="E301" i="28"/>
  <c r="E300" i="28"/>
  <c r="E299" i="28"/>
  <c r="E298" i="28"/>
  <c r="E297" i="28"/>
  <c r="E837" i="29"/>
  <c r="E835" i="29"/>
  <c r="E834" i="29"/>
  <c r="E833" i="29"/>
  <c r="E832" i="29"/>
  <c r="E831" i="29"/>
  <c r="E830" i="29"/>
  <c r="E829" i="29"/>
  <c r="E828" i="29"/>
  <c r="E821" i="29"/>
  <c r="E819" i="29"/>
  <c r="E818" i="29"/>
  <c r="E817" i="29"/>
  <c r="E816" i="29"/>
  <c r="E815" i="29"/>
  <c r="E814" i="29"/>
  <c r="E813" i="29"/>
  <c r="E812" i="29"/>
  <c r="E805" i="29"/>
  <c r="E803" i="29"/>
  <c r="E802" i="29"/>
  <c r="E801" i="29"/>
  <c r="E800" i="29"/>
  <c r="E799" i="29"/>
  <c r="E798" i="29"/>
  <c r="E786" i="29"/>
  <c r="E792" i="29"/>
  <c r="E790" i="29"/>
  <c r="E789" i="29"/>
  <c r="E788" i="29"/>
  <c r="E787" i="29"/>
  <c r="E785" i="29"/>
  <c r="E852" i="29" l="1"/>
  <c r="E854" i="29" s="1"/>
  <c r="E820" i="29"/>
  <c r="E822" i="29" s="1"/>
  <c r="E836" i="29"/>
  <c r="E838" i="29" s="1"/>
  <c r="E865" i="29"/>
  <c r="E875" i="29"/>
  <c r="E303" i="28"/>
  <c r="E804" i="29"/>
  <c r="E806" i="29" s="1"/>
  <c r="E791" i="29"/>
  <c r="E793" i="29" s="1"/>
  <c r="E779" i="29"/>
  <c r="E777" i="29"/>
  <c r="E776" i="29"/>
  <c r="E775" i="29"/>
  <c r="E774" i="29"/>
  <c r="E773" i="29"/>
  <c r="E772" i="29"/>
  <c r="E766" i="29"/>
  <c r="E764" i="29"/>
  <c r="E763" i="29"/>
  <c r="E762" i="29"/>
  <c r="E761" i="29"/>
  <c r="E760" i="29"/>
  <c r="E759" i="29"/>
  <c r="E778" i="29" l="1"/>
  <c r="E780" i="29" s="1"/>
  <c r="E765" i="29"/>
  <c r="E767" i="29" s="1"/>
  <c r="E754" i="29"/>
  <c r="E752" i="29"/>
  <c r="E751" i="29"/>
  <c r="E750" i="29"/>
  <c r="E749" i="29"/>
  <c r="E748" i="29"/>
  <c r="E747" i="29"/>
  <c r="E753" i="29" l="1"/>
  <c r="E755" i="29" s="1"/>
  <c r="E291" i="28"/>
  <c r="E289" i="28"/>
  <c r="E288" i="28"/>
  <c r="E287" i="28"/>
  <c r="E286" i="28"/>
  <c r="E285" i="28"/>
  <c r="E284" i="28"/>
  <c r="E279" i="28"/>
  <c r="E277" i="28"/>
  <c r="E276" i="28"/>
  <c r="E275" i="28"/>
  <c r="E274" i="28"/>
  <c r="E273" i="28"/>
  <c r="E272" i="28"/>
  <c r="E290" i="28" l="1"/>
  <c r="E292" i="28" s="1"/>
  <c r="E278" i="28"/>
  <c r="E280" i="28" s="1"/>
  <c r="E740" i="29"/>
  <c r="E738" i="29"/>
  <c r="E737" i="29"/>
  <c r="E736" i="29"/>
  <c r="E735" i="29"/>
  <c r="E734" i="29"/>
  <c r="E733" i="29"/>
  <c r="E726" i="29"/>
  <c r="E724" i="29"/>
  <c r="E723" i="29"/>
  <c r="E722" i="29"/>
  <c r="E721" i="29"/>
  <c r="E720" i="29"/>
  <c r="E719" i="29"/>
  <c r="E714" i="29"/>
  <c r="E712" i="29"/>
  <c r="E711" i="29"/>
  <c r="E710" i="29"/>
  <c r="E709" i="29"/>
  <c r="E708" i="29"/>
  <c r="E707" i="29"/>
  <c r="E701" i="29"/>
  <c r="E699" i="29"/>
  <c r="E698" i="29"/>
  <c r="E697" i="29"/>
  <c r="E696" i="29"/>
  <c r="E695" i="29"/>
  <c r="E694" i="29"/>
  <c r="E725" i="29" l="1"/>
  <c r="E727" i="29" s="1"/>
  <c r="E713" i="29"/>
  <c r="E715" i="29" s="1"/>
  <c r="E739" i="29"/>
  <c r="E741" i="29" s="1"/>
  <c r="E700" i="29"/>
  <c r="E702" i="29" s="1"/>
  <c r="E135" i="25"/>
  <c r="E134" i="25"/>
  <c r="E133" i="25"/>
  <c r="E132" i="25"/>
  <c r="E131" i="25"/>
  <c r="E130" i="25"/>
  <c r="E136" i="25" l="1"/>
  <c r="E138" i="25" s="1"/>
  <c r="E685" i="29"/>
  <c r="E684" i="29"/>
  <c r="E683" i="29"/>
  <c r="E682" i="29"/>
  <c r="E681" i="29"/>
  <c r="E680" i="29"/>
  <c r="E686" i="29" l="1"/>
  <c r="E688" i="29" s="1"/>
  <c r="E675" i="29"/>
  <c r="E673" i="29"/>
  <c r="E672" i="29"/>
  <c r="E671" i="29"/>
  <c r="E670" i="29"/>
  <c r="E669" i="29"/>
  <c r="E668" i="29"/>
  <c r="E674" i="29" l="1"/>
  <c r="E676" i="29" s="1"/>
  <c r="E661" i="29"/>
  <c r="E659" i="29"/>
  <c r="E658" i="29"/>
  <c r="E657" i="29"/>
  <c r="E656" i="29"/>
  <c r="E655" i="29"/>
  <c r="E654" i="29"/>
  <c r="E648" i="29"/>
  <c r="E646" i="29"/>
  <c r="E645" i="29"/>
  <c r="E644" i="29"/>
  <c r="E643" i="29"/>
  <c r="E642" i="29"/>
  <c r="E641" i="29"/>
  <c r="E635" i="29"/>
  <c r="E633" i="29"/>
  <c r="E632" i="29"/>
  <c r="E631" i="29"/>
  <c r="E630" i="29"/>
  <c r="E629" i="29"/>
  <c r="E628" i="29"/>
  <c r="E627" i="29"/>
  <c r="E626" i="29"/>
  <c r="E619" i="29"/>
  <c r="E617" i="29"/>
  <c r="E616" i="29"/>
  <c r="E615" i="29"/>
  <c r="E614" i="29"/>
  <c r="E613" i="29"/>
  <c r="E612" i="29"/>
  <c r="E611" i="29"/>
  <c r="E610" i="29"/>
  <c r="E647" i="29" l="1"/>
  <c r="E649" i="29" s="1"/>
  <c r="E660" i="29"/>
  <c r="E662" i="29" s="1"/>
  <c r="E634" i="29"/>
  <c r="E636" i="29" s="1"/>
  <c r="E618" i="29"/>
  <c r="E620" i="29" s="1"/>
  <c r="E266" i="28" l="1"/>
  <c r="E264" i="28"/>
  <c r="E263" i="28"/>
  <c r="E262" i="28"/>
  <c r="E261" i="28"/>
  <c r="E260" i="28"/>
  <c r="E259" i="28"/>
  <c r="E253" i="28"/>
  <c r="E251" i="28"/>
  <c r="E250" i="28"/>
  <c r="E249" i="28"/>
  <c r="E248" i="28"/>
  <c r="E247" i="28"/>
  <c r="E246" i="28"/>
  <c r="E265" i="28" l="1"/>
  <c r="E267" i="28" s="1"/>
  <c r="E252" i="28"/>
  <c r="E254" i="28" s="1"/>
  <c r="E240" i="28"/>
  <c r="E238" i="28"/>
  <c r="E237" i="28"/>
  <c r="E236" i="28"/>
  <c r="E235" i="28"/>
  <c r="E234" i="28"/>
  <c r="E233" i="28"/>
  <c r="E239" i="28" l="1"/>
  <c r="E241" i="28" s="1"/>
  <c r="K212" i="28"/>
  <c r="K211" i="28"/>
  <c r="K210" i="28"/>
  <c r="K209" i="28"/>
  <c r="K208" i="28"/>
  <c r="K213" i="28" l="1"/>
  <c r="K215" i="28" s="1"/>
  <c r="E227" i="28"/>
  <c r="E226" i="28"/>
  <c r="E225" i="28"/>
  <c r="E224" i="28"/>
  <c r="E223" i="28"/>
  <c r="E222" i="28"/>
  <c r="E603" i="29"/>
  <c r="E228" i="28" l="1"/>
  <c r="E212" i="28"/>
  <c r="E211" i="28"/>
  <c r="E210" i="28"/>
  <c r="E209" i="28"/>
  <c r="E208" i="28"/>
  <c r="E213" i="28" l="1"/>
  <c r="E215" i="28" s="1"/>
  <c r="E602" i="29"/>
  <c r="E601" i="29"/>
  <c r="E600" i="29"/>
  <c r="E599" i="29"/>
  <c r="E598" i="29"/>
  <c r="E604" i="29" l="1"/>
  <c r="E592" i="29"/>
  <c r="E590" i="29"/>
  <c r="E589" i="29"/>
  <c r="E588" i="29"/>
  <c r="E587" i="29"/>
  <c r="E586" i="29"/>
  <c r="E585" i="29"/>
  <c r="E591" i="29" l="1"/>
  <c r="E593" i="29" s="1"/>
  <c r="E578" i="29"/>
  <c r="E577" i="29"/>
  <c r="E576" i="29"/>
  <c r="E575" i="29"/>
  <c r="E574" i="29"/>
  <c r="E573" i="29"/>
  <c r="E567" i="29"/>
  <c r="E566" i="29"/>
  <c r="E565" i="29"/>
  <c r="E564" i="29"/>
  <c r="E563" i="29"/>
  <c r="E562" i="29"/>
  <c r="E556" i="29"/>
  <c r="E554" i="29"/>
  <c r="E553" i="29"/>
  <c r="E552" i="29"/>
  <c r="E551" i="29"/>
  <c r="E550" i="29"/>
  <c r="E549" i="29"/>
  <c r="E579" i="29" l="1"/>
  <c r="E568" i="29"/>
  <c r="E555" i="29"/>
  <c r="E557" i="29" s="1"/>
  <c r="E541" i="29"/>
  <c r="E540" i="29"/>
  <c r="E539" i="29"/>
  <c r="E538" i="29"/>
  <c r="E537" i="29"/>
  <c r="E536" i="29"/>
  <c r="E542" i="29" l="1"/>
  <c r="E544" i="29" s="1"/>
  <c r="E529" i="29"/>
  <c r="E527" i="29"/>
  <c r="E526" i="29"/>
  <c r="E525" i="29"/>
  <c r="E524" i="29"/>
  <c r="E523" i="29"/>
  <c r="E522" i="29"/>
  <c r="E521" i="29"/>
  <c r="E520" i="29"/>
  <c r="E512" i="29"/>
  <c r="E511" i="29"/>
  <c r="E510" i="29"/>
  <c r="E509" i="29"/>
  <c r="E508" i="29"/>
  <c r="E514" i="29" l="1"/>
  <c r="E528" i="29"/>
  <c r="E531" i="29" s="1"/>
  <c r="E503" i="29"/>
  <c r="E501" i="29"/>
  <c r="E500" i="29"/>
  <c r="E499" i="29"/>
  <c r="E498" i="29"/>
  <c r="E497" i="29"/>
  <c r="E496" i="29"/>
  <c r="E502" i="29" l="1"/>
  <c r="E504" i="29" s="1"/>
  <c r="E489" i="29"/>
  <c r="E487" i="29"/>
  <c r="E486" i="29"/>
  <c r="E485" i="29"/>
  <c r="E484" i="29"/>
  <c r="E483" i="29"/>
  <c r="E482" i="29"/>
  <c r="K21" i="28"/>
  <c r="K20" i="28"/>
  <c r="K19" i="28"/>
  <c r="K18" i="28"/>
  <c r="K17" i="28"/>
  <c r="E475" i="29"/>
  <c r="E473" i="29"/>
  <c r="E472" i="29"/>
  <c r="E471" i="29"/>
  <c r="E470" i="29"/>
  <c r="E469" i="29"/>
  <c r="E468" i="29"/>
  <c r="E467" i="29"/>
  <c r="E466" i="29"/>
  <c r="E474" i="29" l="1"/>
  <c r="E488" i="29"/>
  <c r="E490" i="29" s="1"/>
  <c r="K22" i="28"/>
  <c r="K24" i="28" s="1"/>
  <c r="E459" i="29"/>
  <c r="E457" i="29"/>
  <c r="E456" i="29"/>
  <c r="E455" i="29"/>
  <c r="E454" i="29"/>
  <c r="E453" i="29"/>
  <c r="E452" i="29"/>
  <c r="E451" i="29"/>
  <c r="E450" i="29"/>
  <c r="E443" i="29"/>
  <c r="E441" i="29"/>
  <c r="E440" i="29"/>
  <c r="E439" i="29"/>
  <c r="E438" i="29"/>
  <c r="E437" i="29"/>
  <c r="E436" i="29"/>
  <c r="E458" i="29" l="1"/>
  <c r="E460" i="29" s="1"/>
  <c r="E442" i="29"/>
  <c r="E444" i="29" s="1"/>
  <c r="E430" i="29"/>
  <c r="E428" i="29"/>
  <c r="E427" i="29"/>
  <c r="E426" i="29"/>
  <c r="E425" i="29"/>
  <c r="E424" i="29"/>
  <c r="E423" i="29"/>
  <c r="E422" i="29"/>
  <c r="E421" i="29"/>
  <c r="W375" i="29"/>
  <c r="W374" i="29"/>
  <c r="W373" i="29"/>
  <c r="W372" i="29"/>
  <c r="W371" i="29"/>
  <c r="W370" i="29"/>
  <c r="Q375" i="29"/>
  <c r="Q374" i="29"/>
  <c r="Q373" i="29"/>
  <c r="Q372" i="29"/>
  <c r="Q371" i="29"/>
  <c r="Q370" i="29"/>
  <c r="K375" i="29"/>
  <c r="K374" i="29"/>
  <c r="K373" i="29"/>
  <c r="K372" i="29"/>
  <c r="K371" i="29"/>
  <c r="K370" i="29"/>
  <c r="E414" i="29"/>
  <c r="E412" i="29"/>
  <c r="E411" i="29"/>
  <c r="E410" i="29"/>
  <c r="E409" i="29"/>
  <c r="E408" i="29"/>
  <c r="E407" i="29"/>
  <c r="E402" i="29"/>
  <c r="E400" i="29"/>
  <c r="E399" i="29"/>
  <c r="E398" i="29"/>
  <c r="E397" i="29"/>
  <c r="E396" i="29"/>
  <c r="E395" i="29"/>
  <c r="E389" i="29"/>
  <c r="E387" i="29"/>
  <c r="E386" i="29"/>
  <c r="E385" i="29"/>
  <c r="E384" i="29"/>
  <c r="E383" i="29"/>
  <c r="E382" i="29"/>
  <c r="E375" i="29"/>
  <c r="E374" i="29"/>
  <c r="E373" i="29"/>
  <c r="E372" i="29"/>
  <c r="E371" i="29"/>
  <c r="E370" i="29"/>
  <c r="E401" i="29" l="1"/>
  <c r="E403" i="29" s="1"/>
  <c r="E388" i="29"/>
  <c r="E390" i="29" s="1"/>
  <c r="E413" i="29"/>
  <c r="E415" i="29" s="1"/>
  <c r="E429" i="29"/>
  <c r="E431" i="29" s="1"/>
  <c r="W376" i="29"/>
  <c r="Q376" i="29"/>
  <c r="K376" i="29"/>
  <c r="E376" i="29"/>
  <c r="E125" i="25"/>
  <c r="E123" i="25"/>
  <c r="E122" i="25"/>
  <c r="E121" i="25"/>
  <c r="E120" i="25"/>
  <c r="E119" i="25"/>
  <c r="E118" i="25"/>
  <c r="E111" i="25"/>
  <c r="E109" i="25"/>
  <c r="E108" i="25"/>
  <c r="E107" i="25"/>
  <c r="E106" i="25"/>
  <c r="E105" i="25"/>
  <c r="E104" i="25"/>
  <c r="E103" i="25"/>
  <c r="E102" i="25"/>
  <c r="E124" i="25" l="1"/>
  <c r="E126" i="25" s="1"/>
  <c r="E110" i="25"/>
  <c r="E113" i="25" s="1"/>
  <c r="E94" i="25"/>
  <c r="E92" i="25"/>
  <c r="E91" i="25"/>
  <c r="E90" i="25"/>
  <c r="E89" i="25"/>
  <c r="E88" i="25"/>
  <c r="E87" i="25"/>
  <c r="E86" i="25"/>
  <c r="E85" i="25"/>
  <c r="E93" i="25" l="1"/>
  <c r="E96" i="25" s="1"/>
  <c r="E365" i="29"/>
  <c r="E363" i="29"/>
  <c r="E362" i="29"/>
  <c r="E361" i="29"/>
  <c r="E360" i="29"/>
  <c r="E359" i="29"/>
  <c r="E358" i="29"/>
  <c r="E364" i="29" l="1"/>
  <c r="E366" i="29" s="1"/>
  <c r="E351" i="29"/>
  <c r="E349" i="29"/>
  <c r="E348" i="29"/>
  <c r="E347" i="29"/>
  <c r="E346" i="29"/>
  <c r="E345" i="29"/>
  <c r="E344" i="29"/>
  <c r="E343" i="29"/>
  <c r="E342" i="29"/>
  <c r="E350" i="29" l="1"/>
  <c r="E352" i="29" s="1"/>
  <c r="K231" i="29"/>
  <c r="K229" i="29"/>
  <c r="K228" i="29"/>
  <c r="K227" i="29"/>
  <c r="K226" i="29"/>
  <c r="K225" i="29"/>
  <c r="K224" i="29"/>
  <c r="K230" i="29" l="1"/>
  <c r="K232" i="29" s="1"/>
  <c r="K305" i="29"/>
  <c r="K304" i="29"/>
  <c r="K303" i="29"/>
  <c r="K302" i="29"/>
  <c r="K301" i="29"/>
  <c r="K300" i="29"/>
  <c r="E78" i="25"/>
  <c r="E77" i="25"/>
  <c r="E76" i="25"/>
  <c r="E75" i="25"/>
  <c r="E74" i="25"/>
  <c r="E73" i="25"/>
  <c r="E67" i="25"/>
  <c r="E66" i="25"/>
  <c r="E65" i="25"/>
  <c r="E64" i="25"/>
  <c r="E63" i="25"/>
  <c r="E62" i="25"/>
  <c r="E68" i="25" l="1"/>
  <c r="E79" i="25"/>
  <c r="K306" i="29"/>
  <c r="E334" i="29" l="1"/>
  <c r="E332" i="29"/>
  <c r="E331" i="29"/>
  <c r="E330" i="29"/>
  <c r="E329" i="29"/>
  <c r="E328" i="29"/>
  <c r="E327" i="29"/>
  <c r="E326" i="29"/>
  <c r="E325" i="29"/>
  <c r="E333" i="29" l="1"/>
  <c r="E336" i="29" s="1"/>
  <c r="E319" i="29"/>
  <c r="E317" i="29"/>
  <c r="E316" i="29"/>
  <c r="E315" i="29"/>
  <c r="E314" i="29"/>
  <c r="E313" i="29"/>
  <c r="E312" i="29"/>
  <c r="E318" i="29" l="1"/>
  <c r="E320" i="29" s="1"/>
  <c r="E305" i="29"/>
  <c r="E304" i="29"/>
  <c r="E303" i="29"/>
  <c r="E302" i="29"/>
  <c r="E301" i="29"/>
  <c r="E300" i="29"/>
  <c r="E294" i="29"/>
  <c r="E293" i="29"/>
  <c r="E292" i="29"/>
  <c r="E291" i="29"/>
  <c r="E290" i="29"/>
  <c r="E289" i="29"/>
  <c r="E283" i="29"/>
  <c r="E282" i="29"/>
  <c r="E281" i="29"/>
  <c r="E280" i="29"/>
  <c r="E279" i="29"/>
  <c r="E278" i="29"/>
  <c r="E271" i="29"/>
  <c r="E270" i="29"/>
  <c r="E269" i="29"/>
  <c r="E268" i="29"/>
  <c r="E267" i="29"/>
  <c r="E266" i="29"/>
  <c r="E259" i="29"/>
  <c r="E257" i="29"/>
  <c r="E256" i="29"/>
  <c r="E255" i="29"/>
  <c r="E254" i="29"/>
  <c r="E253" i="29"/>
  <c r="E252" i="29"/>
  <c r="E245" i="29"/>
  <c r="E243" i="29"/>
  <c r="E242" i="29"/>
  <c r="E241" i="29"/>
  <c r="E240" i="29"/>
  <c r="E239" i="29"/>
  <c r="E238" i="29"/>
  <c r="E295" i="29" l="1"/>
  <c r="E306" i="29"/>
  <c r="E284" i="29"/>
  <c r="E272" i="29"/>
  <c r="E258" i="29"/>
  <c r="E260" i="29" s="1"/>
  <c r="E244" i="29"/>
  <c r="E246" i="29" s="1"/>
  <c r="E231" i="29" l="1"/>
  <c r="E229" i="29"/>
  <c r="E228" i="29"/>
  <c r="E227" i="29"/>
  <c r="E226" i="29"/>
  <c r="E225" i="29"/>
  <c r="E224" i="29"/>
  <c r="E200" i="28"/>
  <c r="E199" i="28"/>
  <c r="E197" i="28"/>
  <c r="E196" i="28"/>
  <c r="E195" i="28"/>
  <c r="E186" i="28"/>
  <c r="E185" i="28"/>
  <c r="E183" i="28"/>
  <c r="E182" i="28"/>
  <c r="E181" i="28"/>
  <c r="E97" i="29"/>
  <c r="E95" i="29"/>
  <c r="E94" i="29"/>
  <c r="E93" i="29"/>
  <c r="E92" i="29"/>
  <c r="E91" i="29"/>
  <c r="E90" i="29"/>
  <c r="E162" i="24"/>
  <c r="E160" i="24"/>
  <c r="E159" i="24"/>
  <c r="E157" i="24"/>
  <c r="E156" i="24"/>
  <c r="E155" i="24"/>
  <c r="E154" i="24"/>
  <c r="E153" i="24"/>
  <c r="E146" i="24"/>
  <c r="E144" i="24"/>
  <c r="E143" i="24"/>
  <c r="E141" i="24"/>
  <c r="E140" i="24"/>
  <c r="E139" i="24"/>
  <c r="E138" i="24"/>
  <c r="E137" i="24"/>
  <c r="E161" i="24" l="1"/>
  <c r="E163" i="24" s="1"/>
  <c r="E187" i="28"/>
  <c r="E189" i="28" s="1"/>
  <c r="E201" i="28"/>
  <c r="E203" i="28" s="1"/>
  <c r="E230" i="29"/>
  <c r="E232" i="29" s="1"/>
  <c r="E96" i="29"/>
  <c r="E98" i="29" s="1"/>
  <c r="E145" i="24"/>
  <c r="E147" i="24" s="1"/>
  <c r="E44" i="29"/>
  <c r="E43" i="29"/>
  <c r="E42" i="29"/>
  <c r="E41" i="29"/>
  <c r="E40" i="29"/>
  <c r="E39" i="29"/>
  <c r="E45" i="29" l="1"/>
  <c r="E215" i="29"/>
  <c r="E214" i="29"/>
  <c r="E213" i="29"/>
  <c r="E212" i="29"/>
  <c r="E211" i="29"/>
  <c r="E210" i="29"/>
  <c r="E216" i="29" l="1"/>
  <c r="E203" i="29"/>
  <c r="E202" i="29"/>
  <c r="E201" i="29"/>
  <c r="E200" i="29"/>
  <c r="E199" i="29"/>
  <c r="E198" i="29"/>
  <c r="E204" i="29" l="1"/>
  <c r="E169" i="28"/>
  <c r="E174" i="28"/>
  <c r="E172" i="28"/>
  <c r="E171" i="28"/>
  <c r="E170" i="28"/>
  <c r="E168" i="28"/>
  <c r="E167" i="28"/>
  <c r="E166" i="28"/>
  <c r="E165" i="28"/>
  <c r="E159" i="28"/>
  <c r="E157" i="28"/>
  <c r="E156" i="28"/>
  <c r="E155" i="28"/>
  <c r="E154" i="28"/>
  <c r="E153" i="28"/>
  <c r="E152" i="28"/>
  <c r="E173" i="28" l="1"/>
  <c r="E175" i="28" s="1"/>
  <c r="E158" i="28"/>
  <c r="E160" i="28" s="1"/>
  <c r="K127" i="29"/>
  <c r="K125" i="29"/>
  <c r="K124" i="29"/>
  <c r="K123" i="29"/>
  <c r="K122" i="29"/>
  <c r="K121" i="29"/>
  <c r="K120" i="29"/>
  <c r="K119" i="29"/>
  <c r="K118" i="29"/>
  <c r="K34" i="29"/>
  <c r="K33" i="29"/>
  <c r="K32" i="29"/>
  <c r="K31" i="29"/>
  <c r="K30" i="29"/>
  <c r="K29" i="29"/>
  <c r="E191" i="29"/>
  <c r="E189" i="29"/>
  <c r="E188" i="29"/>
  <c r="E187" i="29"/>
  <c r="E186" i="29"/>
  <c r="E185" i="29"/>
  <c r="E184" i="29"/>
  <c r="E190" i="29" l="1"/>
  <c r="E192" i="29" s="1"/>
  <c r="K126" i="29"/>
  <c r="K128" i="29" s="1"/>
  <c r="K35" i="29"/>
  <c r="E144" i="28"/>
  <c r="E142" i="28"/>
  <c r="E141" i="28"/>
  <c r="E140" i="28"/>
  <c r="E139" i="28"/>
  <c r="E138" i="28"/>
  <c r="E137" i="28"/>
  <c r="E143" i="28" l="1"/>
  <c r="E145" i="28" s="1"/>
  <c r="E51" i="25"/>
  <c r="E48" i="25"/>
  <c r="E56" i="25"/>
  <c r="E54" i="25"/>
  <c r="E53" i="25"/>
  <c r="E52" i="25"/>
  <c r="E50" i="25"/>
  <c r="E49" i="25"/>
  <c r="E47" i="25"/>
  <c r="E46" i="25"/>
  <c r="E35" i="25"/>
  <c r="E40" i="25"/>
  <c r="E38" i="25"/>
  <c r="E37" i="25"/>
  <c r="E36" i="25"/>
  <c r="E34" i="25"/>
  <c r="E33" i="25"/>
  <c r="E32" i="25"/>
  <c r="E177" i="29"/>
  <c r="E175" i="29"/>
  <c r="E174" i="29"/>
  <c r="E173" i="29"/>
  <c r="E172" i="29"/>
  <c r="E171" i="29"/>
  <c r="E170" i="29"/>
  <c r="E169" i="29"/>
  <c r="E168" i="29"/>
  <c r="E161" i="29"/>
  <c r="E159" i="29"/>
  <c r="E158" i="29"/>
  <c r="E157" i="29"/>
  <c r="E156" i="29"/>
  <c r="E155" i="29"/>
  <c r="E154" i="29"/>
  <c r="E55" i="25" l="1"/>
  <c r="E57" i="25"/>
  <c r="E39" i="25"/>
  <c r="E41" i="25" s="1"/>
  <c r="E176" i="29"/>
  <c r="E178" i="29" s="1"/>
  <c r="E160" i="29"/>
  <c r="E162" i="29" s="1"/>
  <c r="E129" i="28" l="1"/>
  <c r="E128" i="28"/>
  <c r="E127" i="28"/>
  <c r="E126" i="28"/>
  <c r="E125" i="28"/>
  <c r="E124" i="28"/>
  <c r="E130" i="28" l="1"/>
  <c r="E132" i="28" s="1"/>
  <c r="E160" i="26"/>
  <c r="E159" i="26"/>
  <c r="E158" i="26"/>
  <c r="E157" i="26"/>
  <c r="E156" i="26"/>
  <c r="E155" i="26"/>
  <c r="E161" i="26" l="1"/>
  <c r="E54" i="30"/>
  <c r="E52" i="30"/>
  <c r="E51" i="30"/>
  <c r="E50" i="30"/>
  <c r="E49" i="30"/>
  <c r="E48" i="30"/>
  <c r="E47" i="30"/>
  <c r="E53" i="30" l="1"/>
  <c r="E55" i="30"/>
  <c r="E34" i="29"/>
  <c r="E33" i="29"/>
  <c r="E32" i="29"/>
  <c r="E31" i="29"/>
  <c r="E30" i="29"/>
  <c r="E29" i="29"/>
  <c r="W12" i="29"/>
  <c r="W10" i="29"/>
  <c r="W9" i="29"/>
  <c r="W8" i="29"/>
  <c r="W7" i="29"/>
  <c r="W6" i="29"/>
  <c r="R82" i="29"/>
  <c r="R80" i="29"/>
  <c r="R79" i="29"/>
  <c r="R78" i="29"/>
  <c r="R77" i="29"/>
  <c r="R76" i="29"/>
  <c r="R75" i="29"/>
  <c r="E117" i="28"/>
  <c r="E115" i="28"/>
  <c r="E114" i="28"/>
  <c r="E113" i="28"/>
  <c r="E112" i="28"/>
  <c r="E111" i="28"/>
  <c r="E110" i="28"/>
  <c r="E109" i="28"/>
  <c r="E102" i="28"/>
  <c r="E100" i="28"/>
  <c r="E99" i="28"/>
  <c r="E98" i="28"/>
  <c r="E97" i="28"/>
  <c r="E96" i="28"/>
  <c r="E95" i="28"/>
  <c r="E94" i="28"/>
  <c r="E87" i="28"/>
  <c r="E85" i="28"/>
  <c r="E84" i="28"/>
  <c r="E83" i="28"/>
  <c r="E82" i="28"/>
  <c r="E81" i="28"/>
  <c r="E80" i="28"/>
  <c r="E74" i="28"/>
  <c r="E72" i="28"/>
  <c r="E71" i="28"/>
  <c r="E70" i="28"/>
  <c r="E69" i="28"/>
  <c r="E68" i="28"/>
  <c r="E67" i="28"/>
  <c r="R81" i="29" l="1"/>
  <c r="R83" i="29" s="1"/>
  <c r="E35" i="29"/>
  <c r="W13" i="29"/>
  <c r="E101" i="28"/>
  <c r="E103" i="28" s="1"/>
  <c r="E116" i="28"/>
  <c r="E118" i="28" s="1"/>
  <c r="E86" i="28"/>
  <c r="E88" i="28" s="1"/>
  <c r="E73" i="28"/>
  <c r="E75" i="28" s="1"/>
  <c r="W55" i="29"/>
  <c r="W54" i="29"/>
  <c r="W53" i="29"/>
  <c r="W52" i="29"/>
  <c r="W51" i="29"/>
  <c r="W50" i="29"/>
  <c r="Q65" i="29"/>
  <c r="Q64" i="29"/>
  <c r="Q63" i="29"/>
  <c r="Q62" i="29"/>
  <c r="Q61" i="29"/>
  <c r="Q60" i="29"/>
  <c r="Q55" i="29"/>
  <c r="Q54" i="29"/>
  <c r="Q53" i="29"/>
  <c r="Q52" i="29"/>
  <c r="Q51" i="29"/>
  <c r="Q50" i="29"/>
  <c r="Q12" i="29"/>
  <c r="Q10" i="29"/>
  <c r="Q9" i="29"/>
  <c r="Q8" i="29"/>
  <c r="Q7" i="29"/>
  <c r="Q6" i="29"/>
  <c r="Q66" i="29" l="1"/>
  <c r="W56" i="29"/>
  <c r="Q13" i="29"/>
  <c r="Q56" i="29"/>
  <c r="E39" i="30"/>
  <c r="E38" i="30"/>
  <c r="E37" i="30"/>
  <c r="E36" i="30"/>
  <c r="E35" i="30"/>
  <c r="E31" i="30"/>
  <c r="E30" i="30"/>
  <c r="E29" i="30"/>
  <c r="E28" i="30"/>
  <c r="E27" i="30"/>
  <c r="E26" i="30"/>
  <c r="E21" i="30"/>
  <c r="E20" i="30"/>
  <c r="E19" i="30"/>
  <c r="E18" i="30"/>
  <c r="E17" i="30"/>
  <c r="E16" i="30"/>
  <c r="E11" i="30"/>
  <c r="E10" i="30"/>
  <c r="E9" i="30"/>
  <c r="E8" i="30"/>
  <c r="E7" i="30"/>
  <c r="E6" i="30"/>
  <c r="E22" i="30" l="1"/>
  <c r="E32" i="30"/>
  <c r="F39" i="30"/>
  <c r="E41" i="30"/>
  <c r="E12" i="30"/>
  <c r="K58" i="29" l="1"/>
  <c r="K56" i="29"/>
  <c r="K55" i="29"/>
  <c r="K54" i="29"/>
  <c r="K53" i="29"/>
  <c r="K52" i="29"/>
  <c r="L104" i="29"/>
  <c r="L102" i="29"/>
  <c r="L101" i="29"/>
  <c r="L100" i="29"/>
  <c r="L99" i="29"/>
  <c r="L98" i="29"/>
  <c r="L97" i="29"/>
  <c r="L103" i="29" l="1"/>
  <c r="L105" i="29" s="1"/>
  <c r="K57" i="29"/>
  <c r="K59" i="29" s="1"/>
  <c r="L82" i="29"/>
  <c r="L80" i="29"/>
  <c r="L79" i="29"/>
  <c r="L78" i="29"/>
  <c r="L77" i="29"/>
  <c r="L76" i="29"/>
  <c r="L75" i="29"/>
  <c r="L81" i="29" l="1"/>
  <c r="L83" i="29" s="1"/>
  <c r="E60" i="28" l="1"/>
  <c r="E58" i="28"/>
  <c r="E57" i="28"/>
  <c r="E56" i="28"/>
  <c r="E55" i="28"/>
  <c r="E54" i="28"/>
  <c r="E53" i="28"/>
  <c r="E52" i="28"/>
  <c r="E51" i="28"/>
  <c r="E59" i="28" l="1"/>
  <c r="E61" i="28" s="1"/>
  <c r="E36" i="28"/>
  <c r="E34" i="28"/>
  <c r="E33" i="28"/>
  <c r="E32" i="28"/>
  <c r="E31" i="28"/>
  <c r="E30" i="28"/>
  <c r="K12" i="29"/>
  <c r="K10" i="29"/>
  <c r="K9" i="29"/>
  <c r="K8" i="29"/>
  <c r="K7" i="29"/>
  <c r="K6" i="29"/>
  <c r="E127" i="29"/>
  <c r="E125" i="29"/>
  <c r="E124" i="29"/>
  <c r="E123" i="29"/>
  <c r="E122" i="29"/>
  <c r="E121" i="29"/>
  <c r="E120" i="29"/>
  <c r="E119" i="29"/>
  <c r="E118" i="29"/>
  <c r="E110" i="29"/>
  <c r="E108" i="29"/>
  <c r="E107" i="29"/>
  <c r="E106" i="29"/>
  <c r="E105" i="29"/>
  <c r="E104" i="29"/>
  <c r="E103" i="29"/>
  <c r="E102" i="29"/>
  <c r="E101" i="29"/>
  <c r="E82" i="29"/>
  <c r="E80" i="29"/>
  <c r="E79" i="29"/>
  <c r="E78" i="29"/>
  <c r="E77" i="29"/>
  <c r="E76" i="29"/>
  <c r="E75" i="29"/>
  <c r="E68" i="29"/>
  <c r="E66" i="29"/>
  <c r="E65" i="29"/>
  <c r="E64" i="29"/>
  <c r="E63" i="29"/>
  <c r="E62" i="29"/>
  <c r="E61" i="29"/>
  <c r="E55" i="29"/>
  <c r="E53" i="29"/>
  <c r="E52" i="29"/>
  <c r="E51" i="29"/>
  <c r="E50" i="29"/>
  <c r="E49" i="29"/>
  <c r="E12" i="29"/>
  <c r="E13" i="29" s="1"/>
  <c r="E21" i="28"/>
  <c r="E20" i="28"/>
  <c r="E19" i="28"/>
  <c r="E18" i="28"/>
  <c r="E17" i="28"/>
  <c r="E11" i="28"/>
  <c r="E10" i="29"/>
  <c r="E9" i="29"/>
  <c r="E8" i="29"/>
  <c r="E7" i="29"/>
  <c r="E6" i="29"/>
  <c r="E10" i="28"/>
  <c r="E9" i="28"/>
  <c r="E8" i="28"/>
  <c r="E7" i="28"/>
  <c r="E6" i="28"/>
  <c r="E11" i="29" l="1"/>
  <c r="E22" i="28"/>
  <c r="E24" i="28" s="1"/>
  <c r="E35" i="28"/>
  <c r="E37" i="28" s="1"/>
  <c r="K13" i="29"/>
  <c r="E12" i="28"/>
  <c r="F10" i="28"/>
  <c r="E126" i="29"/>
  <c r="E128" i="29" s="1"/>
  <c r="E54" i="29"/>
  <c r="E56" i="29" s="1"/>
  <c r="E109" i="29"/>
  <c r="E111" i="29" s="1"/>
  <c r="E67" i="29"/>
  <c r="E69" i="29" s="1"/>
  <c r="E81" i="29"/>
  <c r="E83" i="29" s="1"/>
  <c r="E26" i="25" l="1"/>
  <c r="E24" i="25"/>
  <c r="E23" i="25"/>
  <c r="E22" i="25"/>
  <c r="E21" i="25"/>
  <c r="E20" i="25"/>
  <c r="E19" i="25"/>
  <c r="E13" i="25"/>
  <c r="E11" i="25"/>
  <c r="E10" i="25"/>
  <c r="E9" i="25"/>
  <c r="E8" i="25"/>
  <c r="E7" i="25"/>
  <c r="E6" i="25"/>
  <c r="E12" i="25" s="1"/>
  <c r="E14" i="25" s="1"/>
  <c r="E25" i="25" l="1"/>
  <c r="E27" i="25"/>
  <c r="E732" i="17"/>
  <c r="E731" i="17"/>
  <c r="E730" i="17"/>
  <c r="E729" i="17"/>
  <c r="E728" i="17"/>
  <c r="E727" i="17"/>
  <c r="E733" i="17" s="1"/>
  <c r="E720" i="17" l="1"/>
  <c r="E719" i="17"/>
  <c r="E718" i="17"/>
  <c r="E717" i="17"/>
  <c r="E716" i="17"/>
  <c r="E715" i="17"/>
  <c r="E721" i="17" l="1"/>
  <c r="E723" i="17" s="1"/>
  <c r="E97" i="15" l="1"/>
  <c r="E96" i="15"/>
  <c r="E95" i="15"/>
  <c r="E94" i="15"/>
  <c r="E93" i="15"/>
  <c r="E92" i="15"/>
  <c r="E91" i="15"/>
  <c r="E90" i="15"/>
  <c r="E98" i="15" l="1"/>
  <c r="E100" i="15" s="1"/>
  <c r="K405" i="19" l="1"/>
  <c r="K404" i="19"/>
  <c r="K403" i="19"/>
  <c r="K402" i="19"/>
  <c r="K401" i="19"/>
  <c r="C148" i="26"/>
  <c r="D148" i="26" s="1"/>
  <c r="E148" i="26" s="1"/>
  <c r="C147" i="26"/>
  <c r="D147" i="26" s="1"/>
  <c r="E147" i="26" s="1"/>
  <c r="C146" i="26"/>
  <c r="D146" i="26" s="1"/>
  <c r="E146" i="26" s="1"/>
  <c r="C145" i="26"/>
  <c r="D145" i="26" s="1"/>
  <c r="E145" i="26" s="1"/>
  <c r="C144" i="26"/>
  <c r="D144" i="26" s="1"/>
  <c r="E144" i="26" s="1"/>
  <c r="C143" i="26"/>
  <c r="D143" i="26" s="1"/>
  <c r="E143" i="26" s="1"/>
  <c r="C142" i="26"/>
  <c r="D142" i="26" s="1"/>
  <c r="E142" i="26" s="1"/>
  <c r="C141" i="26"/>
  <c r="D141" i="26" s="1"/>
  <c r="E141" i="26" s="1"/>
  <c r="C140" i="26"/>
  <c r="D140" i="26" s="1"/>
  <c r="E140" i="26" s="1"/>
  <c r="C139" i="26"/>
  <c r="D139" i="26" s="1"/>
  <c r="E139" i="26" s="1"/>
  <c r="C138" i="26"/>
  <c r="D138" i="26" s="1"/>
  <c r="E138" i="26" s="1"/>
  <c r="C137" i="26"/>
  <c r="D137" i="26" s="1"/>
  <c r="E137" i="26" s="1"/>
  <c r="C136" i="26"/>
  <c r="D136" i="26" s="1"/>
  <c r="E136" i="26" s="1"/>
  <c r="C135" i="26"/>
  <c r="D135" i="26" s="1"/>
  <c r="E135" i="26" s="1"/>
  <c r="C134" i="26"/>
  <c r="D134" i="26" s="1"/>
  <c r="E134" i="26" s="1"/>
  <c r="C133" i="26"/>
  <c r="D133" i="26" s="1"/>
  <c r="E133" i="26" s="1"/>
  <c r="C132" i="26"/>
  <c r="D132" i="26" s="1"/>
  <c r="E132" i="26" s="1"/>
  <c r="C127" i="26"/>
  <c r="D127" i="26" s="1"/>
  <c r="E127" i="26" s="1"/>
  <c r="C126" i="26"/>
  <c r="D126" i="26" s="1"/>
  <c r="E126" i="26" s="1"/>
  <c r="C125" i="26"/>
  <c r="D125" i="26" s="1"/>
  <c r="E125" i="26" s="1"/>
  <c r="C124" i="26"/>
  <c r="D124" i="26" s="1"/>
  <c r="E124" i="26" s="1"/>
  <c r="C123" i="26"/>
  <c r="D123" i="26" s="1"/>
  <c r="E123" i="26" s="1"/>
  <c r="C122" i="26"/>
  <c r="D122" i="26" s="1"/>
  <c r="E122" i="26" s="1"/>
  <c r="C121" i="26"/>
  <c r="D121" i="26" s="1"/>
  <c r="E121" i="26" s="1"/>
  <c r="C120" i="26"/>
  <c r="D120" i="26" s="1"/>
  <c r="E120" i="26" s="1"/>
  <c r="C119" i="26"/>
  <c r="D119" i="26" s="1"/>
  <c r="E119" i="26" s="1"/>
  <c r="C118" i="26"/>
  <c r="D118" i="26" s="1"/>
  <c r="E118" i="26" s="1"/>
  <c r="C117" i="26"/>
  <c r="D117" i="26" s="1"/>
  <c r="E117" i="26" s="1"/>
  <c r="C116" i="26"/>
  <c r="D116" i="26" s="1"/>
  <c r="E116" i="26" s="1"/>
  <c r="C115" i="26"/>
  <c r="D115" i="26" s="1"/>
  <c r="E115" i="26" s="1"/>
  <c r="C114" i="26"/>
  <c r="D114" i="26" s="1"/>
  <c r="E114" i="26" s="1"/>
  <c r="C113" i="26"/>
  <c r="D113" i="26" s="1"/>
  <c r="E113" i="26" s="1"/>
  <c r="C112" i="26"/>
  <c r="D112" i="26" s="1"/>
  <c r="E112" i="26" s="1"/>
  <c r="C111" i="26"/>
  <c r="D111" i="26" s="1"/>
  <c r="E111" i="26" s="1"/>
  <c r="C110" i="26"/>
  <c r="D110" i="26" s="1"/>
  <c r="E110" i="26" s="1"/>
  <c r="C109" i="26"/>
  <c r="D109" i="26" s="1"/>
  <c r="E109" i="26" s="1"/>
  <c r="C108" i="26"/>
  <c r="D108" i="26" s="1"/>
  <c r="E108" i="26" s="1"/>
  <c r="C107" i="26"/>
  <c r="D107" i="26" s="1"/>
  <c r="E107" i="26" s="1"/>
  <c r="C106" i="26"/>
  <c r="D106" i="26" s="1"/>
  <c r="E106" i="26" s="1"/>
  <c r="C90" i="26"/>
  <c r="D90" i="26" s="1"/>
  <c r="E90" i="26" s="1"/>
  <c r="C91" i="26"/>
  <c r="D91" i="26" s="1"/>
  <c r="E91" i="26" s="1"/>
  <c r="C92" i="26"/>
  <c r="D92" i="26" s="1"/>
  <c r="E92" i="26" s="1"/>
  <c r="C93" i="26"/>
  <c r="D93" i="26" s="1"/>
  <c r="E93" i="26" s="1"/>
  <c r="C94" i="26"/>
  <c r="D94" i="26" s="1"/>
  <c r="E94" i="26" s="1"/>
  <c r="C95" i="26"/>
  <c r="D95" i="26" s="1"/>
  <c r="E95" i="26" s="1"/>
  <c r="C96" i="26"/>
  <c r="D96" i="26" s="1"/>
  <c r="E96" i="26" s="1"/>
  <c r="C97" i="26"/>
  <c r="D97" i="26" s="1"/>
  <c r="E97" i="26" s="1"/>
  <c r="C98" i="26"/>
  <c r="D98" i="26" s="1"/>
  <c r="E98" i="26" s="1"/>
  <c r="C99" i="26"/>
  <c r="D99" i="26" s="1"/>
  <c r="E99" i="26" s="1"/>
  <c r="C100" i="26"/>
  <c r="D100" i="26" s="1"/>
  <c r="E100" i="26" s="1"/>
  <c r="C101" i="26"/>
  <c r="D101" i="26" s="1"/>
  <c r="E101" i="26" s="1"/>
  <c r="C102" i="26"/>
  <c r="D102" i="26" s="1"/>
  <c r="E102" i="26" s="1"/>
  <c r="C103" i="26"/>
  <c r="D103" i="26" s="1"/>
  <c r="E103" i="26" s="1"/>
  <c r="C104" i="26"/>
  <c r="D104" i="26" s="1"/>
  <c r="E104" i="26" s="1"/>
  <c r="C105" i="26"/>
  <c r="D105" i="26" s="1"/>
  <c r="E105" i="26" s="1"/>
  <c r="C69" i="26"/>
  <c r="D69" i="26" s="1"/>
  <c r="E69" i="26" s="1"/>
  <c r="C70" i="26"/>
  <c r="D70" i="26" s="1"/>
  <c r="E70" i="26" s="1"/>
  <c r="C71" i="26"/>
  <c r="D71" i="26" s="1"/>
  <c r="E71" i="26" s="1"/>
  <c r="C72" i="26"/>
  <c r="D72" i="26" s="1"/>
  <c r="E72" i="26" s="1"/>
  <c r="C73" i="26"/>
  <c r="D73" i="26" s="1"/>
  <c r="E73" i="26" s="1"/>
  <c r="C74" i="26"/>
  <c r="D74" i="26" s="1"/>
  <c r="E74" i="26" s="1"/>
  <c r="C75" i="26"/>
  <c r="D75" i="26" s="1"/>
  <c r="E75" i="26" s="1"/>
  <c r="C76" i="26"/>
  <c r="D76" i="26" s="1"/>
  <c r="E76" i="26" s="1"/>
  <c r="C77" i="26"/>
  <c r="D77" i="26" s="1"/>
  <c r="E77" i="26" s="1"/>
  <c r="C78" i="26"/>
  <c r="D78" i="26" s="1"/>
  <c r="E78" i="26" s="1"/>
  <c r="C79" i="26"/>
  <c r="D79" i="26" s="1"/>
  <c r="E79" i="26" s="1"/>
  <c r="C80" i="26"/>
  <c r="D80" i="26" s="1"/>
  <c r="E80" i="26" s="1"/>
  <c r="C81" i="26"/>
  <c r="D81" i="26" s="1"/>
  <c r="E81" i="26" s="1"/>
  <c r="C82" i="26"/>
  <c r="D82" i="26" s="1"/>
  <c r="E82" i="26" s="1"/>
  <c r="C83" i="26"/>
  <c r="D83" i="26" s="1"/>
  <c r="E83" i="26" s="1"/>
  <c r="C84" i="26"/>
  <c r="D84" i="26" s="1"/>
  <c r="E84" i="26" s="1"/>
  <c r="C85" i="26"/>
  <c r="D85" i="26" s="1"/>
  <c r="E85" i="26" s="1"/>
  <c r="C86" i="26"/>
  <c r="D86" i="26" s="1"/>
  <c r="E86" i="26" s="1"/>
  <c r="C89" i="26"/>
  <c r="D89" i="26" s="1"/>
  <c r="E89" i="26" s="1"/>
  <c r="C52" i="26"/>
  <c r="C53" i="26"/>
  <c r="D53" i="26" s="1"/>
  <c r="E53" i="26" s="1"/>
  <c r="C54" i="26"/>
  <c r="D54" i="26" s="1"/>
  <c r="E54" i="26" s="1"/>
  <c r="C55" i="26"/>
  <c r="D55" i="26" s="1"/>
  <c r="E55" i="26" s="1"/>
  <c r="C56" i="26"/>
  <c r="D56" i="26" s="1"/>
  <c r="E56" i="26" s="1"/>
  <c r="C57" i="26"/>
  <c r="D57" i="26" s="1"/>
  <c r="E57" i="26" s="1"/>
  <c r="C58" i="26"/>
  <c r="D58" i="26" s="1"/>
  <c r="E58" i="26" s="1"/>
  <c r="C59" i="26"/>
  <c r="D59" i="26" s="1"/>
  <c r="E59" i="26" s="1"/>
  <c r="C60" i="26"/>
  <c r="D60" i="26" s="1"/>
  <c r="E60" i="26" s="1"/>
  <c r="C61" i="26"/>
  <c r="D61" i="26" s="1"/>
  <c r="E61" i="26" s="1"/>
  <c r="C62" i="26"/>
  <c r="D62" i="26" s="1"/>
  <c r="E62" i="26" s="1"/>
  <c r="C63" i="26"/>
  <c r="D63" i="26" s="1"/>
  <c r="E63" i="26" s="1"/>
  <c r="C64" i="26"/>
  <c r="D64" i="26" s="1"/>
  <c r="E64" i="26" s="1"/>
  <c r="C65" i="26"/>
  <c r="D65" i="26" s="1"/>
  <c r="E65" i="26" s="1"/>
  <c r="C66" i="26"/>
  <c r="D66" i="26" s="1"/>
  <c r="E66" i="26" s="1"/>
  <c r="C67" i="26"/>
  <c r="D67" i="26" s="1"/>
  <c r="E67" i="26" s="1"/>
  <c r="C68" i="26"/>
  <c r="D68" i="26" s="1"/>
  <c r="E68" i="26" s="1"/>
  <c r="C51" i="26"/>
  <c r="D52" i="26"/>
  <c r="E52" i="26" s="1"/>
  <c r="D35" i="26"/>
  <c r="E35" i="26" s="1"/>
  <c r="D51" i="26"/>
  <c r="E51" i="26" s="1"/>
  <c r="C37" i="26"/>
  <c r="D37" i="26" s="1"/>
  <c r="E37" i="26" s="1"/>
  <c r="C38" i="26"/>
  <c r="D38" i="26" s="1"/>
  <c r="E38" i="26" s="1"/>
  <c r="C39" i="26"/>
  <c r="D39" i="26" s="1"/>
  <c r="E39" i="26" s="1"/>
  <c r="C40" i="26"/>
  <c r="D40" i="26" s="1"/>
  <c r="E40" i="26" s="1"/>
  <c r="C41" i="26"/>
  <c r="D41" i="26" s="1"/>
  <c r="E41" i="26" s="1"/>
  <c r="C42" i="26"/>
  <c r="D42" i="26" s="1"/>
  <c r="E42" i="26" s="1"/>
  <c r="C43" i="26"/>
  <c r="D43" i="26" s="1"/>
  <c r="E43" i="26" s="1"/>
  <c r="C46" i="26"/>
  <c r="D46" i="26" s="1"/>
  <c r="C47" i="26"/>
  <c r="D47" i="26" s="1"/>
  <c r="E47" i="26" s="1"/>
  <c r="C48" i="26"/>
  <c r="D48" i="26" s="1"/>
  <c r="E48" i="26" s="1"/>
  <c r="C49" i="26"/>
  <c r="D49" i="26" s="1"/>
  <c r="E49" i="26" s="1"/>
  <c r="C50" i="26"/>
  <c r="D50" i="26" s="1"/>
  <c r="E50" i="26" s="1"/>
  <c r="C36" i="26"/>
  <c r="D36" i="26" s="1"/>
  <c r="E36" i="26" s="1"/>
  <c r="C35" i="26"/>
  <c r="C34" i="26"/>
  <c r="D34" i="26" s="1"/>
  <c r="E34" i="26" s="1"/>
  <c r="C33" i="26"/>
  <c r="D33" i="26" s="1"/>
  <c r="E33" i="26" s="1"/>
  <c r="C32" i="26"/>
  <c r="D32" i="26" s="1"/>
  <c r="E32" i="26" s="1"/>
  <c r="C31" i="26"/>
  <c r="D31" i="26" s="1"/>
  <c r="E31" i="26" s="1"/>
  <c r="C30" i="26"/>
  <c r="D30" i="26" s="1"/>
  <c r="E30" i="26" s="1"/>
  <c r="C29" i="26"/>
  <c r="D29" i="26" s="1"/>
  <c r="E29" i="26" s="1"/>
  <c r="C28" i="26"/>
  <c r="D28" i="26" s="1"/>
  <c r="E28" i="26" s="1"/>
  <c r="C27" i="26"/>
  <c r="D27" i="26" s="1"/>
  <c r="E27" i="26" s="1"/>
  <c r="C26" i="26"/>
  <c r="D26" i="26" s="1"/>
  <c r="E26" i="26" s="1"/>
  <c r="C25" i="26"/>
  <c r="D25" i="26" s="1"/>
  <c r="E25" i="26" s="1"/>
  <c r="C24" i="26"/>
  <c r="D24" i="26" s="1"/>
  <c r="E24" i="26" s="1"/>
  <c r="C23" i="26"/>
  <c r="D23" i="26" s="1"/>
  <c r="E23" i="26" s="1"/>
  <c r="C22" i="26"/>
  <c r="D22" i="26" s="1"/>
  <c r="E22" i="26" s="1"/>
  <c r="C8" i="26"/>
  <c r="D8" i="26" s="1"/>
  <c r="E8" i="26" s="1"/>
  <c r="C9" i="26"/>
  <c r="D9" i="26" s="1"/>
  <c r="E9" i="26" s="1"/>
  <c r="C10" i="26"/>
  <c r="D10" i="26" s="1"/>
  <c r="E10" i="26" s="1"/>
  <c r="C11" i="26"/>
  <c r="D11" i="26" s="1"/>
  <c r="E11" i="26" s="1"/>
  <c r="C12" i="26"/>
  <c r="D12" i="26" s="1"/>
  <c r="E12" i="26" s="1"/>
  <c r="C13" i="26"/>
  <c r="D13" i="26" s="1"/>
  <c r="E13" i="26" s="1"/>
  <c r="C14" i="26"/>
  <c r="D14" i="26" s="1"/>
  <c r="E14" i="26" s="1"/>
  <c r="C15" i="26"/>
  <c r="D15" i="26" s="1"/>
  <c r="E15" i="26" s="1"/>
  <c r="C16" i="26"/>
  <c r="D16" i="26" s="1"/>
  <c r="E16" i="26" s="1"/>
  <c r="C17" i="26"/>
  <c r="D17" i="26" s="1"/>
  <c r="E17" i="26" s="1"/>
  <c r="C18" i="26"/>
  <c r="D18" i="26" s="1"/>
  <c r="E18" i="26" s="1"/>
  <c r="C19" i="26"/>
  <c r="D19" i="26" s="1"/>
  <c r="E19" i="26" s="1"/>
  <c r="C20" i="26"/>
  <c r="D20" i="26" s="1"/>
  <c r="E20" i="26" s="1"/>
  <c r="C21" i="26"/>
  <c r="D21" i="26" s="1"/>
  <c r="E21" i="26" s="1"/>
  <c r="C7" i="26"/>
  <c r="D7" i="26" s="1"/>
  <c r="E7" i="26" s="1"/>
  <c r="D87" i="26" l="1"/>
  <c r="E87" i="26" s="1"/>
  <c r="E46" i="26"/>
  <c r="D128" i="26"/>
  <c r="E128" i="26" s="1"/>
  <c r="D149" i="26"/>
  <c r="E149" i="26" s="1"/>
  <c r="K407" i="19"/>
  <c r="C6" i="26" l="1"/>
  <c r="D6" i="26" s="1"/>
  <c r="K395" i="19"/>
  <c r="K394" i="19"/>
  <c r="K393" i="19"/>
  <c r="K392" i="19"/>
  <c r="K391" i="19"/>
  <c r="K397" i="19" l="1"/>
  <c r="D44" i="26"/>
  <c r="E44" i="26" s="1"/>
  <c r="E6" i="26"/>
  <c r="R38" i="2"/>
  <c r="R37" i="2"/>
  <c r="R36" i="2"/>
  <c r="R35" i="2"/>
  <c r="R34" i="2"/>
  <c r="R33" i="2"/>
  <c r="R39" i="2" l="1"/>
  <c r="R41" i="2" s="1"/>
  <c r="E170" i="23" l="1"/>
  <c r="E169" i="23"/>
  <c r="E168" i="23"/>
  <c r="E167" i="23"/>
  <c r="E172" i="23" s="1"/>
  <c r="E166" i="23"/>
  <c r="E160" i="23"/>
  <c r="E159" i="23"/>
  <c r="E158" i="23"/>
  <c r="E157" i="23"/>
  <c r="E156" i="23"/>
  <c r="E150" i="23"/>
  <c r="E149" i="23"/>
  <c r="E148" i="23"/>
  <c r="E147" i="23"/>
  <c r="E152" i="23" s="1"/>
  <c r="E146" i="23"/>
  <c r="E140" i="23"/>
  <c r="E139" i="23"/>
  <c r="E138" i="23"/>
  <c r="E137" i="23"/>
  <c r="E136" i="23"/>
  <c r="E142" i="23" s="1"/>
  <c r="E130" i="23"/>
  <c r="E129" i="23"/>
  <c r="E128" i="23"/>
  <c r="E127" i="23"/>
  <c r="E126" i="23"/>
  <c r="E162" i="23" l="1"/>
  <c r="E132" i="23"/>
  <c r="Q380" i="13"/>
  <c r="E709" i="17" l="1"/>
  <c r="E708" i="17"/>
  <c r="E707" i="17"/>
  <c r="E706" i="17"/>
  <c r="E705" i="17"/>
  <c r="E704" i="17"/>
  <c r="E710" i="17" s="1"/>
  <c r="E712" i="17" s="1"/>
  <c r="Q384" i="19" l="1"/>
  <c r="Q383" i="19"/>
  <c r="Q382" i="19"/>
  <c r="Q381" i="19"/>
  <c r="Q386" i="19" s="1"/>
  <c r="Q380" i="19"/>
  <c r="K384" i="19"/>
  <c r="K383" i="19"/>
  <c r="K382" i="19"/>
  <c r="K381" i="19"/>
  <c r="K380" i="19"/>
  <c r="K386" i="19" l="1"/>
  <c r="E696" i="17"/>
  <c r="E695" i="17"/>
  <c r="E694" i="17"/>
  <c r="E693" i="17"/>
  <c r="E692" i="17"/>
  <c r="E691" i="17"/>
  <c r="Q87" i="10"/>
  <c r="Q85" i="10"/>
  <c r="Q84" i="10"/>
  <c r="Q83" i="10"/>
  <c r="Q82" i="10"/>
  <c r="Q81" i="10"/>
  <c r="Q80" i="10"/>
  <c r="Q86" i="10" s="1"/>
  <c r="Q88" i="10" s="1"/>
  <c r="E697" i="17" l="1"/>
  <c r="E699" i="17" s="1"/>
  <c r="E394" i="19"/>
  <c r="E393" i="19"/>
  <c r="E392" i="19"/>
  <c r="E391" i="19"/>
  <c r="E390" i="19"/>
  <c r="E396" i="19" l="1"/>
  <c r="E685" i="17"/>
  <c r="E684" i="17"/>
  <c r="E683" i="17"/>
  <c r="E682" i="17"/>
  <c r="E681" i="17"/>
  <c r="E680" i="17"/>
  <c r="E686" i="17" l="1"/>
  <c r="E688" i="17" s="1"/>
  <c r="Q122" i="8"/>
  <c r="Q120" i="8"/>
  <c r="Q119" i="8"/>
  <c r="Q118" i="8"/>
  <c r="Q117" i="8"/>
  <c r="Q116" i="8"/>
  <c r="Q115" i="8"/>
  <c r="Q121" i="8" l="1"/>
  <c r="Q123" i="8" s="1"/>
  <c r="E384" i="19"/>
  <c r="E383" i="19"/>
  <c r="E382" i="19"/>
  <c r="E381" i="19"/>
  <c r="E380" i="19"/>
  <c r="E386" i="19" l="1"/>
  <c r="E374" i="19"/>
  <c r="E373" i="19"/>
  <c r="E372" i="19"/>
  <c r="E371" i="19"/>
  <c r="E370" i="19"/>
  <c r="E364" i="19"/>
  <c r="E363" i="19"/>
  <c r="E362" i="19"/>
  <c r="E361" i="19"/>
  <c r="E360" i="19"/>
  <c r="E376" i="19" l="1"/>
  <c r="E366" i="19"/>
  <c r="E355" i="19"/>
  <c r="E354" i="19"/>
  <c r="E353" i="19"/>
  <c r="E352" i="19"/>
  <c r="E351" i="19"/>
  <c r="E345" i="19"/>
  <c r="E344" i="19"/>
  <c r="E343" i="19"/>
  <c r="E342" i="19"/>
  <c r="E341" i="19"/>
  <c r="E347" i="19" s="1"/>
  <c r="E335" i="19"/>
  <c r="E334" i="19"/>
  <c r="E333" i="19"/>
  <c r="E332" i="19"/>
  <c r="E331" i="19"/>
  <c r="E325" i="19"/>
  <c r="E324" i="19"/>
  <c r="E323" i="19"/>
  <c r="E322" i="19"/>
  <c r="E321" i="19"/>
  <c r="E327" i="19" l="1"/>
  <c r="E337" i="19"/>
  <c r="E357" i="19"/>
  <c r="Q76" i="4"/>
  <c r="Q74" i="4"/>
  <c r="Q73" i="4"/>
  <c r="Q72" i="4"/>
  <c r="Q71" i="4"/>
  <c r="Q70" i="4"/>
  <c r="Q69" i="4"/>
  <c r="Q75" i="4" l="1"/>
  <c r="Q77" i="4" s="1"/>
  <c r="R64" i="2"/>
  <c r="R63" i="2"/>
  <c r="R62" i="2"/>
  <c r="R61" i="2"/>
  <c r="R60" i="2"/>
  <c r="R59" i="2"/>
  <c r="E315" i="19"/>
  <c r="E314" i="19"/>
  <c r="E313" i="19"/>
  <c r="E312" i="19"/>
  <c r="E311" i="19"/>
  <c r="E304" i="19"/>
  <c r="E303" i="19"/>
  <c r="E302" i="19"/>
  <c r="E301" i="19"/>
  <c r="E300" i="19"/>
  <c r="E294" i="19"/>
  <c r="E293" i="19"/>
  <c r="E292" i="19"/>
  <c r="E291" i="19"/>
  <c r="E290" i="19"/>
  <c r="R65" i="2" l="1"/>
  <c r="R67" i="2"/>
  <c r="E317" i="19"/>
  <c r="E306" i="19"/>
  <c r="E296" i="19"/>
  <c r="W65" i="10"/>
  <c r="W64" i="10"/>
  <c r="W63" i="10"/>
  <c r="W62" i="10"/>
  <c r="W61" i="10"/>
  <c r="W60" i="10"/>
  <c r="W59" i="10"/>
  <c r="W58" i="10"/>
  <c r="Q63" i="10"/>
  <c r="Q62" i="10"/>
  <c r="Q61" i="10"/>
  <c r="Q60" i="10"/>
  <c r="Q59" i="10"/>
  <c r="Q58" i="10"/>
  <c r="Q64" i="10" l="1"/>
  <c r="Q66" i="10" s="1"/>
  <c r="W66" i="10"/>
  <c r="W68" i="10" s="1"/>
  <c r="Q384" i="13"/>
  <c r="Q383" i="13"/>
  <c r="Q382" i="13"/>
  <c r="Q381" i="13"/>
  <c r="Q386" i="13" s="1"/>
  <c r="E83" i="15" l="1"/>
  <c r="E82" i="15"/>
  <c r="E81" i="15"/>
  <c r="E80" i="15"/>
  <c r="E79" i="15"/>
  <c r="E78" i="15"/>
  <c r="E77" i="15"/>
  <c r="E76" i="15"/>
  <c r="Q38" i="7"/>
  <c r="Q37" i="7"/>
  <c r="Q36" i="7"/>
  <c r="Q35" i="7"/>
  <c r="Q34" i="7"/>
  <c r="Q33" i="7"/>
  <c r="Q32" i="7"/>
  <c r="Q31" i="7"/>
  <c r="E84" i="15" l="1"/>
  <c r="E86" i="15" s="1"/>
  <c r="Q39" i="7"/>
  <c r="Q41" i="7" s="1"/>
  <c r="K457" i="17"/>
  <c r="K456" i="17"/>
  <c r="K455" i="17"/>
  <c r="K454" i="17"/>
  <c r="K453" i="17"/>
  <c r="K452" i="17"/>
  <c r="K458" i="17" l="1"/>
  <c r="K460" i="17" s="1"/>
  <c r="E674" i="17" l="1"/>
  <c r="E673" i="17"/>
  <c r="E672" i="17"/>
  <c r="E671" i="17"/>
  <c r="E670" i="17"/>
  <c r="E669" i="17"/>
  <c r="E675" i="17" s="1"/>
  <c r="E677" i="17" s="1"/>
  <c r="E663" i="17" l="1"/>
  <c r="E662" i="17"/>
  <c r="E661" i="17"/>
  <c r="E660" i="17"/>
  <c r="E659" i="17"/>
  <c r="E658" i="17"/>
  <c r="E216" i="16"/>
  <c r="E215" i="16"/>
  <c r="E214" i="16"/>
  <c r="E213" i="16"/>
  <c r="E212" i="16"/>
  <c r="E211" i="16"/>
  <c r="E210" i="16"/>
  <c r="E209" i="16"/>
  <c r="E192" i="16"/>
  <c r="E203" i="16"/>
  <c r="E202" i="16"/>
  <c r="E201" i="16"/>
  <c r="E200" i="16"/>
  <c r="E199" i="16"/>
  <c r="E198" i="16"/>
  <c r="E197" i="16"/>
  <c r="E196" i="16"/>
  <c r="E190" i="16"/>
  <c r="E189" i="16"/>
  <c r="E188" i="16"/>
  <c r="E187" i="16"/>
  <c r="E186" i="16"/>
  <c r="E185" i="16"/>
  <c r="E184" i="16"/>
  <c r="E183" i="16"/>
  <c r="E204" i="16" l="1"/>
  <c r="E206" i="16" s="1"/>
  <c r="E664" i="17"/>
  <c r="E666" i="17" s="1"/>
  <c r="E217" i="16"/>
  <c r="E219" i="16" s="1"/>
  <c r="E191" i="16"/>
  <c r="E193" i="16" s="1"/>
  <c r="E175" i="16"/>
  <c r="E174" i="16"/>
  <c r="E173" i="16"/>
  <c r="E172" i="16"/>
  <c r="E171" i="16"/>
  <c r="E170" i="16"/>
  <c r="E169" i="16"/>
  <c r="E168" i="16"/>
  <c r="E176" i="16" l="1"/>
  <c r="E178" i="16" s="1"/>
  <c r="E130" i="24" l="1"/>
  <c r="E128" i="24"/>
  <c r="E127" i="24"/>
  <c r="E126" i="24"/>
  <c r="E125" i="24"/>
  <c r="E124" i="24"/>
  <c r="E123" i="24"/>
  <c r="E129" i="24" l="1"/>
  <c r="E131" i="24" s="1"/>
  <c r="E140" i="18" l="1"/>
  <c r="E139" i="18"/>
  <c r="E138" i="18"/>
  <c r="E137" i="18"/>
  <c r="E136" i="18"/>
  <c r="E135" i="18"/>
  <c r="E141" i="18" l="1"/>
  <c r="E143" i="18" s="1"/>
  <c r="E130" i="18"/>
  <c r="E128" i="18"/>
  <c r="E127" i="18"/>
  <c r="E126" i="18"/>
  <c r="E125" i="18"/>
  <c r="E124" i="18"/>
  <c r="E123" i="18"/>
  <c r="E129" i="18" s="1"/>
  <c r="E131" i="18" s="1"/>
  <c r="E283" i="19" l="1"/>
  <c r="E282" i="19"/>
  <c r="E281" i="19"/>
  <c r="E280" i="19"/>
  <c r="E279" i="19"/>
  <c r="E285" i="19" l="1"/>
  <c r="E1371" i="13"/>
  <c r="E1370" i="13"/>
  <c r="E1369" i="13"/>
  <c r="E1368" i="13"/>
  <c r="E1367" i="13"/>
  <c r="E20" i="27"/>
  <c r="E19" i="27"/>
  <c r="E18" i="27"/>
  <c r="E17" i="27"/>
  <c r="E16" i="27"/>
  <c r="E116" i="18"/>
  <c r="E115" i="18"/>
  <c r="E114" i="18"/>
  <c r="E113" i="18"/>
  <c r="E112" i="18"/>
  <c r="E111" i="18"/>
  <c r="E1373" i="13" l="1"/>
  <c r="E22" i="27"/>
  <c r="E117" i="18"/>
  <c r="E119" i="18" s="1"/>
  <c r="E652" i="17"/>
  <c r="E651" i="17"/>
  <c r="E650" i="17"/>
  <c r="E649" i="17"/>
  <c r="E648" i="17"/>
  <c r="E647" i="17"/>
  <c r="E653" i="17" l="1"/>
  <c r="K1370" i="13"/>
  <c r="K1369" i="13"/>
  <c r="K1368" i="13"/>
  <c r="K1367" i="13"/>
  <c r="K1366" i="13"/>
  <c r="K1372" i="13" l="1"/>
  <c r="R88" i="8" l="1"/>
  <c r="R86" i="8"/>
  <c r="R85" i="8"/>
  <c r="R84" i="8"/>
  <c r="R83" i="8"/>
  <c r="R82" i="8"/>
  <c r="R81" i="8"/>
  <c r="R87" i="8" l="1"/>
  <c r="R89" i="8" s="1"/>
  <c r="K128" i="11"/>
  <c r="K129" i="11"/>
  <c r="K130" i="11"/>
  <c r="K131" i="11"/>
  <c r="K132" i="11"/>
  <c r="K133" i="11"/>
  <c r="K134" i="11"/>
  <c r="K127" i="11"/>
  <c r="K136" i="11"/>
  <c r="K135" i="11" l="1"/>
  <c r="K137" i="11"/>
  <c r="E103" i="18"/>
  <c r="E102" i="18"/>
  <c r="E101" i="18"/>
  <c r="E100" i="18"/>
  <c r="E99" i="18"/>
  <c r="E98" i="18"/>
  <c r="E104" i="18" s="1"/>
  <c r="E106" i="18" s="1"/>
  <c r="E274" i="19"/>
  <c r="E273" i="19"/>
  <c r="E272" i="19"/>
  <c r="E271" i="19"/>
  <c r="E270" i="19"/>
  <c r="E117" i="24"/>
  <c r="E116" i="24"/>
  <c r="E115" i="24"/>
  <c r="E114" i="24"/>
  <c r="E113" i="24"/>
  <c r="E112" i="24"/>
  <c r="E105" i="24"/>
  <c r="E104" i="24"/>
  <c r="E103" i="24"/>
  <c r="E102" i="24"/>
  <c r="E101" i="24"/>
  <c r="E100" i="24"/>
  <c r="E118" i="24" l="1"/>
  <c r="E120" i="24" s="1"/>
  <c r="E276" i="19"/>
  <c r="E106" i="24"/>
  <c r="E108" i="24" s="1"/>
  <c r="E9" i="27"/>
  <c r="E8" i="27"/>
  <c r="E7" i="27"/>
  <c r="E6" i="27"/>
  <c r="E5" i="27"/>
  <c r="E11" i="27" l="1"/>
  <c r="E264" i="19" l="1"/>
  <c r="E263" i="19"/>
  <c r="E262" i="19"/>
  <c r="E261" i="19"/>
  <c r="E260" i="19"/>
  <c r="E266" i="19" l="1"/>
  <c r="R81" i="2"/>
  <c r="R79" i="2"/>
  <c r="R78" i="2"/>
  <c r="R77" i="2"/>
  <c r="R76" i="2"/>
  <c r="R75" i="2"/>
  <c r="R74" i="2"/>
  <c r="R80" i="2" l="1"/>
  <c r="R82" i="2" s="1"/>
  <c r="E93" i="24"/>
  <c r="E92" i="24"/>
  <c r="E91" i="24"/>
  <c r="E90" i="24"/>
  <c r="E89" i="24"/>
  <c r="E88" i="24"/>
  <c r="E94" i="24" l="1"/>
  <c r="E96" i="24" s="1"/>
  <c r="E117" i="23"/>
  <c r="E116" i="23"/>
  <c r="E115" i="23"/>
  <c r="E114" i="23"/>
  <c r="E113" i="23"/>
  <c r="E112" i="23"/>
  <c r="E105" i="23"/>
  <c r="E104" i="23"/>
  <c r="E103" i="23"/>
  <c r="E102" i="23"/>
  <c r="E101" i="23"/>
  <c r="E100" i="23"/>
  <c r="E92" i="23"/>
  <c r="E91" i="23"/>
  <c r="E90" i="23"/>
  <c r="E89" i="23"/>
  <c r="E88" i="23"/>
  <c r="E87" i="23"/>
  <c r="E93" i="23" l="1"/>
  <c r="E95" i="23" s="1"/>
  <c r="E118" i="23"/>
  <c r="E120" i="23" s="1"/>
  <c r="E106" i="23"/>
  <c r="E108" i="23" s="1"/>
  <c r="Q620" i="13"/>
  <c r="Q619" i="13"/>
  <c r="Q618" i="13"/>
  <c r="Q617" i="13"/>
  <c r="Q616" i="13"/>
  <c r="Q610" i="13"/>
  <c r="Q609" i="13"/>
  <c r="Q608" i="13"/>
  <c r="Q607" i="13"/>
  <c r="Q606" i="13"/>
  <c r="Q622" i="13" l="1"/>
  <c r="Q612" i="13"/>
  <c r="E254" i="19"/>
  <c r="E253" i="19"/>
  <c r="E252" i="19"/>
  <c r="E251" i="19"/>
  <c r="E250" i="19"/>
  <c r="E244" i="19"/>
  <c r="E243" i="19"/>
  <c r="E242" i="19"/>
  <c r="E241" i="19"/>
  <c r="E240" i="19"/>
  <c r="E246" i="19" l="1"/>
  <c r="E256" i="19"/>
  <c r="E641" i="17"/>
  <c r="E640" i="17"/>
  <c r="E639" i="17"/>
  <c r="E638" i="17"/>
  <c r="E637" i="17"/>
  <c r="E636" i="17"/>
  <c r="E642" i="17" l="1"/>
  <c r="E644" i="17" s="1"/>
  <c r="E234" i="19"/>
  <c r="E233" i="19"/>
  <c r="E232" i="19"/>
  <c r="E231" i="19"/>
  <c r="E230" i="19"/>
  <c r="E236" i="19" s="1"/>
  <c r="E81" i="24" l="1"/>
  <c r="E80" i="24"/>
  <c r="E79" i="24"/>
  <c r="E78" i="24"/>
  <c r="E77" i="24"/>
  <c r="K48" i="24"/>
  <c r="K46" i="24"/>
  <c r="K45" i="24"/>
  <c r="K44" i="24"/>
  <c r="K43" i="24"/>
  <c r="K42" i="24"/>
  <c r="K41" i="24"/>
  <c r="K47" i="24" s="1"/>
  <c r="K49" i="24" s="1"/>
  <c r="E72" i="24"/>
  <c r="E70" i="24"/>
  <c r="E69" i="24"/>
  <c r="E68" i="24"/>
  <c r="E67" i="24"/>
  <c r="E66" i="24"/>
  <c r="E65" i="24"/>
  <c r="E60" i="24"/>
  <c r="E58" i="24"/>
  <c r="E57" i="24"/>
  <c r="E56" i="24"/>
  <c r="E55" i="24"/>
  <c r="E54" i="24"/>
  <c r="E53" i="24"/>
  <c r="E59" i="24" s="1"/>
  <c r="E61" i="24" s="1"/>
  <c r="E46" i="24"/>
  <c r="E45" i="24"/>
  <c r="E44" i="24"/>
  <c r="E43" i="24"/>
  <c r="E42" i="24"/>
  <c r="E41" i="24"/>
  <c r="E83" i="24" l="1"/>
  <c r="E71" i="24"/>
  <c r="E73" i="24" s="1"/>
  <c r="E47" i="24"/>
  <c r="E49" i="24" s="1"/>
  <c r="E33" i="24" l="1"/>
  <c r="E32" i="24"/>
  <c r="E31" i="24"/>
  <c r="E30" i="24"/>
  <c r="E29" i="24"/>
  <c r="E28" i="24"/>
  <c r="E34" i="24" l="1"/>
  <c r="E36" i="24" s="1"/>
  <c r="E22" i="24"/>
  <c r="E21" i="24"/>
  <c r="E20" i="24"/>
  <c r="E19" i="24"/>
  <c r="E18" i="24"/>
  <c r="E11" i="24"/>
  <c r="E10" i="24"/>
  <c r="E9" i="24"/>
  <c r="E8" i="24"/>
  <c r="E7" i="24"/>
  <c r="E6" i="24"/>
  <c r="E12" i="24" l="1"/>
  <c r="E14" i="24" s="1"/>
  <c r="F22" i="24"/>
  <c r="E24" i="24"/>
  <c r="E630" i="17"/>
  <c r="E629" i="17"/>
  <c r="E628" i="17"/>
  <c r="E627" i="17"/>
  <c r="E626" i="17"/>
  <c r="E625" i="17"/>
  <c r="E618" i="17"/>
  <c r="E617" i="17"/>
  <c r="E616" i="17"/>
  <c r="E615" i="17"/>
  <c r="E614" i="17"/>
  <c r="E613" i="17"/>
  <c r="E631" i="17" l="1"/>
  <c r="E633" i="17" s="1"/>
  <c r="E619" i="17"/>
  <c r="E621" i="17" s="1"/>
  <c r="E179" i="8"/>
  <c r="E178" i="8"/>
  <c r="E177" i="8"/>
  <c r="E176" i="8"/>
  <c r="E175" i="8"/>
  <c r="E174" i="8"/>
  <c r="E180" i="8" s="1"/>
  <c r="E182" i="8" s="1"/>
  <c r="R658" i="13" l="1"/>
  <c r="R657" i="13"/>
  <c r="R656" i="13"/>
  <c r="R655" i="13"/>
  <c r="R654" i="13"/>
  <c r="R659" i="13" l="1"/>
  <c r="R661" i="13" s="1"/>
  <c r="E606" i="17"/>
  <c r="E605" i="17"/>
  <c r="E604" i="17"/>
  <c r="E603" i="17"/>
  <c r="E602" i="17"/>
  <c r="E601" i="17"/>
  <c r="E595" i="17"/>
  <c r="E594" i="17"/>
  <c r="E593" i="17"/>
  <c r="E592" i="17"/>
  <c r="E591" i="17"/>
  <c r="E590" i="17"/>
  <c r="E584" i="17"/>
  <c r="E583" i="17"/>
  <c r="E582" i="17"/>
  <c r="E581" i="17"/>
  <c r="E580" i="17"/>
  <c r="E579" i="17"/>
  <c r="E573" i="17"/>
  <c r="E572" i="17"/>
  <c r="E571" i="17"/>
  <c r="E570" i="17"/>
  <c r="E569" i="17"/>
  <c r="E568" i="17"/>
  <c r="E562" i="17"/>
  <c r="E561" i="17"/>
  <c r="E560" i="17"/>
  <c r="E559" i="17"/>
  <c r="E558" i="17"/>
  <c r="E557" i="17"/>
  <c r="E551" i="17"/>
  <c r="E550" i="17"/>
  <c r="E549" i="17"/>
  <c r="E548" i="17"/>
  <c r="E547" i="17"/>
  <c r="E546" i="17"/>
  <c r="E539" i="17"/>
  <c r="E538" i="17"/>
  <c r="E537" i="17"/>
  <c r="E536" i="17"/>
  <c r="E535" i="17"/>
  <c r="E534" i="17"/>
  <c r="E540" i="17" l="1"/>
  <c r="E542" i="17" s="1"/>
  <c r="E552" i="17"/>
  <c r="E554" i="17" s="1"/>
  <c r="E563" i="17"/>
  <c r="E565" i="17" s="1"/>
  <c r="E574" i="17"/>
  <c r="E576" i="17" s="1"/>
  <c r="E596" i="17"/>
  <c r="E598" i="17" s="1"/>
  <c r="E607" i="17"/>
  <c r="E609" i="17" s="1"/>
  <c r="E585" i="17"/>
  <c r="E587" i="17" s="1"/>
  <c r="E130" i="9"/>
  <c r="E129" i="9"/>
  <c r="E128" i="9"/>
  <c r="E127" i="9"/>
  <c r="E126" i="9"/>
  <c r="E125" i="9"/>
  <c r="E527" i="17"/>
  <c r="E526" i="17"/>
  <c r="E525" i="17"/>
  <c r="E524" i="17"/>
  <c r="E523" i="17"/>
  <c r="E522" i="17"/>
  <c r="E515" i="17"/>
  <c r="E514" i="17"/>
  <c r="E513" i="17"/>
  <c r="E512" i="17"/>
  <c r="E511" i="17"/>
  <c r="E510" i="17"/>
  <c r="E516" i="17" l="1"/>
  <c r="E518" i="17" s="1"/>
  <c r="E131" i="9"/>
  <c r="E133" i="9" s="1"/>
  <c r="E528" i="17"/>
  <c r="E530" i="17" s="1"/>
  <c r="E167" i="8"/>
  <c r="E166" i="8"/>
  <c r="E165" i="8"/>
  <c r="E164" i="8"/>
  <c r="E163" i="8"/>
  <c r="E162" i="8"/>
  <c r="E168" i="8" l="1"/>
  <c r="E170" i="8" s="1"/>
  <c r="E92" i="18"/>
  <c r="E91" i="18"/>
  <c r="E90" i="18"/>
  <c r="E89" i="18"/>
  <c r="E88" i="18"/>
  <c r="E87" i="18"/>
  <c r="E93" i="18" l="1"/>
  <c r="E95" i="18" s="1"/>
  <c r="E162" i="16" l="1"/>
  <c r="E161" i="16"/>
  <c r="E160" i="16"/>
  <c r="E159" i="16"/>
  <c r="E158" i="16"/>
  <c r="E157" i="16"/>
  <c r="E156" i="16"/>
  <c r="E155" i="16"/>
  <c r="E503" i="17"/>
  <c r="E502" i="17"/>
  <c r="E501" i="17"/>
  <c r="E500" i="17"/>
  <c r="E499" i="17"/>
  <c r="E498" i="17"/>
  <c r="E504" i="17" s="1"/>
  <c r="E506" i="17" s="1"/>
  <c r="E163" i="16" l="1"/>
  <c r="E165" i="16" s="1"/>
  <c r="E491" i="17"/>
  <c r="E490" i="17"/>
  <c r="E489" i="17"/>
  <c r="E488" i="17"/>
  <c r="E487" i="17"/>
  <c r="E486" i="17"/>
  <c r="E492" i="17" l="1"/>
  <c r="E494" i="17" s="1"/>
  <c r="E480" i="17"/>
  <c r="E479" i="17"/>
  <c r="E478" i="17"/>
  <c r="E477" i="17"/>
  <c r="E476" i="17"/>
  <c r="E475" i="17"/>
  <c r="E481" i="17" l="1"/>
  <c r="E483" i="17" s="1"/>
  <c r="E469" i="17"/>
  <c r="E468" i="17"/>
  <c r="E467" i="17"/>
  <c r="E466" i="17"/>
  <c r="E465" i="17"/>
  <c r="E464" i="17"/>
  <c r="E457" i="17"/>
  <c r="E456" i="17"/>
  <c r="E455" i="17"/>
  <c r="E454" i="17"/>
  <c r="E453" i="17"/>
  <c r="E452" i="17"/>
  <c r="E470" i="17" l="1"/>
  <c r="E472" i="17" s="1"/>
  <c r="E458" i="17"/>
  <c r="E460" i="17" s="1"/>
  <c r="L15" i="23"/>
  <c r="E80" i="23"/>
  <c r="E78" i="23"/>
  <c r="E77" i="23"/>
  <c r="E76" i="23"/>
  <c r="E75" i="23"/>
  <c r="E74" i="23"/>
  <c r="E73" i="23"/>
  <c r="M61" i="23"/>
  <c r="M59" i="23"/>
  <c r="M58" i="23"/>
  <c r="M57" i="23"/>
  <c r="M56" i="23"/>
  <c r="M55" i="23"/>
  <c r="M54" i="23"/>
  <c r="E61" i="23"/>
  <c r="E59" i="23"/>
  <c r="E58" i="23"/>
  <c r="E57" i="23"/>
  <c r="E56" i="23"/>
  <c r="E55" i="23"/>
  <c r="E54" i="23"/>
  <c r="L46" i="23"/>
  <c r="L44" i="23"/>
  <c r="L43" i="23"/>
  <c r="L42" i="23"/>
  <c r="L41" i="23"/>
  <c r="L40" i="23"/>
  <c r="L39" i="23"/>
  <c r="E46" i="23"/>
  <c r="E44" i="23"/>
  <c r="E43" i="23"/>
  <c r="E42" i="23"/>
  <c r="E41" i="23"/>
  <c r="E40" i="23"/>
  <c r="E39" i="23"/>
  <c r="L13" i="23"/>
  <c r="L12" i="23"/>
  <c r="L11" i="23"/>
  <c r="L10" i="23"/>
  <c r="L9" i="23"/>
  <c r="L8" i="23"/>
  <c r="L7" i="23"/>
  <c r="L6" i="23"/>
  <c r="E15" i="23"/>
  <c r="E13" i="23"/>
  <c r="E12" i="23"/>
  <c r="E11" i="23"/>
  <c r="E10" i="23"/>
  <c r="E9" i="23"/>
  <c r="E8" i="23"/>
  <c r="E7" i="23"/>
  <c r="E6" i="23"/>
  <c r="L14" i="23" l="1"/>
  <c r="L16" i="23" s="1"/>
  <c r="E79" i="23"/>
  <c r="E81" i="23" s="1"/>
  <c r="E60" i="23"/>
  <c r="E62" i="23" s="1"/>
  <c r="L45" i="23"/>
  <c r="L47" i="23" s="1"/>
  <c r="E14" i="23"/>
  <c r="E16" i="23" s="1"/>
  <c r="M60" i="23"/>
  <c r="M62" i="23" s="1"/>
  <c r="E45" i="23"/>
  <c r="E47" i="23" s="1"/>
  <c r="E446" i="17"/>
  <c r="E445" i="17"/>
  <c r="E444" i="17"/>
  <c r="E443" i="17"/>
  <c r="E442" i="17"/>
  <c r="E441" i="17"/>
  <c r="E224" i="19"/>
  <c r="E223" i="19"/>
  <c r="E222" i="19"/>
  <c r="E221" i="19"/>
  <c r="E220" i="19"/>
  <c r="E226" i="19" s="1"/>
  <c r="Q1331" i="13"/>
  <c r="Q1330" i="13"/>
  <c r="Q1329" i="13"/>
  <c r="Q1328" i="13"/>
  <c r="Q1327" i="13"/>
  <c r="E434" i="17"/>
  <c r="E433" i="17"/>
  <c r="E432" i="17"/>
  <c r="E431" i="17"/>
  <c r="E430" i="17"/>
  <c r="E429" i="17"/>
  <c r="E215" i="19"/>
  <c r="E214" i="19"/>
  <c r="E213" i="19"/>
  <c r="E212" i="19"/>
  <c r="E211" i="19"/>
  <c r="E217" i="19" s="1"/>
  <c r="E200" i="19"/>
  <c r="E204" i="19"/>
  <c r="E203" i="19"/>
  <c r="E202" i="19"/>
  <c r="E201" i="19"/>
  <c r="E130" i="10"/>
  <c r="E129" i="10"/>
  <c r="E128" i="10"/>
  <c r="E127" i="10"/>
  <c r="E126" i="10"/>
  <c r="E125" i="10"/>
  <c r="E422" i="17"/>
  <c r="E421" i="17"/>
  <c r="E420" i="17"/>
  <c r="E419" i="17"/>
  <c r="E418" i="17"/>
  <c r="E417" i="17"/>
  <c r="E411" i="17"/>
  <c r="E410" i="17"/>
  <c r="E409" i="17"/>
  <c r="E408" i="17"/>
  <c r="E407" i="17"/>
  <c r="E406" i="17"/>
  <c r="E400" i="17"/>
  <c r="E399" i="17"/>
  <c r="E398" i="17"/>
  <c r="E397" i="17"/>
  <c r="E396" i="17"/>
  <c r="E395" i="17"/>
  <c r="E388" i="17"/>
  <c r="E387" i="17"/>
  <c r="E386" i="17"/>
  <c r="E385" i="17"/>
  <c r="E384" i="17"/>
  <c r="E383" i="17"/>
  <c r="K23" i="21"/>
  <c r="E23" i="21"/>
  <c r="K21" i="21"/>
  <c r="E21" i="21"/>
  <c r="K20" i="21"/>
  <c r="E20" i="21"/>
  <c r="K19" i="21"/>
  <c r="E19" i="21"/>
  <c r="K18" i="21"/>
  <c r="E18" i="21"/>
  <c r="K17" i="21"/>
  <c r="E17" i="21"/>
  <c r="K16" i="21"/>
  <c r="K22" i="21" s="1"/>
  <c r="K24" i="21" s="1"/>
  <c r="E16" i="21"/>
  <c r="E22" i="21" s="1"/>
  <c r="E24" i="21" s="1"/>
  <c r="K12" i="21"/>
  <c r="E12" i="21"/>
  <c r="K10" i="21"/>
  <c r="E10" i="21"/>
  <c r="K9" i="21"/>
  <c r="E9" i="21"/>
  <c r="K8" i="21"/>
  <c r="E8" i="21"/>
  <c r="K7" i="21"/>
  <c r="E7" i="21"/>
  <c r="K6" i="21"/>
  <c r="E6" i="21"/>
  <c r="K5" i="21"/>
  <c r="K11" i="21" s="1"/>
  <c r="K13" i="21" s="1"/>
  <c r="E5" i="21"/>
  <c r="E11" i="21" s="1"/>
  <c r="E13" i="21" s="1"/>
  <c r="X77" i="3"/>
  <c r="X75" i="3"/>
  <c r="X74" i="3"/>
  <c r="X73" i="3"/>
  <c r="X72" i="3"/>
  <c r="X71" i="3"/>
  <c r="X70" i="3"/>
  <c r="X66" i="3"/>
  <c r="X64" i="3"/>
  <c r="X63" i="3"/>
  <c r="X62" i="3"/>
  <c r="X61" i="3"/>
  <c r="X60" i="3"/>
  <c r="X59" i="3"/>
  <c r="E389" i="17" l="1"/>
  <c r="E391" i="17" s="1"/>
  <c r="E401" i="17"/>
  <c r="E403" i="17" s="1"/>
  <c r="E412" i="17"/>
  <c r="E414" i="17" s="1"/>
  <c r="E423" i="17"/>
  <c r="E425" i="17" s="1"/>
  <c r="E131" i="10"/>
  <c r="E133" i="10" s="1"/>
  <c r="E205" i="19"/>
  <c r="E207" i="19" s="1"/>
  <c r="E435" i="17"/>
  <c r="E437" i="17" s="1"/>
  <c r="Q1333" i="13"/>
  <c r="E447" i="17"/>
  <c r="E449" i="17" s="1"/>
  <c r="X76" i="3"/>
  <c r="X78" i="3" s="1"/>
  <c r="X65" i="3"/>
  <c r="X67" i="3" s="1"/>
  <c r="E81" i="18"/>
  <c r="E80" i="18"/>
  <c r="E79" i="18"/>
  <c r="E78" i="18"/>
  <c r="E77" i="18"/>
  <c r="E76" i="18"/>
  <c r="E72" i="18"/>
  <c r="E70" i="18"/>
  <c r="E69" i="18"/>
  <c r="E68" i="18"/>
  <c r="E67" i="18"/>
  <c r="E66" i="18"/>
  <c r="E65" i="18"/>
  <c r="E59" i="18"/>
  <c r="E58" i="18"/>
  <c r="E57" i="18"/>
  <c r="E56" i="18"/>
  <c r="E55" i="18"/>
  <c r="E54" i="18"/>
  <c r="E50" i="18"/>
  <c r="E48" i="18"/>
  <c r="E47" i="18"/>
  <c r="E46" i="18"/>
  <c r="E45" i="18"/>
  <c r="E44" i="18"/>
  <c r="E43" i="18"/>
  <c r="R77" i="3"/>
  <c r="R75" i="3"/>
  <c r="R74" i="3"/>
  <c r="R73" i="3"/>
  <c r="R72" i="3"/>
  <c r="R71" i="3"/>
  <c r="R70" i="3"/>
  <c r="R66" i="3"/>
  <c r="R64" i="3"/>
  <c r="R63" i="3"/>
  <c r="R62" i="3"/>
  <c r="R61" i="3"/>
  <c r="R60" i="3"/>
  <c r="R59" i="3"/>
  <c r="E377" i="17"/>
  <c r="E376" i="17"/>
  <c r="E375" i="17"/>
  <c r="E374" i="17"/>
  <c r="E373" i="17"/>
  <c r="E372" i="17"/>
  <c r="E366" i="17"/>
  <c r="E365" i="17"/>
  <c r="E364" i="17"/>
  <c r="E363" i="17"/>
  <c r="E362" i="17"/>
  <c r="E361" i="17"/>
  <c r="Q49" i="13"/>
  <c r="Q48" i="13"/>
  <c r="Q47" i="13"/>
  <c r="Q46" i="13"/>
  <c r="Q45" i="13"/>
  <c r="Q1084" i="13"/>
  <c r="Q1083" i="13"/>
  <c r="Q1082" i="13"/>
  <c r="Q1081" i="13"/>
  <c r="Q1080" i="13"/>
  <c r="Q1094" i="13"/>
  <c r="Q1093" i="13"/>
  <c r="Q1092" i="13"/>
  <c r="Q1091" i="13"/>
  <c r="Q1090" i="13"/>
  <c r="E355" i="17"/>
  <c r="E354" i="17"/>
  <c r="E353" i="17"/>
  <c r="E352" i="17"/>
  <c r="E351" i="17"/>
  <c r="E350" i="17"/>
  <c r="E356" i="17" l="1"/>
  <c r="E358" i="17" s="1"/>
  <c r="Q1096" i="13"/>
  <c r="E71" i="18"/>
  <c r="E73" i="18" s="1"/>
  <c r="Q1086" i="13"/>
  <c r="E378" i="17"/>
  <c r="E380" i="17" s="1"/>
  <c r="E49" i="18"/>
  <c r="E51" i="18" s="1"/>
  <c r="E82" i="18"/>
  <c r="E84" i="18" s="1"/>
  <c r="R65" i="3"/>
  <c r="R67" i="3" s="1"/>
  <c r="R76" i="3"/>
  <c r="R78" i="3" s="1"/>
  <c r="E60" i="18"/>
  <c r="E62" i="18" s="1"/>
  <c r="E367" i="17"/>
  <c r="E369" i="17" s="1"/>
  <c r="Q51" i="13"/>
  <c r="E149" i="16"/>
  <c r="E148" i="16"/>
  <c r="E147" i="16"/>
  <c r="E146" i="16"/>
  <c r="E145" i="16"/>
  <c r="E144" i="16"/>
  <c r="E143" i="16"/>
  <c r="E142" i="16"/>
  <c r="E135" i="16"/>
  <c r="E134" i="16"/>
  <c r="E133" i="16"/>
  <c r="E132" i="16"/>
  <c r="E131" i="16"/>
  <c r="E130" i="16"/>
  <c r="E129" i="16"/>
  <c r="E128" i="16"/>
  <c r="E33" i="18"/>
  <c r="E38" i="18"/>
  <c r="E36" i="18"/>
  <c r="E35" i="18"/>
  <c r="E34" i="18"/>
  <c r="E32" i="18"/>
  <c r="E31" i="18"/>
  <c r="E30" i="18"/>
  <c r="E121" i="16"/>
  <c r="E120" i="16"/>
  <c r="E119" i="16"/>
  <c r="E118" i="16"/>
  <c r="E117" i="16"/>
  <c r="E116" i="16"/>
  <c r="E115" i="16"/>
  <c r="E114" i="16"/>
  <c r="E343" i="17"/>
  <c r="E342" i="17"/>
  <c r="E341" i="17"/>
  <c r="E340" i="17"/>
  <c r="E339" i="17"/>
  <c r="E338" i="17"/>
  <c r="E332" i="17"/>
  <c r="E331" i="17"/>
  <c r="E330" i="17"/>
  <c r="E329" i="17"/>
  <c r="E328" i="17"/>
  <c r="E327" i="17"/>
  <c r="E320" i="17"/>
  <c r="E319" i="17"/>
  <c r="E318" i="17"/>
  <c r="E317" i="17"/>
  <c r="E316" i="17"/>
  <c r="E315" i="17"/>
  <c r="E70" i="15"/>
  <c r="E69" i="15"/>
  <c r="E68" i="15"/>
  <c r="E66" i="15"/>
  <c r="E65" i="15"/>
  <c r="E64" i="15"/>
  <c r="E63" i="15"/>
  <c r="E25" i="18"/>
  <c r="E23" i="18"/>
  <c r="E22" i="18"/>
  <c r="E21" i="18"/>
  <c r="E20" i="18"/>
  <c r="E19" i="18"/>
  <c r="E18" i="18"/>
  <c r="E122" i="16" l="1"/>
  <c r="E124" i="16" s="1"/>
  <c r="E150" i="16"/>
  <c r="E152" i="16" s="1"/>
  <c r="E136" i="16"/>
  <c r="E138" i="16" s="1"/>
  <c r="E37" i="18"/>
  <c r="E39" i="18" s="1"/>
  <c r="E344" i="17"/>
  <c r="E346" i="17" s="1"/>
  <c r="E333" i="17"/>
  <c r="E335" i="17" s="1"/>
  <c r="E321" i="17"/>
  <c r="E323" i="17" s="1"/>
  <c r="E71" i="15"/>
  <c r="E73" i="15" s="1"/>
  <c r="E24" i="18"/>
  <c r="E26" i="18" s="1"/>
  <c r="E195" i="19" l="1"/>
  <c r="E194" i="19"/>
  <c r="E193" i="19"/>
  <c r="E192" i="19"/>
  <c r="E191" i="19"/>
  <c r="E309" i="17"/>
  <c r="E308" i="17"/>
  <c r="E307" i="17"/>
  <c r="E306" i="17"/>
  <c r="E305" i="17"/>
  <c r="E304" i="17"/>
  <c r="E297" i="17"/>
  <c r="E296" i="17"/>
  <c r="E295" i="17"/>
  <c r="E294" i="17"/>
  <c r="E293" i="17"/>
  <c r="E292" i="17"/>
  <c r="E285" i="17"/>
  <c r="E284" i="17"/>
  <c r="E283" i="17"/>
  <c r="E282" i="17"/>
  <c r="E281" i="17"/>
  <c r="E280" i="17"/>
  <c r="E273" i="17"/>
  <c r="E272" i="17"/>
  <c r="E271" i="17"/>
  <c r="E270" i="17"/>
  <c r="E269" i="17"/>
  <c r="E268" i="17"/>
  <c r="E261" i="17"/>
  <c r="E260" i="17"/>
  <c r="E259" i="17"/>
  <c r="E258" i="17"/>
  <c r="E257" i="17"/>
  <c r="E256" i="17"/>
  <c r="E298" i="17" l="1"/>
  <c r="E300" i="17" s="1"/>
  <c r="E197" i="19"/>
  <c r="E310" i="17"/>
  <c r="E312" i="17" s="1"/>
  <c r="E286" i="17"/>
  <c r="E288" i="17" s="1"/>
  <c r="E262" i="17"/>
  <c r="E264" i="17" s="1"/>
  <c r="E274" i="17"/>
  <c r="E276" i="17" s="1"/>
  <c r="E249" i="17"/>
  <c r="E248" i="17"/>
  <c r="E247" i="17"/>
  <c r="E246" i="17"/>
  <c r="E245" i="17"/>
  <c r="E244" i="17"/>
  <c r="E250" i="17" l="1"/>
  <c r="E252" i="17" s="1"/>
  <c r="E185" i="19"/>
  <c r="E184" i="19"/>
  <c r="E183" i="19"/>
  <c r="E182" i="19"/>
  <c r="E181" i="19"/>
  <c r="E108" i="16"/>
  <c r="E107" i="16"/>
  <c r="E106" i="16"/>
  <c r="E105" i="16"/>
  <c r="E104" i="16"/>
  <c r="E103" i="16"/>
  <c r="E102" i="16"/>
  <c r="E101" i="16"/>
  <c r="E95" i="16"/>
  <c r="E94" i="16"/>
  <c r="E93" i="16"/>
  <c r="E92" i="16"/>
  <c r="E91" i="16"/>
  <c r="E90" i="16"/>
  <c r="E89" i="16"/>
  <c r="E88" i="16"/>
  <c r="Q39" i="4"/>
  <c r="Q37" i="4"/>
  <c r="Q36" i="4"/>
  <c r="Q35" i="4"/>
  <c r="Q34" i="4"/>
  <c r="Q33" i="4"/>
  <c r="Q32" i="4"/>
  <c r="E235" i="17"/>
  <c r="E234" i="17"/>
  <c r="E233" i="17"/>
  <c r="E232" i="17"/>
  <c r="E231" i="17"/>
  <c r="E230" i="17"/>
  <c r="E222" i="17"/>
  <c r="E221" i="17"/>
  <c r="E220" i="17"/>
  <c r="E219" i="17"/>
  <c r="E218" i="17"/>
  <c r="E217" i="17"/>
  <c r="E210" i="17"/>
  <c r="E209" i="17"/>
  <c r="E208" i="17"/>
  <c r="E207" i="17"/>
  <c r="E206" i="17"/>
  <c r="E205" i="17"/>
  <c r="Q1103" i="13"/>
  <c r="Q1102" i="13"/>
  <c r="Q1101" i="13"/>
  <c r="Q1100" i="13"/>
  <c r="E201" i="17"/>
  <c r="E199" i="17"/>
  <c r="E198" i="17"/>
  <c r="E197" i="17"/>
  <c r="E196" i="17"/>
  <c r="E195" i="17"/>
  <c r="E194" i="17"/>
  <c r="E200" i="17" s="1"/>
  <c r="E202" i="17" s="1"/>
  <c r="E189" i="17"/>
  <c r="E187" i="17"/>
  <c r="E186" i="17"/>
  <c r="E185" i="17"/>
  <c r="E184" i="17"/>
  <c r="E183" i="17"/>
  <c r="E182" i="17"/>
  <c r="R12" i="2"/>
  <c r="R10" i="2"/>
  <c r="R9" i="2"/>
  <c r="R8" i="2"/>
  <c r="R7" i="2"/>
  <c r="R6" i="2"/>
  <c r="R5" i="2"/>
  <c r="R11" i="2" s="1"/>
  <c r="R13" i="2" s="1"/>
  <c r="E81" i="16"/>
  <c r="E80" i="16"/>
  <c r="E79" i="16"/>
  <c r="E78" i="16"/>
  <c r="E77" i="16"/>
  <c r="E76" i="16"/>
  <c r="E75" i="16"/>
  <c r="E74" i="16"/>
  <c r="E174" i="19"/>
  <c r="E173" i="19"/>
  <c r="E172" i="19"/>
  <c r="E171" i="19"/>
  <c r="E176" i="19" s="1"/>
  <c r="E177" i="17"/>
  <c r="E175" i="17"/>
  <c r="E174" i="17"/>
  <c r="E173" i="17"/>
  <c r="E172" i="17"/>
  <c r="E171" i="17"/>
  <c r="E170" i="17"/>
  <c r="E73" i="12"/>
  <c r="E164" i="17"/>
  <c r="E163" i="17"/>
  <c r="E162" i="17"/>
  <c r="E161" i="17"/>
  <c r="E160" i="17"/>
  <c r="E159" i="17"/>
  <c r="E153" i="17"/>
  <c r="E152" i="17"/>
  <c r="E151" i="17"/>
  <c r="E150" i="17"/>
  <c r="E149" i="17"/>
  <c r="E148" i="17"/>
  <c r="E164" i="19"/>
  <c r="E163" i="19"/>
  <c r="E162" i="19"/>
  <c r="E161" i="19"/>
  <c r="E160" i="19"/>
  <c r="E143" i="17"/>
  <c r="E141" i="17"/>
  <c r="E140" i="17"/>
  <c r="E139" i="17"/>
  <c r="E138" i="17"/>
  <c r="E137" i="17"/>
  <c r="E136" i="17"/>
  <c r="E131" i="17"/>
  <c r="E129" i="17"/>
  <c r="E128" i="17"/>
  <c r="E127" i="17"/>
  <c r="E126" i="17"/>
  <c r="E125" i="17"/>
  <c r="E124" i="17"/>
  <c r="E118" i="17"/>
  <c r="E117" i="17"/>
  <c r="E116" i="17"/>
  <c r="E115" i="17"/>
  <c r="E114" i="17"/>
  <c r="E113" i="17"/>
  <c r="E154" i="19"/>
  <c r="E153" i="19"/>
  <c r="E152" i="19"/>
  <c r="E151" i="19"/>
  <c r="E150" i="19"/>
  <c r="R636" i="13"/>
  <c r="R635" i="13"/>
  <c r="R634" i="13"/>
  <c r="R633" i="13"/>
  <c r="R632" i="13"/>
  <c r="E106" i="17"/>
  <c r="E105" i="17"/>
  <c r="E104" i="17"/>
  <c r="E103" i="17"/>
  <c r="E102" i="17"/>
  <c r="E101" i="17"/>
  <c r="E94" i="17"/>
  <c r="E93" i="17"/>
  <c r="E92" i="17"/>
  <c r="E91" i="17"/>
  <c r="E90" i="17"/>
  <c r="E89" i="17"/>
  <c r="E82" i="17"/>
  <c r="E81" i="17"/>
  <c r="E80" i="17"/>
  <c r="E79" i="17"/>
  <c r="E78" i="17"/>
  <c r="E77" i="17"/>
  <c r="E70" i="17"/>
  <c r="E69" i="17"/>
  <c r="E68" i="17"/>
  <c r="E67" i="17"/>
  <c r="E66" i="17"/>
  <c r="E65" i="17"/>
  <c r="E144" i="19"/>
  <c r="E143" i="19"/>
  <c r="E142" i="19"/>
  <c r="E141" i="19"/>
  <c r="E140" i="19"/>
  <c r="E146" i="19" l="1"/>
  <c r="E71" i="17"/>
  <c r="E73" i="17" s="1"/>
  <c r="E83" i="17"/>
  <c r="E85" i="17" s="1"/>
  <c r="R638" i="13"/>
  <c r="E166" i="19"/>
  <c r="E165" i="17"/>
  <c r="E167" i="17" s="1"/>
  <c r="E188" i="17"/>
  <c r="E190" i="17" s="1"/>
  <c r="Q38" i="4"/>
  <c r="Q40" i="4" s="1"/>
  <c r="E187" i="19"/>
  <c r="E109" i="16"/>
  <c r="E111" i="16" s="1"/>
  <c r="E96" i="16"/>
  <c r="E98" i="16" s="1"/>
  <c r="E236" i="17"/>
  <c r="E238" i="17" s="1"/>
  <c r="E223" i="17"/>
  <c r="E225" i="17" s="1"/>
  <c r="E211" i="17"/>
  <c r="E213" i="17" s="1"/>
  <c r="Q1105" i="13"/>
  <c r="E82" i="16"/>
  <c r="E84" i="16" s="1"/>
  <c r="E176" i="17"/>
  <c r="E178" i="17" s="1"/>
  <c r="E154" i="17"/>
  <c r="E156" i="17" s="1"/>
  <c r="E142" i="17"/>
  <c r="E144" i="17" s="1"/>
  <c r="E130" i="17"/>
  <c r="E132" i="17" s="1"/>
  <c r="E119" i="17"/>
  <c r="E121" i="17" s="1"/>
  <c r="E155" i="19"/>
  <c r="E157" i="19" s="1"/>
  <c r="E107" i="17"/>
  <c r="E109" i="17" s="1"/>
  <c r="E95" i="17"/>
  <c r="E97" i="17" s="1"/>
  <c r="E133" i="19"/>
  <c r="E132" i="19"/>
  <c r="E131" i="19"/>
  <c r="E130" i="19"/>
  <c r="E129" i="19"/>
  <c r="E123" i="19"/>
  <c r="E122" i="19"/>
  <c r="E121" i="19"/>
  <c r="E120" i="19"/>
  <c r="E119" i="19"/>
  <c r="E113" i="19"/>
  <c r="E112" i="19"/>
  <c r="E111" i="19"/>
  <c r="E110" i="19"/>
  <c r="E109" i="19"/>
  <c r="E115" i="19" l="1"/>
  <c r="E135" i="19"/>
  <c r="E125" i="19"/>
  <c r="E46" i="12" l="1"/>
  <c r="E44" i="12"/>
  <c r="E43" i="12"/>
  <c r="E42" i="12"/>
  <c r="E41" i="12"/>
  <c r="E40" i="12"/>
  <c r="E39" i="12"/>
  <c r="E60" i="17"/>
  <c r="E58" i="17"/>
  <c r="E57" i="17"/>
  <c r="E56" i="17"/>
  <c r="E55" i="17"/>
  <c r="E54" i="17"/>
  <c r="E53" i="17"/>
  <c r="E59" i="17" s="1"/>
  <c r="E61" i="17" s="1"/>
  <c r="E103" i="19"/>
  <c r="E102" i="19"/>
  <c r="E101" i="19"/>
  <c r="E100" i="19"/>
  <c r="E99" i="19"/>
  <c r="E92" i="19"/>
  <c r="E91" i="19"/>
  <c r="E90" i="19"/>
  <c r="E89" i="19"/>
  <c r="E88" i="19"/>
  <c r="E81" i="19"/>
  <c r="E80" i="19"/>
  <c r="E79" i="19"/>
  <c r="E78" i="19"/>
  <c r="E77" i="19"/>
  <c r="E71" i="19"/>
  <c r="E70" i="19"/>
  <c r="E69" i="19"/>
  <c r="E68" i="19"/>
  <c r="E67" i="19"/>
  <c r="E73" i="19" s="1"/>
  <c r="E61" i="19"/>
  <c r="E60" i="19"/>
  <c r="E59" i="19"/>
  <c r="E58" i="19"/>
  <c r="E57" i="19"/>
  <c r="E51" i="19"/>
  <c r="E50" i="19"/>
  <c r="E49" i="19"/>
  <c r="E48" i="19"/>
  <c r="E47" i="19"/>
  <c r="E41" i="19"/>
  <c r="E40" i="19"/>
  <c r="E39" i="19"/>
  <c r="E38" i="19"/>
  <c r="E37" i="19"/>
  <c r="E47" i="17"/>
  <c r="E46" i="17"/>
  <c r="E45" i="17"/>
  <c r="E44" i="17"/>
  <c r="E43" i="17"/>
  <c r="E42" i="17"/>
  <c r="E31" i="19"/>
  <c r="E30" i="19"/>
  <c r="E29" i="19"/>
  <c r="E28" i="19"/>
  <c r="E27" i="19"/>
  <c r="E21" i="19"/>
  <c r="E20" i="19"/>
  <c r="E19" i="19"/>
  <c r="E18" i="19"/>
  <c r="E17" i="19"/>
  <c r="E9" i="19"/>
  <c r="E8" i="19"/>
  <c r="E7" i="19"/>
  <c r="E6" i="19"/>
  <c r="R647" i="13"/>
  <c r="R646" i="13"/>
  <c r="R645" i="13"/>
  <c r="R644" i="13"/>
  <c r="R643" i="13"/>
  <c r="R648" i="13" s="1"/>
  <c r="R650" i="13" s="1"/>
  <c r="E10" i="19" l="1"/>
  <c r="E12" i="19" s="1"/>
  <c r="E94" i="19"/>
  <c r="E45" i="12"/>
  <c r="E47" i="12" s="1"/>
  <c r="E105" i="19"/>
  <c r="E83" i="19"/>
  <c r="E63" i="19"/>
  <c r="E53" i="19"/>
  <c r="E43" i="19"/>
  <c r="E48" i="17"/>
  <c r="E50" i="17" s="1"/>
  <c r="E33" i="19"/>
  <c r="E23" i="19"/>
  <c r="E37" i="17"/>
  <c r="E35" i="17"/>
  <c r="E34" i="17"/>
  <c r="E33" i="17"/>
  <c r="E32" i="17"/>
  <c r="E31" i="17"/>
  <c r="E30" i="17"/>
  <c r="E157" i="8"/>
  <c r="E155" i="8"/>
  <c r="E154" i="8"/>
  <c r="E153" i="8"/>
  <c r="E152" i="8"/>
  <c r="E151" i="8"/>
  <c r="E150" i="8"/>
  <c r="E36" i="17" l="1"/>
  <c r="E38" i="17" s="1"/>
  <c r="E156" i="8"/>
  <c r="E158" i="8" s="1"/>
  <c r="E59" i="15" l="1"/>
  <c r="E57" i="15"/>
  <c r="E56" i="15"/>
  <c r="E55" i="15"/>
  <c r="E54" i="15"/>
  <c r="E53" i="15"/>
  <c r="E52" i="15"/>
  <c r="E51" i="15"/>
  <c r="E50" i="15"/>
  <c r="E45" i="15"/>
  <c r="E43" i="15"/>
  <c r="E42" i="15"/>
  <c r="E41" i="15"/>
  <c r="E40" i="15"/>
  <c r="E39" i="15"/>
  <c r="E38" i="15"/>
  <c r="E37" i="15"/>
  <c r="E36" i="15"/>
  <c r="E58" i="15" l="1"/>
  <c r="E60" i="15" s="1"/>
  <c r="E44" i="15"/>
  <c r="E46" i="15" s="1"/>
  <c r="E11" i="18"/>
  <c r="E10" i="18"/>
  <c r="E9" i="18"/>
  <c r="E8" i="18"/>
  <c r="E7" i="18"/>
  <c r="E6" i="18"/>
  <c r="E12" i="18" l="1"/>
  <c r="E14" i="18" s="1"/>
  <c r="E155" i="2"/>
  <c r="E153" i="2"/>
  <c r="E152" i="2"/>
  <c r="E151" i="2"/>
  <c r="E150" i="2"/>
  <c r="E149" i="2"/>
  <c r="E148" i="2"/>
  <c r="E131" i="2"/>
  <c r="E129" i="2"/>
  <c r="E128" i="2"/>
  <c r="E127" i="2"/>
  <c r="E126" i="2"/>
  <c r="E125" i="2"/>
  <c r="E124" i="2"/>
  <c r="E143" i="2"/>
  <c r="E141" i="2"/>
  <c r="E140" i="2"/>
  <c r="E139" i="2"/>
  <c r="E138" i="2"/>
  <c r="E137" i="2"/>
  <c r="E136" i="2"/>
  <c r="E144" i="8"/>
  <c r="E142" i="8"/>
  <c r="E141" i="8"/>
  <c r="E140" i="8"/>
  <c r="E139" i="8"/>
  <c r="E138" i="8"/>
  <c r="E137" i="8"/>
  <c r="E132" i="8"/>
  <c r="E130" i="8"/>
  <c r="E129" i="8"/>
  <c r="E128" i="8"/>
  <c r="E127" i="8"/>
  <c r="E126" i="8"/>
  <c r="E125" i="8"/>
  <c r="E131" i="8" s="1"/>
  <c r="E133" i="8" s="1"/>
  <c r="E143" i="8" l="1"/>
  <c r="E145" i="8" s="1"/>
  <c r="E130" i="2"/>
  <c r="E132" i="2" s="1"/>
  <c r="E142" i="2"/>
  <c r="E144" i="2" s="1"/>
  <c r="E154" i="2"/>
  <c r="E156" i="2" s="1"/>
  <c r="E67" i="16"/>
  <c r="E66" i="16"/>
  <c r="E65" i="16"/>
  <c r="E64" i="16"/>
  <c r="E63" i="16"/>
  <c r="E62" i="16"/>
  <c r="E61" i="16"/>
  <c r="E60" i="16"/>
  <c r="E25" i="17"/>
  <c r="E23" i="17"/>
  <c r="E22" i="17"/>
  <c r="E21" i="17"/>
  <c r="E20" i="17"/>
  <c r="E19" i="17"/>
  <c r="E18" i="17"/>
  <c r="E24" i="17" l="1"/>
  <c r="E26" i="17" s="1"/>
  <c r="E68" i="16"/>
  <c r="E70" i="16" s="1"/>
  <c r="K1361" i="13"/>
  <c r="K1360" i="13"/>
  <c r="K1359" i="13"/>
  <c r="K1358" i="13"/>
  <c r="K1357" i="13"/>
  <c r="K1351" i="13"/>
  <c r="K1350" i="13"/>
  <c r="K1349" i="13"/>
  <c r="K1348" i="13"/>
  <c r="K1347" i="13"/>
  <c r="K1353" i="13" l="1"/>
  <c r="K1363" i="13"/>
  <c r="K1341" i="13"/>
  <c r="K1340" i="13"/>
  <c r="K1339" i="13"/>
  <c r="K1338" i="13"/>
  <c r="K1337" i="13"/>
  <c r="K1343" i="13" l="1"/>
  <c r="E13" i="17" l="1"/>
  <c r="E11" i="17"/>
  <c r="E10" i="17"/>
  <c r="E9" i="17"/>
  <c r="E8" i="17"/>
  <c r="E7" i="17"/>
  <c r="E6" i="17"/>
  <c r="E54" i="16"/>
  <c r="E53" i="16"/>
  <c r="E52" i="16"/>
  <c r="E51" i="16"/>
  <c r="E50" i="16"/>
  <c r="E49" i="16"/>
  <c r="E48" i="16"/>
  <c r="E47" i="16"/>
  <c r="E42" i="16"/>
  <c r="E40" i="16"/>
  <c r="E39" i="16"/>
  <c r="E38" i="16"/>
  <c r="E37" i="16"/>
  <c r="E36" i="16"/>
  <c r="E35" i="16"/>
  <c r="E34" i="16"/>
  <c r="E33" i="16"/>
  <c r="E41" i="16" s="1"/>
  <c r="E43" i="16" s="1"/>
  <c r="E29" i="16"/>
  <c r="E27" i="16"/>
  <c r="E26" i="16"/>
  <c r="E25" i="16"/>
  <c r="E24" i="16"/>
  <c r="E23" i="16"/>
  <c r="E22" i="16"/>
  <c r="E21" i="16"/>
  <c r="E20" i="16"/>
  <c r="E55" i="16" l="1"/>
  <c r="E57" i="16" s="1"/>
  <c r="E12" i="17"/>
  <c r="E14" i="17" s="1"/>
  <c r="E28" i="16"/>
  <c r="E30" i="16" s="1"/>
  <c r="K121" i="12" l="1"/>
  <c r="K120" i="12"/>
  <c r="K119" i="12"/>
  <c r="K118" i="12"/>
  <c r="K117" i="12"/>
  <c r="K116" i="12"/>
  <c r="K115" i="12"/>
  <c r="K114" i="12"/>
  <c r="K122" i="12" l="1"/>
  <c r="K124" i="12"/>
  <c r="E14" i="16"/>
  <c r="E13" i="16"/>
  <c r="E12" i="16"/>
  <c r="E11" i="16"/>
  <c r="E10" i="16"/>
  <c r="E9" i="16"/>
  <c r="E8" i="16"/>
  <c r="E7" i="16"/>
  <c r="E29" i="15"/>
  <c r="E28" i="15"/>
  <c r="E27" i="15"/>
  <c r="E26" i="15"/>
  <c r="E25" i="15"/>
  <c r="E24" i="15"/>
  <c r="E23" i="15"/>
  <c r="E22" i="15"/>
  <c r="E30" i="15" s="1"/>
  <c r="E32" i="15" s="1"/>
  <c r="E14" i="15"/>
  <c r="E13" i="15"/>
  <c r="E12" i="15"/>
  <c r="E11" i="15"/>
  <c r="E10" i="15"/>
  <c r="E9" i="15"/>
  <c r="E8" i="15"/>
  <c r="E7" i="15"/>
  <c r="E15" i="15" s="1"/>
  <c r="E17" i="15" s="1"/>
  <c r="K136" i="7"/>
  <c r="K135" i="7"/>
  <c r="K134" i="7"/>
  <c r="K133" i="7"/>
  <c r="K132" i="7"/>
  <c r="K131" i="7"/>
  <c r="K130" i="7"/>
  <c r="K129" i="7"/>
  <c r="K121" i="7"/>
  <c r="K120" i="7"/>
  <c r="K119" i="7"/>
  <c r="K118" i="7"/>
  <c r="K117" i="7"/>
  <c r="K116" i="7"/>
  <c r="K115" i="7"/>
  <c r="K114" i="7"/>
  <c r="K122" i="7" s="1"/>
  <c r="K124" i="7" s="1"/>
  <c r="K137" i="7" l="1"/>
  <c r="K139" i="7" s="1"/>
  <c r="E15" i="16"/>
  <c r="E17" i="16" s="1"/>
  <c r="K807" i="13"/>
  <c r="K20" i="13" l="1"/>
  <c r="E20" i="13"/>
  <c r="K19" i="13"/>
  <c r="E19" i="13"/>
  <c r="K1331" i="13" l="1"/>
  <c r="K1330" i="13"/>
  <c r="K1329" i="13"/>
  <c r="K1328" i="13"/>
  <c r="K1327" i="13"/>
  <c r="K1321" i="13"/>
  <c r="K1320" i="13"/>
  <c r="K1319" i="13"/>
  <c r="K1318" i="13"/>
  <c r="K1317" i="13"/>
  <c r="K1312" i="13"/>
  <c r="K1311" i="13"/>
  <c r="K1310" i="13"/>
  <c r="K1309" i="13"/>
  <c r="K1308" i="13"/>
  <c r="K1303" i="13"/>
  <c r="K1302" i="13"/>
  <c r="K1301" i="13"/>
  <c r="K1300" i="13"/>
  <c r="K1299" i="13"/>
  <c r="K1294" i="13"/>
  <c r="K1293" i="13"/>
  <c r="K1292" i="13"/>
  <c r="K1291" i="13"/>
  <c r="K1290" i="13"/>
  <c r="K1285" i="13"/>
  <c r="K1284" i="13"/>
  <c r="K1283" i="13"/>
  <c r="K1282" i="13"/>
  <c r="K1281" i="13"/>
  <c r="K1276" i="13"/>
  <c r="K1275" i="13"/>
  <c r="K1274" i="13"/>
  <c r="K1273" i="13"/>
  <c r="K1272" i="13"/>
  <c r="K1267" i="13"/>
  <c r="K1266" i="13"/>
  <c r="K1265" i="13"/>
  <c r="K1264" i="13"/>
  <c r="K1263" i="13"/>
  <c r="K1258" i="13"/>
  <c r="K1257" i="13"/>
  <c r="K1256" i="13"/>
  <c r="K1255" i="13"/>
  <c r="K1254" i="13"/>
  <c r="K1249" i="13"/>
  <c r="K1248" i="13"/>
  <c r="K1247" i="13"/>
  <c r="K1246" i="13"/>
  <c r="K1245" i="13"/>
  <c r="K1240" i="13"/>
  <c r="K1239" i="13"/>
  <c r="K1238" i="13"/>
  <c r="K1237" i="13"/>
  <c r="K1236" i="13"/>
  <c r="K1231" i="13"/>
  <c r="K1230" i="13"/>
  <c r="K1229" i="13"/>
  <c r="K1228" i="13"/>
  <c r="K1227" i="13"/>
  <c r="K1222" i="13"/>
  <c r="K1221" i="13"/>
  <c r="K1220" i="13"/>
  <c r="K1219" i="13"/>
  <c r="K1218" i="13"/>
  <c r="K1213" i="13"/>
  <c r="K1212" i="13"/>
  <c r="K1211" i="13"/>
  <c r="K1210" i="13"/>
  <c r="K1209" i="13"/>
  <c r="K1203" i="13"/>
  <c r="K1202" i="13"/>
  <c r="K1201" i="13"/>
  <c r="K1200" i="13"/>
  <c r="K1199" i="13"/>
  <c r="K1194" i="13"/>
  <c r="K1193" i="13"/>
  <c r="K1192" i="13"/>
  <c r="K1191" i="13"/>
  <c r="K1190" i="13"/>
  <c r="K1184" i="13"/>
  <c r="K1183" i="13"/>
  <c r="K1182" i="13"/>
  <c r="K1181" i="13"/>
  <c r="K1180" i="13"/>
  <c r="K1175" i="13"/>
  <c r="K1174" i="13"/>
  <c r="K1173" i="13"/>
  <c r="K1172" i="13"/>
  <c r="K1171" i="13"/>
  <c r="K1166" i="13"/>
  <c r="K1165" i="13"/>
  <c r="K1164" i="13"/>
  <c r="K1163" i="13"/>
  <c r="K1162" i="13"/>
  <c r="K1157" i="13"/>
  <c r="K1156" i="13"/>
  <c r="K1155" i="13"/>
  <c r="K1154" i="13"/>
  <c r="K1153" i="13"/>
  <c r="K1148" i="13"/>
  <c r="K1147" i="13"/>
  <c r="K1146" i="13"/>
  <c r="K1145" i="13"/>
  <c r="K1144" i="13"/>
  <c r="K1139" i="13"/>
  <c r="K1138" i="13"/>
  <c r="K1137" i="13"/>
  <c r="K1136" i="13"/>
  <c r="K1135" i="13"/>
  <c r="K1130" i="13"/>
  <c r="K1129" i="13"/>
  <c r="K1128" i="13"/>
  <c r="K1127" i="13"/>
  <c r="K1126" i="13"/>
  <c r="K1121" i="13"/>
  <c r="K1120" i="13"/>
  <c r="K1119" i="13"/>
  <c r="K1118" i="13"/>
  <c r="K1117" i="13"/>
  <c r="K1112" i="13"/>
  <c r="K1111" i="13"/>
  <c r="K1110" i="13"/>
  <c r="K1109" i="13"/>
  <c r="K1108" i="13"/>
  <c r="K1103" i="13"/>
  <c r="K1102" i="13"/>
  <c r="K1101" i="13"/>
  <c r="K1100" i="13"/>
  <c r="K1099" i="13"/>
  <c r="K1094" i="13"/>
  <c r="K1093" i="13"/>
  <c r="K1092" i="13"/>
  <c r="K1091" i="13"/>
  <c r="K1090" i="13"/>
  <c r="K1085" i="13"/>
  <c r="K1084" i="13"/>
  <c r="K1083" i="13"/>
  <c r="K1082" i="13"/>
  <c r="K1081" i="13"/>
  <c r="K1076" i="13"/>
  <c r="K1075" i="13"/>
  <c r="K1074" i="13"/>
  <c r="K1073" i="13"/>
  <c r="K1072" i="13"/>
  <c r="K1067" i="13"/>
  <c r="K1066" i="13"/>
  <c r="K1065" i="13"/>
  <c r="K1064" i="13"/>
  <c r="K1063" i="13"/>
  <c r="K1058" i="13"/>
  <c r="K1057" i="13"/>
  <c r="K1056" i="13"/>
  <c r="K1055" i="13"/>
  <c r="K1054" i="13"/>
  <c r="K1048" i="13"/>
  <c r="K1047" i="13"/>
  <c r="K1046" i="13"/>
  <c r="K1045" i="13"/>
  <c r="K1044" i="13"/>
  <c r="K1039" i="13"/>
  <c r="K1038" i="13"/>
  <c r="K1037" i="13"/>
  <c r="K1036" i="13"/>
  <c r="K1035" i="13"/>
  <c r="K1030" i="13"/>
  <c r="K1029" i="13"/>
  <c r="K1028" i="13"/>
  <c r="K1027" i="13"/>
  <c r="K1026" i="13"/>
  <c r="K1032" i="13" s="1"/>
  <c r="K1021" i="13"/>
  <c r="K1020" i="13"/>
  <c r="K1019" i="13"/>
  <c r="K1018" i="13"/>
  <c r="K1017" i="13"/>
  <c r="K1012" i="13"/>
  <c r="K1011" i="13"/>
  <c r="K1010" i="13"/>
  <c r="K1009" i="13"/>
  <c r="K1008" i="13"/>
  <c r="K1003" i="13"/>
  <c r="K1002" i="13"/>
  <c r="K1001" i="13"/>
  <c r="K1000" i="13"/>
  <c r="K999" i="13"/>
  <c r="K994" i="13"/>
  <c r="K993" i="13"/>
  <c r="K992" i="13"/>
  <c r="K991" i="13"/>
  <c r="K990" i="13"/>
  <c r="K984" i="13"/>
  <c r="K983" i="13"/>
  <c r="K982" i="13"/>
  <c r="K981" i="13"/>
  <c r="K980" i="13"/>
  <c r="K975" i="13"/>
  <c r="K974" i="13"/>
  <c r="K973" i="13"/>
  <c r="K972" i="13"/>
  <c r="K971" i="13"/>
  <c r="K966" i="13"/>
  <c r="K965" i="13"/>
  <c r="K964" i="13"/>
  <c r="K963" i="13"/>
  <c r="K962" i="13"/>
  <c r="K957" i="13"/>
  <c r="K956" i="13"/>
  <c r="K955" i="13"/>
  <c r="K954" i="13"/>
  <c r="K953" i="13"/>
  <c r="K948" i="13"/>
  <c r="K947" i="13"/>
  <c r="K946" i="13"/>
  <c r="K945" i="13"/>
  <c r="K944" i="13"/>
  <c r="K939" i="13"/>
  <c r="K938" i="13"/>
  <c r="K937" i="13"/>
  <c r="K936" i="13"/>
  <c r="K935" i="13"/>
  <c r="K929" i="13"/>
  <c r="K928" i="13"/>
  <c r="K927" i="13"/>
  <c r="K926" i="13"/>
  <c r="K925" i="13"/>
  <c r="K920" i="13"/>
  <c r="K919" i="13"/>
  <c r="K918" i="13"/>
  <c r="K917" i="13"/>
  <c r="K916" i="13"/>
  <c r="K910" i="13"/>
  <c r="K909" i="13"/>
  <c r="K908" i="13"/>
  <c r="K907" i="13"/>
  <c r="K906" i="13"/>
  <c r="K901" i="13"/>
  <c r="K900" i="13"/>
  <c r="K899" i="13"/>
  <c r="K898" i="13"/>
  <c r="K897" i="13"/>
  <c r="K892" i="13"/>
  <c r="K891" i="13"/>
  <c r="K890" i="13"/>
  <c r="K889" i="13"/>
  <c r="K888" i="13"/>
  <c r="K883" i="13"/>
  <c r="K882" i="13"/>
  <c r="K881" i="13"/>
  <c r="K880" i="13"/>
  <c r="K879" i="13"/>
  <c r="K874" i="13"/>
  <c r="K873" i="13"/>
  <c r="K872" i="13"/>
  <c r="K871" i="13"/>
  <c r="K870" i="13"/>
  <c r="K865" i="13"/>
  <c r="K864" i="13"/>
  <c r="K863" i="13"/>
  <c r="K862" i="13"/>
  <c r="K861" i="13"/>
  <c r="K856" i="13"/>
  <c r="K855" i="13"/>
  <c r="K854" i="13"/>
  <c r="K853" i="13"/>
  <c r="K852" i="13"/>
  <c r="K847" i="13"/>
  <c r="K846" i="13"/>
  <c r="K845" i="13"/>
  <c r="K844" i="13"/>
  <c r="K843" i="13"/>
  <c r="K838" i="13"/>
  <c r="K837" i="13"/>
  <c r="K836" i="13"/>
  <c r="K835" i="13"/>
  <c r="K834" i="13"/>
  <c r="K829" i="13"/>
  <c r="K828" i="13"/>
  <c r="K827" i="13"/>
  <c r="K826" i="13"/>
  <c r="K825" i="13"/>
  <c r="K820" i="13"/>
  <c r="K819" i="13"/>
  <c r="K818" i="13"/>
  <c r="K817" i="13"/>
  <c r="K816" i="13"/>
  <c r="K811" i="13"/>
  <c r="K810" i="13"/>
  <c r="K809" i="13"/>
  <c r="K808" i="13"/>
  <c r="K802" i="13"/>
  <c r="K801" i="13"/>
  <c r="K800" i="13"/>
  <c r="K799" i="13"/>
  <c r="K798" i="13"/>
  <c r="K793" i="13"/>
  <c r="K792" i="13"/>
  <c r="K791" i="13"/>
  <c r="K790" i="13"/>
  <c r="K789" i="13"/>
  <c r="K784" i="13"/>
  <c r="K783" i="13"/>
  <c r="K782" i="13"/>
  <c r="K781" i="13"/>
  <c r="K780" i="13"/>
  <c r="K775" i="13"/>
  <c r="K774" i="13"/>
  <c r="K773" i="13"/>
  <c r="K772" i="13"/>
  <c r="K771" i="13"/>
  <c r="K766" i="13"/>
  <c r="K765" i="13"/>
  <c r="K764" i="13"/>
  <c r="K763" i="13"/>
  <c r="K762" i="13"/>
  <c r="K757" i="13"/>
  <c r="K756" i="13"/>
  <c r="K755" i="13"/>
  <c r="K754" i="13"/>
  <c r="K753" i="13"/>
  <c r="K748" i="13"/>
  <c r="K747" i="13"/>
  <c r="K746" i="13"/>
  <c r="K745" i="13"/>
  <c r="K744" i="13"/>
  <c r="K739" i="13"/>
  <c r="K738" i="13"/>
  <c r="K737" i="13"/>
  <c r="K736" i="13"/>
  <c r="K735" i="13"/>
  <c r="K730" i="13"/>
  <c r="K729" i="13"/>
  <c r="K728" i="13"/>
  <c r="K727" i="13"/>
  <c r="K726" i="13"/>
  <c r="K721" i="13"/>
  <c r="K720" i="13"/>
  <c r="K719" i="13"/>
  <c r="K718" i="13"/>
  <c r="K717" i="13"/>
  <c r="K712" i="13"/>
  <c r="K711" i="13"/>
  <c r="K710" i="13"/>
  <c r="K709" i="13"/>
  <c r="K708" i="13"/>
  <c r="K703" i="13"/>
  <c r="K702" i="13"/>
  <c r="K701" i="13"/>
  <c r="K700" i="13"/>
  <c r="K699" i="13"/>
  <c r="K694" i="13"/>
  <c r="K693" i="13"/>
  <c r="K692" i="13"/>
  <c r="K691" i="13"/>
  <c r="K690" i="13"/>
  <c r="K685" i="13"/>
  <c r="K684" i="13"/>
  <c r="K683" i="13"/>
  <c r="K682" i="13"/>
  <c r="K681" i="13"/>
  <c r="K676" i="13"/>
  <c r="K675" i="13"/>
  <c r="K674" i="13"/>
  <c r="K673" i="13"/>
  <c r="K672" i="13"/>
  <c r="K667" i="13"/>
  <c r="K666" i="13"/>
  <c r="K665" i="13"/>
  <c r="K664" i="13"/>
  <c r="K663" i="13"/>
  <c r="K657" i="13"/>
  <c r="K656" i="13"/>
  <c r="K655" i="13"/>
  <c r="K654" i="13"/>
  <c r="K653" i="13"/>
  <c r="K647" i="13"/>
  <c r="K646" i="13"/>
  <c r="K645" i="13"/>
  <c r="K644" i="13"/>
  <c r="K643" i="13"/>
  <c r="K637" i="13"/>
  <c r="K636" i="13"/>
  <c r="K635" i="13"/>
  <c r="K634" i="13"/>
  <c r="K633" i="13"/>
  <c r="K628" i="13"/>
  <c r="K627" i="13"/>
  <c r="K626" i="13"/>
  <c r="K625" i="13"/>
  <c r="K624" i="13"/>
  <c r="K619" i="13"/>
  <c r="K618" i="13"/>
  <c r="K617" i="13"/>
  <c r="K616" i="13"/>
  <c r="K615" i="13"/>
  <c r="K610" i="13"/>
  <c r="K609" i="13"/>
  <c r="K608" i="13"/>
  <c r="K607" i="13"/>
  <c r="K606" i="13"/>
  <c r="K601" i="13"/>
  <c r="K600" i="13"/>
  <c r="K599" i="13"/>
  <c r="K598" i="13"/>
  <c r="K597" i="13"/>
  <c r="K592" i="13"/>
  <c r="K591" i="13"/>
  <c r="K590" i="13"/>
  <c r="K589" i="13"/>
  <c r="K588" i="13"/>
  <c r="K583" i="13"/>
  <c r="K582" i="13"/>
  <c r="K581" i="13"/>
  <c r="K580" i="13"/>
  <c r="K579" i="13"/>
  <c r="K574" i="13"/>
  <c r="K573" i="13"/>
  <c r="K572" i="13"/>
  <c r="K571" i="13"/>
  <c r="K570" i="13"/>
  <c r="K565" i="13"/>
  <c r="K564" i="13"/>
  <c r="K563" i="13"/>
  <c r="K562" i="13"/>
  <c r="K561" i="13"/>
  <c r="K556" i="13"/>
  <c r="K555" i="13"/>
  <c r="K554" i="13"/>
  <c r="K553" i="13"/>
  <c r="K552" i="13"/>
  <c r="K547" i="13"/>
  <c r="K546" i="13"/>
  <c r="K545" i="13"/>
  <c r="K544" i="13"/>
  <c r="K543" i="13"/>
  <c r="K537" i="13"/>
  <c r="K536" i="13"/>
  <c r="K535" i="13"/>
  <c r="K534" i="13"/>
  <c r="K533" i="13"/>
  <c r="K528" i="13"/>
  <c r="K527" i="13"/>
  <c r="K526" i="13"/>
  <c r="K525" i="13"/>
  <c r="K524" i="13"/>
  <c r="K519" i="13"/>
  <c r="K518" i="13"/>
  <c r="K517" i="13"/>
  <c r="K516" i="13"/>
  <c r="K515" i="13"/>
  <c r="K510" i="13"/>
  <c r="K509" i="13"/>
  <c r="K508" i="13"/>
  <c r="K507" i="13"/>
  <c r="K506" i="13"/>
  <c r="K501" i="13"/>
  <c r="K500" i="13"/>
  <c r="K499" i="13"/>
  <c r="K498" i="13"/>
  <c r="K497" i="13"/>
  <c r="K492" i="13"/>
  <c r="K491" i="13"/>
  <c r="K490" i="13"/>
  <c r="K489" i="13"/>
  <c r="K488" i="13"/>
  <c r="K483" i="13"/>
  <c r="K482" i="13"/>
  <c r="K481" i="13"/>
  <c r="K480" i="13"/>
  <c r="K479" i="13"/>
  <c r="K474" i="13"/>
  <c r="K473" i="13"/>
  <c r="K472" i="13"/>
  <c r="K471" i="13"/>
  <c r="K470" i="13"/>
  <c r="K465" i="13"/>
  <c r="K464" i="13"/>
  <c r="K463" i="13"/>
  <c r="K462" i="13"/>
  <c r="K461" i="13"/>
  <c r="K456" i="13"/>
  <c r="K455" i="13"/>
  <c r="K454" i="13"/>
  <c r="K453" i="13"/>
  <c r="K452" i="13"/>
  <c r="K447" i="13"/>
  <c r="K446" i="13"/>
  <c r="K445" i="13"/>
  <c r="K444" i="13"/>
  <c r="K443" i="13"/>
  <c r="K438" i="13"/>
  <c r="K437" i="13"/>
  <c r="K436" i="13"/>
  <c r="K435" i="13"/>
  <c r="K434" i="13"/>
  <c r="K429" i="13"/>
  <c r="K428" i="13"/>
  <c r="K427" i="13"/>
  <c r="K426" i="13"/>
  <c r="K425" i="13"/>
  <c r="K420" i="13"/>
  <c r="K419" i="13"/>
  <c r="K418" i="13"/>
  <c r="K417" i="13"/>
  <c r="K416" i="13"/>
  <c r="K411" i="13"/>
  <c r="K410" i="13"/>
  <c r="K409" i="13"/>
  <c r="K408" i="13"/>
  <c r="K407" i="13"/>
  <c r="K402" i="13"/>
  <c r="K401" i="13"/>
  <c r="K400" i="13"/>
  <c r="K399" i="13"/>
  <c r="K398" i="13"/>
  <c r="K393" i="13"/>
  <c r="K392" i="13"/>
  <c r="K391" i="13"/>
  <c r="K390" i="13"/>
  <c r="K389" i="13"/>
  <c r="K384" i="13"/>
  <c r="K383" i="13"/>
  <c r="K382" i="13"/>
  <c r="K381" i="13"/>
  <c r="K380" i="13"/>
  <c r="K375" i="13"/>
  <c r="K374" i="13"/>
  <c r="K373" i="13"/>
  <c r="K372" i="13"/>
  <c r="K371" i="13"/>
  <c r="K366" i="13"/>
  <c r="K365" i="13"/>
  <c r="K364" i="13"/>
  <c r="K363" i="13"/>
  <c r="K362" i="13"/>
  <c r="K357" i="13"/>
  <c r="K356" i="13"/>
  <c r="K355" i="13"/>
  <c r="K354" i="13"/>
  <c r="K353" i="13"/>
  <c r="K348" i="13"/>
  <c r="K347" i="13"/>
  <c r="K346" i="13"/>
  <c r="K345" i="13"/>
  <c r="K344" i="13"/>
  <c r="K339" i="13"/>
  <c r="K338" i="13"/>
  <c r="K337" i="13"/>
  <c r="K336" i="13"/>
  <c r="K335" i="13"/>
  <c r="K330" i="13"/>
  <c r="K329" i="13"/>
  <c r="K328" i="13"/>
  <c r="K327" i="13"/>
  <c r="K326" i="13"/>
  <c r="K321" i="13"/>
  <c r="K320" i="13"/>
  <c r="K319" i="13"/>
  <c r="K318" i="13"/>
  <c r="K317" i="13"/>
  <c r="K312" i="13"/>
  <c r="K311" i="13"/>
  <c r="K310" i="13"/>
  <c r="K309" i="13"/>
  <c r="K308" i="13"/>
  <c r="K303" i="13"/>
  <c r="K302" i="13"/>
  <c r="K301" i="13"/>
  <c r="K300" i="13"/>
  <c r="K299" i="13"/>
  <c r="K294" i="13"/>
  <c r="K293" i="13"/>
  <c r="K292" i="13"/>
  <c r="K291" i="13"/>
  <c r="K290" i="13"/>
  <c r="K285" i="13"/>
  <c r="K284" i="13"/>
  <c r="K283" i="13"/>
  <c r="K282" i="13"/>
  <c r="K281" i="13"/>
  <c r="K276" i="13"/>
  <c r="K275" i="13"/>
  <c r="K274" i="13"/>
  <c r="K273" i="13"/>
  <c r="K272" i="13"/>
  <c r="K267" i="13"/>
  <c r="K266" i="13"/>
  <c r="K265" i="13"/>
  <c r="K264" i="13"/>
  <c r="K263" i="13"/>
  <c r="K258" i="13"/>
  <c r="K257" i="13"/>
  <c r="K256" i="13"/>
  <c r="K255" i="13"/>
  <c r="K254" i="13"/>
  <c r="K249" i="13"/>
  <c r="K248" i="13"/>
  <c r="K247" i="13"/>
  <c r="K246" i="13"/>
  <c r="K245" i="13"/>
  <c r="K239" i="13"/>
  <c r="K238" i="13"/>
  <c r="K237" i="13"/>
  <c r="K236" i="13"/>
  <c r="K235" i="13"/>
  <c r="K230" i="13"/>
  <c r="K229" i="13"/>
  <c r="K228" i="13"/>
  <c r="K227" i="13"/>
  <c r="K226" i="13"/>
  <c r="K221" i="13"/>
  <c r="K220" i="13"/>
  <c r="K219" i="13"/>
  <c r="K218" i="13"/>
  <c r="K217" i="13"/>
  <c r="K212" i="13"/>
  <c r="K211" i="13"/>
  <c r="K210" i="13"/>
  <c r="K209" i="13"/>
  <c r="K208" i="13"/>
  <c r="K203" i="13"/>
  <c r="K202" i="13"/>
  <c r="K201" i="13"/>
  <c r="K200" i="13"/>
  <c r="K199" i="13"/>
  <c r="K194" i="13"/>
  <c r="K193" i="13"/>
  <c r="K192" i="13"/>
  <c r="K191" i="13"/>
  <c r="K190" i="13"/>
  <c r="K185" i="13"/>
  <c r="K184" i="13"/>
  <c r="K183" i="13"/>
  <c r="K182" i="13"/>
  <c r="K181" i="13"/>
  <c r="K176" i="13"/>
  <c r="K175" i="13"/>
  <c r="K174" i="13"/>
  <c r="K173" i="13"/>
  <c r="K172" i="13"/>
  <c r="K167" i="13"/>
  <c r="K166" i="13"/>
  <c r="K165" i="13"/>
  <c r="K164" i="13"/>
  <c r="K163" i="13"/>
  <c r="K158" i="13"/>
  <c r="K157" i="13"/>
  <c r="K156" i="13"/>
  <c r="K155" i="13"/>
  <c r="K154" i="13"/>
  <c r="K149" i="13"/>
  <c r="K148" i="13"/>
  <c r="K147" i="13"/>
  <c r="K146" i="13"/>
  <c r="K145" i="13"/>
  <c r="K140" i="13"/>
  <c r="K139" i="13"/>
  <c r="K138" i="13"/>
  <c r="K137" i="13"/>
  <c r="K136" i="13"/>
  <c r="K131" i="13"/>
  <c r="K130" i="13"/>
  <c r="K129" i="13"/>
  <c r="K128" i="13"/>
  <c r="K127" i="13"/>
  <c r="K122" i="13"/>
  <c r="K121" i="13"/>
  <c r="K120" i="13"/>
  <c r="K119" i="13"/>
  <c r="K118" i="13"/>
  <c r="K113" i="13"/>
  <c r="K112" i="13"/>
  <c r="K111" i="13"/>
  <c r="K110" i="13"/>
  <c r="K109" i="13"/>
  <c r="K104" i="13"/>
  <c r="K103" i="13"/>
  <c r="K102" i="13"/>
  <c r="K101" i="13"/>
  <c r="K100" i="13"/>
  <c r="K95" i="13"/>
  <c r="K94" i="13"/>
  <c r="K93" i="13"/>
  <c r="K92" i="13"/>
  <c r="K91" i="13"/>
  <c r="K86" i="13"/>
  <c r="K85" i="13"/>
  <c r="K84" i="13"/>
  <c r="K83" i="13"/>
  <c r="K82" i="13"/>
  <c r="K76" i="13"/>
  <c r="K75" i="13"/>
  <c r="K74" i="13"/>
  <c r="K73" i="13"/>
  <c r="K72" i="13"/>
  <c r="K67" i="13"/>
  <c r="K66" i="13"/>
  <c r="K65" i="13"/>
  <c r="K64" i="13"/>
  <c r="K63" i="13"/>
  <c r="K58" i="13"/>
  <c r="K57" i="13"/>
  <c r="K56" i="13"/>
  <c r="K55" i="13"/>
  <c r="K54" i="13"/>
  <c r="K49" i="13"/>
  <c r="K48" i="13"/>
  <c r="K47" i="13"/>
  <c r="K46" i="13"/>
  <c r="K45" i="13"/>
  <c r="K40" i="13"/>
  <c r="K39" i="13"/>
  <c r="K38" i="13"/>
  <c r="K37" i="13"/>
  <c r="K36" i="13"/>
  <c r="K30" i="13"/>
  <c r="K29" i="13"/>
  <c r="K28" i="13"/>
  <c r="K27" i="13"/>
  <c r="K26" i="13"/>
  <c r="K21" i="13"/>
  <c r="K18" i="13"/>
  <c r="K17" i="13"/>
  <c r="K11" i="13"/>
  <c r="K10" i="13"/>
  <c r="K9" i="13"/>
  <c r="K8" i="13"/>
  <c r="K7" i="13"/>
  <c r="E1331" i="13"/>
  <c r="E1330" i="13"/>
  <c r="E1329" i="13"/>
  <c r="E1328" i="13"/>
  <c r="E1327" i="13"/>
  <c r="E1321" i="13"/>
  <c r="E1320" i="13"/>
  <c r="E1319" i="13"/>
  <c r="E1318" i="13"/>
  <c r="E1317" i="13"/>
  <c r="E1312" i="13"/>
  <c r="E1311" i="13"/>
  <c r="E1310" i="13"/>
  <c r="E1309" i="13"/>
  <c r="E1308" i="13"/>
  <c r="E1303" i="13"/>
  <c r="E1302" i="13"/>
  <c r="E1301" i="13"/>
  <c r="E1300" i="13"/>
  <c r="E1299" i="13"/>
  <c r="E1294" i="13"/>
  <c r="E1293" i="13"/>
  <c r="E1292" i="13"/>
  <c r="E1291" i="13"/>
  <c r="E1290" i="13"/>
  <c r="E1285" i="13"/>
  <c r="E1284" i="13"/>
  <c r="E1283" i="13"/>
  <c r="E1282" i="13"/>
  <c r="E1281" i="13"/>
  <c r="E1276" i="13"/>
  <c r="E1275" i="13"/>
  <c r="E1274" i="13"/>
  <c r="E1273" i="13"/>
  <c r="E1272" i="13"/>
  <c r="E1267" i="13"/>
  <c r="E1266" i="13"/>
  <c r="E1265" i="13"/>
  <c r="E1264" i="13"/>
  <c r="E1263" i="13"/>
  <c r="E1258" i="13"/>
  <c r="E1257" i="13"/>
  <c r="E1256" i="13"/>
  <c r="E1255" i="13"/>
  <c r="E1254" i="13"/>
  <c r="E1249" i="13"/>
  <c r="E1248" i="13"/>
  <c r="E1247" i="13"/>
  <c r="E1246" i="13"/>
  <c r="E1245" i="13"/>
  <c r="E1240" i="13"/>
  <c r="E1239" i="13"/>
  <c r="E1238" i="13"/>
  <c r="E1237" i="13"/>
  <c r="E1236" i="13"/>
  <c r="E1231" i="13"/>
  <c r="E1230" i="13"/>
  <c r="E1229" i="13"/>
  <c r="E1228" i="13"/>
  <c r="E1227" i="13"/>
  <c r="E1222" i="13"/>
  <c r="E1221" i="13"/>
  <c r="E1220" i="13"/>
  <c r="E1219" i="13"/>
  <c r="E1218" i="13"/>
  <c r="E1213" i="13"/>
  <c r="E1212" i="13"/>
  <c r="E1211" i="13"/>
  <c r="E1210" i="13"/>
  <c r="E1209" i="13"/>
  <c r="E1203" i="13"/>
  <c r="E1202" i="13"/>
  <c r="E1201" i="13"/>
  <c r="E1200" i="13"/>
  <c r="E1199" i="13"/>
  <c r="E1194" i="13"/>
  <c r="E1193" i="13"/>
  <c r="E1192" i="13"/>
  <c r="E1191" i="13"/>
  <c r="E1190" i="13"/>
  <c r="E1184" i="13"/>
  <c r="E1183" i="13"/>
  <c r="E1182" i="13"/>
  <c r="E1181" i="13"/>
  <c r="E1180" i="13"/>
  <c r="E1175" i="13"/>
  <c r="E1174" i="13"/>
  <c r="E1173" i="13"/>
  <c r="E1172" i="13"/>
  <c r="E1171" i="13"/>
  <c r="E1166" i="13"/>
  <c r="E1165" i="13"/>
  <c r="E1164" i="13"/>
  <c r="E1163" i="13"/>
  <c r="E1162" i="13"/>
  <c r="E1157" i="13"/>
  <c r="E1156" i="13"/>
  <c r="E1155" i="13"/>
  <c r="E1154" i="13"/>
  <c r="E1153" i="13"/>
  <c r="E1148" i="13"/>
  <c r="E1147" i="13"/>
  <c r="E1146" i="13"/>
  <c r="E1145" i="13"/>
  <c r="E1144" i="13"/>
  <c r="E1139" i="13"/>
  <c r="E1138" i="13"/>
  <c r="E1137" i="13"/>
  <c r="E1136" i="13"/>
  <c r="E1135" i="13"/>
  <c r="E1130" i="13"/>
  <c r="E1129" i="13"/>
  <c r="E1128" i="13"/>
  <c r="E1127" i="13"/>
  <c r="E1126" i="13"/>
  <c r="E1121" i="13"/>
  <c r="E1120" i="13"/>
  <c r="E1119" i="13"/>
  <c r="E1118" i="13"/>
  <c r="E1117" i="13"/>
  <c r="K124" i="13" l="1"/>
  <c r="K377" i="13"/>
  <c r="K576" i="13"/>
  <c r="K612" i="13"/>
  <c r="K648" i="13"/>
  <c r="K650" i="13" s="1"/>
  <c r="K741" i="13"/>
  <c r="E1296" i="13"/>
  <c r="E1305" i="13"/>
  <c r="E1314" i="13"/>
  <c r="E1323" i="13"/>
  <c r="E1333" i="13"/>
  <c r="K23" i="13"/>
  <c r="K32" i="13"/>
  <c r="K51" i="13"/>
  <c r="K60" i="13"/>
  <c r="K69" i="13"/>
  <c r="K78" i="13"/>
  <c r="K88" i="13"/>
  <c r="K97" i="13"/>
  <c r="K106" i="13"/>
  <c r="K115" i="13"/>
  <c r="K133" i="13"/>
  <c r="K142" i="13"/>
  <c r="K151" i="13"/>
  <c r="K160" i="13"/>
  <c r="K169" i="13"/>
  <c r="K178" i="13"/>
  <c r="K187" i="13"/>
  <c r="K196" i="13"/>
  <c r="K205" i="13"/>
  <c r="K214" i="13"/>
  <c r="K223" i="13"/>
  <c r="K232" i="13"/>
  <c r="K241" i="13"/>
  <c r="K251" i="13"/>
  <c r="K260" i="13"/>
  <c r="K269" i="13"/>
  <c r="K278" i="13"/>
  <c r="K287" i="13"/>
  <c r="K296" i="13"/>
  <c r="K305" i="13"/>
  <c r="K314" i="13"/>
  <c r="K323" i="13"/>
  <c r="K332" i="13"/>
  <c r="K341" i="13"/>
  <c r="K350" i="13"/>
  <c r="K359" i="13"/>
  <c r="K368" i="13"/>
  <c r="K386" i="13"/>
  <c r="K395" i="13"/>
  <c r="K404" i="13"/>
  <c r="K413" i="13"/>
  <c r="K422" i="13"/>
  <c r="K431" i="13"/>
  <c r="K440" i="13"/>
  <c r="K449" i="13"/>
  <c r="K458" i="13"/>
  <c r="K467" i="13"/>
  <c r="K476" i="13"/>
  <c r="K485" i="13"/>
  <c r="K494" i="13"/>
  <c r="K503" i="13"/>
  <c r="K512" i="13"/>
  <c r="K521" i="13"/>
  <c r="K530" i="13"/>
  <c r="K539" i="13"/>
  <c r="K549" i="13"/>
  <c r="K558" i="13"/>
  <c r="K567" i="13"/>
  <c r="K585" i="13"/>
  <c r="K594" i="13"/>
  <c r="K603" i="13"/>
  <c r="K621" i="13"/>
  <c r="K630" i="13"/>
  <c r="K639" i="13"/>
  <c r="K659" i="13"/>
  <c r="K669" i="13"/>
  <c r="K678" i="13"/>
  <c r="K687" i="13"/>
  <c r="K696" i="13"/>
  <c r="K705" i="13"/>
  <c r="K714" i="13"/>
  <c r="K723" i="13"/>
  <c r="K732" i="13"/>
  <c r="K750" i="13"/>
  <c r="K759" i="13"/>
  <c r="K768" i="13"/>
  <c r="K777" i="13"/>
  <c r="K786" i="13"/>
  <c r="K795" i="13"/>
  <c r="K804" i="13"/>
  <c r="K813" i="13"/>
  <c r="K822" i="13"/>
  <c r="K831" i="13"/>
  <c r="K840" i="13"/>
  <c r="K849" i="13"/>
  <c r="K858" i="13"/>
  <c r="K876" i="13"/>
  <c r="K885" i="13"/>
  <c r="K894" i="13"/>
  <c r="K903" i="13"/>
  <c r="K912" i="13"/>
  <c r="K922" i="13"/>
  <c r="K931" i="13"/>
  <c r="K941" i="13"/>
  <c r="K950" i="13"/>
  <c r="K959" i="13"/>
  <c r="K968" i="13"/>
  <c r="K977" i="13"/>
  <c r="K986" i="13"/>
  <c r="K996" i="13"/>
  <c r="K1005" i="13"/>
  <c r="K1014" i="13"/>
  <c r="K1023" i="13"/>
  <c r="K1041" i="13"/>
  <c r="K1050" i="13"/>
  <c r="K1060" i="13"/>
  <c r="K1069" i="13"/>
  <c r="K1078" i="13"/>
  <c r="K1087" i="13"/>
  <c r="K1096" i="13"/>
  <c r="K1105" i="13"/>
  <c r="K1114" i="13"/>
  <c r="K1123" i="13"/>
  <c r="K1132" i="13"/>
  <c r="K1141" i="13"/>
  <c r="K1150" i="13"/>
  <c r="K1159" i="13"/>
  <c r="K1168" i="13"/>
  <c r="K1177" i="13"/>
  <c r="K1186" i="13"/>
  <c r="K1196" i="13"/>
  <c r="K1205" i="13"/>
  <c r="K1215" i="13"/>
  <c r="K1224" i="13"/>
  <c r="K1233" i="13"/>
  <c r="K1242" i="13"/>
  <c r="K1251" i="13"/>
  <c r="K1260" i="13"/>
  <c r="K1269" i="13"/>
  <c r="K1278" i="13"/>
  <c r="K1287" i="13"/>
  <c r="K1296" i="13"/>
  <c r="K1305" i="13"/>
  <c r="K1314" i="13"/>
  <c r="K1323" i="13"/>
  <c r="K1333" i="13"/>
  <c r="K42" i="13"/>
  <c r="E1123" i="13"/>
  <c r="E1132" i="13"/>
  <c r="E1141" i="13"/>
  <c r="E1150" i="13"/>
  <c r="E1159" i="13"/>
  <c r="E1168" i="13"/>
  <c r="E1177" i="13"/>
  <c r="E1186" i="13"/>
  <c r="E1196" i="13"/>
  <c r="E1205" i="13"/>
  <c r="E1215" i="13"/>
  <c r="E1224" i="13"/>
  <c r="E1233" i="13"/>
  <c r="E1242" i="13"/>
  <c r="E1251" i="13"/>
  <c r="E1260" i="13"/>
  <c r="E1269" i="13"/>
  <c r="E1278" i="13"/>
  <c r="E1287" i="13"/>
  <c r="K13" i="13"/>
  <c r="E1112" i="13"/>
  <c r="E1111" i="13"/>
  <c r="E1110" i="13"/>
  <c r="E1109" i="13"/>
  <c r="E1108" i="13"/>
  <c r="E1103" i="13"/>
  <c r="E1102" i="13"/>
  <c r="E1101" i="13"/>
  <c r="E1100" i="13"/>
  <c r="E1099" i="13"/>
  <c r="E1094" i="13"/>
  <c r="E1093" i="13"/>
  <c r="E1092" i="13"/>
  <c r="E1091" i="13"/>
  <c r="E1090" i="13"/>
  <c r="E1085" i="13"/>
  <c r="E1084" i="13"/>
  <c r="E1083" i="13"/>
  <c r="E1082" i="13"/>
  <c r="E1081" i="13"/>
  <c r="E1076" i="13"/>
  <c r="E1075" i="13"/>
  <c r="E1074" i="13"/>
  <c r="E1073" i="13"/>
  <c r="E1072" i="13"/>
  <c r="E1067" i="13"/>
  <c r="E1066" i="13"/>
  <c r="E1065" i="13"/>
  <c r="E1064" i="13"/>
  <c r="E1063" i="13"/>
  <c r="E1058" i="13"/>
  <c r="E1057" i="13"/>
  <c r="E1056" i="13"/>
  <c r="E1055" i="13"/>
  <c r="E1054" i="13"/>
  <c r="E1048" i="13"/>
  <c r="E1047" i="13"/>
  <c r="E1046" i="13"/>
  <c r="E1045" i="13"/>
  <c r="E1044" i="13"/>
  <c r="E1039" i="13"/>
  <c r="E1038" i="13"/>
  <c r="E1037" i="13"/>
  <c r="E1036" i="13"/>
  <c r="E1035" i="13"/>
  <c r="E1030" i="13"/>
  <c r="E1029" i="13"/>
  <c r="E1028" i="13"/>
  <c r="E1027" i="13"/>
  <c r="E1026" i="13"/>
  <c r="E1021" i="13"/>
  <c r="E1020" i="13"/>
  <c r="E1019" i="13"/>
  <c r="E1018" i="13"/>
  <c r="E1017" i="13"/>
  <c r="E1012" i="13"/>
  <c r="E1011" i="13"/>
  <c r="E1010" i="13"/>
  <c r="E1009" i="13"/>
  <c r="E1008" i="13"/>
  <c r="E1003" i="13"/>
  <c r="E1002" i="13"/>
  <c r="E1001" i="13"/>
  <c r="E1000" i="13"/>
  <c r="E999" i="13"/>
  <c r="E994" i="13"/>
  <c r="E993" i="13"/>
  <c r="E992" i="13"/>
  <c r="E991" i="13"/>
  <c r="E990" i="13"/>
  <c r="E984" i="13"/>
  <c r="E983" i="13"/>
  <c r="E982" i="13"/>
  <c r="E981" i="13"/>
  <c r="E980" i="13"/>
  <c r="E975" i="13"/>
  <c r="E974" i="13"/>
  <c r="E973" i="13"/>
  <c r="E972" i="13"/>
  <c r="E971" i="13"/>
  <c r="E966" i="13"/>
  <c r="E965" i="13"/>
  <c r="E964" i="13"/>
  <c r="E963" i="13"/>
  <c r="E962" i="13"/>
  <c r="E929" i="13"/>
  <c r="E928" i="13"/>
  <c r="E927" i="13"/>
  <c r="E926" i="13"/>
  <c r="E925" i="13"/>
  <c r="E957" i="13"/>
  <c r="E956" i="13"/>
  <c r="E955" i="13"/>
  <c r="E954" i="13"/>
  <c r="E953" i="13"/>
  <c r="E948" i="13"/>
  <c r="E947" i="13"/>
  <c r="E946" i="13"/>
  <c r="E945" i="13"/>
  <c r="E944" i="13"/>
  <c r="E939" i="13"/>
  <c r="E938" i="13"/>
  <c r="E937" i="13"/>
  <c r="E936" i="13"/>
  <c r="E935" i="13"/>
  <c r="E920" i="13"/>
  <c r="E919" i="13"/>
  <c r="E918" i="13"/>
  <c r="E917" i="13"/>
  <c r="E916" i="13"/>
  <c r="E910" i="13"/>
  <c r="E909" i="13"/>
  <c r="E908" i="13"/>
  <c r="E907" i="13"/>
  <c r="E906" i="13"/>
  <c r="E901" i="13"/>
  <c r="E900" i="13"/>
  <c r="E899" i="13"/>
  <c r="E898" i="13"/>
  <c r="E897" i="13"/>
  <c r="E892" i="13"/>
  <c r="E891" i="13"/>
  <c r="E890" i="13"/>
  <c r="E889" i="13"/>
  <c r="E888" i="13"/>
  <c r="E883" i="13"/>
  <c r="E882" i="13"/>
  <c r="E881" i="13"/>
  <c r="E880" i="13"/>
  <c r="E879" i="13"/>
  <c r="E874" i="13"/>
  <c r="E873" i="13"/>
  <c r="E872" i="13"/>
  <c r="E871" i="13"/>
  <c r="E870" i="13"/>
  <c r="E865" i="13"/>
  <c r="E864" i="13"/>
  <c r="E863" i="13"/>
  <c r="E862" i="13"/>
  <c r="E861" i="13"/>
  <c r="E856" i="13"/>
  <c r="E855" i="13"/>
  <c r="E854" i="13"/>
  <c r="E853" i="13"/>
  <c r="E852" i="13"/>
  <c r="E847" i="13"/>
  <c r="E846" i="13"/>
  <c r="E845" i="13"/>
  <c r="E844" i="13"/>
  <c r="E843" i="13"/>
  <c r="E838" i="13"/>
  <c r="E837" i="13"/>
  <c r="E836" i="13"/>
  <c r="E835" i="13"/>
  <c r="E834" i="13"/>
  <c r="E968" i="13" l="1"/>
  <c r="E977" i="13"/>
  <c r="E986" i="13"/>
  <c r="E996" i="13"/>
  <c r="E1005" i="13"/>
  <c r="E1014" i="13"/>
  <c r="E1023" i="13"/>
  <c r="E1032" i="13"/>
  <c r="E1041" i="13"/>
  <c r="E1050" i="13"/>
  <c r="E1060" i="13"/>
  <c r="E1069" i="13"/>
  <c r="E1078" i="13"/>
  <c r="E1087" i="13"/>
  <c r="E1096" i="13"/>
  <c r="E1105" i="13"/>
  <c r="E1114" i="13"/>
  <c r="E840" i="13"/>
  <c r="E849" i="13"/>
  <c r="E858" i="13"/>
  <c r="E867" i="13"/>
  <c r="E876" i="13"/>
  <c r="E885" i="13"/>
  <c r="E894" i="13"/>
  <c r="E903" i="13"/>
  <c r="E912" i="13"/>
  <c r="E922" i="13"/>
  <c r="E941" i="13"/>
  <c r="E950" i="13"/>
  <c r="E959" i="13"/>
  <c r="E931" i="13"/>
  <c r="E829" i="13" l="1"/>
  <c r="E828" i="13"/>
  <c r="E827" i="13"/>
  <c r="E826" i="13"/>
  <c r="E825" i="13"/>
  <c r="E820" i="13"/>
  <c r="E819" i="13"/>
  <c r="E818" i="13"/>
  <c r="E817" i="13"/>
  <c r="E816" i="13"/>
  <c r="E811" i="13"/>
  <c r="E810" i="13"/>
  <c r="E802" i="13"/>
  <c r="E801" i="13"/>
  <c r="E800" i="13"/>
  <c r="E799" i="13"/>
  <c r="E798" i="13"/>
  <c r="E793" i="13"/>
  <c r="E792" i="13"/>
  <c r="E791" i="13"/>
  <c r="E790" i="13"/>
  <c r="E789" i="13"/>
  <c r="E784" i="13"/>
  <c r="E783" i="13"/>
  <c r="E782" i="13"/>
  <c r="E781" i="13"/>
  <c r="E780" i="13"/>
  <c r="E775" i="13"/>
  <c r="E774" i="13"/>
  <c r="E773" i="13"/>
  <c r="E772" i="13"/>
  <c r="E771" i="13"/>
  <c r="E766" i="13"/>
  <c r="E765" i="13"/>
  <c r="E764" i="13"/>
  <c r="E763" i="13"/>
  <c r="E762" i="13"/>
  <c r="E757" i="13"/>
  <c r="E756" i="13"/>
  <c r="E755" i="13"/>
  <c r="E754" i="13"/>
  <c r="E753" i="13"/>
  <c r="E748" i="13"/>
  <c r="E747" i="13"/>
  <c r="E746" i="13"/>
  <c r="E745" i="13"/>
  <c r="E744" i="13"/>
  <c r="E739" i="13"/>
  <c r="E738" i="13"/>
  <c r="E737" i="13"/>
  <c r="E736" i="13"/>
  <c r="E735" i="13"/>
  <c r="E730" i="13"/>
  <c r="E729" i="13"/>
  <c r="E728" i="13"/>
  <c r="E727" i="13"/>
  <c r="E726" i="13"/>
  <c r="E721" i="13"/>
  <c r="E720" i="13"/>
  <c r="E719" i="13"/>
  <c r="E718" i="13"/>
  <c r="E717" i="13"/>
  <c r="E712" i="13"/>
  <c r="E711" i="13"/>
  <c r="E710" i="13"/>
  <c r="E709" i="13"/>
  <c r="E708" i="13"/>
  <c r="E703" i="13"/>
  <c r="E702" i="13"/>
  <c r="E701" i="13"/>
  <c r="E700" i="13"/>
  <c r="E699" i="13"/>
  <c r="E694" i="13"/>
  <c r="E693" i="13"/>
  <c r="E692" i="13"/>
  <c r="E691" i="13"/>
  <c r="E690" i="13"/>
  <c r="E685" i="13"/>
  <c r="E684" i="13"/>
  <c r="E683" i="13"/>
  <c r="E682" i="13"/>
  <c r="E681" i="13"/>
  <c r="E676" i="13"/>
  <c r="E675" i="13"/>
  <c r="E674" i="13"/>
  <c r="E673" i="13"/>
  <c r="E672" i="13"/>
  <c r="E667" i="13"/>
  <c r="E666" i="13"/>
  <c r="E665" i="13"/>
  <c r="E664" i="13"/>
  <c r="E663" i="13"/>
  <c r="E657" i="13"/>
  <c r="E656" i="13"/>
  <c r="E655" i="13"/>
  <c r="E654" i="13"/>
  <c r="E653" i="13"/>
  <c r="E647" i="13"/>
  <c r="E646" i="13"/>
  <c r="E645" i="13"/>
  <c r="E644" i="13"/>
  <c r="E643" i="13"/>
  <c r="E637" i="13"/>
  <c r="E636" i="13"/>
  <c r="E635" i="13"/>
  <c r="E634" i="13"/>
  <c r="E633" i="13"/>
  <c r="E628" i="13"/>
  <c r="E627" i="13"/>
  <c r="E626" i="13"/>
  <c r="E625" i="13"/>
  <c r="E624" i="13"/>
  <c r="E619" i="13"/>
  <c r="E618" i="13"/>
  <c r="E617" i="13"/>
  <c r="E616" i="13"/>
  <c r="E615" i="13"/>
  <c r="E610" i="13"/>
  <c r="E609" i="13"/>
  <c r="E608" i="13"/>
  <c r="E607" i="13"/>
  <c r="E606" i="13"/>
  <c r="E612" i="13" s="1"/>
  <c r="E601" i="13"/>
  <c r="E600" i="13"/>
  <c r="E599" i="13"/>
  <c r="E598" i="13"/>
  <c r="E597" i="13"/>
  <c r="E592" i="13"/>
  <c r="E591" i="13"/>
  <c r="E590" i="13"/>
  <c r="E589" i="13"/>
  <c r="E588" i="13"/>
  <c r="E583" i="13"/>
  <c r="E582" i="13"/>
  <c r="E581" i="13"/>
  <c r="E580" i="13"/>
  <c r="E579" i="13"/>
  <c r="E574" i="13"/>
  <c r="E573" i="13"/>
  <c r="E572" i="13"/>
  <c r="E571" i="13"/>
  <c r="E570" i="13"/>
  <c r="E565" i="13"/>
  <c r="E564" i="13"/>
  <c r="E563" i="13"/>
  <c r="E562" i="13"/>
  <c r="E561" i="13"/>
  <c r="E556" i="13"/>
  <c r="E555" i="13"/>
  <c r="E554" i="13"/>
  <c r="E553" i="13"/>
  <c r="E552" i="13"/>
  <c r="E547" i="13"/>
  <c r="E546" i="13"/>
  <c r="E545" i="13"/>
  <c r="E544" i="13"/>
  <c r="E543" i="13"/>
  <c r="E537" i="13"/>
  <c r="E536" i="13"/>
  <c r="E535" i="13"/>
  <c r="E534" i="13"/>
  <c r="E533" i="13"/>
  <c r="E528" i="13"/>
  <c r="E527" i="13"/>
  <c r="E526" i="13"/>
  <c r="E525" i="13"/>
  <c r="E524" i="13"/>
  <c r="E519" i="13"/>
  <c r="E518" i="13"/>
  <c r="E517" i="13"/>
  <c r="E516" i="13"/>
  <c r="E515" i="13"/>
  <c r="E510" i="13"/>
  <c r="E509" i="13"/>
  <c r="E508" i="13"/>
  <c r="E507" i="13"/>
  <c r="E506" i="13"/>
  <c r="E501" i="13"/>
  <c r="E500" i="13"/>
  <c r="E499" i="13"/>
  <c r="E498" i="13"/>
  <c r="E497" i="13"/>
  <c r="E492" i="13"/>
  <c r="E491" i="13"/>
  <c r="E490" i="13"/>
  <c r="E489" i="13"/>
  <c r="E488" i="13"/>
  <c r="E483" i="13"/>
  <c r="E482" i="13"/>
  <c r="E481" i="13"/>
  <c r="E480" i="13"/>
  <c r="E479" i="13"/>
  <c r="E474" i="13"/>
  <c r="E473" i="13"/>
  <c r="E472" i="13"/>
  <c r="E471" i="13"/>
  <c r="E470" i="13"/>
  <c r="E465" i="13"/>
  <c r="E464" i="13"/>
  <c r="E463" i="13"/>
  <c r="E462" i="13"/>
  <c r="E461" i="13"/>
  <c r="E456" i="13"/>
  <c r="E455" i="13"/>
  <c r="E454" i="13"/>
  <c r="E453" i="13"/>
  <c r="E452" i="13"/>
  <c r="E447" i="13"/>
  <c r="E446" i="13"/>
  <c r="E445" i="13"/>
  <c r="E444" i="13"/>
  <c r="E443" i="13"/>
  <c r="E768" i="13" l="1"/>
  <c r="E705" i="13"/>
  <c r="E723" i="13"/>
  <c r="E741" i="13"/>
  <c r="E449" i="13"/>
  <c r="E458" i="13"/>
  <c r="E476" i="13"/>
  <c r="E485" i="13"/>
  <c r="E494" i="13"/>
  <c r="E503" i="13"/>
  <c r="E512" i="13"/>
  <c r="E521" i="13"/>
  <c r="E530" i="13"/>
  <c r="E539" i="13"/>
  <c r="E549" i="13"/>
  <c r="E558" i="13"/>
  <c r="E567" i="13"/>
  <c r="E576" i="13"/>
  <c r="E585" i="13"/>
  <c r="E594" i="13"/>
  <c r="E603" i="13"/>
  <c r="E621" i="13"/>
  <c r="E630" i="13"/>
  <c r="E639" i="13"/>
  <c r="E649" i="13"/>
  <c r="E659" i="13"/>
  <c r="E669" i="13"/>
  <c r="E678" i="13"/>
  <c r="E687" i="13"/>
  <c r="E696" i="13"/>
  <c r="E777" i="13"/>
  <c r="E786" i="13"/>
  <c r="E714" i="13"/>
  <c r="E732" i="13"/>
  <c r="E750" i="13"/>
  <c r="E759" i="13"/>
  <c r="E795" i="13"/>
  <c r="E804" i="13"/>
  <c r="E813" i="13"/>
  <c r="E822" i="13"/>
  <c r="E831" i="13"/>
  <c r="E467" i="13"/>
  <c r="E438" i="13" l="1"/>
  <c r="E437" i="13"/>
  <c r="E436" i="13"/>
  <c r="E435" i="13"/>
  <c r="E434" i="13"/>
  <c r="E429" i="13"/>
  <c r="E428" i="13"/>
  <c r="E427" i="13"/>
  <c r="E426" i="13"/>
  <c r="E425" i="13"/>
  <c r="E420" i="13"/>
  <c r="E419" i="13"/>
  <c r="E418" i="13"/>
  <c r="E417" i="13"/>
  <c r="E416" i="13"/>
  <c r="E411" i="13"/>
  <c r="E410" i="13"/>
  <c r="E409" i="13"/>
  <c r="E408" i="13"/>
  <c r="E407" i="13"/>
  <c r="E402" i="13"/>
  <c r="E401" i="13"/>
  <c r="E400" i="13"/>
  <c r="E399" i="13"/>
  <c r="E398" i="13"/>
  <c r="E393" i="13"/>
  <c r="E392" i="13"/>
  <c r="E391" i="13"/>
  <c r="E390" i="13"/>
  <c r="E389" i="13"/>
  <c r="E395" i="13" l="1"/>
  <c r="E413" i="13"/>
  <c r="E422" i="13"/>
  <c r="E440" i="13"/>
  <c r="E404" i="13"/>
  <c r="E431" i="13"/>
  <c r="E384" i="13"/>
  <c r="E383" i="13"/>
  <c r="E382" i="13"/>
  <c r="E381" i="13"/>
  <c r="E380" i="13"/>
  <c r="E375" i="13"/>
  <c r="E374" i="13"/>
  <c r="E373" i="13"/>
  <c r="E372" i="13"/>
  <c r="E371" i="13"/>
  <c r="E366" i="13"/>
  <c r="E365" i="13"/>
  <c r="E364" i="13"/>
  <c r="E363" i="13"/>
  <c r="E362" i="13"/>
  <c r="E357" i="13"/>
  <c r="E356" i="13"/>
  <c r="E355" i="13"/>
  <c r="E354" i="13"/>
  <c r="E353" i="13"/>
  <c r="E348" i="13"/>
  <c r="E347" i="13"/>
  <c r="E346" i="13"/>
  <c r="E345" i="13"/>
  <c r="E344" i="13"/>
  <c r="E339" i="13"/>
  <c r="E338" i="13"/>
  <c r="E337" i="13"/>
  <c r="E336" i="13"/>
  <c r="E335" i="13"/>
  <c r="E330" i="13"/>
  <c r="E329" i="13"/>
  <c r="E328" i="13"/>
  <c r="E327" i="13"/>
  <c r="E326" i="13"/>
  <c r="E321" i="13"/>
  <c r="E320" i="13"/>
  <c r="E319" i="13"/>
  <c r="E318" i="13"/>
  <c r="E317" i="13"/>
  <c r="E312" i="13"/>
  <c r="E311" i="13"/>
  <c r="E310" i="13"/>
  <c r="E309" i="13"/>
  <c r="E308" i="13"/>
  <c r="E303" i="13"/>
  <c r="E302" i="13"/>
  <c r="E301" i="13"/>
  <c r="E300" i="13"/>
  <c r="E299" i="13"/>
  <c r="E294" i="13"/>
  <c r="E293" i="13"/>
  <c r="E292" i="13"/>
  <c r="E291" i="13"/>
  <c r="E290" i="13"/>
  <c r="E285" i="13"/>
  <c r="E284" i="13"/>
  <c r="E283" i="13"/>
  <c r="E282" i="13"/>
  <c r="E281" i="13"/>
  <c r="E276" i="13"/>
  <c r="E275" i="13"/>
  <c r="E274" i="13"/>
  <c r="E273" i="13"/>
  <c r="E272" i="13"/>
  <c r="E267" i="13"/>
  <c r="E266" i="13"/>
  <c r="E265" i="13"/>
  <c r="E264" i="13"/>
  <c r="E263" i="13"/>
  <c r="E258" i="13"/>
  <c r="E257" i="13"/>
  <c r="E256" i="13"/>
  <c r="E255" i="13"/>
  <c r="E254" i="13"/>
  <c r="E249" i="13"/>
  <c r="E248" i="13"/>
  <c r="E247" i="13"/>
  <c r="E246" i="13"/>
  <c r="E245" i="13"/>
  <c r="E239" i="13"/>
  <c r="E238" i="13"/>
  <c r="E237" i="13"/>
  <c r="E236" i="13"/>
  <c r="E235" i="13"/>
  <c r="E230" i="13"/>
  <c r="E229" i="13"/>
  <c r="E228" i="13"/>
  <c r="E227" i="13"/>
  <c r="E226" i="13"/>
  <c r="E221" i="13"/>
  <c r="E220" i="13"/>
  <c r="E219" i="13"/>
  <c r="E218" i="13"/>
  <c r="E217" i="13"/>
  <c r="E212" i="13"/>
  <c r="E211" i="13"/>
  <c r="E210" i="13"/>
  <c r="E209" i="13"/>
  <c r="E208" i="13"/>
  <c r="E203" i="13"/>
  <c r="E202" i="13"/>
  <c r="E201" i="13"/>
  <c r="E200" i="13"/>
  <c r="E199" i="13"/>
  <c r="E377" i="13" l="1"/>
  <c r="E205" i="13"/>
  <c r="E214" i="13"/>
  <c r="E223" i="13"/>
  <c r="E232" i="13"/>
  <c r="E241" i="13"/>
  <c r="E251" i="13"/>
  <c r="E260" i="13"/>
  <c r="E269" i="13"/>
  <c r="E278" i="13"/>
  <c r="E287" i="13"/>
  <c r="E296" i="13"/>
  <c r="E305" i="13"/>
  <c r="E314" i="13"/>
  <c r="E323" i="13"/>
  <c r="E332" i="13"/>
  <c r="E341" i="13"/>
  <c r="E350" i="13"/>
  <c r="E359" i="13"/>
  <c r="E368" i="13"/>
  <c r="E386" i="13"/>
  <c r="E194" i="13"/>
  <c r="E193" i="13"/>
  <c r="E192" i="13"/>
  <c r="E191" i="13"/>
  <c r="E190" i="13"/>
  <c r="E185" i="13"/>
  <c r="E184" i="13"/>
  <c r="E183" i="13"/>
  <c r="E182" i="13"/>
  <c r="E181" i="13"/>
  <c r="E176" i="13"/>
  <c r="E175" i="13"/>
  <c r="E174" i="13"/>
  <c r="E173" i="13"/>
  <c r="E172" i="13"/>
  <c r="E167" i="13"/>
  <c r="E166" i="13"/>
  <c r="E165" i="13"/>
  <c r="E164" i="13"/>
  <c r="E163" i="13"/>
  <c r="E158" i="13"/>
  <c r="E157" i="13"/>
  <c r="E156" i="13"/>
  <c r="E155" i="13"/>
  <c r="E154" i="13"/>
  <c r="E149" i="13"/>
  <c r="E148" i="13"/>
  <c r="E147" i="13"/>
  <c r="E146" i="13"/>
  <c r="E145" i="13"/>
  <c r="E140" i="13"/>
  <c r="E139" i="13"/>
  <c r="E138" i="13"/>
  <c r="E137" i="13"/>
  <c r="E136" i="13"/>
  <c r="E131" i="13"/>
  <c r="E130" i="13"/>
  <c r="E129" i="13"/>
  <c r="E128" i="13"/>
  <c r="E127" i="13"/>
  <c r="E122" i="13"/>
  <c r="E121" i="13"/>
  <c r="E120" i="13"/>
  <c r="E119" i="13"/>
  <c r="E118" i="13"/>
  <c r="E113" i="13"/>
  <c r="E112" i="13"/>
  <c r="E111" i="13"/>
  <c r="E110" i="13"/>
  <c r="E109" i="13"/>
  <c r="E104" i="13"/>
  <c r="E103" i="13"/>
  <c r="E102" i="13"/>
  <c r="E101" i="13"/>
  <c r="E100" i="13"/>
  <c r="E95" i="13"/>
  <c r="E94" i="13"/>
  <c r="E93" i="13"/>
  <c r="E92" i="13"/>
  <c r="E91" i="13"/>
  <c r="E86" i="13"/>
  <c r="E85" i="13"/>
  <c r="E84" i="13"/>
  <c r="E83" i="13"/>
  <c r="E82" i="13"/>
  <c r="E76" i="13"/>
  <c r="E75" i="13"/>
  <c r="E74" i="13"/>
  <c r="E73" i="13"/>
  <c r="E72" i="13"/>
  <c r="E67" i="13"/>
  <c r="E66" i="13"/>
  <c r="E65" i="13"/>
  <c r="E64" i="13"/>
  <c r="E63" i="13"/>
  <c r="E58" i="13"/>
  <c r="E57" i="13"/>
  <c r="E56" i="13"/>
  <c r="E55" i="13"/>
  <c r="E54" i="13"/>
  <c r="E49" i="13"/>
  <c r="E48" i="13"/>
  <c r="E47" i="13"/>
  <c r="E46" i="13"/>
  <c r="E45" i="13"/>
  <c r="E40" i="13"/>
  <c r="E39" i="13"/>
  <c r="E38" i="13"/>
  <c r="E37" i="13"/>
  <c r="E36" i="13"/>
  <c r="E30" i="13"/>
  <c r="E29" i="13"/>
  <c r="E28" i="13"/>
  <c r="E27" i="13"/>
  <c r="E26" i="13"/>
  <c r="E11" i="13"/>
  <c r="E10" i="13"/>
  <c r="E9" i="13"/>
  <c r="E8" i="13"/>
  <c r="E7" i="13"/>
  <c r="E21" i="13"/>
  <c r="E18" i="13"/>
  <c r="E17" i="13"/>
  <c r="K110" i="12"/>
  <c r="K108" i="12"/>
  <c r="K107" i="12"/>
  <c r="K106" i="12"/>
  <c r="K105" i="12"/>
  <c r="K104" i="12"/>
  <c r="K103" i="12"/>
  <c r="K102" i="12"/>
  <c r="K101" i="12"/>
  <c r="K96" i="12"/>
  <c r="E108" i="12"/>
  <c r="K94" i="12"/>
  <c r="K93" i="12"/>
  <c r="E106" i="12"/>
  <c r="K92" i="12"/>
  <c r="E105" i="12"/>
  <c r="K91" i="12"/>
  <c r="E104" i="12"/>
  <c r="K90" i="12"/>
  <c r="E103" i="12"/>
  <c r="K89" i="12"/>
  <c r="E102" i="12"/>
  <c r="K88" i="12"/>
  <c r="E101" i="12"/>
  <c r="E107" i="12" s="1"/>
  <c r="K87" i="12"/>
  <c r="E96" i="12"/>
  <c r="K82" i="12"/>
  <c r="E94" i="12"/>
  <c r="K80" i="12"/>
  <c r="E93" i="12"/>
  <c r="K79" i="12"/>
  <c r="E92" i="12"/>
  <c r="K78" i="12"/>
  <c r="E91" i="12"/>
  <c r="K77" i="12"/>
  <c r="E90" i="12"/>
  <c r="K76" i="12"/>
  <c r="E89" i="12"/>
  <c r="E95" i="12" s="1"/>
  <c r="E97" i="12" s="1"/>
  <c r="K75" i="12"/>
  <c r="K74" i="12"/>
  <c r="K73" i="12"/>
  <c r="E82" i="12"/>
  <c r="K68" i="12"/>
  <c r="E81" i="12"/>
  <c r="E80" i="12"/>
  <c r="K66" i="12"/>
  <c r="E79" i="12"/>
  <c r="K65" i="12"/>
  <c r="E78" i="12"/>
  <c r="K64" i="12"/>
  <c r="E77" i="12"/>
  <c r="K63" i="12"/>
  <c r="K62" i="12"/>
  <c r="K61" i="12"/>
  <c r="K60" i="12"/>
  <c r="K59" i="12"/>
  <c r="E71" i="12"/>
  <c r="E70" i="12"/>
  <c r="E69" i="12"/>
  <c r="K55" i="12"/>
  <c r="E68" i="12"/>
  <c r="E67" i="12"/>
  <c r="K53" i="12"/>
  <c r="E66" i="12"/>
  <c r="K52" i="12"/>
  <c r="K51" i="12"/>
  <c r="K50" i="12"/>
  <c r="K49" i="12"/>
  <c r="K48" i="12"/>
  <c r="E61" i="12"/>
  <c r="K47" i="12"/>
  <c r="K46" i="12"/>
  <c r="E59" i="12"/>
  <c r="E58" i="12"/>
  <c r="E57" i="12"/>
  <c r="E56" i="12"/>
  <c r="E55" i="12"/>
  <c r="K41" i="12"/>
  <c r="E54" i="12"/>
  <c r="K38" i="12"/>
  <c r="K37" i="12"/>
  <c r="K36" i="12"/>
  <c r="K35" i="12"/>
  <c r="E35" i="12"/>
  <c r="K34" i="12"/>
  <c r="K33" i="12"/>
  <c r="E33" i="12"/>
  <c r="K32" i="12"/>
  <c r="E32" i="12"/>
  <c r="K31" i="12"/>
  <c r="E31" i="12"/>
  <c r="E30" i="12"/>
  <c r="E29" i="12"/>
  <c r="E28" i="12"/>
  <c r="E34" i="12" s="1"/>
  <c r="K27" i="12"/>
  <c r="K25" i="12"/>
  <c r="K24" i="12"/>
  <c r="K23" i="12"/>
  <c r="E23" i="12"/>
  <c r="K22" i="12"/>
  <c r="K21" i="12"/>
  <c r="E21" i="12"/>
  <c r="K20" i="12"/>
  <c r="E20" i="12"/>
  <c r="K19" i="12"/>
  <c r="E19" i="12"/>
  <c r="K18" i="12"/>
  <c r="E18" i="12"/>
  <c r="E17" i="12"/>
  <c r="E16" i="12"/>
  <c r="K14" i="12"/>
  <c r="K12" i="12"/>
  <c r="E12" i="12"/>
  <c r="K11" i="12"/>
  <c r="K10" i="12"/>
  <c r="E10" i="12"/>
  <c r="K9" i="12"/>
  <c r="E9" i="12"/>
  <c r="K8" i="12"/>
  <c r="E8" i="12"/>
  <c r="K7" i="12"/>
  <c r="E7" i="12"/>
  <c r="K6" i="12"/>
  <c r="E6" i="12"/>
  <c r="K5" i="12"/>
  <c r="E5" i="12"/>
  <c r="E11" i="12" s="1"/>
  <c r="K123" i="11"/>
  <c r="K121" i="11"/>
  <c r="K120" i="11"/>
  <c r="K119" i="11"/>
  <c r="K118" i="11"/>
  <c r="K117" i="11"/>
  <c r="K116" i="11"/>
  <c r="K115" i="11"/>
  <c r="K114" i="11"/>
  <c r="K110" i="11"/>
  <c r="K108" i="11"/>
  <c r="K107" i="11"/>
  <c r="E107" i="11"/>
  <c r="K106" i="11"/>
  <c r="E106" i="11"/>
  <c r="K105" i="11"/>
  <c r="E105" i="11"/>
  <c r="K104" i="11"/>
  <c r="E104" i="11"/>
  <c r="K103" i="11"/>
  <c r="E103" i="11"/>
  <c r="K102" i="11"/>
  <c r="E102" i="11"/>
  <c r="E108" i="11" s="1"/>
  <c r="K101" i="11"/>
  <c r="E98" i="11"/>
  <c r="K97" i="11"/>
  <c r="E96" i="11"/>
  <c r="K95" i="11"/>
  <c r="E95" i="11"/>
  <c r="K94" i="11"/>
  <c r="E94" i="11"/>
  <c r="K93" i="11"/>
  <c r="E93" i="11"/>
  <c r="K92" i="11"/>
  <c r="E92" i="11"/>
  <c r="K91" i="11"/>
  <c r="E91" i="11"/>
  <c r="E97" i="11" s="1"/>
  <c r="K90" i="11"/>
  <c r="K89" i="11"/>
  <c r="K88" i="11"/>
  <c r="E87" i="11"/>
  <c r="E85" i="11"/>
  <c r="K84" i="11"/>
  <c r="E84" i="11"/>
  <c r="E83" i="11"/>
  <c r="K82" i="11"/>
  <c r="E82" i="11"/>
  <c r="K81" i="11"/>
  <c r="E81" i="11"/>
  <c r="K80" i="11"/>
  <c r="E80" i="11"/>
  <c r="K79" i="11"/>
  <c r="K78" i="11"/>
  <c r="K77" i="11"/>
  <c r="K76" i="11"/>
  <c r="E76" i="11"/>
  <c r="K75" i="11"/>
  <c r="E74" i="11"/>
  <c r="E73" i="11"/>
  <c r="E72" i="11"/>
  <c r="E71" i="11"/>
  <c r="K70" i="11"/>
  <c r="E70" i="11"/>
  <c r="E69" i="11"/>
  <c r="K68" i="11"/>
  <c r="K67" i="11"/>
  <c r="K66" i="11"/>
  <c r="K65" i="11"/>
  <c r="K64" i="11"/>
  <c r="E64" i="11"/>
  <c r="K63" i="11"/>
  <c r="K62" i="11"/>
  <c r="E62" i="11"/>
  <c r="K61" i="11"/>
  <c r="E61" i="11"/>
  <c r="E60" i="11"/>
  <c r="E59" i="11"/>
  <c r="E58" i="11"/>
  <c r="E57" i="11"/>
  <c r="K56" i="11"/>
  <c r="K54" i="11"/>
  <c r="K53" i="11"/>
  <c r="K52" i="11"/>
  <c r="K51" i="11"/>
  <c r="E51" i="11"/>
  <c r="K50" i="11"/>
  <c r="K49" i="11"/>
  <c r="E49" i="11"/>
  <c r="K48" i="11"/>
  <c r="E48" i="11"/>
  <c r="K47" i="11"/>
  <c r="E47" i="11"/>
  <c r="E46" i="11"/>
  <c r="E45" i="11"/>
  <c r="E44" i="11"/>
  <c r="K42" i="11"/>
  <c r="K40" i="11"/>
  <c r="K39" i="11"/>
  <c r="E39" i="11"/>
  <c r="K38" i="11"/>
  <c r="K37" i="11"/>
  <c r="E37" i="11"/>
  <c r="K36" i="11"/>
  <c r="E36" i="11"/>
  <c r="K35" i="11"/>
  <c r="E35" i="11"/>
  <c r="K34" i="11"/>
  <c r="E34" i="11"/>
  <c r="K33" i="11"/>
  <c r="E33" i="11"/>
  <c r="E32" i="11"/>
  <c r="K29" i="11"/>
  <c r="K27" i="11"/>
  <c r="E27" i="11"/>
  <c r="K26" i="11"/>
  <c r="K25" i="11"/>
  <c r="E25" i="11"/>
  <c r="K24" i="11"/>
  <c r="E24" i="11"/>
  <c r="K23" i="11"/>
  <c r="E23" i="11"/>
  <c r="K22" i="11"/>
  <c r="E22" i="11"/>
  <c r="K21" i="11"/>
  <c r="E21" i="11"/>
  <c r="K20" i="11"/>
  <c r="E20" i="11"/>
  <c r="E26" i="11" s="1"/>
  <c r="K13" i="11"/>
  <c r="K12" i="11"/>
  <c r="E12" i="11"/>
  <c r="K11" i="11"/>
  <c r="K10" i="11"/>
  <c r="E10" i="11"/>
  <c r="K9" i="11"/>
  <c r="E9" i="11"/>
  <c r="K8" i="11"/>
  <c r="E8" i="11"/>
  <c r="K7" i="11"/>
  <c r="E7" i="11"/>
  <c r="K6" i="11"/>
  <c r="E6" i="11"/>
  <c r="E5" i="11"/>
  <c r="K137" i="10"/>
  <c r="K135" i="10"/>
  <c r="K134" i="10"/>
  <c r="K133" i="10"/>
  <c r="K132" i="10"/>
  <c r="K131" i="10"/>
  <c r="K130" i="10"/>
  <c r="K129" i="10"/>
  <c r="K128" i="10"/>
  <c r="K123" i="10"/>
  <c r="K121" i="10"/>
  <c r="K120" i="10"/>
  <c r="E120" i="10"/>
  <c r="K119" i="10"/>
  <c r="K118" i="10"/>
  <c r="E118" i="10"/>
  <c r="K117" i="10"/>
  <c r="E117" i="10"/>
  <c r="K116" i="10"/>
  <c r="E116" i="10"/>
  <c r="K115" i="10"/>
  <c r="E115" i="10"/>
  <c r="K114" i="10"/>
  <c r="E114" i="10"/>
  <c r="E113" i="10"/>
  <c r="K110" i="10"/>
  <c r="E109" i="10"/>
  <c r="K108" i="10"/>
  <c r="K107" i="10"/>
  <c r="E107" i="10"/>
  <c r="K106" i="10"/>
  <c r="E106" i="10"/>
  <c r="K105" i="10"/>
  <c r="E105" i="10"/>
  <c r="K104" i="10"/>
  <c r="E104" i="10"/>
  <c r="K103" i="10"/>
  <c r="E103" i="10"/>
  <c r="K102" i="10"/>
  <c r="E102" i="10"/>
  <c r="E108" i="10" s="1"/>
  <c r="K101" i="10"/>
  <c r="E98" i="10"/>
  <c r="K97" i="10"/>
  <c r="E96" i="10"/>
  <c r="K95" i="10"/>
  <c r="E95" i="10"/>
  <c r="K94" i="10"/>
  <c r="E94" i="10"/>
  <c r="K93" i="10"/>
  <c r="E93" i="10"/>
  <c r="K92" i="10"/>
  <c r="E92" i="10"/>
  <c r="K91" i="10"/>
  <c r="E91" i="10"/>
  <c r="E97" i="10" s="1"/>
  <c r="E99" i="10" s="1"/>
  <c r="K90" i="10"/>
  <c r="K89" i="10"/>
  <c r="K88" i="10"/>
  <c r="E87" i="10"/>
  <c r="E85" i="10"/>
  <c r="E84" i="10"/>
  <c r="K83" i="10"/>
  <c r="E83" i="10"/>
  <c r="E82" i="10"/>
  <c r="K81" i="10"/>
  <c r="E81" i="10"/>
  <c r="K80" i="10"/>
  <c r="E80" i="10"/>
  <c r="K79" i="10"/>
  <c r="K78" i="10"/>
  <c r="K77" i="10"/>
  <c r="K76" i="10"/>
  <c r="E76" i="10"/>
  <c r="K75" i="10"/>
  <c r="K74" i="10"/>
  <c r="E74" i="10"/>
  <c r="E73" i="10"/>
  <c r="E72" i="10"/>
  <c r="E71" i="10"/>
  <c r="E70" i="10"/>
  <c r="K69" i="10"/>
  <c r="E69" i="10"/>
  <c r="K67" i="10"/>
  <c r="K66" i="10"/>
  <c r="K65" i="10"/>
  <c r="K64" i="10"/>
  <c r="E64" i="10"/>
  <c r="K63" i="10"/>
  <c r="K62" i="10"/>
  <c r="E62" i="10"/>
  <c r="K61" i="10"/>
  <c r="E61" i="10"/>
  <c r="K60" i="10"/>
  <c r="E60" i="10"/>
  <c r="E59" i="10"/>
  <c r="E58" i="10"/>
  <c r="E57" i="10"/>
  <c r="K54" i="10"/>
  <c r="K53" i="10"/>
  <c r="K52" i="10"/>
  <c r="K51" i="10"/>
  <c r="E51" i="10"/>
  <c r="K50" i="10"/>
  <c r="K49" i="10"/>
  <c r="E49" i="10"/>
  <c r="K48" i="10"/>
  <c r="E48" i="10"/>
  <c r="K47" i="10"/>
  <c r="E47" i="10"/>
  <c r="E46" i="10"/>
  <c r="E45" i="10"/>
  <c r="E44" i="10"/>
  <c r="K42" i="10"/>
  <c r="K40" i="10"/>
  <c r="K39" i="10"/>
  <c r="E39" i="10"/>
  <c r="K38" i="10"/>
  <c r="K37" i="10"/>
  <c r="E37" i="10"/>
  <c r="K36" i="10"/>
  <c r="E36" i="10"/>
  <c r="K35" i="10"/>
  <c r="E35" i="10"/>
  <c r="K34" i="10"/>
  <c r="E34" i="10"/>
  <c r="K33" i="10"/>
  <c r="E33" i="10"/>
  <c r="E32" i="10"/>
  <c r="E27" i="10"/>
  <c r="K26" i="10"/>
  <c r="K25" i="10"/>
  <c r="E25" i="10"/>
  <c r="K24" i="10"/>
  <c r="E24" i="10"/>
  <c r="K23" i="10"/>
  <c r="E23" i="10"/>
  <c r="K22" i="10"/>
  <c r="E22" i="10"/>
  <c r="K21" i="10"/>
  <c r="E21" i="10"/>
  <c r="K20" i="10"/>
  <c r="E20" i="10"/>
  <c r="E26" i="10" s="1"/>
  <c r="K19" i="10"/>
  <c r="K14" i="10"/>
  <c r="K12" i="10"/>
  <c r="E12" i="10"/>
  <c r="K11" i="10"/>
  <c r="K10" i="10"/>
  <c r="E10" i="10"/>
  <c r="K9" i="10"/>
  <c r="E9" i="10"/>
  <c r="K8" i="10"/>
  <c r="E8" i="10"/>
  <c r="K7" i="10"/>
  <c r="E7" i="10"/>
  <c r="K6" i="10"/>
  <c r="E6" i="10"/>
  <c r="K5" i="10"/>
  <c r="E5" i="10"/>
  <c r="E11" i="10" s="1"/>
  <c r="K133" i="9"/>
  <c r="K131" i="9"/>
  <c r="K130" i="9"/>
  <c r="K129" i="9"/>
  <c r="K128" i="9"/>
  <c r="K127" i="9"/>
  <c r="K126" i="9"/>
  <c r="K125" i="9"/>
  <c r="K124" i="9"/>
  <c r="E120" i="9"/>
  <c r="E118" i="9"/>
  <c r="K117" i="9"/>
  <c r="E117" i="9"/>
  <c r="K116" i="9"/>
  <c r="E116" i="9"/>
  <c r="K115" i="9"/>
  <c r="E115" i="9"/>
  <c r="K114" i="9"/>
  <c r="E114" i="9"/>
  <c r="K113" i="9"/>
  <c r="E113" i="9"/>
  <c r="E119" i="9" s="1"/>
  <c r="K112" i="9"/>
  <c r="K111" i="9"/>
  <c r="K110" i="9"/>
  <c r="K118" i="9" s="1"/>
  <c r="K120" i="9" s="1"/>
  <c r="E109" i="9"/>
  <c r="E107" i="9"/>
  <c r="K106" i="9"/>
  <c r="E106" i="9"/>
  <c r="E105" i="9"/>
  <c r="K104" i="9"/>
  <c r="E104" i="9"/>
  <c r="K103" i="9"/>
  <c r="E103" i="9"/>
  <c r="K102" i="9"/>
  <c r="E102" i="9"/>
  <c r="K100" i="9"/>
  <c r="K99" i="9"/>
  <c r="K98" i="9"/>
  <c r="E98" i="9"/>
  <c r="K97" i="9"/>
  <c r="E96" i="9"/>
  <c r="E95" i="9"/>
  <c r="E94" i="9"/>
  <c r="K93" i="9"/>
  <c r="E93" i="9"/>
  <c r="E92" i="9"/>
  <c r="K91" i="9"/>
  <c r="E91" i="9"/>
  <c r="E97" i="9" s="1"/>
  <c r="E99" i="9" s="1"/>
  <c r="K90" i="9"/>
  <c r="K89" i="9"/>
  <c r="K88" i="9"/>
  <c r="K87" i="9"/>
  <c r="E87" i="9"/>
  <c r="K86" i="9"/>
  <c r="K85" i="9"/>
  <c r="E85" i="9"/>
  <c r="K84" i="9"/>
  <c r="E84" i="9"/>
  <c r="E83" i="9"/>
  <c r="E82" i="9"/>
  <c r="E81" i="9"/>
  <c r="K80" i="9"/>
  <c r="E80" i="9"/>
  <c r="K78" i="9"/>
  <c r="K77" i="9"/>
  <c r="K76" i="9"/>
  <c r="E76" i="9"/>
  <c r="K74" i="9"/>
  <c r="E74" i="9"/>
  <c r="K73" i="9"/>
  <c r="E73" i="9"/>
  <c r="K72" i="9"/>
  <c r="E72" i="9"/>
  <c r="K71" i="9"/>
  <c r="E71" i="9"/>
  <c r="E70" i="9"/>
  <c r="E69" i="9"/>
  <c r="K65" i="9"/>
  <c r="K64" i="9"/>
  <c r="K63" i="9"/>
  <c r="K62" i="9"/>
  <c r="E62" i="9"/>
  <c r="K61" i="9"/>
  <c r="E61" i="9"/>
  <c r="K60" i="9"/>
  <c r="E60" i="9"/>
  <c r="K59" i="9"/>
  <c r="E59" i="9"/>
  <c r="K58" i="9"/>
  <c r="E58" i="9"/>
  <c r="E63" i="9" s="1"/>
  <c r="E65" i="9" s="1"/>
  <c r="E57" i="9"/>
  <c r="K54" i="9"/>
  <c r="K52" i="9"/>
  <c r="K51" i="9"/>
  <c r="E51" i="9"/>
  <c r="K50" i="9"/>
  <c r="K49" i="9"/>
  <c r="E49" i="9"/>
  <c r="K48" i="9"/>
  <c r="E48" i="9"/>
  <c r="K47" i="9"/>
  <c r="E47" i="9"/>
  <c r="K46" i="9"/>
  <c r="E46" i="9"/>
  <c r="K45" i="9"/>
  <c r="E45" i="9"/>
  <c r="E44" i="9"/>
  <c r="K41" i="9"/>
  <c r="K39" i="9"/>
  <c r="E39" i="9"/>
  <c r="K38" i="9"/>
  <c r="K37" i="9"/>
  <c r="E37" i="9"/>
  <c r="K36" i="9"/>
  <c r="E36" i="9"/>
  <c r="K35" i="9"/>
  <c r="E35" i="9"/>
  <c r="K34" i="9"/>
  <c r="E34" i="9"/>
  <c r="K33" i="9"/>
  <c r="E33" i="9"/>
  <c r="K32" i="9"/>
  <c r="K40" i="9" s="1"/>
  <c r="K42" i="9" s="1"/>
  <c r="E32" i="9"/>
  <c r="E38" i="9" s="1"/>
  <c r="E27" i="9"/>
  <c r="K25" i="9"/>
  <c r="E25" i="9"/>
  <c r="K24" i="9"/>
  <c r="E24" i="9"/>
  <c r="K23" i="9"/>
  <c r="E23" i="9"/>
  <c r="K22" i="9"/>
  <c r="E22" i="9"/>
  <c r="K21" i="9"/>
  <c r="E21" i="9"/>
  <c r="K20" i="9"/>
  <c r="E20" i="9"/>
  <c r="E26" i="9" s="1"/>
  <c r="E28" i="9" s="1"/>
  <c r="K19" i="9"/>
  <c r="K18" i="9"/>
  <c r="K14" i="9"/>
  <c r="K12" i="9"/>
  <c r="E12" i="9"/>
  <c r="K11" i="9"/>
  <c r="K10" i="9"/>
  <c r="E10" i="9"/>
  <c r="K9" i="9"/>
  <c r="E9" i="9"/>
  <c r="K8" i="9"/>
  <c r="E8" i="9"/>
  <c r="K7" i="9"/>
  <c r="E7" i="9"/>
  <c r="K6" i="9"/>
  <c r="E6" i="9"/>
  <c r="K5" i="9"/>
  <c r="E5" i="9"/>
  <c r="E11" i="9" s="1"/>
  <c r="E50" i="9" l="1"/>
  <c r="E52" i="9" s="1"/>
  <c r="K13" i="9"/>
  <c r="K15" i="9" s="1"/>
  <c r="K26" i="9"/>
  <c r="K28" i="9" s="1"/>
  <c r="E121" i="9"/>
  <c r="K132" i="9"/>
  <c r="K134" i="9" s="1"/>
  <c r="E28" i="10"/>
  <c r="E75" i="10"/>
  <c r="E77" i="10" s="1"/>
  <c r="E86" i="10"/>
  <c r="E88" i="10" s="1"/>
  <c r="K109" i="10"/>
  <c r="K111" i="10" s="1"/>
  <c r="E99" i="11"/>
  <c r="K79" i="9"/>
  <c r="K81" i="9" s="1"/>
  <c r="K96" i="10"/>
  <c r="K98" i="10" s="1"/>
  <c r="E119" i="10"/>
  <c r="E121" i="10" s="1"/>
  <c r="K122" i="10"/>
  <c r="K124" i="10" s="1"/>
  <c r="K136" i="10"/>
  <c r="K138" i="10" s="1"/>
  <c r="E11" i="11"/>
  <c r="E13" i="11" s="1"/>
  <c r="K28" i="11"/>
  <c r="K30" i="11" s="1"/>
  <c r="E50" i="11"/>
  <c r="E52" i="11" s="1"/>
  <c r="K69" i="11"/>
  <c r="K71" i="11" s="1"/>
  <c r="E75" i="11"/>
  <c r="E77" i="11" s="1"/>
  <c r="K96" i="11"/>
  <c r="K98" i="11" s="1"/>
  <c r="K109" i="11"/>
  <c r="K111" i="11" s="1"/>
  <c r="K122" i="11"/>
  <c r="K124" i="11" s="1"/>
  <c r="K13" i="12"/>
  <c r="K15" i="12" s="1"/>
  <c r="K26" i="12"/>
  <c r="K28" i="12" s="1"/>
  <c r="K81" i="12"/>
  <c r="K83" i="12" s="1"/>
  <c r="K95" i="12"/>
  <c r="K97" i="12" s="1"/>
  <c r="K109" i="12"/>
  <c r="K111" i="12" s="1"/>
  <c r="K40" i="12"/>
  <c r="K42" i="12" s="1"/>
  <c r="E13" i="10"/>
  <c r="K27" i="10"/>
  <c r="K29" i="10" s="1"/>
  <c r="K41" i="10"/>
  <c r="K43" i="10" s="1"/>
  <c r="E50" i="10"/>
  <c r="E52" i="10" s="1"/>
  <c r="K55" i="10"/>
  <c r="K57" i="10" s="1"/>
  <c r="E63" i="10"/>
  <c r="E65" i="10" s="1"/>
  <c r="K68" i="10"/>
  <c r="K70" i="10" s="1"/>
  <c r="E110" i="10"/>
  <c r="K14" i="11"/>
  <c r="K16" i="11" s="1"/>
  <c r="E28" i="11"/>
  <c r="K41" i="11"/>
  <c r="K43" i="11" s="1"/>
  <c r="K83" i="11"/>
  <c r="K85" i="11" s="1"/>
  <c r="E86" i="11"/>
  <c r="E88" i="11" s="1"/>
  <c r="E110" i="11"/>
  <c r="E13" i="12"/>
  <c r="E22" i="12"/>
  <c r="E24" i="12" s="1"/>
  <c r="E72" i="12"/>
  <c r="E74" i="12" s="1"/>
  <c r="K67" i="12"/>
  <c r="K69" i="12" s="1"/>
  <c r="E83" i="12"/>
  <c r="E85" i="12" s="1"/>
  <c r="E109" i="12"/>
  <c r="E13" i="13"/>
  <c r="E32" i="13"/>
  <c r="E42" i="13"/>
  <c r="E51" i="13"/>
  <c r="E60" i="13"/>
  <c r="E69" i="13"/>
  <c r="E78" i="13"/>
  <c r="E88" i="13"/>
  <c r="E97" i="13"/>
  <c r="E106" i="13"/>
  <c r="E115" i="13"/>
  <c r="E124" i="13"/>
  <c r="E133" i="13"/>
  <c r="E142" i="13"/>
  <c r="E151" i="13"/>
  <c r="E160" i="13"/>
  <c r="E169" i="13"/>
  <c r="E178" i="13"/>
  <c r="E187" i="13"/>
  <c r="E196" i="13"/>
  <c r="E23" i="13"/>
  <c r="E13" i="9"/>
  <c r="E40" i="9"/>
  <c r="K53" i="9"/>
  <c r="K55" i="9" s="1"/>
  <c r="K66" i="9"/>
  <c r="K68" i="9" s="1"/>
  <c r="E75" i="9"/>
  <c r="E77" i="9" s="1"/>
  <c r="E86" i="9"/>
  <c r="E88" i="9" s="1"/>
  <c r="K92" i="9"/>
  <c r="K94" i="9" s="1"/>
  <c r="E108" i="9"/>
  <c r="E110" i="9" s="1"/>
  <c r="K54" i="12"/>
  <c r="K56" i="12" s="1"/>
  <c r="E60" i="12"/>
  <c r="E62" i="12" s="1"/>
  <c r="E36" i="12"/>
  <c r="K55" i="11"/>
  <c r="K57" i="11" s="1"/>
  <c r="E63" i="11"/>
  <c r="E65" i="11" s="1"/>
  <c r="E38" i="11"/>
  <c r="E40" i="11" s="1"/>
  <c r="K82" i="10"/>
  <c r="K84" i="10" s="1"/>
  <c r="K13" i="10"/>
  <c r="K15" i="10" s="1"/>
  <c r="E38" i="10"/>
  <c r="E40" i="10" s="1"/>
  <c r="K105" i="9"/>
  <c r="K107" i="9" s="1"/>
  <c r="K137" i="8" l="1"/>
  <c r="K135" i="8"/>
  <c r="K134" i="8"/>
  <c r="K133" i="8"/>
  <c r="K132" i="8"/>
  <c r="K131" i="8"/>
  <c r="K130" i="8"/>
  <c r="K129" i="8"/>
  <c r="K128" i="8"/>
  <c r="K122" i="8"/>
  <c r="K121" i="8"/>
  <c r="K120" i="8"/>
  <c r="E120" i="8"/>
  <c r="K119" i="8"/>
  <c r="K118" i="8"/>
  <c r="E118" i="8"/>
  <c r="K117" i="8"/>
  <c r="E117" i="8"/>
  <c r="K116" i="8"/>
  <c r="E116" i="8"/>
  <c r="K115" i="8"/>
  <c r="E115" i="8"/>
  <c r="E114" i="8"/>
  <c r="E113" i="8"/>
  <c r="K111" i="8"/>
  <c r="K109" i="8"/>
  <c r="E109" i="8"/>
  <c r="K108" i="8"/>
  <c r="K107" i="8"/>
  <c r="E107" i="8"/>
  <c r="E106" i="8"/>
  <c r="K105" i="8"/>
  <c r="E105" i="8"/>
  <c r="K104" i="8"/>
  <c r="E104" i="8"/>
  <c r="K103" i="8"/>
  <c r="E103" i="8"/>
  <c r="K102" i="8"/>
  <c r="E102" i="8"/>
  <c r="E98" i="8"/>
  <c r="K97" i="8"/>
  <c r="E96" i="8"/>
  <c r="K95" i="8"/>
  <c r="E95" i="8"/>
  <c r="K94" i="8"/>
  <c r="E94" i="8"/>
  <c r="K93" i="8"/>
  <c r="E93" i="8"/>
  <c r="K92" i="8"/>
  <c r="E92" i="8"/>
  <c r="K91" i="8"/>
  <c r="E91" i="8"/>
  <c r="E97" i="8" s="1"/>
  <c r="E99" i="8" s="1"/>
  <c r="K90" i="8"/>
  <c r="K89" i="8"/>
  <c r="K88" i="8"/>
  <c r="E87" i="8"/>
  <c r="E85" i="8"/>
  <c r="E84" i="8"/>
  <c r="K83" i="8"/>
  <c r="E83" i="8"/>
  <c r="E82" i="8"/>
  <c r="K81" i="8"/>
  <c r="E81" i="8"/>
  <c r="K80" i="8"/>
  <c r="E80" i="8"/>
  <c r="K79" i="8"/>
  <c r="K77" i="8"/>
  <c r="K76" i="8"/>
  <c r="K75" i="8"/>
  <c r="K74" i="8"/>
  <c r="K82" i="8" s="1"/>
  <c r="K84" i="8" s="1"/>
  <c r="E74" i="8"/>
  <c r="E73" i="8"/>
  <c r="E72" i="8"/>
  <c r="E71" i="8"/>
  <c r="E70" i="8"/>
  <c r="E69" i="8"/>
  <c r="K67" i="8"/>
  <c r="K66" i="8"/>
  <c r="K65" i="8"/>
  <c r="K64" i="8"/>
  <c r="E64" i="8"/>
  <c r="K63" i="8"/>
  <c r="K62" i="8"/>
  <c r="E62" i="8"/>
  <c r="K61" i="8"/>
  <c r="E61" i="8"/>
  <c r="K60" i="8"/>
  <c r="E60" i="8"/>
  <c r="E59" i="8"/>
  <c r="E58" i="8"/>
  <c r="E57" i="8"/>
  <c r="K56" i="8"/>
  <c r="K54" i="8"/>
  <c r="K53" i="8"/>
  <c r="K52" i="8"/>
  <c r="K51" i="8"/>
  <c r="E51" i="8"/>
  <c r="K50" i="8"/>
  <c r="K49" i="8"/>
  <c r="E49" i="8"/>
  <c r="K48" i="8"/>
  <c r="E48" i="8"/>
  <c r="K47" i="8"/>
  <c r="E47" i="8"/>
  <c r="E46" i="8"/>
  <c r="E45" i="8"/>
  <c r="E44" i="8"/>
  <c r="K40" i="8"/>
  <c r="K39" i="8"/>
  <c r="E39" i="8"/>
  <c r="K38" i="8"/>
  <c r="K37" i="8"/>
  <c r="E37" i="8"/>
  <c r="K36" i="8"/>
  <c r="E36" i="8"/>
  <c r="K35" i="8"/>
  <c r="E35" i="8"/>
  <c r="K34" i="8"/>
  <c r="E34" i="8"/>
  <c r="K33" i="8"/>
  <c r="E33" i="8"/>
  <c r="E32" i="8"/>
  <c r="E27" i="8"/>
  <c r="K26" i="8"/>
  <c r="K25" i="8"/>
  <c r="E25" i="8"/>
  <c r="K24" i="8"/>
  <c r="E24" i="8"/>
  <c r="K23" i="8"/>
  <c r="E23" i="8"/>
  <c r="K22" i="8"/>
  <c r="E22" i="8"/>
  <c r="K21" i="8"/>
  <c r="E21" i="8"/>
  <c r="K20" i="8"/>
  <c r="E20" i="8"/>
  <c r="E26" i="8" s="1"/>
  <c r="K19" i="8"/>
  <c r="K14" i="8"/>
  <c r="K12" i="8"/>
  <c r="E12" i="8"/>
  <c r="K11" i="8"/>
  <c r="K10" i="8"/>
  <c r="E10" i="8"/>
  <c r="K9" i="8"/>
  <c r="E9" i="8"/>
  <c r="K8" i="8"/>
  <c r="E8" i="8"/>
  <c r="K7" i="8"/>
  <c r="E7" i="8"/>
  <c r="K6" i="8"/>
  <c r="E6" i="8"/>
  <c r="K5" i="8"/>
  <c r="E5" i="8"/>
  <c r="E50" i="8" l="1"/>
  <c r="E52" i="8" s="1"/>
  <c r="K55" i="8"/>
  <c r="K57" i="8" s="1"/>
  <c r="E63" i="8"/>
  <c r="E65" i="8" s="1"/>
  <c r="K68" i="8"/>
  <c r="K70" i="8" s="1"/>
  <c r="E86" i="8"/>
  <c r="E88" i="8" s="1"/>
  <c r="E108" i="8"/>
  <c r="E110" i="8" s="1"/>
  <c r="K123" i="8"/>
  <c r="K125" i="8" s="1"/>
  <c r="K41" i="8"/>
  <c r="K43" i="8" s="1"/>
  <c r="K27" i="8"/>
  <c r="K29" i="8" s="1"/>
  <c r="K96" i="8"/>
  <c r="K98" i="8" s="1"/>
  <c r="E11" i="8"/>
  <c r="E13" i="8" s="1"/>
  <c r="K110" i="8"/>
  <c r="K112" i="8" s="1"/>
  <c r="K13" i="8"/>
  <c r="K15" i="8" s="1"/>
  <c r="E28" i="8"/>
  <c r="E75" i="8"/>
  <c r="E77" i="8" s="1"/>
  <c r="E119" i="8"/>
  <c r="E121" i="8" s="1"/>
  <c r="K136" i="8"/>
  <c r="K138" i="8" s="1"/>
  <c r="E38" i="8"/>
  <c r="E40" i="8" s="1"/>
  <c r="K109" i="7"/>
  <c r="K107" i="7"/>
  <c r="K106" i="7"/>
  <c r="K105" i="7"/>
  <c r="K104" i="7"/>
  <c r="K103" i="7"/>
  <c r="K102" i="7"/>
  <c r="K101" i="7"/>
  <c r="K100" i="7"/>
  <c r="K95" i="7"/>
  <c r="K93" i="7"/>
  <c r="K92" i="7"/>
  <c r="K91" i="7"/>
  <c r="K90" i="7"/>
  <c r="K89" i="7"/>
  <c r="K88" i="7"/>
  <c r="K87" i="7"/>
  <c r="K86" i="7"/>
  <c r="K79" i="7"/>
  <c r="K78" i="7"/>
  <c r="K77" i="7"/>
  <c r="K76" i="7"/>
  <c r="K75" i="7"/>
  <c r="K74" i="7"/>
  <c r="K73" i="7"/>
  <c r="K72" i="7"/>
  <c r="K67" i="7"/>
  <c r="K65" i="7"/>
  <c r="K64" i="7"/>
  <c r="K63" i="7"/>
  <c r="K62" i="7"/>
  <c r="K61" i="7"/>
  <c r="K60" i="7"/>
  <c r="K59" i="7"/>
  <c r="K58" i="7"/>
  <c r="K54" i="7"/>
  <c r="K52" i="7"/>
  <c r="K51" i="7"/>
  <c r="K50" i="7"/>
  <c r="K49" i="7"/>
  <c r="K48" i="7"/>
  <c r="K47" i="7"/>
  <c r="K46" i="7"/>
  <c r="K45" i="7"/>
  <c r="K38" i="7"/>
  <c r="K37" i="7"/>
  <c r="K36" i="7"/>
  <c r="K35" i="7"/>
  <c r="K34" i="7"/>
  <c r="K33" i="7"/>
  <c r="K32" i="7"/>
  <c r="K31" i="7"/>
  <c r="K27" i="7"/>
  <c r="K25" i="7"/>
  <c r="K24" i="7"/>
  <c r="K23" i="7"/>
  <c r="K22" i="7"/>
  <c r="K21" i="7"/>
  <c r="K20" i="7"/>
  <c r="K19" i="7"/>
  <c r="K18" i="7"/>
  <c r="K14" i="7"/>
  <c r="K12" i="7"/>
  <c r="K11" i="7"/>
  <c r="K10" i="7"/>
  <c r="K9" i="7"/>
  <c r="K8" i="7"/>
  <c r="K7" i="7"/>
  <c r="K6" i="7"/>
  <c r="K5" i="7"/>
  <c r="E94" i="7"/>
  <c r="E92" i="7"/>
  <c r="E91" i="7"/>
  <c r="E90" i="7"/>
  <c r="E89" i="7"/>
  <c r="E88" i="7"/>
  <c r="E87" i="7"/>
  <c r="E80" i="7"/>
  <c r="E79" i="7"/>
  <c r="E78" i="7"/>
  <c r="E77" i="7"/>
  <c r="E76" i="7"/>
  <c r="E75" i="7"/>
  <c r="E70" i="7"/>
  <c r="E68" i="7"/>
  <c r="E67" i="7"/>
  <c r="E66" i="7"/>
  <c r="E65" i="7"/>
  <c r="E64" i="7"/>
  <c r="E63" i="7"/>
  <c r="E59" i="7"/>
  <c r="E57" i="7"/>
  <c r="E56" i="7"/>
  <c r="E55" i="7"/>
  <c r="E54" i="7"/>
  <c r="E53" i="7"/>
  <c r="E52" i="7"/>
  <c r="E47" i="7"/>
  <c r="E45" i="7"/>
  <c r="E44" i="7"/>
  <c r="E43" i="7"/>
  <c r="E42" i="7"/>
  <c r="E41" i="7"/>
  <c r="E40" i="7"/>
  <c r="E35" i="7"/>
  <c r="E33" i="7"/>
  <c r="E32" i="7"/>
  <c r="E31" i="7"/>
  <c r="E30" i="7"/>
  <c r="E29" i="7"/>
  <c r="E28" i="7"/>
  <c r="E23" i="7"/>
  <c r="E21" i="7"/>
  <c r="E20" i="7"/>
  <c r="E19" i="7"/>
  <c r="E18" i="7"/>
  <c r="E17" i="7"/>
  <c r="E16" i="7"/>
  <c r="E12" i="7"/>
  <c r="E10" i="7"/>
  <c r="E9" i="7"/>
  <c r="E8" i="7"/>
  <c r="E7" i="7"/>
  <c r="E6" i="7"/>
  <c r="E5" i="7"/>
  <c r="K123" i="6"/>
  <c r="K121" i="6"/>
  <c r="K120" i="6"/>
  <c r="K119" i="6"/>
  <c r="K118" i="6"/>
  <c r="K117" i="6"/>
  <c r="K116" i="6"/>
  <c r="K115" i="6"/>
  <c r="K114" i="6"/>
  <c r="K110" i="6"/>
  <c r="K108" i="6"/>
  <c r="K107" i="6"/>
  <c r="K106" i="6"/>
  <c r="K105" i="6"/>
  <c r="K104" i="6"/>
  <c r="K103" i="6"/>
  <c r="K102" i="6"/>
  <c r="K101" i="6"/>
  <c r="K90" i="6"/>
  <c r="K92" i="6"/>
  <c r="K97" i="6"/>
  <c r="K95" i="6"/>
  <c r="K94" i="6"/>
  <c r="K93" i="6"/>
  <c r="K91" i="6"/>
  <c r="K89" i="6"/>
  <c r="K88" i="6"/>
  <c r="K82" i="6"/>
  <c r="K81" i="6"/>
  <c r="K80" i="6"/>
  <c r="K79" i="6"/>
  <c r="K78" i="6"/>
  <c r="K77" i="6"/>
  <c r="K76" i="6"/>
  <c r="K75" i="6"/>
  <c r="K83" i="6" s="1"/>
  <c r="K85" i="6" s="1"/>
  <c r="K70" i="6"/>
  <c r="K68" i="6"/>
  <c r="K67" i="6"/>
  <c r="K66" i="6"/>
  <c r="K65" i="6"/>
  <c r="K64" i="6"/>
  <c r="K63" i="6"/>
  <c r="K62" i="6"/>
  <c r="K61" i="6"/>
  <c r="K54" i="6"/>
  <c r="K53" i="6"/>
  <c r="K52" i="6"/>
  <c r="K51" i="6"/>
  <c r="K50" i="6"/>
  <c r="K49" i="6"/>
  <c r="K48" i="6"/>
  <c r="K47" i="6"/>
  <c r="K40" i="6"/>
  <c r="K39" i="6"/>
  <c r="K38" i="6"/>
  <c r="K37" i="6"/>
  <c r="K36" i="6"/>
  <c r="K35" i="6"/>
  <c r="K34" i="6"/>
  <c r="K33" i="6"/>
  <c r="K29" i="6"/>
  <c r="K27" i="6"/>
  <c r="K26" i="6"/>
  <c r="K25" i="6"/>
  <c r="K24" i="6"/>
  <c r="K23" i="6"/>
  <c r="K22" i="6"/>
  <c r="K21" i="6"/>
  <c r="K20" i="6"/>
  <c r="K28" i="6" s="1"/>
  <c r="K30" i="6" s="1"/>
  <c r="K15" i="6"/>
  <c r="K13" i="6"/>
  <c r="K12" i="6"/>
  <c r="K11" i="6"/>
  <c r="K10" i="6"/>
  <c r="K9" i="6"/>
  <c r="K8" i="6"/>
  <c r="K7" i="6"/>
  <c r="K6" i="6"/>
  <c r="E109" i="6"/>
  <c r="E107" i="6"/>
  <c r="E106" i="6"/>
  <c r="E105" i="6"/>
  <c r="E104" i="6"/>
  <c r="E103" i="6"/>
  <c r="E102" i="6"/>
  <c r="E98" i="6"/>
  <c r="E96" i="6"/>
  <c r="E95" i="6"/>
  <c r="E94" i="6"/>
  <c r="E93" i="6"/>
  <c r="E92" i="6"/>
  <c r="E91" i="6"/>
  <c r="E87" i="6"/>
  <c r="E85" i="6"/>
  <c r="E84" i="6"/>
  <c r="E83" i="6"/>
  <c r="E82" i="6"/>
  <c r="E81" i="6"/>
  <c r="E80" i="6"/>
  <c r="E76" i="6"/>
  <c r="E74" i="6"/>
  <c r="E73" i="6"/>
  <c r="E72" i="6"/>
  <c r="E71" i="6"/>
  <c r="E70" i="6"/>
  <c r="E69" i="6"/>
  <c r="E64" i="6"/>
  <c r="E62" i="6"/>
  <c r="E61" i="6"/>
  <c r="E60" i="6"/>
  <c r="E59" i="6"/>
  <c r="E58" i="6"/>
  <c r="E57" i="6"/>
  <c r="E51" i="6"/>
  <c r="E49" i="6"/>
  <c r="E48" i="6"/>
  <c r="E47" i="6"/>
  <c r="E46" i="6"/>
  <c r="E45" i="6"/>
  <c r="E44" i="6"/>
  <c r="E39" i="6"/>
  <c r="E37" i="6"/>
  <c r="E36" i="6"/>
  <c r="E35" i="6"/>
  <c r="E34" i="6"/>
  <c r="E33" i="6"/>
  <c r="E32" i="6"/>
  <c r="E27" i="6"/>
  <c r="E25" i="6"/>
  <c r="E24" i="6"/>
  <c r="E23" i="6"/>
  <c r="E22" i="6"/>
  <c r="E21" i="6"/>
  <c r="E20" i="6"/>
  <c r="E10" i="6"/>
  <c r="E9" i="6"/>
  <c r="E8" i="6"/>
  <c r="E7" i="6"/>
  <c r="E6" i="6"/>
  <c r="E5" i="6"/>
  <c r="K55" i="6" l="1"/>
  <c r="K57" i="6" s="1"/>
  <c r="E11" i="7"/>
  <c r="E13" i="7" s="1"/>
  <c r="E34" i="7"/>
  <c r="E36" i="7" s="1"/>
  <c r="E58" i="7"/>
  <c r="E60" i="7" s="1"/>
  <c r="K14" i="6"/>
  <c r="K16" i="6" s="1"/>
  <c r="K41" i="6"/>
  <c r="K43" i="6" s="1"/>
  <c r="K69" i="6"/>
  <c r="K71" i="6" s="1"/>
  <c r="E22" i="7"/>
  <c r="E24" i="7" s="1"/>
  <c r="E46" i="7"/>
  <c r="E48" i="7" s="1"/>
  <c r="E69" i="7"/>
  <c r="E71" i="7" s="1"/>
  <c r="E93" i="7"/>
  <c r="E95" i="7" s="1"/>
  <c r="K108" i="7"/>
  <c r="K110" i="7" s="1"/>
  <c r="K94" i="7"/>
  <c r="K96" i="7" s="1"/>
  <c r="K66" i="7"/>
  <c r="K68" i="7" s="1"/>
  <c r="K39" i="7"/>
  <c r="K41" i="7" s="1"/>
  <c r="K109" i="6"/>
  <c r="K111" i="6" s="1"/>
  <c r="K80" i="7"/>
  <c r="K82" i="7" s="1"/>
  <c r="K26" i="7"/>
  <c r="K28" i="7" s="1"/>
  <c r="K53" i="7"/>
  <c r="K55" i="7" s="1"/>
  <c r="K13" i="7"/>
  <c r="K15" i="7" s="1"/>
  <c r="E81" i="7"/>
  <c r="E83" i="7" s="1"/>
  <c r="K122" i="6"/>
  <c r="K124" i="6" s="1"/>
  <c r="K96" i="6"/>
  <c r="K98" i="6" s="1"/>
  <c r="E50" i="6"/>
  <c r="E52" i="6" s="1"/>
  <c r="E26" i="6"/>
  <c r="E28" i="6" s="1"/>
  <c r="E97" i="6"/>
  <c r="E99" i="6" s="1"/>
  <c r="E75" i="6"/>
  <c r="E77" i="6" s="1"/>
  <c r="E11" i="6"/>
  <c r="E13" i="6" s="1"/>
  <c r="E38" i="6"/>
  <c r="E40" i="6" s="1"/>
  <c r="E63" i="6"/>
  <c r="E65" i="6" s="1"/>
  <c r="E86" i="6"/>
  <c r="E88" i="6" s="1"/>
  <c r="E108" i="6"/>
  <c r="E110" i="6" s="1"/>
  <c r="K136" i="4" l="1"/>
  <c r="K118" i="4"/>
  <c r="K105" i="4"/>
  <c r="K92" i="4"/>
  <c r="K78" i="4"/>
  <c r="K64" i="4"/>
  <c r="K51" i="4"/>
  <c r="K37" i="4"/>
  <c r="K23" i="4"/>
  <c r="K9" i="4"/>
  <c r="E115" i="4"/>
  <c r="E104" i="4"/>
  <c r="E93" i="4"/>
  <c r="E82" i="4"/>
  <c r="K128" i="3"/>
  <c r="K114" i="3"/>
  <c r="K88" i="3"/>
  <c r="K62" i="3"/>
  <c r="K49" i="3"/>
  <c r="K36" i="3"/>
  <c r="K132" i="2"/>
  <c r="K119" i="2"/>
  <c r="K92" i="2"/>
  <c r="K64" i="2"/>
  <c r="K51" i="2"/>
  <c r="K37" i="2"/>
  <c r="K23" i="2"/>
  <c r="K9" i="2"/>
  <c r="K22" i="3"/>
  <c r="K9" i="3"/>
  <c r="K141" i="4"/>
  <c r="K139" i="4"/>
  <c r="K138" i="4"/>
  <c r="K137" i="4"/>
  <c r="E120" i="4"/>
  <c r="K135" i="4"/>
  <c r="K134" i="4"/>
  <c r="E118" i="4"/>
  <c r="K133" i="4"/>
  <c r="E117" i="4"/>
  <c r="K132" i="4"/>
  <c r="E116" i="4"/>
  <c r="E114" i="4"/>
  <c r="E113" i="4"/>
  <c r="K123" i="4"/>
  <c r="K121" i="4"/>
  <c r="K120" i="4"/>
  <c r="E109" i="4"/>
  <c r="K119" i="4"/>
  <c r="K117" i="4"/>
  <c r="E107" i="4"/>
  <c r="K116" i="4"/>
  <c r="E106" i="4"/>
  <c r="K115" i="4"/>
  <c r="E105" i="4"/>
  <c r="K114" i="4"/>
  <c r="E103" i="4"/>
  <c r="E102" i="4"/>
  <c r="K110" i="4"/>
  <c r="K108" i="4"/>
  <c r="E98" i="4"/>
  <c r="K107" i="4"/>
  <c r="K106" i="4"/>
  <c r="E96" i="4"/>
  <c r="K104" i="4"/>
  <c r="E95" i="4"/>
  <c r="K103" i="4"/>
  <c r="E94" i="4"/>
  <c r="K102" i="4"/>
  <c r="K101" i="4"/>
  <c r="E92" i="4"/>
  <c r="E91" i="4"/>
  <c r="E87" i="4"/>
  <c r="K95" i="4"/>
  <c r="K94" i="4"/>
  <c r="E85" i="4"/>
  <c r="K93" i="4"/>
  <c r="E84" i="4"/>
  <c r="K91" i="4"/>
  <c r="E83" i="4"/>
  <c r="K90" i="4"/>
  <c r="K89" i="4"/>
  <c r="E81" i="4"/>
  <c r="K88" i="4"/>
  <c r="K96" i="4" s="1"/>
  <c r="E80" i="4"/>
  <c r="K83" i="4"/>
  <c r="E76" i="4"/>
  <c r="K81" i="4"/>
  <c r="K80" i="4"/>
  <c r="E74" i="4"/>
  <c r="K79" i="4"/>
  <c r="E73" i="4"/>
  <c r="K77" i="4"/>
  <c r="E72" i="4"/>
  <c r="K76" i="4"/>
  <c r="E71" i="4"/>
  <c r="K75" i="4"/>
  <c r="E70" i="4"/>
  <c r="K74" i="4"/>
  <c r="E69" i="4"/>
  <c r="E75" i="4" s="1"/>
  <c r="K69" i="4"/>
  <c r="E64" i="4"/>
  <c r="K67" i="4"/>
  <c r="K66" i="4"/>
  <c r="E62" i="4"/>
  <c r="K65" i="4"/>
  <c r="E61" i="4"/>
  <c r="K63" i="4"/>
  <c r="E60" i="4"/>
  <c r="K62" i="4"/>
  <c r="E59" i="4"/>
  <c r="K61" i="4"/>
  <c r="E58" i="4"/>
  <c r="K60" i="4"/>
  <c r="E57" i="4"/>
  <c r="E63" i="4" s="1"/>
  <c r="K56" i="4"/>
  <c r="E51" i="4"/>
  <c r="K54" i="4"/>
  <c r="K53" i="4"/>
  <c r="E49" i="4"/>
  <c r="K52" i="4"/>
  <c r="E48" i="4"/>
  <c r="K50" i="4"/>
  <c r="E47" i="4"/>
  <c r="K49" i="4"/>
  <c r="E46" i="4"/>
  <c r="K48" i="4"/>
  <c r="E45" i="4"/>
  <c r="K47" i="4"/>
  <c r="E44" i="4"/>
  <c r="E50" i="4" s="1"/>
  <c r="K42" i="4"/>
  <c r="E39" i="4"/>
  <c r="K40" i="4"/>
  <c r="K39" i="4"/>
  <c r="E37" i="4"/>
  <c r="K38" i="4"/>
  <c r="E36" i="4"/>
  <c r="K36" i="4"/>
  <c r="E35" i="4"/>
  <c r="K35" i="4"/>
  <c r="E34" i="4"/>
  <c r="K34" i="4"/>
  <c r="E33" i="4"/>
  <c r="K33" i="4"/>
  <c r="E32" i="4"/>
  <c r="E38" i="4" s="1"/>
  <c r="K28" i="4"/>
  <c r="E27" i="4"/>
  <c r="K26" i="4"/>
  <c r="K25" i="4"/>
  <c r="E25" i="4"/>
  <c r="K24" i="4"/>
  <c r="E24" i="4"/>
  <c r="K22" i="4"/>
  <c r="E23" i="4"/>
  <c r="K21" i="4"/>
  <c r="E22" i="4"/>
  <c r="K20" i="4"/>
  <c r="E21" i="4"/>
  <c r="K19" i="4"/>
  <c r="E20" i="4"/>
  <c r="E26" i="4" s="1"/>
  <c r="K14" i="4"/>
  <c r="E12" i="4"/>
  <c r="K12" i="4"/>
  <c r="K11" i="4"/>
  <c r="E10" i="4"/>
  <c r="K10" i="4"/>
  <c r="E9" i="4"/>
  <c r="K8" i="4"/>
  <c r="E8" i="4"/>
  <c r="K7" i="4"/>
  <c r="E7" i="4"/>
  <c r="K6" i="4"/>
  <c r="E6" i="4"/>
  <c r="K5" i="4"/>
  <c r="E5" i="4"/>
  <c r="E11" i="4" s="1"/>
  <c r="E28" i="4" l="1"/>
  <c r="K41" i="4"/>
  <c r="K43" i="4" s="1"/>
  <c r="E52" i="4"/>
  <c r="K68" i="4"/>
  <c r="K70" i="4" s="1"/>
  <c r="E77" i="4"/>
  <c r="K98" i="4"/>
  <c r="K122" i="4"/>
  <c r="K124" i="4" s="1"/>
  <c r="K13" i="4"/>
  <c r="K15" i="4" s="1"/>
  <c r="E13" i="4"/>
  <c r="K27" i="4"/>
  <c r="K29" i="4" s="1"/>
  <c r="E40" i="4"/>
  <c r="K55" i="4"/>
  <c r="K57" i="4" s="1"/>
  <c r="E65" i="4"/>
  <c r="K82" i="4"/>
  <c r="K84" i="4" s="1"/>
  <c r="E86" i="4"/>
  <c r="E88" i="4" s="1"/>
  <c r="K109" i="4"/>
  <c r="K111" i="4" s="1"/>
  <c r="E108" i="4"/>
  <c r="E110" i="4" s="1"/>
  <c r="K140" i="4"/>
  <c r="K142" i="4" s="1"/>
  <c r="E119" i="4"/>
  <c r="E121" i="4" s="1"/>
  <c r="E97" i="4"/>
  <c r="E99" i="4" s="1"/>
  <c r="K133" i="3"/>
  <c r="K131" i="3"/>
  <c r="E120" i="3"/>
  <c r="K130" i="3"/>
  <c r="K129" i="3"/>
  <c r="E118" i="3"/>
  <c r="K127" i="3"/>
  <c r="E117" i="3"/>
  <c r="K126" i="3"/>
  <c r="E116" i="3"/>
  <c r="K125" i="3"/>
  <c r="E115" i="3"/>
  <c r="K124" i="3"/>
  <c r="E114" i="3"/>
  <c r="E113" i="3"/>
  <c r="K117" i="3"/>
  <c r="E109" i="3"/>
  <c r="K116" i="3"/>
  <c r="K115" i="3"/>
  <c r="E107" i="3"/>
  <c r="K113" i="3"/>
  <c r="E106" i="3"/>
  <c r="K112" i="3"/>
  <c r="E105" i="3"/>
  <c r="K111" i="3"/>
  <c r="E104" i="3"/>
  <c r="K110" i="3"/>
  <c r="E103" i="3"/>
  <c r="E102" i="3"/>
  <c r="K106" i="3"/>
  <c r="K104" i="3"/>
  <c r="E98" i="3"/>
  <c r="K103" i="3"/>
  <c r="K102" i="3"/>
  <c r="E96" i="3"/>
  <c r="K100" i="3"/>
  <c r="E95" i="3"/>
  <c r="K99" i="3"/>
  <c r="E94" i="3"/>
  <c r="K98" i="3"/>
  <c r="E93" i="3"/>
  <c r="K97" i="3"/>
  <c r="E92" i="3"/>
  <c r="E91" i="3"/>
  <c r="K93" i="3"/>
  <c r="E87" i="3"/>
  <c r="K91" i="3"/>
  <c r="K90" i="3"/>
  <c r="E85" i="3"/>
  <c r="K89" i="3"/>
  <c r="E84" i="3"/>
  <c r="K87" i="3"/>
  <c r="E83" i="3"/>
  <c r="K86" i="3"/>
  <c r="E82" i="3"/>
  <c r="K85" i="3"/>
  <c r="E81" i="3"/>
  <c r="K84" i="3"/>
  <c r="E80" i="3"/>
  <c r="E86" i="3" s="1"/>
  <c r="E76" i="3"/>
  <c r="K78" i="3"/>
  <c r="K77" i="3"/>
  <c r="E74" i="3"/>
  <c r="K76" i="3"/>
  <c r="E73" i="3"/>
  <c r="K74" i="3"/>
  <c r="E72" i="3"/>
  <c r="K73" i="3"/>
  <c r="E71" i="3"/>
  <c r="K72" i="3"/>
  <c r="E70" i="3"/>
  <c r="K71" i="3"/>
  <c r="E69" i="3"/>
  <c r="E75" i="3" s="1"/>
  <c r="K67" i="3"/>
  <c r="E64" i="3"/>
  <c r="K65" i="3"/>
  <c r="K64" i="3"/>
  <c r="E62" i="3"/>
  <c r="K63" i="3"/>
  <c r="E61" i="3"/>
  <c r="K61" i="3"/>
  <c r="E60" i="3"/>
  <c r="K60" i="3"/>
  <c r="E59" i="3"/>
  <c r="K59" i="3"/>
  <c r="E58" i="3"/>
  <c r="K58" i="3"/>
  <c r="E57" i="3"/>
  <c r="E63" i="3" s="1"/>
  <c r="K54" i="3"/>
  <c r="E51" i="3"/>
  <c r="K52" i="3"/>
  <c r="K51" i="3"/>
  <c r="E49" i="3"/>
  <c r="K50" i="3"/>
  <c r="E48" i="3"/>
  <c r="K48" i="3"/>
  <c r="E47" i="3"/>
  <c r="K47" i="3"/>
  <c r="E46" i="3"/>
  <c r="K46" i="3"/>
  <c r="E45" i="3"/>
  <c r="K45" i="3"/>
  <c r="E44" i="3"/>
  <c r="E50" i="3" s="1"/>
  <c r="K41" i="3"/>
  <c r="E39" i="3"/>
  <c r="K39" i="3"/>
  <c r="K38" i="3"/>
  <c r="E37" i="3"/>
  <c r="K37" i="3"/>
  <c r="E36" i="3"/>
  <c r="K35" i="3"/>
  <c r="E35" i="3"/>
  <c r="K34" i="3"/>
  <c r="E34" i="3"/>
  <c r="K33" i="3"/>
  <c r="E33" i="3"/>
  <c r="K32" i="3"/>
  <c r="E32" i="3"/>
  <c r="E38" i="3" s="1"/>
  <c r="K27" i="3"/>
  <c r="E27" i="3"/>
  <c r="K25" i="3"/>
  <c r="K24" i="3"/>
  <c r="E25" i="3"/>
  <c r="K23" i="3"/>
  <c r="E24" i="3"/>
  <c r="K21" i="3"/>
  <c r="E23" i="3"/>
  <c r="K20" i="3"/>
  <c r="E22" i="3"/>
  <c r="K19" i="3"/>
  <c r="E21" i="3"/>
  <c r="K18" i="3"/>
  <c r="E20" i="3"/>
  <c r="K14" i="3"/>
  <c r="E12" i="3"/>
  <c r="K12" i="3"/>
  <c r="K11" i="3"/>
  <c r="E10" i="3"/>
  <c r="K10" i="3"/>
  <c r="E9" i="3"/>
  <c r="K8" i="3"/>
  <c r="E8" i="3"/>
  <c r="K7" i="3"/>
  <c r="E7" i="3"/>
  <c r="K6" i="3"/>
  <c r="E6" i="3"/>
  <c r="K5" i="3"/>
  <c r="E5" i="3"/>
  <c r="E11" i="3" s="1"/>
  <c r="K130" i="2"/>
  <c r="K137" i="2"/>
  <c r="K135" i="2"/>
  <c r="K134" i="2"/>
  <c r="K133" i="2"/>
  <c r="K131" i="2"/>
  <c r="K129" i="2"/>
  <c r="K128" i="2"/>
  <c r="K117" i="2"/>
  <c r="K122" i="2"/>
  <c r="K121" i="2"/>
  <c r="K120" i="2"/>
  <c r="K118" i="2"/>
  <c r="K116" i="2"/>
  <c r="K115" i="2"/>
  <c r="K111" i="2"/>
  <c r="K109" i="2"/>
  <c r="K108" i="2"/>
  <c r="K107" i="2"/>
  <c r="K105" i="2"/>
  <c r="K104" i="2"/>
  <c r="K103" i="2"/>
  <c r="K102" i="2"/>
  <c r="K90" i="2"/>
  <c r="K95" i="2"/>
  <c r="K94" i="2"/>
  <c r="K93" i="2"/>
  <c r="K91" i="2"/>
  <c r="K89" i="2"/>
  <c r="K88" i="2"/>
  <c r="K76" i="2"/>
  <c r="K83" i="2"/>
  <c r="K81" i="2"/>
  <c r="K80" i="2"/>
  <c r="K79" i="2"/>
  <c r="K77" i="2"/>
  <c r="K75" i="2"/>
  <c r="K74" i="2"/>
  <c r="K69" i="2"/>
  <c r="K67" i="2"/>
  <c r="K66" i="2"/>
  <c r="K65" i="2"/>
  <c r="K63" i="2"/>
  <c r="K62" i="2"/>
  <c r="K61" i="2"/>
  <c r="K60" i="2"/>
  <c r="K49" i="2"/>
  <c r="K56" i="2"/>
  <c r="K54" i="2"/>
  <c r="K53" i="2"/>
  <c r="K52" i="2"/>
  <c r="K50" i="2"/>
  <c r="K48" i="2"/>
  <c r="K47" i="2"/>
  <c r="K35" i="2"/>
  <c r="K42" i="2"/>
  <c r="K40" i="2"/>
  <c r="K39" i="2"/>
  <c r="K38" i="2"/>
  <c r="K36" i="2"/>
  <c r="K34" i="2"/>
  <c r="K33" i="2"/>
  <c r="K28" i="2"/>
  <c r="K26" i="2"/>
  <c r="K25" i="2"/>
  <c r="K24" i="2"/>
  <c r="K22" i="2"/>
  <c r="K21" i="2"/>
  <c r="K20" i="2"/>
  <c r="K19" i="2"/>
  <c r="K7" i="2"/>
  <c r="K13" i="3" l="1"/>
  <c r="K15" i="3" s="1"/>
  <c r="K40" i="3"/>
  <c r="K42" i="3" s="1"/>
  <c r="K66" i="3"/>
  <c r="K68" i="3" s="1"/>
  <c r="E77" i="3"/>
  <c r="K92" i="3"/>
  <c r="K94" i="3" s="1"/>
  <c r="E97" i="3"/>
  <c r="E99" i="3" s="1"/>
  <c r="K105" i="3"/>
  <c r="K107" i="3" s="1"/>
  <c r="E119" i="3"/>
  <c r="E121" i="3" s="1"/>
  <c r="E26" i="3"/>
  <c r="E28" i="3" s="1"/>
  <c r="E13" i="3"/>
  <c r="E40" i="3"/>
  <c r="K53" i="3"/>
  <c r="K55" i="3" s="1"/>
  <c r="E65" i="3"/>
  <c r="K79" i="3"/>
  <c r="K81" i="3" s="1"/>
  <c r="E88" i="3"/>
  <c r="K118" i="3"/>
  <c r="K120" i="3" s="1"/>
  <c r="K55" i="2"/>
  <c r="K57" i="2" s="1"/>
  <c r="K68" i="2"/>
  <c r="K70" i="2" s="1"/>
  <c r="K27" i="2"/>
  <c r="K29" i="2" s="1"/>
  <c r="K26" i="3"/>
  <c r="K28" i="3" s="1"/>
  <c r="K132" i="3"/>
  <c r="K134" i="3" s="1"/>
  <c r="E108" i="3"/>
  <c r="E110" i="3" s="1"/>
  <c r="K136" i="2"/>
  <c r="K138" i="2" s="1"/>
  <c r="K123" i="2"/>
  <c r="K125" i="2" s="1"/>
  <c r="K110" i="2"/>
  <c r="K112" i="2" s="1"/>
  <c r="K96" i="2"/>
  <c r="K98" i="2" s="1"/>
  <c r="K82" i="2"/>
  <c r="K84" i="2" s="1"/>
  <c r="K41" i="2"/>
  <c r="K43" i="2" s="1"/>
  <c r="K14" i="2" l="1"/>
  <c r="K12" i="2"/>
  <c r="K11" i="2"/>
  <c r="K10" i="2"/>
  <c r="K8" i="2"/>
  <c r="K6" i="2"/>
  <c r="K5" i="2"/>
  <c r="K13" i="2" l="1"/>
  <c r="K15" i="2" s="1"/>
  <c r="E120" i="2"/>
  <c r="E118" i="2"/>
  <c r="E117" i="2"/>
  <c r="E116" i="2"/>
  <c r="E115" i="2"/>
  <c r="E114" i="2"/>
  <c r="E113" i="2"/>
  <c r="E109" i="2"/>
  <c r="E107" i="2"/>
  <c r="E106" i="2"/>
  <c r="E105" i="2"/>
  <c r="E104" i="2"/>
  <c r="E103" i="2"/>
  <c r="E102" i="2"/>
  <c r="E98" i="2"/>
  <c r="E96" i="2"/>
  <c r="E95" i="2"/>
  <c r="E94" i="2"/>
  <c r="E93" i="2"/>
  <c r="E92" i="2"/>
  <c r="E91" i="2"/>
  <c r="E85" i="2"/>
  <c r="E84" i="2"/>
  <c r="E83" i="2"/>
  <c r="E82" i="2"/>
  <c r="E81" i="2"/>
  <c r="E80" i="2"/>
  <c r="E76" i="2"/>
  <c r="E74" i="2"/>
  <c r="E73" i="2"/>
  <c r="E72" i="2"/>
  <c r="E71" i="2"/>
  <c r="E70" i="2"/>
  <c r="E69" i="2"/>
  <c r="E64" i="2"/>
  <c r="E62" i="2"/>
  <c r="E61" i="2"/>
  <c r="E60" i="2"/>
  <c r="E59" i="2"/>
  <c r="E58" i="2"/>
  <c r="E57" i="2"/>
  <c r="E45" i="2"/>
  <c r="E44" i="2"/>
  <c r="E51" i="2"/>
  <c r="E49" i="2"/>
  <c r="E48" i="2"/>
  <c r="E47" i="2"/>
  <c r="E46" i="2"/>
  <c r="E39" i="2"/>
  <c r="E37" i="2"/>
  <c r="E36" i="2"/>
  <c r="E35" i="2"/>
  <c r="E34" i="2"/>
  <c r="E33" i="2"/>
  <c r="E32" i="2"/>
  <c r="E27" i="2"/>
  <c r="E12" i="2"/>
  <c r="E25" i="2"/>
  <c r="E24" i="2"/>
  <c r="E23" i="2"/>
  <c r="E22" i="2"/>
  <c r="E21" i="2"/>
  <c r="E20" i="2"/>
  <c r="E10" i="2"/>
  <c r="E9" i="2"/>
  <c r="E8" i="2"/>
  <c r="E7" i="2"/>
  <c r="E6" i="2"/>
  <c r="E5" i="2"/>
  <c r="E97" i="2" l="1"/>
  <c r="E99" i="2" s="1"/>
  <c r="E119" i="2"/>
  <c r="E121" i="2" s="1"/>
  <c r="E26" i="2"/>
  <c r="E28" i="2" s="1"/>
  <c r="E38" i="2"/>
  <c r="E40" i="2" s="1"/>
  <c r="E50" i="2"/>
  <c r="E52" i="2" s="1"/>
  <c r="E11" i="2"/>
  <c r="E13" i="2" s="1"/>
  <c r="E63" i="2"/>
  <c r="E65" i="2" s="1"/>
  <c r="E108" i="2"/>
  <c r="E110" i="2" s="1"/>
  <c r="E75" i="2"/>
  <c r="E77" i="2" s="1"/>
  <c r="E86" i="2"/>
  <c r="E88" i="2" s="1"/>
</calcChain>
</file>

<file path=xl/sharedStrings.xml><?xml version="1.0" encoding="utf-8"?>
<sst xmlns="http://schemas.openxmlformats.org/spreadsheetml/2006/main" count="27588" uniqueCount="2267">
  <si>
    <t>PRIX MATIERE PREMIERE GRILLES LINEAIRES</t>
  </si>
  <si>
    <t>PRODUIT GRILLE  ALU</t>
  </si>
  <si>
    <t>PR</t>
  </si>
  <si>
    <t>PR JANV19</t>
  </si>
  <si>
    <t>P/REVIENT</t>
  </si>
  <si>
    <t>PROFILE POUR GSD EN ML BLANC</t>
  </si>
  <si>
    <t>PROFILE POUR GDD EN ML BLANC</t>
  </si>
  <si>
    <t>AILETTES  100 EN ML (SD et DD)BLANC</t>
  </si>
  <si>
    <t>AILETTES 200 EN ML G B F BLANC</t>
  </si>
  <si>
    <t>PROFIL DE RENFORCEMENT</t>
  </si>
  <si>
    <t>TUBE ALUMINUM EN ML</t>
  </si>
  <si>
    <t>REGLETTE 100</t>
  </si>
  <si>
    <t>REGLETTE 150</t>
  </si>
  <si>
    <t>REGLETTE 200</t>
  </si>
  <si>
    <t>REGLETTE 250</t>
  </si>
  <si>
    <t>REGLETTE 300</t>
  </si>
  <si>
    <t>REGLETTE 400</t>
  </si>
  <si>
    <t>REGLETTE 500</t>
  </si>
  <si>
    <t>EQUERRES</t>
  </si>
  <si>
    <t>CLIPS FC</t>
  </si>
  <si>
    <t>PORTE AILETTE PLASTIQUE 00</t>
  </si>
  <si>
    <t>PORTE AILETTE PLASTIQUE 01</t>
  </si>
  <si>
    <t xml:space="preserve">Dimenssions des Grilles A Barre Fixe </t>
  </si>
  <si>
    <t>N'importe Quel Longueur</t>
  </si>
  <si>
    <t>LARGEUR</t>
  </si>
  <si>
    <t>NBR/AILETTES</t>
  </si>
  <si>
    <t>NB :  Les grilles lineaires double deflexion à partir de la largeur 100 mm</t>
  </si>
  <si>
    <t xml:space="preserve">Dimenssions des Grilles linèaires simple et double  </t>
  </si>
  <si>
    <t>CONS</t>
  </si>
  <si>
    <t>PRIX</t>
  </si>
  <si>
    <t>TOTAL</t>
  </si>
  <si>
    <t>200*100</t>
  </si>
  <si>
    <t xml:space="preserve">PROFIL </t>
  </si>
  <si>
    <t>AIL</t>
  </si>
  <si>
    <t>RENF</t>
  </si>
  <si>
    <t>CLIP</t>
  </si>
  <si>
    <t>EQUERE</t>
  </si>
  <si>
    <t>EXEC</t>
  </si>
  <si>
    <t>300*100</t>
  </si>
  <si>
    <t>4 ail</t>
  </si>
  <si>
    <t>400*100</t>
  </si>
  <si>
    <t>500*100</t>
  </si>
  <si>
    <t>REG 100</t>
  </si>
  <si>
    <t>REG  100</t>
  </si>
  <si>
    <t>600*100</t>
  </si>
  <si>
    <t>700*100</t>
  </si>
  <si>
    <t>800*100</t>
  </si>
  <si>
    <t>900*100</t>
  </si>
  <si>
    <t>1000*100</t>
  </si>
  <si>
    <t>1200*100</t>
  </si>
  <si>
    <t>GRILLES SIMPLE DEFLEXION GRIS</t>
  </si>
  <si>
    <t>GRILLES DOUBLE DEFLEXION GRIS</t>
  </si>
  <si>
    <t>9 ail</t>
  </si>
  <si>
    <t>14 ail</t>
  </si>
  <si>
    <t>19 AIL</t>
  </si>
  <si>
    <t>24 AIL</t>
  </si>
  <si>
    <t>29 AIL</t>
  </si>
  <si>
    <t>34 AIL</t>
  </si>
  <si>
    <t>39 AIL</t>
  </si>
  <si>
    <t>44 AIL</t>
  </si>
  <si>
    <t>49 AIL</t>
  </si>
  <si>
    <t>59 AIL</t>
  </si>
  <si>
    <t>200*150</t>
  </si>
  <si>
    <t>6 ail</t>
  </si>
  <si>
    <t>300*150</t>
  </si>
  <si>
    <t>400*150</t>
  </si>
  <si>
    <t>500*150</t>
  </si>
  <si>
    <t>600*150</t>
  </si>
  <si>
    <t>700*150</t>
  </si>
  <si>
    <t>800*150</t>
  </si>
  <si>
    <t>900*150</t>
  </si>
  <si>
    <t>1000*150</t>
  </si>
  <si>
    <t>1200*150</t>
  </si>
  <si>
    <t>200*200</t>
  </si>
  <si>
    <t>300*200</t>
  </si>
  <si>
    <t>400*200</t>
  </si>
  <si>
    <t>500*200</t>
  </si>
  <si>
    <t>600*200</t>
  </si>
  <si>
    <t>700*200</t>
  </si>
  <si>
    <t>800*200</t>
  </si>
  <si>
    <t>900*200</t>
  </si>
  <si>
    <t>1000*200</t>
  </si>
  <si>
    <t>1200*200</t>
  </si>
  <si>
    <t xml:space="preserve"> 9 ail</t>
  </si>
  <si>
    <t>REG 150</t>
  </si>
  <si>
    <t>REG 200</t>
  </si>
  <si>
    <t>REG 300</t>
  </si>
  <si>
    <t>REG 400</t>
  </si>
  <si>
    <t>REG  500</t>
  </si>
  <si>
    <t>REG  600</t>
  </si>
  <si>
    <t>REG  300</t>
  </si>
  <si>
    <t>REG  700</t>
  </si>
  <si>
    <t>REG 800</t>
  </si>
  <si>
    <t>REG  900</t>
  </si>
  <si>
    <t>REG  1000</t>
  </si>
  <si>
    <t>REG  1200</t>
  </si>
  <si>
    <t>REG  150</t>
  </si>
  <si>
    <t>REG  200</t>
  </si>
  <si>
    <t>REG 600</t>
  </si>
  <si>
    <t>REG 700</t>
  </si>
  <si>
    <t>REG 1000</t>
  </si>
  <si>
    <t>REG 1200</t>
  </si>
  <si>
    <t>300*300</t>
  </si>
  <si>
    <t>400*300</t>
  </si>
  <si>
    <t>500*300</t>
  </si>
  <si>
    <t>600*300</t>
  </si>
  <si>
    <t>700*300</t>
  </si>
  <si>
    <t>800*300</t>
  </si>
  <si>
    <t>900*300</t>
  </si>
  <si>
    <t>1000*300</t>
  </si>
  <si>
    <t>1200*300</t>
  </si>
  <si>
    <t xml:space="preserve"> 14 ail</t>
  </si>
  <si>
    <t xml:space="preserve"> 19 ail</t>
  </si>
  <si>
    <t>REG 500</t>
  </si>
  <si>
    <t>44 ail</t>
  </si>
  <si>
    <t>REG 900</t>
  </si>
  <si>
    <t>400*400</t>
  </si>
  <si>
    <t>19 ail</t>
  </si>
  <si>
    <t>500*400</t>
  </si>
  <si>
    <t>600*400</t>
  </si>
  <si>
    <t>700*400</t>
  </si>
  <si>
    <t>800*400</t>
  </si>
  <si>
    <t>900*400</t>
  </si>
  <si>
    <t>1000*400</t>
  </si>
  <si>
    <t>1200*400</t>
  </si>
  <si>
    <t xml:space="preserve"> 24 ail</t>
  </si>
  <si>
    <t xml:space="preserve"> 29 ail</t>
  </si>
  <si>
    <t xml:space="preserve"> 34 ail</t>
  </si>
  <si>
    <t>REG  400</t>
  </si>
  <si>
    <t>CALCUL PRIX DE REVIENT  DES GRILLES LINEAIRES</t>
  </si>
  <si>
    <t>TABLEAU DE PROFILE  RENFORT POUR GSD ET GDD</t>
  </si>
  <si>
    <t>LG</t>
  </si>
  <si>
    <t>LARG</t>
  </si>
  <si>
    <t>NBR/TUBE ALU</t>
  </si>
  <si>
    <t>NBR/RENF</t>
  </si>
  <si>
    <t>GRILLES SIMPLE DEFLEXION BLANC</t>
  </si>
  <si>
    <t>200*50</t>
  </si>
  <si>
    <t>T/ALUM</t>
  </si>
  <si>
    <t>200*40</t>
  </si>
  <si>
    <t>200*60</t>
  </si>
  <si>
    <t>200*75</t>
  </si>
  <si>
    <t>200*85</t>
  </si>
  <si>
    <t>200*90</t>
  </si>
  <si>
    <t>6 AIL</t>
  </si>
  <si>
    <t>200*120</t>
  </si>
  <si>
    <t>200*130</t>
  </si>
  <si>
    <t>200*135</t>
  </si>
  <si>
    <t>300*50</t>
  </si>
  <si>
    <t>300*40</t>
  </si>
  <si>
    <t>300*60</t>
  </si>
  <si>
    <t>300*75</t>
  </si>
  <si>
    <t>300*85</t>
  </si>
  <si>
    <t>300*90</t>
  </si>
  <si>
    <t>300*120</t>
  </si>
  <si>
    <t>300*130</t>
  </si>
  <si>
    <t>300*135</t>
  </si>
  <si>
    <t>300*250</t>
  </si>
  <si>
    <t>400*50</t>
  </si>
  <si>
    <t>400*40</t>
  </si>
  <si>
    <t>400*60</t>
  </si>
  <si>
    <t>400*75</t>
  </si>
  <si>
    <t>400*85</t>
  </si>
  <si>
    <t>400*90</t>
  </si>
  <si>
    <t>400*120</t>
  </si>
  <si>
    <t>400*130</t>
  </si>
  <si>
    <t>400*135</t>
  </si>
  <si>
    <t>400*250</t>
  </si>
  <si>
    <t>21 ail</t>
  </si>
  <si>
    <t>29 ail</t>
  </si>
  <si>
    <t>500*40</t>
  </si>
  <si>
    <t>500*50</t>
  </si>
  <si>
    <t>2 AIL</t>
  </si>
  <si>
    <t>500*75</t>
  </si>
  <si>
    <t>500*85</t>
  </si>
  <si>
    <t>500*90</t>
  </si>
  <si>
    <t>500*120</t>
  </si>
  <si>
    <t>500*130</t>
  </si>
  <si>
    <t>500*135</t>
  </si>
  <si>
    <t>9 AIL</t>
  </si>
  <si>
    <t>500*250</t>
  </si>
  <si>
    <t>600*60</t>
  </si>
  <si>
    <t>600*40</t>
  </si>
  <si>
    <t>600*50</t>
  </si>
  <si>
    <t>600*75</t>
  </si>
  <si>
    <t>600*85</t>
  </si>
  <si>
    <t>600*90</t>
  </si>
  <si>
    <t>600*120</t>
  </si>
  <si>
    <t>600*130</t>
  </si>
  <si>
    <t>600*135</t>
  </si>
  <si>
    <t>600*250</t>
  </si>
  <si>
    <t>700*60</t>
  </si>
  <si>
    <t>700*40</t>
  </si>
  <si>
    <t>700*50</t>
  </si>
  <si>
    <t>700*75</t>
  </si>
  <si>
    <t>700*85</t>
  </si>
  <si>
    <t>700*90</t>
  </si>
  <si>
    <t>700*120</t>
  </si>
  <si>
    <t>700*130</t>
  </si>
  <si>
    <t>700*135</t>
  </si>
  <si>
    <t>700*250</t>
  </si>
  <si>
    <t>800*60</t>
  </si>
  <si>
    <t>2 ail</t>
  </si>
  <si>
    <t>800*40</t>
  </si>
  <si>
    <t>800*50</t>
  </si>
  <si>
    <t>800*75</t>
  </si>
  <si>
    <t>800*85</t>
  </si>
  <si>
    <t>800*90</t>
  </si>
  <si>
    <t>800*130</t>
  </si>
  <si>
    <t>800*135</t>
  </si>
  <si>
    <t>800*120</t>
  </si>
  <si>
    <t>800*250</t>
  </si>
  <si>
    <t>500*60</t>
  </si>
  <si>
    <t>10 ail</t>
  </si>
  <si>
    <t>21 AIL</t>
  </si>
  <si>
    <t>3 AIL</t>
  </si>
  <si>
    <t>20 min</t>
  </si>
  <si>
    <t>CLIPS</t>
  </si>
  <si>
    <t>14 AIL</t>
  </si>
  <si>
    <t>17 ail</t>
  </si>
  <si>
    <t>1 AIL</t>
  </si>
  <si>
    <t>8 AIL</t>
  </si>
  <si>
    <t>17 AIL</t>
  </si>
  <si>
    <t>900*50</t>
  </si>
  <si>
    <t>900*60</t>
  </si>
  <si>
    <t>900*75</t>
  </si>
  <si>
    <t>900*40</t>
  </si>
  <si>
    <t>900*85</t>
  </si>
  <si>
    <t>900*90</t>
  </si>
  <si>
    <t>900*120</t>
  </si>
  <si>
    <t>8 ail</t>
  </si>
  <si>
    <t>900*130</t>
  </si>
  <si>
    <t>900*135</t>
  </si>
  <si>
    <t>10 AIL</t>
  </si>
  <si>
    <t>900*250</t>
  </si>
  <si>
    <t>1000*40</t>
  </si>
  <si>
    <t>1000*50</t>
  </si>
  <si>
    <t>1000*60</t>
  </si>
  <si>
    <t>1000*75</t>
  </si>
  <si>
    <t>4 AIL</t>
  </si>
  <si>
    <t>1000*85</t>
  </si>
  <si>
    <t>1000*90</t>
  </si>
  <si>
    <t>1000*120</t>
  </si>
  <si>
    <t>1000*130</t>
  </si>
  <si>
    <t>1000*135</t>
  </si>
  <si>
    <t>1000*250</t>
  </si>
  <si>
    <t>1200*40</t>
  </si>
  <si>
    <t>1 ail</t>
  </si>
  <si>
    <t>1200*50</t>
  </si>
  <si>
    <t>1200*60</t>
  </si>
  <si>
    <t>1200*75</t>
  </si>
  <si>
    <t>1200*85</t>
  </si>
  <si>
    <t>1200*90</t>
  </si>
  <si>
    <t>1200*120</t>
  </si>
  <si>
    <t>1200*130</t>
  </si>
  <si>
    <t>1200*135</t>
  </si>
  <si>
    <t>1200*250</t>
  </si>
  <si>
    <t>21  ail</t>
  </si>
  <si>
    <t>GRILLES A BARRE FIXE GRIS ET BLANC</t>
  </si>
  <si>
    <t>15 min</t>
  </si>
  <si>
    <t>5 AIL</t>
  </si>
  <si>
    <t>7 AIL</t>
  </si>
  <si>
    <t>3 ail</t>
  </si>
  <si>
    <t>5 ail</t>
  </si>
  <si>
    <t>7 ail</t>
  </si>
  <si>
    <t>25 min</t>
  </si>
  <si>
    <t>30 min</t>
  </si>
  <si>
    <t>45 min</t>
  </si>
  <si>
    <t>35 min</t>
  </si>
  <si>
    <t>40 min</t>
  </si>
  <si>
    <t>4 tube alu</t>
  </si>
  <si>
    <t>3 tube alu</t>
  </si>
  <si>
    <t>GRILLES DOUBLE DEFLEXION BLANC</t>
  </si>
  <si>
    <t>TARIF DES GRILLES LINEAIRES</t>
  </si>
  <si>
    <t>GRILLES SIMPLE DEFLEXION ALUMINUM</t>
  </si>
  <si>
    <t>DIMENSSION</t>
  </si>
  <si>
    <t>P/TARIF</t>
  </si>
  <si>
    <t>RE  25%</t>
  </si>
  <si>
    <t>RE 10%</t>
  </si>
  <si>
    <t>GRILLES DOUBLE DEFLEXION ALUMINUM</t>
  </si>
  <si>
    <t>GRILLES A BARRE FIXE ALUMINUM</t>
  </si>
  <si>
    <t>GRILLES A BARRE FIXE BLANC</t>
  </si>
  <si>
    <t>1500*1500</t>
  </si>
  <si>
    <t>75 ail</t>
  </si>
  <si>
    <t>3h</t>
  </si>
  <si>
    <t>1200*1200</t>
  </si>
  <si>
    <t>60 ail</t>
  </si>
  <si>
    <t>60  ail</t>
  </si>
  <si>
    <t>GDD GRIS</t>
  </si>
  <si>
    <t>GDD BLANC</t>
  </si>
  <si>
    <t>REG  1500</t>
  </si>
  <si>
    <t>REG 1500</t>
  </si>
  <si>
    <t>600*600</t>
  </si>
  <si>
    <t>1000*500</t>
  </si>
  <si>
    <t>24 ail</t>
  </si>
  <si>
    <t>1200*500</t>
  </si>
  <si>
    <t>1840*600</t>
  </si>
  <si>
    <t>90 AIL</t>
  </si>
  <si>
    <t>1840*60</t>
  </si>
  <si>
    <t>1840*300</t>
  </si>
  <si>
    <t>1840*350</t>
  </si>
  <si>
    <t>26 ail</t>
  </si>
  <si>
    <t>560*560</t>
  </si>
  <si>
    <t>REG 560</t>
  </si>
  <si>
    <t>REG  560</t>
  </si>
  <si>
    <t>2000*40</t>
  </si>
  <si>
    <t>3000*40</t>
  </si>
  <si>
    <t>560*40</t>
  </si>
  <si>
    <t>1ail</t>
  </si>
  <si>
    <t>1190*40</t>
  </si>
  <si>
    <t>500*1000</t>
  </si>
  <si>
    <t>50 ail</t>
  </si>
  <si>
    <t>450*450</t>
  </si>
  <si>
    <t xml:space="preserve">  22 ail</t>
  </si>
  <si>
    <t xml:space="preserve"> 22  ail</t>
  </si>
  <si>
    <t xml:space="preserve">  17 ail</t>
  </si>
  <si>
    <t xml:space="preserve"> 17  ail</t>
  </si>
  <si>
    <t>350*350</t>
  </si>
  <si>
    <t>550*100</t>
  </si>
  <si>
    <t>1950*920</t>
  </si>
  <si>
    <t>60 min</t>
  </si>
  <si>
    <t>45 MIN</t>
  </si>
  <si>
    <t>45 ail</t>
  </si>
  <si>
    <t>2350*400</t>
  </si>
  <si>
    <t>6 H</t>
  </si>
  <si>
    <t>2450*50</t>
  </si>
  <si>
    <t>550*50</t>
  </si>
  <si>
    <t>3900*50</t>
  </si>
  <si>
    <t>4650*50</t>
  </si>
  <si>
    <t>3100*50</t>
  </si>
  <si>
    <t>2 H</t>
  </si>
  <si>
    <t>1250*400</t>
  </si>
  <si>
    <t>*2,5</t>
  </si>
  <si>
    <t>1300*400</t>
  </si>
  <si>
    <t>1450*400</t>
  </si>
  <si>
    <t>1100*600</t>
  </si>
  <si>
    <t>700*350</t>
  </si>
  <si>
    <t>6910*40</t>
  </si>
  <si>
    <t>01 AIL</t>
  </si>
  <si>
    <t>910*40</t>
  </si>
  <si>
    <t>980*500</t>
  </si>
  <si>
    <t>36 ail</t>
  </si>
  <si>
    <t>800*500</t>
  </si>
  <si>
    <t>1100*450</t>
  </si>
  <si>
    <t>800*700</t>
  </si>
  <si>
    <t>900*800</t>
  </si>
  <si>
    <t>35 ail</t>
  </si>
  <si>
    <t>40 ail</t>
  </si>
  <si>
    <t>650*300</t>
  </si>
  <si>
    <t>650*500</t>
  </si>
  <si>
    <t>800*900</t>
  </si>
  <si>
    <t>1600*60</t>
  </si>
  <si>
    <t>2600*60</t>
  </si>
  <si>
    <t>1500*100</t>
  </si>
  <si>
    <t>285*600</t>
  </si>
  <si>
    <t>285*300</t>
  </si>
  <si>
    <t>3000*80</t>
  </si>
  <si>
    <t xml:space="preserve"> 4 ail</t>
  </si>
  <si>
    <t>3H</t>
  </si>
  <si>
    <t>1000*800</t>
  </si>
  <si>
    <t>REG  800</t>
  </si>
  <si>
    <t>4H</t>
  </si>
  <si>
    <t>G SIMPLE DEFLEXION GRIS</t>
  </si>
  <si>
    <t>150*100</t>
  </si>
  <si>
    <t>1000*80</t>
  </si>
  <si>
    <t>500*900</t>
  </si>
  <si>
    <t>45  ail</t>
  </si>
  <si>
    <t>2400*1200/2</t>
  </si>
  <si>
    <t>4h*85</t>
  </si>
  <si>
    <t>REG600</t>
  </si>
  <si>
    <t>REG800</t>
  </si>
  <si>
    <t>M2</t>
  </si>
  <si>
    <t>1850/m2</t>
  </si>
  <si>
    <t>360*150</t>
  </si>
  <si>
    <t>2350*1120/2</t>
  </si>
  <si>
    <t>1175*1120</t>
  </si>
  <si>
    <t>54 ail</t>
  </si>
  <si>
    <t>1000*600</t>
  </si>
  <si>
    <t>50 AIL</t>
  </si>
  <si>
    <t>1400*200</t>
  </si>
  <si>
    <t>3 h</t>
  </si>
  <si>
    <t>1060*110</t>
  </si>
  <si>
    <t>900*700</t>
  </si>
  <si>
    <t>1500*500</t>
  </si>
  <si>
    <t>1100*1000</t>
  </si>
  <si>
    <t>1400*1300</t>
  </si>
  <si>
    <t>64 ail</t>
  </si>
  <si>
    <t>850*100</t>
  </si>
  <si>
    <t xml:space="preserve"> 5 ail</t>
  </si>
  <si>
    <t>485*785</t>
  </si>
  <si>
    <t>440*585</t>
  </si>
  <si>
    <t>39 ail</t>
  </si>
  <si>
    <t>30 ail</t>
  </si>
  <si>
    <t>590*585</t>
  </si>
  <si>
    <t>h</t>
  </si>
  <si>
    <t>2360*1120</t>
  </si>
  <si>
    <t>56 ail</t>
  </si>
  <si>
    <t>800*800</t>
  </si>
  <si>
    <t>40 AIL</t>
  </si>
  <si>
    <t>30 AIL</t>
  </si>
  <si>
    <t>50 min</t>
  </si>
  <si>
    <t>1700*75</t>
  </si>
  <si>
    <t>1400*75</t>
  </si>
  <si>
    <t>2h</t>
  </si>
  <si>
    <t>191*85</t>
  </si>
  <si>
    <t>224*118ext</t>
  </si>
  <si>
    <t>900*1200</t>
  </si>
  <si>
    <t>440*590</t>
  </si>
  <si>
    <t>400*350</t>
  </si>
  <si>
    <t>16 ail</t>
  </si>
  <si>
    <t>1200*600</t>
  </si>
  <si>
    <t>450*400</t>
  </si>
  <si>
    <t>22 ail</t>
  </si>
  <si>
    <t>gris</t>
  </si>
  <si>
    <t>blanc</t>
  </si>
  <si>
    <t>800*650</t>
  </si>
  <si>
    <t>34 ail</t>
  </si>
  <si>
    <t>800*600</t>
  </si>
  <si>
    <t>600*500</t>
  </si>
  <si>
    <t>PV</t>
  </si>
  <si>
    <t>1500*200</t>
  </si>
  <si>
    <t>1600*100</t>
  </si>
  <si>
    <t>1000*1000</t>
  </si>
  <si>
    <t>560*270</t>
  </si>
  <si>
    <t>630*450</t>
  </si>
  <si>
    <t>500*500</t>
  </si>
  <si>
    <t>730*380</t>
  </si>
  <si>
    <t>QTE 06</t>
  </si>
  <si>
    <t>0,18 m2</t>
  </si>
  <si>
    <t>2687 m2</t>
  </si>
  <si>
    <t>P/ vente/NET</t>
  </si>
  <si>
    <t>QTE 54</t>
  </si>
  <si>
    <t>0,24 m2</t>
  </si>
  <si>
    <t>1959 m2</t>
  </si>
  <si>
    <t>GRILLE DOUBLE DEFLEX BLANC</t>
  </si>
  <si>
    <t>GRILLES SIMPLE DEFLEX BLANC</t>
  </si>
  <si>
    <t>0,151 m2</t>
  </si>
  <si>
    <t>1815 m2</t>
  </si>
  <si>
    <t>QTE 10</t>
  </si>
  <si>
    <t>QTE 01</t>
  </si>
  <si>
    <t>0,283 m2</t>
  </si>
  <si>
    <t>2358 m2</t>
  </si>
  <si>
    <t>QTE 02</t>
  </si>
  <si>
    <t>1530 m2</t>
  </si>
  <si>
    <t>1238 m2</t>
  </si>
  <si>
    <t>1060 m2</t>
  </si>
  <si>
    <t>1095 m2</t>
  </si>
  <si>
    <t>0,25 m2</t>
  </si>
  <si>
    <t>1064 m2</t>
  </si>
  <si>
    <t>1452 m2</t>
  </si>
  <si>
    <t>REG 380</t>
  </si>
  <si>
    <t>0,277 m2</t>
  </si>
  <si>
    <t>1156 m2</t>
  </si>
  <si>
    <t>PRIX DE REVIENT DES GRILLES LINEAIRES</t>
  </si>
  <si>
    <t>2220 m2</t>
  </si>
  <si>
    <t>date  le 30 aout 2022</t>
  </si>
  <si>
    <t>GSD</t>
  </si>
  <si>
    <t xml:space="preserve">GDD </t>
  </si>
  <si>
    <t>GBF</t>
  </si>
  <si>
    <t>HSD</t>
  </si>
  <si>
    <t>GBF  HSD</t>
  </si>
  <si>
    <t>1260*570</t>
  </si>
  <si>
    <t>2,5*85</t>
  </si>
  <si>
    <t>3*85</t>
  </si>
  <si>
    <t>30 MIN</t>
  </si>
  <si>
    <t>25 ail</t>
  </si>
  <si>
    <t>25 AIL</t>
  </si>
  <si>
    <t>2000*100</t>
  </si>
  <si>
    <t>980*980</t>
  </si>
  <si>
    <t>51 ail</t>
  </si>
  <si>
    <t>1150*980</t>
  </si>
  <si>
    <t>3,5*85</t>
  </si>
  <si>
    <t>2000*150</t>
  </si>
  <si>
    <t>325*225</t>
  </si>
  <si>
    <t>525*225</t>
  </si>
  <si>
    <t>625*225</t>
  </si>
  <si>
    <t>425*225</t>
  </si>
  <si>
    <t>825*225</t>
  </si>
  <si>
    <t>424*125</t>
  </si>
  <si>
    <t>625*325</t>
  </si>
  <si>
    <t>15 ail</t>
  </si>
  <si>
    <t>2400*100</t>
  </si>
  <si>
    <t>min</t>
  </si>
  <si>
    <t>2*85</t>
  </si>
  <si>
    <t>BARRE FIXE</t>
  </si>
  <si>
    <t>567*567</t>
  </si>
  <si>
    <t>REG  250</t>
  </si>
  <si>
    <t>0,100m2</t>
  </si>
  <si>
    <t>3000*100</t>
  </si>
  <si>
    <t>2500m2</t>
  </si>
  <si>
    <t xml:space="preserve">PR </t>
  </si>
  <si>
    <t>2000*500</t>
  </si>
  <si>
    <t>6*85</t>
  </si>
  <si>
    <t xml:space="preserve"> 25 ail</t>
  </si>
  <si>
    <t>550*350</t>
  </si>
  <si>
    <t>1H</t>
  </si>
  <si>
    <t>450*350</t>
  </si>
  <si>
    <t>650*150</t>
  </si>
  <si>
    <t>880*150</t>
  </si>
  <si>
    <t>globale contract</t>
  </si>
  <si>
    <t>2000*400</t>
  </si>
  <si>
    <t>0,36m2</t>
  </si>
  <si>
    <t>0,80 m2</t>
  </si>
  <si>
    <t>2000*800</t>
  </si>
  <si>
    <t>1,6 m2</t>
  </si>
  <si>
    <t>1270*1020</t>
  </si>
  <si>
    <t>1,29 m2</t>
  </si>
  <si>
    <t>4*85</t>
  </si>
  <si>
    <t>REG  50</t>
  </si>
  <si>
    <t>85MIN</t>
  </si>
  <si>
    <t>2500*50</t>
  </si>
  <si>
    <t>GSD QUE CADRE</t>
  </si>
  <si>
    <t>1500*50</t>
  </si>
  <si>
    <t>1500*30</t>
  </si>
  <si>
    <t>2000*50</t>
  </si>
  <si>
    <t>02 AIL</t>
  </si>
  <si>
    <t>1200*900</t>
  </si>
  <si>
    <t>*1944m2</t>
  </si>
  <si>
    <t>1,08  m2</t>
  </si>
  <si>
    <t>1144*380</t>
  </si>
  <si>
    <t>60 AIL</t>
  </si>
  <si>
    <t>790*500</t>
  </si>
  <si>
    <t>1800*550</t>
  </si>
  <si>
    <t>4h</t>
  </si>
  <si>
    <t>2400*800</t>
  </si>
  <si>
    <t>1,92 m2</t>
  </si>
  <si>
    <t>0,72  m2</t>
  </si>
  <si>
    <t>06 AIL</t>
  </si>
  <si>
    <t>130*130</t>
  </si>
  <si>
    <t>0,02m2</t>
  </si>
  <si>
    <t>570*280</t>
  </si>
  <si>
    <t>0,16 m2</t>
  </si>
  <si>
    <t>2200*400</t>
  </si>
  <si>
    <t>0,88m2</t>
  </si>
  <si>
    <t>2320*520</t>
  </si>
  <si>
    <t>118 AIL</t>
  </si>
  <si>
    <t>1,21 m2</t>
  </si>
  <si>
    <t>0,600 m2</t>
  </si>
  <si>
    <t>700*700</t>
  </si>
  <si>
    <t>35 AIL</t>
  </si>
  <si>
    <t>0,49 m2</t>
  </si>
  <si>
    <t>0,36 m2</t>
  </si>
  <si>
    <t>29  ail</t>
  </si>
  <si>
    <t>35  ail</t>
  </si>
  <si>
    <t>590*590</t>
  </si>
  <si>
    <t>11ail</t>
  </si>
  <si>
    <t>11 ail</t>
  </si>
  <si>
    <t>700*600</t>
  </si>
  <si>
    <t>2H</t>
  </si>
  <si>
    <t>980*700</t>
  </si>
  <si>
    <t>2,5H</t>
  </si>
  <si>
    <t>990*950</t>
  </si>
  <si>
    <t>750*180</t>
  </si>
  <si>
    <t>2375*400</t>
  </si>
  <si>
    <t>1125*400</t>
  </si>
  <si>
    <t>2850*400</t>
  </si>
  <si>
    <t>6h</t>
  </si>
  <si>
    <t>565*400</t>
  </si>
  <si>
    <t>937*400</t>
  </si>
  <si>
    <t>2900*170</t>
  </si>
  <si>
    <t>1h</t>
  </si>
  <si>
    <t>65  ail</t>
  </si>
  <si>
    <t>6400*50</t>
  </si>
  <si>
    <t>835*200</t>
  </si>
  <si>
    <t>2058*80</t>
  </si>
  <si>
    <t>2980*80</t>
  </si>
  <si>
    <t>670*890</t>
  </si>
  <si>
    <t>550*40</t>
  </si>
  <si>
    <t>grilles a barre fixe blanc</t>
  </si>
  <si>
    <t>750*400</t>
  </si>
  <si>
    <t>1500*400</t>
  </si>
  <si>
    <t>1750*400</t>
  </si>
  <si>
    <t>3670*85</t>
  </si>
  <si>
    <t>A</t>
  </si>
  <si>
    <t>B</t>
  </si>
  <si>
    <t>SUF</t>
  </si>
  <si>
    <t>PV/NET</t>
  </si>
  <si>
    <t>PV/PL/TARIF</t>
  </si>
  <si>
    <t>GRILLE A BARRE FIXE BLANC SANS CADRE PROFILE</t>
  </si>
  <si>
    <t>LE 10/02/2023</t>
  </si>
  <si>
    <t>DEMANDE DE PRIX ETS EL HARTI</t>
  </si>
  <si>
    <t>3670*110</t>
  </si>
  <si>
    <t xml:space="preserve"> 98 ail</t>
  </si>
  <si>
    <t>REG 2000</t>
  </si>
  <si>
    <t>1 M2</t>
  </si>
  <si>
    <t>1160*85</t>
  </si>
  <si>
    <t>1400*400</t>
  </si>
  <si>
    <t>0,56 m2</t>
  </si>
  <si>
    <t>GEEN AEROLIQUE</t>
  </si>
  <si>
    <t>300*670</t>
  </si>
  <si>
    <t>0,210 m2</t>
  </si>
  <si>
    <t>400*650</t>
  </si>
  <si>
    <t>33 ail</t>
  </si>
  <si>
    <t>0,26 m2</t>
  </si>
  <si>
    <t>PR 2022</t>
  </si>
  <si>
    <t xml:space="preserve">PRIX DE REVIENT GRILLE A BARRE FIXE BLANC </t>
  </si>
  <si>
    <t>0,400 m2</t>
  </si>
  <si>
    <t>2500*400</t>
  </si>
  <si>
    <t>1 m2</t>
  </si>
  <si>
    <t xml:space="preserve">GRILLE SIMPLE DEFLEXION GRIS </t>
  </si>
  <si>
    <t>GRILLE SIMPLE DEFLEXION BLANC</t>
  </si>
  <si>
    <t xml:space="preserve"> 50ail</t>
  </si>
  <si>
    <t>GRILLE DOUBLE DEFLEXION GRIS</t>
  </si>
  <si>
    <t>GRILLE DOUBLE DEFLEXION BLANC</t>
  </si>
  <si>
    <t>CALCUL DE PRIX DE REVIENT EN m2</t>
  </si>
  <si>
    <t>1000 m2</t>
  </si>
  <si>
    <t>icat</t>
  </si>
  <si>
    <t>G BARRE FIXE</t>
  </si>
  <si>
    <t>HT</t>
  </si>
  <si>
    <t xml:space="preserve">G DD </t>
  </si>
  <si>
    <t>1340*50</t>
  </si>
  <si>
    <t>101,32/h</t>
  </si>
  <si>
    <t>*3%</t>
  </si>
  <si>
    <t>*60%</t>
  </si>
  <si>
    <t>98 AIL</t>
  </si>
  <si>
    <t xml:space="preserve">GRILLE DOUBLE DEFLEXION GRIS </t>
  </si>
  <si>
    <t>0,480 m2</t>
  </si>
  <si>
    <t>0,12 m2</t>
  </si>
  <si>
    <t>0,320 m2</t>
  </si>
  <si>
    <t xml:space="preserve">DETAIL PRIX DE REVIENT GRILLE A BARRE FIXE </t>
  </si>
  <si>
    <t>0,03 m2</t>
  </si>
  <si>
    <t>GRILLE SIMPLE DEFLEXION</t>
  </si>
  <si>
    <t>0,100 m2</t>
  </si>
  <si>
    <t>GRILLE A BARRE FIXE BLANC</t>
  </si>
  <si>
    <t>0,05 m2</t>
  </si>
  <si>
    <t>37 ail</t>
  </si>
  <si>
    <t xml:space="preserve"> 24ail</t>
  </si>
  <si>
    <t>0,37 m2</t>
  </si>
  <si>
    <t>730*500</t>
  </si>
  <si>
    <t>le 14/03/2023</t>
  </si>
  <si>
    <t>GRILLE A BARRE FIXE 1000*1000</t>
  </si>
  <si>
    <t>GRILLE A BARRE FIXE 300*100</t>
  </si>
  <si>
    <t>GRILLE A BARRE FIXE 1000*100</t>
  </si>
  <si>
    <t>GRILLE A BARRE FIXE 1000*400 blanc</t>
  </si>
  <si>
    <t>09 ail</t>
  </si>
  <si>
    <t>GRILLE A BARRE FIXE 1000*200 blanc</t>
  </si>
  <si>
    <t>GRILLE A BARRE FIXE 2500*400 blanc</t>
  </si>
  <si>
    <t>2440*1200</t>
  </si>
  <si>
    <t>2,928 m2</t>
  </si>
  <si>
    <t xml:space="preserve"> 60ail</t>
  </si>
  <si>
    <t>1300 m2</t>
  </si>
  <si>
    <t>GRILLE A BARRE FIXE 4430*140</t>
  </si>
  <si>
    <t>4430*140</t>
  </si>
  <si>
    <t>3150m2</t>
  </si>
  <si>
    <t>GRIS A BARRE FIXE</t>
  </si>
  <si>
    <t xml:space="preserve"> 2ail</t>
  </si>
  <si>
    <t>0,036 m2</t>
  </si>
  <si>
    <t>REG  60</t>
  </si>
  <si>
    <t>800*350</t>
  </si>
  <si>
    <t>18 AIL</t>
  </si>
  <si>
    <t>0,28 m2</t>
  </si>
  <si>
    <t>REG  350</t>
  </si>
  <si>
    <t>18 ail</t>
  </si>
  <si>
    <t>350*2700</t>
  </si>
  <si>
    <t>133 ail</t>
  </si>
  <si>
    <t>0,945 m2</t>
  </si>
  <si>
    <t>GRILLE SIMPLE DEFLEX BLANC</t>
  </si>
  <si>
    <t>GRILLES DOUBLE DEFLEX BLANC</t>
  </si>
  <si>
    <t>REG 350</t>
  </si>
  <si>
    <t xml:space="preserve"> 19ail</t>
  </si>
  <si>
    <t>0,200 m2</t>
  </si>
  <si>
    <t>860*1000</t>
  </si>
  <si>
    <t xml:space="preserve"> 50 ail</t>
  </si>
  <si>
    <t xml:space="preserve">GRILLE A BARRE FIXE 2400*100 </t>
  </si>
  <si>
    <t>0,240 m2</t>
  </si>
  <si>
    <t xml:space="preserve">  4 ail</t>
  </si>
  <si>
    <t>LE 30/03/2023</t>
  </si>
  <si>
    <t xml:space="preserve">GRILLE A BARRE FIXE 590*150 </t>
  </si>
  <si>
    <t>590*150</t>
  </si>
  <si>
    <t>0,088 m2</t>
  </si>
  <si>
    <t>GRILLE A BARRE FIXE 700*150 blanc</t>
  </si>
  <si>
    <t>0,105m2</t>
  </si>
  <si>
    <t>GRILLE A BARRE FIXE 1200*250 blanc</t>
  </si>
  <si>
    <t>0,300 m2</t>
  </si>
  <si>
    <t>0,15 m2</t>
  </si>
  <si>
    <t>0,08 m2</t>
  </si>
  <si>
    <t>0,21 m2</t>
  </si>
  <si>
    <t xml:space="preserve">  9 ail</t>
  </si>
  <si>
    <t>0,04 m2</t>
  </si>
  <si>
    <t xml:space="preserve"> 11 ail</t>
  </si>
  <si>
    <t>GRILLE A BARRE FIXE 600*400  BLANC</t>
  </si>
  <si>
    <t>42 ail</t>
  </si>
  <si>
    <t>0,360 m2</t>
  </si>
  <si>
    <t>0,075 m2</t>
  </si>
  <si>
    <t>1550*950</t>
  </si>
  <si>
    <t xml:space="preserve"> 47 ail</t>
  </si>
  <si>
    <t>1,47 m2</t>
  </si>
  <si>
    <t>47 ail</t>
  </si>
  <si>
    <t>76 AIL</t>
  </si>
  <si>
    <t>300*600</t>
  </si>
  <si>
    <t>300*500</t>
  </si>
  <si>
    <t>GRILLE A BARRE FIXE 300*500 blanc</t>
  </si>
  <si>
    <t>GRILLE A BARRE FIXE 300*600 blanc</t>
  </si>
  <si>
    <t>GRILLE A BARRE FIXE 1000*75  BLANC</t>
  </si>
  <si>
    <t>GRILLE A BARRE FIXE 600*500  BLANC</t>
  </si>
  <si>
    <t>790*590</t>
  </si>
  <si>
    <t xml:space="preserve">REG </t>
  </si>
  <si>
    <t>0,06 m2</t>
  </si>
  <si>
    <t>400*600</t>
  </si>
  <si>
    <t>540*200</t>
  </si>
  <si>
    <t>26 AIL</t>
  </si>
  <si>
    <t>REG  540</t>
  </si>
  <si>
    <t>0,108 m2</t>
  </si>
  <si>
    <t>GRILLE A BARRE FIXE 400*200 blanc</t>
  </si>
  <si>
    <t>0,080 m2</t>
  </si>
  <si>
    <t>1000*70</t>
  </si>
  <si>
    <t>0,07 m2</t>
  </si>
  <si>
    <t xml:space="preserve"> 2 ail</t>
  </si>
  <si>
    <t>0,020 m2</t>
  </si>
  <si>
    <t>0,250 m2</t>
  </si>
  <si>
    <t>GRILLE A BARRE FIXE 500*500 blanc</t>
  </si>
  <si>
    <t>1200*430</t>
  </si>
  <si>
    <t>GRILLE A BARRE FIXE 1200*430 blanc</t>
  </si>
  <si>
    <t>31 ail</t>
  </si>
  <si>
    <t>GRILLE DOUBLE DEFLEXION ALUM</t>
  </si>
  <si>
    <t>22 AIL</t>
  </si>
  <si>
    <t>REG  450</t>
  </si>
  <si>
    <t xml:space="preserve">15 min </t>
  </si>
  <si>
    <t>3 AILETTES</t>
  </si>
  <si>
    <t>MT</t>
  </si>
  <si>
    <t>GRLLE A BARRE FIXE BLANCHE</t>
  </si>
  <si>
    <t>6 AILETTES</t>
  </si>
  <si>
    <t xml:space="preserve"> 22 ail</t>
  </si>
  <si>
    <t>GRILLE A BARRE FIXE 250*60 blanc</t>
  </si>
  <si>
    <t>250*60</t>
  </si>
  <si>
    <t>3ail</t>
  </si>
  <si>
    <t xml:space="preserve"> 04ail</t>
  </si>
  <si>
    <t>1667*52</t>
  </si>
  <si>
    <t>1700*85</t>
  </si>
  <si>
    <t>0,150 M2</t>
  </si>
  <si>
    <t>0,120 M2</t>
  </si>
  <si>
    <t>1700*100</t>
  </si>
  <si>
    <t>GRILLE A BARRE FIXE 1700*100 blanc</t>
  </si>
  <si>
    <t>GRILLE A BARRE FIXE 1500*100 blanc</t>
  </si>
  <si>
    <t>0,170 m2</t>
  </si>
  <si>
    <t>0,150 m2</t>
  </si>
  <si>
    <t>GRILLE A BARRE FIXE 620*130 blanc</t>
  </si>
  <si>
    <t>620*130</t>
  </si>
  <si>
    <t>GRILLE A BARRE FIXE 600*60 blanc</t>
  </si>
  <si>
    <t>10 min</t>
  </si>
  <si>
    <t>PRIX DE REVIENT REEL</t>
  </si>
  <si>
    <t>890*450</t>
  </si>
  <si>
    <t xml:space="preserve"> 21 ail</t>
  </si>
  <si>
    <t>0,400 M2</t>
  </si>
  <si>
    <t>EXEPTIONNEL</t>
  </si>
  <si>
    <t>0,16 M2</t>
  </si>
  <si>
    <t>900*450</t>
  </si>
  <si>
    <t>0,10 M2</t>
  </si>
  <si>
    <t>0,08 M2</t>
  </si>
  <si>
    <t>1500*150</t>
  </si>
  <si>
    <t xml:space="preserve"> 6 ail</t>
  </si>
  <si>
    <t>0,23 M2</t>
  </si>
  <si>
    <t>REG  265</t>
  </si>
  <si>
    <t>265*570</t>
  </si>
  <si>
    <t>220*150</t>
  </si>
  <si>
    <t>0,02 M2</t>
  </si>
  <si>
    <t>0,04 M2</t>
  </si>
  <si>
    <t>550*300</t>
  </si>
  <si>
    <t>0,17 M2</t>
  </si>
  <si>
    <t>1500*40</t>
  </si>
  <si>
    <t>0,06 M2</t>
  </si>
  <si>
    <t>REG  40</t>
  </si>
  <si>
    <t>0,300 M2</t>
  </si>
  <si>
    <t>750*250</t>
  </si>
  <si>
    <t>0,19 M2</t>
  </si>
  <si>
    <t>600*560</t>
  </si>
  <si>
    <t xml:space="preserve"> 26 ail</t>
  </si>
  <si>
    <t>0,340 M2</t>
  </si>
  <si>
    <t xml:space="preserve"> 40 AIL</t>
  </si>
  <si>
    <t>750*650</t>
  </si>
  <si>
    <t>37 AIL</t>
  </si>
  <si>
    <t>REG  750</t>
  </si>
  <si>
    <t>REG  650</t>
  </si>
  <si>
    <t>380*260</t>
  </si>
  <si>
    <t>12 ail</t>
  </si>
  <si>
    <t>0,41 m2</t>
  </si>
  <si>
    <t>GRILLE A BARRE FIXE 900*450 blanc</t>
  </si>
  <si>
    <t>REG  260</t>
  </si>
  <si>
    <t>0,10 m2</t>
  </si>
  <si>
    <t>REG  380</t>
  </si>
  <si>
    <t>420*250</t>
  </si>
  <si>
    <t>20 AIL</t>
  </si>
  <si>
    <t>0,11 m2</t>
  </si>
  <si>
    <t>REG  420</t>
  </si>
  <si>
    <t>GRILLE A BARRE FIXE 600*200 blanc</t>
  </si>
  <si>
    <t>27 ail</t>
  </si>
  <si>
    <t>GRILLE A BARRE FIXE 1000*300 blanc</t>
  </si>
  <si>
    <t>21ail</t>
  </si>
  <si>
    <t>2000*550</t>
  </si>
  <si>
    <t xml:space="preserve"> 28 AIL</t>
  </si>
  <si>
    <t>1,10 M2</t>
  </si>
  <si>
    <t>REG  550</t>
  </si>
  <si>
    <t xml:space="preserve"> 6 AIL</t>
  </si>
  <si>
    <t>1,18 M2</t>
  </si>
  <si>
    <t>GRILLE A BARRE FIXE 1200*150 blanc</t>
  </si>
  <si>
    <t>GRILLE A BARRE FIXE 625*400 blanc</t>
  </si>
  <si>
    <t>625*400</t>
  </si>
  <si>
    <t>1150*500</t>
  </si>
  <si>
    <t>58 AIL</t>
  </si>
  <si>
    <t>0,58 m2</t>
  </si>
  <si>
    <t>0,05 M2</t>
  </si>
  <si>
    <t>0,500 m2</t>
  </si>
  <si>
    <t>900*475</t>
  </si>
  <si>
    <t>0,430 m2</t>
  </si>
  <si>
    <t>920*300</t>
  </si>
  <si>
    <t>43 AIL</t>
  </si>
  <si>
    <t>GRILLE A BARRE FIXE 800*300 blanc</t>
  </si>
  <si>
    <t>GRILLE A BARRE FIXE 800*300 GRIS</t>
  </si>
  <si>
    <t>GRILLE A BARRE FIXE 1300*75 GRIS</t>
  </si>
  <si>
    <t>1300*75</t>
  </si>
  <si>
    <t>1200*80</t>
  </si>
  <si>
    <t xml:space="preserve"> 3 AIL</t>
  </si>
  <si>
    <t>1500*85</t>
  </si>
  <si>
    <t>REG  85</t>
  </si>
  <si>
    <t>GRILLE A BARRE FIXE 800*100 blanc</t>
  </si>
  <si>
    <t>06 ail</t>
  </si>
  <si>
    <t>GRILLE A BARRE FIXE 490*115 blanc</t>
  </si>
  <si>
    <t>490*115</t>
  </si>
  <si>
    <t>07 ail</t>
  </si>
  <si>
    <t>0,056 m2</t>
  </si>
  <si>
    <t xml:space="preserve"> 29 AIL</t>
  </si>
  <si>
    <t>0,36 M2</t>
  </si>
  <si>
    <t>0,09 M2</t>
  </si>
  <si>
    <t>*5%</t>
  </si>
  <si>
    <t>750*345</t>
  </si>
  <si>
    <t xml:space="preserve"> 19 AIL</t>
  </si>
  <si>
    <t>0,258 m2</t>
  </si>
  <si>
    <t>REG  345</t>
  </si>
  <si>
    <t>GRILLE SIMPLE DEFLEXION gris</t>
  </si>
  <si>
    <t xml:space="preserve"> 9 AIL</t>
  </si>
  <si>
    <t xml:space="preserve"> 4 AIL</t>
  </si>
  <si>
    <t>0,135 m2</t>
  </si>
  <si>
    <t>0,0,90 m2</t>
  </si>
  <si>
    <t>GRILLE A BARRE FIXE 250*100 GRIS</t>
  </si>
  <si>
    <t>250*100</t>
  </si>
  <si>
    <t>0,025 m2</t>
  </si>
  <si>
    <t>GRILLE A BARRE FIXE 250*100 blanc</t>
  </si>
  <si>
    <t>GRILLE A BARRE FIXE 200*100 blanc</t>
  </si>
  <si>
    <t>0,360 M2</t>
  </si>
  <si>
    <t>750*40</t>
  </si>
  <si>
    <t xml:space="preserve"> 1 AIL</t>
  </si>
  <si>
    <t>GRILLE A BARRE FIXE 300*300 blanc</t>
  </si>
  <si>
    <t>0,090 m2</t>
  </si>
  <si>
    <t>0,160 m2</t>
  </si>
  <si>
    <t>GRILLE A BARRE FIXE 1200*60 blanc</t>
  </si>
  <si>
    <t>GRILLE A BARRE FIXE 1200*90 blanc</t>
  </si>
  <si>
    <t>0,108 M2</t>
  </si>
  <si>
    <t>0,072 M2</t>
  </si>
  <si>
    <t>0,031 M2</t>
  </si>
  <si>
    <t>0,144 M2</t>
  </si>
  <si>
    <t>640*85</t>
  </si>
  <si>
    <t>0,054 M2</t>
  </si>
  <si>
    <t>590*75</t>
  </si>
  <si>
    <t>0,044 M2</t>
  </si>
  <si>
    <t>560*65</t>
  </si>
  <si>
    <t>0,036 M2</t>
  </si>
  <si>
    <t>580*75</t>
  </si>
  <si>
    <t>324*388</t>
  </si>
  <si>
    <t>0,125 M2</t>
  </si>
  <si>
    <t>400*500</t>
  </si>
  <si>
    <t>0,200 M2</t>
  </si>
  <si>
    <t>1370*710</t>
  </si>
  <si>
    <t>0,972  m2</t>
  </si>
  <si>
    <t>970*840</t>
  </si>
  <si>
    <t>0,814  m2</t>
  </si>
  <si>
    <t>REG  840</t>
  </si>
  <si>
    <t>GRILLE SIMPLE DEFLEXION BLNAC</t>
  </si>
  <si>
    <t>67 AIL</t>
  </si>
  <si>
    <t>REG  710</t>
  </si>
  <si>
    <t>REG  1370</t>
  </si>
  <si>
    <t>0,972 m2</t>
  </si>
  <si>
    <t>0,814 m2</t>
  </si>
  <si>
    <t>46 ail</t>
  </si>
  <si>
    <t>REG  970</t>
  </si>
  <si>
    <t>GRILLE A BARRE FIXE 600*100 blanc</t>
  </si>
  <si>
    <t>GRILLE A BARRE FIXE 1000*100 blanc</t>
  </si>
  <si>
    <t>GRILLE A BARRE FIXE 1000*400 GRIS</t>
  </si>
  <si>
    <t>65 AIL</t>
  </si>
  <si>
    <t>0,972 M2</t>
  </si>
  <si>
    <t>REG 710</t>
  </si>
  <si>
    <t>REG 1370</t>
  </si>
  <si>
    <t>GRILLE A BARRE FIXE 1000*400 BLANC</t>
  </si>
  <si>
    <t>GRILLE SIMPLE DEFLEXION BLANC FOURNITURE LOCALE</t>
  </si>
  <si>
    <t>GRILLE A BARRE FIXE 1000*400 BLANC FOURNITURE LOCALE</t>
  </si>
  <si>
    <t>GRILLE DOUBLE DEFLEXION BLANC FOURNITURE LOCALE</t>
  </si>
  <si>
    <t>GRILLE A BARRE FIXE 650*180 blanc</t>
  </si>
  <si>
    <t>650*180</t>
  </si>
  <si>
    <t>0,117 M2</t>
  </si>
  <si>
    <t>300*165</t>
  </si>
  <si>
    <t>13 AIL</t>
  </si>
  <si>
    <t>GRILLE A BARRE FIXE 1100*200 blanc</t>
  </si>
  <si>
    <t>1100*200</t>
  </si>
  <si>
    <t>0,22 m2</t>
  </si>
  <si>
    <t>GRILLE A BARRE FIXE 2000*200 blanc</t>
  </si>
  <si>
    <t>2000*200</t>
  </si>
  <si>
    <t>0,40 m2</t>
  </si>
  <si>
    <t>GRILLE A BARRE FIXE 1670*200 blanc</t>
  </si>
  <si>
    <t>1670*200</t>
  </si>
  <si>
    <t>GRILLE A BARRE FIXE 1100*180 blanc</t>
  </si>
  <si>
    <t>1100*180</t>
  </si>
  <si>
    <t>GRILLE A BARRE FIXE 2000*180 blanc</t>
  </si>
  <si>
    <t>2000*180</t>
  </si>
  <si>
    <t>GRILLE A BARRE FIXE 1670*180 blanc</t>
  </si>
  <si>
    <t>1670*180</t>
  </si>
  <si>
    <t>225*225</t>
  </si>
  <si>
    <t xml:space="preserve"> 10 AIL</t>
  </si>
  <si>
    <t>0,050 m2</t>
  </si>
  <si>
    <t>375*375</t>
  </si>
  <si>
    <t>014  M2</t>
  </si>
  <si>
    <t>800  M2</t>
  </si>
  <si>
    <t xml:space="preserve"> 2 AIL</t>
  </si>
  <si>
    <t>0,048 M2</t>
  </si>
  <si>
    <t>REG 40</t>
  </si>
  <si>
    <t>2000*60</t>
  </si>
  <si>
    <t>0,12 M2</t>
  </si>
  <si>
    <t>GRILLE A BARRE FIXE 600*600 blanc</t>
  </si>
  <si>
    <t>GRILLE A BARRE FIXE 450*450 blanc</t>
  </si>
  <si>
    <t>0,202 M2</t>
  </si>
  <si>
    <t>0,600M2</t>
  </si>
  <si>
    <t>1200*700</t>
  </si>
  <si>
    <t>0,840 M2</t>
  </si>
  <si>
    <t>57 AIL</t>
  </si>
  <si>
    <t>GRILLE A BARRE FIXE 800*500 blanc</t>
  </si>
  <si>
    <t>500*350</t>
  </si>
  <si>
    <t>GRILLE SIMPLE DEFLEXION GRIS  500*100</t>
  </si>
  <si>
    <t>1600*1000</t>
  </si>
  <si>
    <t>1,6  M2</t>
  </si>
  <si>
    <t>GRILLE A BARRE FIXE 550*130 blanc</t>
  </si>
  <si>
    <t>550*130</t>
  </si>
  <si>
    <t>GRILLE A BARRE FIXE 1000*350 blanc</t>
  </si>
  <si>
    <t>1000*350</t>
  </si>
  <si>
    <t>0,350 M2</t>
  </si>
  <si>
    <t>0,180 M2</t>
  </si>
  <si>
    <t>0,350M2</t>
  </si>
  <si>
    <t>0,120M2</t>
  </si>
  <si>
    <t>GRILLE A BARRE FIXE 900*200 blanc</t>
  </si>
  <si>
    <t>0,200M2</t>
  </si>
  <si>
    <t>0,8 M2</t>
  </si>
  <si>
    <t>GRILLE A BARRE FIXE 540*640 blanc</t>
  </si>
  <si>
    <t>540*640</t>
  </si>
  <si>
    <t>0,346 M2</t>
  </si>
  <si>
    <t>830*55</t>
  </si>
  <si>
    <t>1070*300</t>
  </si>
  <si>
    <t>0,321 M2</t>
  </si>
  <si>
    <t>GRILLE A BARRE FIXE 800*400 GRIS</t>
  </si>
  <si>
    <t xml:space="preserve"> 0,32 m2</t>
  </si>
  <si>
    <t>GRILLE A BARRE FIXE 250*250 blanc</t>
  </si>
  <si>
    <t>250*250</t>
  </si>
  <si>
    <t>GRILLE A BARRE FIXE 500*250 GRIS</t>
  </si>
  <si>
    <t>17ail</t>
  </si>
  <si>
    <t xml:space="preserve"> 0,12 m2</t>
  </si>
  <si>
    <t>0,20 m2</t>
  </si>
  <si>
    <t>GRILLE A BARRE FIXE 300*75 blanc</t>
  </si>
  <si>
    <t>0,03 M2</t>
  </si>
  <si>
    <t>GRILLE A BARRE FIXE 1000*100 GRIS</t>
  </si>
  <si>
    <t>0,48 m2</t>
  </si>
  <si>
    <t>GRILLE A BARRE FIXE 600*75 blanc</t>
  </si>
  <si>
    <t>GRILLE A BARRE FIXE 700*75 blanc</t>
  </si>
  <si>
    <t>GRILLE A BARRE FIXE 800*75 blanc</t>
  </si>
  <si>
    <t>GRILLE A BARRE FIXE 900*75 blanc</t>
  </si>
  <si>
    <t>0,07 M2</t>
  </si>
  <si>
    <t>540*540</t>
  </si>
  <si>
    <t>840*230</t>
  </si>
  <si>
    <t>11 AIL</t>
  </si>
  <si>
    <t>REG 230</t>
  </si>
  <si>
    <t>GRILLE A BARRE FIXE 1100*300 blanc</t>
  </si>
  <si>
    <t>1100*300</t>
  </si>
  <si>
    <t>0,33 M2</t>
  </si>
  <si>
    <t>1150*80</t>
  </si>
  <si>
    <t>0,09  m2</t>
  </si>
  <si>
    <t>REG  80</t>
  </si>
  <si>
    <t>775*775</t>
  </si>
  <si>
    <t>0,600 M2</t>
  </si>
  <si>
    <t>700*240</t>
  </si>
  <si>
    <t>0,160 M2</t>
  </si>
  <si>
    <t>REG 250</t>
  </si>
  <si>
    <t>GRILLE A BARRE FIXE 1000*300 GRIS</t>
  </si>
  <si>
    <t>0,240 M2</t>
  </si>
  <si>
    <t>GRILLE A BARRE FIXE 1200*300 blanc</t>
  </si>
  <si>
    <t>GRILLE A BARRE FIXE 1200*200 blanc</t>
  </si>
  <si>
    <t>0,24 M2</t>
  </si>
  <si>
    <t>0,20 M2</t>
  </si>
  <si>
    <t>GRILLE A BARRE FIXE 500*150 GRIS</t>
  </si>
  <si>
    <t>GRILLE A BARRE FIXE 500*200 GRIS</t>
  </si>
  <si>
    <t>GRILLE A BARRE FIXE 500*100 GRIS</t>
  </si>
  <si>
    <t>0,14 M2</t>
  </si>
  <si>
    <t>GRILLE A BARRE FIXE 700*200 GRIS</t>
  </si>
  <si>
    <t>GRILLE A BARRE FIXE 400*100 GRIS</t>
  </si>
  <si>
    <t>GRILLE A BARRE FIXE 1000*200 GRIS</t>
  </si>
  <si>
    <t>GRILLE A BARRE FIXE 1100*200 GRIS</t>
  </si>
  <si>
    <t>380*50</t>
  </si>
  <si>
    <t>0,01 M2</t>
  </si>
  <si>
    <t>REG 50</t>
  </si>
  <si>
    <t>1200*30</t>
  </si>
  <si>
    <t>598*150</t>
  </si>
  <si>
    <t>808*100</t>
  </si>
  <si>
    <t>GRILLE A BARRE FIXE 598*150 GRIS</t>
  </si>
  <si>
    <t>GRILLE A BARRE FIXE 808*100 GRIS</t>
  </si>
  <si>
    <t>490*155</t>
  </si>
  <si>
    <t>REG 155</t>
  </si>
  <si>
    <t>780*150</t>
  </si>
  <si>
    <t>0,11 M2</t>
  </si>
  <si>
    <t>1300*40</t>
  </si>
  <si>
    <t>950*50</t>
  </si>
  <si>
    <t>23 AIL</t>
  </si>
  <si>
    <t>REG 450</t>
  </si>
  <si>
    <t>GRILLE A BARRE FIXE 1540*40 GRIS</t>
  </si>
  <si>
    <t>1540*40</t>
  </si>
  <si>
    <t>GRILLE A BARRE FIXE 800*40 GRIS</t>
  </si>
  <si>
    <t>GRILLE A BARRE FIXE 460*100 GRIS</t>
  </si>
  <si>
    <t>460*100</t>
  </si>
  <si>
    <t>0,046 M2</t>
  </si>
  <si>
    <t>750*50</t>
  </si>
  <si>
    <t>GRILLE SIMPLE DEFLEXION 750*50 BLANC</t>
  </si>
  <si>
    <t>830*45</t>
  </si>
  <si>
    <t>GRILLE SIMPLE DEFLEXION 830*45 BLANC</t>
  </si>
  <si>
    <t>GRILLE SIMPLE DEFLEXION 1360*50 BLANC</t>
  </si>
  <si>
    <t>1360*50</t>
  </si>
  <si>
    <t>GRILLE SIMPLE DEFLEXION 840*95 BLANC</t>
  </si>
  <si>
    <t>840*95</t>
  </si>
  <si>
    <t>REG 95</t>
  </si>
  <si>
    <t>38 ail</t>
  </si>
  <si>
    <t>0,8 m2</t>
  </si>
  <si>
    <t>GRILLE SIMPLE DEFLEXION 1000*100 Gris</t>
  </si>
  <si>
    <t>GRILLE DOUBLE DEFLEXION gris</t>
  </si>
  <si>
    <t>14ail</t>
  </si>
  <si>
    <t>GRILLE A BARRE FIXE 700*100 blanc</t>
  </si>
  <si>
    <t>GRILLE SIMPLE DEFLEXION GRIS</t>
  </si>
  <si>
    <t>GRILLE SIMPLE DEFLEXION 1000*1000 BLANC</t>
  </si>
  <si>
    <t>GRILLE DOUBLE DEFLEXION 1000*1000 BLANC</t>
  </si>
  <si>
    <t>GRILLE A BARRE FIXE 1000*1000 Blanc</t>
  </si>
  <si>
    <t>48 AIL</t>
  </si>
  <si>
    <t>TUBE ALU</t>
  </si>
  <si>
    <t>2900m2</t>
  </si>
  <si>
    <t>2800 m2</t>
  </si>
  <si>
    <t>GRILLE A BARRE FIXE 1000*60 Blanc</t>
  </si>
  <si>
    <t>GRILLE SIMPLE DEFLEXION 600*60 BLANC</t>
  </si>
  <si>
    <t>GRILLE DOUBLE DEFLEXION 600*90 BLANC</t>
  </si>
  <si>
    <t>0,054 m2</t>
  </si>
  <si>
    <t>4500 m2</t>
  </si>
  <si>
    <t>GRILLE DOUBLE DEFLEXION 600*600 BLANC</t>
  </si>
  <si>
    <t>GRILLE A BARRE FIXE 1000*400 Blanc</t>
  </si>
  <si>
    <t>0,400m2</t>
  </si>
  <si>
    <t>3800 m2</t>
  </si>
  <si>
    <t>GRILLE SIMPLE DEFLEXION 800*300 BLANC</t>
  </si>
  <si>
    <t>GRILLE A BARRE FIXE 800*130 Blanc</t>
  </si>
  <si>
    <t>08 AIL</t>
  </si>
  <si>
    <t>0,104 m2</t>
  </si>
  <si>
    <t>3500,00 /m2</t>
  </si>
  <si>
    <t>0,02 m2</t>
  </si>
  <si>
    <t>GRILLE SIMPLE DEFLEXION 200*100 BLANC</t>
  </si>
  <si>
    <t>GRILLE SIMPLE DEFLEXION 300*100 BLANC</t>
  </si>
  <si>
    <t>GRILLE SIMPLE DEFLEXION 400*100 BLANC</t>
  </si>
  <si>
    <t>GRILLE SIMPLE DEFLEXION 500*100 BLANC</t>
  </si>
  <si>
    <t>GRILLE SIMPLE DEFLEXION 600*100 BLANC</t>
  </si>
  <si>
    <t>GRILLE SIMPLE DEFLEXION 200*100 BL</t>
  </si>
  <si>
    <t>GRILLE SIMPLE DEFLEXION 400*100 BL</t>
  </si>
  <si>
    <t>M/PREMIERE</t>
  </si>
  <si>
    <t>GRILLE SIMPLE DEFLEXION 1000*250 BLANC</t>
  </si>
  <si>
    <t>GRILLE SIMPLE DEFLEXION 500*100 BL</t>
  </si>
  <si>
    <t>GRILLE SIMPLE DEFLEXION 600*100 BL</t>
  </si>
  <si>
    <t>GRILLE SIMPLE DEFLEXION 300*100 BL</t>
  </si>
  <si>
    <t>GRILLE SIMPLE DEFLEXION 1000*100 BLANC</t>
  </si>
  <si>
    <t>GRILLE DOUBLE DEFLEXION 1000*100 BLANC</t>
  </si>
  <si>
    <t>four 40%</t>
  </si>
  <si>
    <t>1203*500</t>
  </si>
  <si>
    <t>REG  1203</t>
  </si>
  <si>
    <t>FOUR 40%</t>
  </si>
  <si>
    <t>0,601m2</t>
  </si>
  <si>
    <t>GRILLE SIMPLE DEFLEXION 1160*210 BLANC</t>
  </si>
  <si>
    <t>1160*210</t>
  </si>
  <si>
    <t>0,244 m2</t>
  </si>
  <si>
    <t>REG 210</t>
  </si>
  <si>
    <t>1190*497</t>
  </si>
  <si>
    <t>0,14 m2</t>
  </si>
  <si>
    <t>2600m2/h</t>
  </si>
  <si>
    <t>1,08 M2</t>
  </si>
  <si>
    <t>GRILLE SIMPLE DEFLEXION 800*100 BLANC</t>
  </si>
  <si>
    <t>0,281 m2</t>
  </si>
  <si>
    <t>GRILLE DOUBLE DEFLEXION 500*100 BLANC</t>
  </si>
  <si>
    <t>GRILLE A BARRE FIXE 1350*200 blanc</t>
  </si>
  <si>
    <t>1350*200</t>
  </si>
  <si>
    <t>0,27 M2</t>
  </si>
  <si>
    <t>GRILLE A BARRE FIXE 1200*400 blanc</t>
  </si>
  <si>
    <t>p /vente</t>
  </si>
  <si>
    <t>3000 m2</t>
  </si>
  <si>
    <t>four*10%</t>
  </si>
  <si>
    <t>GRILLE DOUBLE DEFLEXION 800*100 BLANC</t>
  </si>
  <si>
    <t xml:space="preserve"> 40 ail</t>
  </si>
  <si>
    <t>0,08m2</t>
  </si>
  <si>
    <t>2100m2</t>
  </si>
  <si>
    <t xml:space="preserve"> 48 ail</t>
  </si>
  <si>
    <t>1100*150</t>
  </si>
  <si>
    <t>6AIL</t>
  </si>
  <si>
    <t>GRILLE DOUBLE DEFLEXION 1100*150 BLANC</t>
  </si>
  <si>
    <t xml:space="preserve"> 52 ail</t>
  </si>
  <si>
    <t>FOUR+40%</t>
  </si>
  <si>
    <t>0,17 m2</t>
  </si>
  <si>
    <t>3850 m2</t>
  </si>
  <si>
    <t>2370m2/h</t>
  </si>
  <si>
    <t>0,230 m2</t>
  </si>
  <si>
    <t>GRILLE SIMPLE DEFLEXION 1500*150 BLANC</t>
  </si>
  <si>
    <t>GRILLE SIMPLE DEFLEXION 750*250 BLANC</t>
  </si>
  <si>
    <t>0,190 m2</t>
  </si>
  <si>
    <t>GRILLE SIMPLE DEFLEXION 400*700 BLANC</t>
  </si>
  <si>
    <t>400*700</t>
  </si>
  <si>
    <t>2375m2/h</t>
  </si>
  <si>
    <t>GRILLE DOUBLE DEFLEXION 300*150 BLANC</t>
  </si>
  <si>
    <t>GRILLE SIMPLE DEFLEXION 1400*200 BLANC</t>
  </si>
  <si>
    <t>09 AIL</t>
  </si>
  <si>
    <t>200*1000</t>
  </si>
  <si>
    <t>1780*200</t>
  </si>
  <si>
    <t>GRILLE A BARRE FIXE 1780*200 gris</t>
  </si>
  <si>
    <t>1800*200</t>
  </si>
  <si>
    <t>GRILLE A BARRE FIXE 1800ext*200 gris</t>
  </si>
  <si>
    <t>GRILLE SIMPLE DEFLEXION 600*150 BLANC</t>
  </si>
  <si>
    <t>2880m2/h</t>
  </si>
  <si>
    <t>four 30%</t>
  </si>
  <si>
    <t>²</t>
  </si>
  <si>
    <t>0,30 M2</t>
  </si>
  <si>
    <t>1280,00 m2</t>
  </si>
  <si>
    <t>04 AIL</t>
  </si>
  <si>
    <t>3100 m2</t>
  </si>
  <si>
    <t>GRILLE SIMPLE DEFLEXION 200*300 BLANC</t>
  </si>
  <si>
    <t>m2/h</t>
  </si>
  <si>
    <t>0,09 m2</t>
  </si>
  <si>
    <t>GRILLE DOUBLE DEFLEXION 600*150 BLANC</t>
  </si>
  <si>
    <t>GRILLE SIMPLE DEFLEXION 600*150 GRIS</t>
  </si>
  <si>
    <t>CLIENT CLIMATHERM</t>
  </si>
  <si>
    <t>GRILLE DOUBLE DEFLEXION 600*150 GRIS</t>
  </si>
  <si>
    <t>four 10%</t>
  </si>
  <si>
    <t>GRILLE SIMPLE DEFLEXION 500*50 BLANC</t>
  </si>
  <si>
    <t>FAMILLEBAT</t>
  </si>
  <si>
    <t>HACAHANI AIR SERVICE</t>
  </si>
  <si>
    <t>GRILLE SIMPLE DEFLEXION 500*300 BLANC</t>
  </si>
  <si>
    <t>2400 m2/h</t>
  </si>
  <si>
    <t>830*155</t>
  </si>
  <si>
    <t>0,13 M2</t>
  </si>
  <si>
    <t>REG  155</t>
  </si>
  <si>
    <t>FOUR+10%</t>
  </si>
  <si>
    <t>GRILLE A BARRE FIXE 1000*130 blanc</t>
  </si>
  <si>
    <t>GRILLE A BARRE FIXE 990*65 blanc</t>
  </si>
  <si>
    <t>990*65</t>
  </si>
  <si>
    <t>GRILLE SIMPLE DEFLEXION 3000*70 BLANC</t>
  </si>
  <si>
    <t>3000*70</t>
  </si>
  <si>
    <t>03 AIL</t>
  </si>
  <si>
    <t>GRILLE SIMPLE DEFLEXION 600*70 BLANC</t>
  </si>
  <si>
    <t>600*70</t>
  </si>
  <si>
    <t>2900 m2/h</t>
  </si>
  <si>
    <t>GRILLE A BARRE FIXE 500*40 blanc</t>
  </si>
  <si>
    <t>GRILLE SIMPLE DEFLEXION 520*590</t>
  </si>
  <si>
    <t>520*590</t>
  </si>
  <si>
    <t>0,31 m2</t>
  </si>
  <si>
    <t>GRILLE DOUBLE DEFLEXION 4000*150 BLANC</t>
  </si>
  <si>
    <t>4000*150</t>
  </si>
  <si>
    <t>100 ail</t>
  </si>
  <si>
    <t>FOUR*40%</t>
  </si>
  <si>
    <t>AIR ISOLA</t>
  </si>
  <si>
    <t>FOUR*30%</t>
  </si>
  <si>
    <t>FOUR 10%</t>
  </si>
  <si>
    <t>AIR ISOLE</t>
  </si>
  <si>
    <t>GRILLE DOUBLE DEFLEXION 300*100 BLANC</t>
  </si>
  <si>
    <t>FOUR 30%</t>
  </si>
  <si>
    <t>GRILLE A BARRE FIXE 2000*250 blanc</t>
  </si>
  <si>
    <t>2000*250</t>
  </si>
  <si>
    <t>CLIENT ECODEC</t>
  </si>
  <si>
    <t>GRILLE SIMPLE DEFLEXION 600*600</t>
  </si>
  <si>
    <t>CLIENT TECHNO AIR CLIM</t>
  </si>
  <si>
    <t>GRILLE DOUBLE DEFLEXION 400*100 BLANC</t>
  </si>
  <si>
    <t>CLIENT GLOBAL CONTRACT</t>
  </si>
  <si>
    <t>740*70</t>
  </si>
  <si>
    <t>REG  70</t>
  </si>
  <si>
    <t>GRILLE DOUBLE DEFLEXION 1000*150 BLANC</t>
  </si>
  <si>
    <t>CLIENT VENTEC</t>
  </si>
  <si>
    <t>GRILLE SIMPLE DEFLEXION 1000*95</t>
  </si>
  <si>
    <t>1000*95</t>
  </si>
  <si>
    <t>GRILLE SIMPLE DEFLEXION 1000*75</t>
  </si>
  <si>
    <t>GRILLE SIMPLE DEFLEXION 1000*65</t>
  </si>
  <si>
    <t>1000*65</t>
  </si>
  <si>
    <t>GAINAIR LE 28/11/2023</t>
  </si>
  <si>
    <t>GRILLE A BARRE FIXE 400*100 ALUM</t>
  </si>
  <si>
    <t>GRILLE A BARRE FIXE 400*100 BLANC</t>
  </si>
  <si>
    <t>PR 2023</t>
  </si>
  <si>
    <t>AYOUCHE LE 28/11/2023</t>
  </si>
  <si>
    <t>350*250</t>
  </si>
  <si>
    <t xml:space="preserve">GRILLE A BARRE FIXE 350*250 </t>
  </si>
  <si>
    <t>ECODEC LE 28/11/2023</t>
  </si>
  <si>
    <t>GRILLE SIMPLE DEFLEXION 1000*280  BLANC</t>
  </si>
  <si>
    <t>1000*280</t>
  </si>
  <si>
    <t xml:space="preserve">CLIENT </t>
  </si>
  <si>
    <t>GRILLE DOUBLE DEFLEXION 990*530 BLANC</t>
  </si>
  <si>
    <t>990*530</t>
  </si>
  <si>
    <t>0,530 m2</t>
  </si>
  <si>
    <t>REG  530</t>
  </si>
  <si>
    <t>180*50</t>
  </si>
  <si>
    <t>1800*50</t>
  </si>
  <si>
    <t>1800*500</t>
  </si>
  <si>
    <t xml:space="preserve"> 24 AIL</t>
  </si>
  <si>
    <t>sofaclim</t>
  </si>
  <si>
    <t>GRILLE SIMPLE DEFLEXION 400*100  BLANC</t>
  </si>
  <si>
    <t>GRILLE SIMPLE DEFLEXION 1000*40  BLANC</t>
  </si>
  <si>
    <t>0,03m2</t>
  </si>
  <si>
    <t>740*90</t>
  </si>
  <si>
    <t>SOTHECA</t>
  </si>
  <si>
    <t xml:space="preserve">GRILLE A BARRE FIXE 600*550 </t>
  </si>
  <si>
    <t>600*550</t>
  </si>
  <si>
    <t>0,33 m2</t>
  </si>
  <si>
    <t>430*880</t>
  </si>
  <si>
    <t>GRILLE SIMPLE DEFLEXION 600*550  BLANC</t>
  </si>
  <si>
    <t>REG 550</t>
  </si>
  <si>
    <t>GRILLE SIMPLE DEFLEXION 430*880  BLANC</t>
  </si>
  <si>
    <t>42 AIL</t>
  </si>
  <si>
    <t>0,38 m2</t>
  </si>
  <si>
    <t>GRILLE SIMPLE DEFLEXION 700*25  BLANC</t>
  </si>
  <si>
    <t>700*25</t>
  </si>
  <si>
    <t>GRILLE SIMPLE DEFLEXION 700*250  BLANC</t>
  </si>
  <si>
    <t>four 20%</t>
  </si>
  <si>
    <t>GRILLE DOUBLE DEFLEXION 900*200 GRIS</t>
  </si>
  <si>
    <t>GRILLE SIMPLE DEFLEXION 900*40  BLANC</t>
  </si>
  <si>
    <t>GRILLE SIMPLE DEFLEXION 800*300  BLANC</t>
  </si>
  <si>
    <t>910*130</t>
  </si>
  <si>
    <t xml:space="preserve"> 5 AIL</t>
  </si>
  <si>
    <t>REG  130</t>
  </si>
  <si>
    <t>1750,00 m2</t>
  </si>
  <si>
    <t>450*75</t>
  </si>
  <si>
    <t xml:space="preserve">GRILLE A BARRE FIXE 600*75 </t>
  </si>
  <si>
    <t>GRILLE DOUBLE DEFLEXION 1200*150 GRIS</t>
  </si>
  <si>
    <t xml:space="preserve"> 60 ail</t>
  </si>
  <si>
    <t>1917*500</t>
  </si>
  <si>
    <t>GRILLE SIMPLE DEFLEXION 600*40  BLANC</t>
  </si>
  <si>
    <t>GRILLE SIMPLE DEFLEXION 600*50  BLANC</t>
  </si>
  <si>
    <t>GRILLE SIMPLE DEFLEXION 800*50  BLANC</t>
  </si>
  <si>
    <t>CLIENT ESPACE SERVICE</t>
  </si>
  <si>
    <t>GRILLE DOUBLE DEFLEXION 800*150 BLANC</t>
  </si>
  <si>
    <t>0,12m2</t>
  </si>
  <si>
    <t>GRILLE DOUBLE DEFLEXION 800*200 BLANC</t>
  </si>
  <si>
    <t>0,16m2</t>
  </si>
  <si>
    <t>0,15m2</t>
  </si>
  <si>
    <t>660*600</t>
  </si>
  <si>
    <t xml:space="preserve">GRILLE A BARRE FIXE 660*600 </t>
  </si>
  <si>
    <t>CLIENT YOUCHAR CONSTRUCTION</t>
  </si>
  <si>
    <t xml:space="preserve">GRILLE A BARRE FIXE 450*450 </t>
  </si>
  <si>
    <t>32 ail</t>
  </si>
  <si>
    <t>PROFILE POUR GDD EN ML anodise</t>
  </si>
  <si>
    <t>PROFILE POUR GSD EN ML anodise</t>
  </si>
  <si>
    <t>AILETTES  100 EN ML (SD et DD) anodise</t>
  </si>
  <si>
    <t>AILETTES 200 EN ML G B F anodise</t>
  </si>
  <si>
    <t>LOCALE/ML</t>
  </si>
  <si>
    <t>LOCALE/6ML</t>
  </si>
  <si>
    <t>LE 1/09/2023</t>
  </si>
  <si>
    <t>LE 13/12/2023</t>
  </si>
  <si>
    <t>GRILLE A BARRE FIXE 800*300 en gris</t>
  </si>
  <si>
    <t>1679 m2</t>
  </si>
  <si>
    <t>GRILLE A BARRE FIXE 320*100</t>
  </si>
  <si>
    <t>320*100</t>
  </si>
  <si>
    <t>GRILLE SIMPLE DEFLEXION 585*585  BLANC</t>
  </si>
  <si>
    <t>585*585</t>
  </si>
  <si>
    <t>0,35 m2</t>
  </si>
  <si>
    <t>GRILLE DOUBLE DEFLEXION 500*300 BLANC</t>
  </si>
  <si>
    <t xml:space="preserve">700*75 </t>
  </si>
  <si>
    <t xml:space="preserve">500*75 </t>
  </si>
  <si>
    <t>GRILLE SIMPLE DEFLEXION 2000*40  BLANC</t>
  </si>
  <si>
    <t>peinture</t>
  </si>
  <si>
    <t>540*80</t>
  </si>
  <si>
    <t>GRILLE A BARRE FIXE 1000*500 blanc</t>
  </si>
  <si>
    <t>0,500 M2</t>
  </si>
  <si>
    <t>CLIENT AIR RAD CLIM</t>
  </si>
  <si>
    <t>four*40%</t>
  </si>
  <si>
    <t>1000*20</t>
  </si>
  <si>
    <t>GRILLE A BARRE FIXE 1000*500 blanc sans profile</t>
  </si>
  <si>
    <t>GRILLE SIMPLE DEFLEXION 3000*40  BLANC</t>
  </si>
  <si>
    <t xml:space="preserve">GRILLE A BARRE FIXE 1000*50 blanc </t>
  </si>
  <si>
    <t>TECHNO AIR CLIM</t>
  </si>
  <si>
    <t>CLIENT mep energetique</t>
  </si>
  <si>
    <t>50 ,AIL</t>
  </si>
  <si>
    <t>GRILLE DOUBLE DEFLEXION 900*150 BLANC</t>
  </si>
  <si>
    <t>900*150 blanc</t>
  </si>
  <si>
    <t xml:space="preserve"> 45 ail</t>
  </si>
  <si>
    <t>0,13m2</t>
  </si>
  <si>
    <t>GRILLE SIMPLE DEFLEXION 800*200  BLANC</t>
  </si>
  <si>
    <t>plomberie ayouche</t>
  </si>
  <si>
    <t>CLIENT ctcs ma</t>
  </si>
  <si>
    <t>CLIENT CLIM SERV</t>
  </si>
  <si>
    <t>GRILLE DOUBLE DEFLEXION 1000*400 BLANC</t>
  </si>
  <si>
    <t>CLIENT SERSAM</t>
  </si>
  <si>
    <t xml:space="preserve">GRILLE SIMPLE DEFLEXION 1000*400  </t>
  </si>
  <si>
    <t xml:space="preserve">GRILLE SIMPLE DEFLEXION 875*1460 </t>
  </si>
  <si>
    <t>875*1460</t>
  </si>
  <si>
    <t>72 ail</t>
  </si>
  <si>
    <t>1,72 m2</t>
  </si>
  <si>
    <t>875*635</t>
  </si>
  <si>
    <t>0,55 m2</t>
  </si>
  <si>
    <t>GRILLE SIMPLE DEFLEXION 875*635</t>
  </si>
  <si>
    <t>2 RENFORTS</t>
  </si>
  <si>
    <t>1 RENFORT</t>
  </si>
  <si>
    <t>GRILLE DOUBLE DEFLEXION 460*120 BLANC</t>
  </si>
  <si>
    <t>460*120 blanc</t>
  </si>
  <si>
    <t xml:space="preserve"> 24  ail</t>
  </si>
  <si>
    <t>530*430</t>
  </si>
  <si>
    <t>1755/M2</t>
  </si>
  <si>
    <t>GRILLE DOUBLE DEFLEXION 700*350 BLANC</t>
  </si>
  <si>
    <t>0,224 m2</t>
  </si>
  <si>
    <t>3250 m2</t>
  </si>
  <si>
    <t>GRILLE SIMPLE DEFLEXION 800*100</t>
  </si>
  <si>
    <t>GRILLE SIMPLE DEFLEXION 700*100</t>
  </si>
  <si>
    <t>3000*50</t>
  </si>
  <si>
    <t>0,15 M2</t>
  </si>
  <si>
    <t>GRILLE SIMPLE DEFLEXION 680*40</t>
  </si>
  <si>
    <t>680*40</t>
  </si>
  <si>
    <t xml:space="preserve">GRILLE DOUBLE DEFLEX 3000*50 blanc </t>
  </si>
  <si>
    <t xml:space="preserve">GRILLE A BARRE FIXE 480*380 blanc </t>
  </si>
  <si>
    <t>480*380</t>
  </si>
  <si>
    <t>0,18 M2</t>
  </si>
  <si>
    <t>GRILLE DOUBLE DEFLEXION 1400*100 BLANC</t>
  </si>
  <si>
    <t>1400*100</t>
  </si>
  <si>
    <t>70 ail</t>
  </si>
  <si>
    <t xml:space="preserve">GRILLE A BARRE FIXE  350*40 blanc </t>
  </si>
  <si>
    <t>350*40</t>
  </si>
  <si>
    <t>0,014 m2</t>
  </si>
  <si>
    <t xml:space="preserve">GRILLE A BARRE FIXE  3000*40 blanc </t>
  </si>
  <si>
    <t xml:space="preserve">GRILLE A BARRE FIXE  3000*90 blanc </t>
  </si>
  <si>
    <t>3000*90</t>
  </si>
  <si>
    <t>0,27 m2</t>
  </si>
  <si>
    <t xml:space="preserve">GRILLE A BARRE FIXE  2000*90 blanc </t>
  </si>
  <si>
    <t>2000*90</t>
  </si>
  <si>
    <t xml:space="preserve">GRILLE A BARRE FIXE  2000*40 blanc </t>
  </si>
  <si>
    <t xml:space="preserve">GRILLE A BARRE FIXE  800*100 blanc </t>
  </si>
  <si>
    <t xml:space="preserve">GRILLE A BARRE FIXE  600*50 blanc </t>
  </si>
  <si>
    <t xml:space="preserve">GRILLE A BARRE FIXE  3000*50 blanc </t>
  </si>
  <si>
    <t>BENHAKIM</t>
  </si>
  <si>
    <t>BYE ROOM</t>
  </si>
  <si>
    <t xml:space="preserve">GRILLE A BARRE FIXE  1000*40 blanc </t>
  </si>
  <si>
    <t>0,04m2</t>
  </si>
  <si>
    <t xml:space="preserve">GRILLE A BARRE FIXE  1500*40 blanc </t>
  </si>
  <si>
    <t>GRILLE SIMPLE DEFLEXION 3000*40</t>
  </si>
  <si>
    <t>GRILLE SIMPLE DEFLEXION 2000*40</t>
  </si>
  <si>
    <t>GRILLE SIMPLE DEFLEXION 1500*40</t>
  </si>
  <si>
    <t>GRILLE SIMPLE DEFLEXION 1000*40</t>
  </si>
  <si>
    <t>GRILLE DOUBLE DEFLEXION 1200*100 BLANC</t>
  </si>
  <si>
    <t>GRILLE SIMPLE DEFLEXION 1200*150</t>
  </si>
  <si>
    <t>ASSABANE</t>
  </si>
  <si>
    <t>GRILLE SIMPLE DEFLEXION 1200*60</t>
  </si>
  <si>
    <t>GRILLE SIMPLE DEFLEXION 1000*60</t>
  </si>
  <si>
    <t>800*140</t>
  </si>
  <si>
    <t>GRILLE DOUBLE DEFLEXION 800*140 BLANC</t>
  </si>
  <si>
    <t>GRILLE SIMPLE DEFLEXION 400*150</t>
  </si>
  <si>
    <t>GRILLE A BARRE FIXE 800*200 blanc</t>
  </si>
  <si>
    <t>GRILLE SIMPLE DEFLEXION 850*700</t>
  </si>
  <si>
    <t>850*700</t>
  </si>
  <si>
    <t>GRILLE DOUBLE DEFLEXION 850*700 BLANC</t>
  </si>
  <si>
    <t>GRILLE DOUBLE DEFLEXION 850*700</t>
  </si>
  <si>
    <t>REG 850</t>
  </si>
  <si>
    <t>GRILLE DOUBLE DEFLEXION 600*400 BLANC</t>
  </si>
  <si>
    <t>GRILLE A BARRE FIXE 1017*60 blanc</t>
  </si>
  <si>
    <t>1017*60</t>
  </si>
  <si>
    <t>0,48 M2</t>
  </si>
  <si>
    <t>GRILLE DOUBLE DEFLEXION 1000*600 BLANC</t>
  </si>
  <si>
    <t xml:space="preserve"> 14 AIL</t>
  </si>
  <si>
    <t>GRILLE DOUBLE DEFLEXION 500*120 GRIS</t>
  </si>
  <si>
    <t>GLOBALE</t>
  </si>
  <si>
    <t>REG  120</t>
  </si>
  <si>
    <t>2966 m2</t>
  </si>
  <si>
    <t>GRILLE DOUBLE DEFLEXION 150*100</t>
  </si>
  <si>
    <t>GRILLE SIMPLE DEFLEXION 1400*100</t>
  </si>
  <si>
    <t>GRILLE DOUBLE DEFLEXION 300*300 BLANC</t>
  </si>
  <si>
    <t>GRILLE SIMPLE DEFLEXION 200*75</t>
  </si>
  <si>
    <t>AIRISOLA</t>
  </si>
  <si>
    <t>GRILLE SIMPLE DEFLEXION 200*200</t>
  </si>
  <si>
    <t>GRILLE SIMPLE DEFLEXION 300*500</t>
  </si>
  <si>
    <t>GRILLE A BARRE FIXE 600*40 blanc</t>
  </si>
  <si>
    <t>GRILLE A BARRE FIXE 800*40 blanc</t>
  </si>
  <si>
    <t>GRILLE A BARRE FIXE 1000*40 blanc</t>
  </si>
  <si>
    <t>GRILLE A BARRE FIXE 1000*70 blanc</t>
  </si>
  <si>
    <t>1140*40</t>
  </si>
  <si>
    <t>GRILLE SIMPLE DEFLEXION 350*350</t>
  </si>
  <si>
    <t>0,13 m2</t>
  </si>
  <si>
    <t xml:space="preserve"> 16 AIL</t>
  </si>
  <si>
    <t>GRILLE SIMPLE DEFLEXION 300*300</t>
  </si>
  <si>
    <t>1930 m2</t>
  </si>
  <si>
    <t xml:space="preserve"> 21 AIL</t>
  </si>
  <si>
    <t>GRILLE SIMPLE DEFLEXION 450*450</t>
  </si>
  <si>
    <t>GRILLE DOUBLE DEFLEXION 800*200</t>
  </si>
  <si>
    <t>38 AIL</t>
  </si>
  <si>
    <t>GRILLE DOUBLE DEFLEXION 500*150</t>
  </si>
  <si>
    <t>H A S</t>
  </si>
  <si>
    <t>GRILLE DOUBLE DEFLEXION 600*200</t>
  </si>
  <si>
    <t>ETS AIT KADI</t>
  </si>
  <si>
    <t>GRILLE A BARRE FIXE 585*85 blanc</t>
  </si>
  <si>
    <t>585*85</t>
  </si>
  <si>
    <t>GRILLE SIMPLE DEFLEXION 600*150</t>
  </si>
  <si>
    <t>filmatec</t>
  </si>
  <si>
    <t>GRILLE SIMPLE DEFLEXION 600*200</t>
  </si>
  <si>
    <t>GRILLE SIMPLE DEFLEXION 800*200</t>
  </si>
  <si>
    <t>GRILLE A BARRE FIXE 400*100 blanc</t>
  </si>
  <si>
    <t>GRILLE A BARRE FIXE 500*250 blanc</t>
  </si>
  <si>
    <t>GRILLE A BARRE FIXE 1000*50 blanc</t>
  </si>
  <si>
    <t>GRILLE SIMPLE DEFLEXION 500*150</t>
  </si>
  <si>
    <t>350*200</t>
  </si>
  <si>
    <t>LE MAITRE INGENIERIE</t>
  </si>
  <si>
    <t>GRILLE A BARRE FIXE 2500*70 blanc</t>
  </si>
  <si>
    <t>2500*70</t>
  </si>
  <si>
    <t>GRILLE A BARRE FIXE 1140*40 blanc</t>
  </si>
  <si>
    <t>GRILLE SIMPLE DEFLEXION 1000*80</t>
  </si>
  <si>
    <t>REG 80</t>
  </si>
  <si>
    <t>INOXMA</t>
  </si>
  <si>
    <t>500*80</t>
  </si>
  <si>
    <t>ICEMAR</t>
  </si>
  <si>
    <t>275*275</t>
  </si>
  <si>
    <t xml:space="preserve"> 12 AIL</t>
  </si>
  <si>
    <r>
      <t xml:space="preserve">GRILLE SIMPLE DEFLEXION 275*275 </t>
    </r>
    <r>
      <rPr>
        <b/>
        <sz val="16"/>
        <color theme="1"/>
        <rFont val="Calibri"/>
        <family val="2"/>
        <scheme val="minor"/>
      </rPr>
      <t>GRIS</t>
    </r>
  </si>
  <si>
    <r>
      <t xml:space="preserve">GRILLE SIMPLE DEFLEXION 249*100 </t>
    </r>
    <r>
      <rPr>
        <b/>
        <sz val="16"/>
        <color theme="1"/>
        <rFont val="Calibri"/>
        <family val="2"/>
        <scheme val="minor"/>
      </rPr>
      <t>GRIS</t>
    </r>
  </si>
  <si>
    <t>249*100</t>
  </si>
  <si>
    <t>359*600</t>
  </si>
  <si>
    <r>
      <t xml:space="preserve">GRILLE SIMPLE DEFLEXION 359*600 </t>
    </r>
    <r>
      <rPr>
        <b/>
        <sz val="16"/>
        <color theme="1"/>
        <rFont val="Calibri"/>
        <family val="2"/>
        <scheme val="minor"/>
      </rPr>
      <t>GRIS</t>
    </r>
  </si>
  <si>
    <r>
      <t xml:space="preserve">GRILLE SIMPLE DEFLEXION 329*610 </t>
    </r>
    <r>
      <rPr>
        <b/>
        <sz val="16"/>
        <color theme="1"/>
        <rFont val="Calibri"/>
        <family val="2"/>
        <scheme val="minor"/>
      </rPr>
      <t>GRIS</t>
    </r>
  </si>
  <si>
    <t>329*610</t>
  </si>
  <si>
    <t xml:space="preserve"> 30 AIL</t>
  </si>
  <si>
    <t>GAINAIR</t>
  </si>
  <si>
    <t>GRILLE SIMPLE DEFLEXION 500*100</t>
  </si>
  <si>
    <t>550*120</t>
  </si>
  <si>
    <t>880*120</t>
  </si>
  <si>
    <t>GRILLE SIMPLE DEFLEXION 1650*200</t>
  </si>
  <si>
    <t>1650*200</t>
  </si>
  <si>
    <t>GRILLE A BARRE FIXE 1650*200 blanc</t>
  </si>
  <si>
    <t>GRILLE A BARRE FIXE 940*200 blanc</t>
  </si>
  <si>
    <t>940*200</t>
  </si>
  <si>
    <t>0,19 m2</t>
  </si>
  <si>
    <t>GRILLE SIMPLE DEFLEXION 940*200</t>
  </si>
  <si>
    <t>ADVANCED</t>
  </si>
  <si>
    <t>ASSABANE AKHORSSA</t>
  </si>
  <si>
    <t>780*180</t>
  </si>
  <si>
    <t>GRILLE SIMPLE DEFLEXION 780*180 GRIS</t>
  </si>
  <si>
    <t>GRILLE DOUBLE DEFLEXION 780*180 GRIS</t>
  </si>
  <si>
    <t>GRILLE A BARRE FIXE 1000*30 blanc</t>
  </si>
  <si>
    <t>1000*30</t>
  </si>
  <si>
    <t>GRILLE SIMPLE DEFLEXION 900*70</t>
  </si>
  <si>
    <t>900*70</t>
  </si>
  <si>
    <t>GRILLE A BARRE FIXE 900*60 blanc</t>
  </si>
  <si>
    <t>four*30%</t>
  </si>
  <si>
    <t xml:space="preserve">GRILLE A BARRE FIXE 800*300 GRIS </t>
  </si>
  <si>
    <t xml:space="preserve">GRILLE A BARRE FIXE 600*300 GRIS </t>
  </si>
  <si>
    <t>AZ VENTILATION</t>
  </si>
  <si>
    <t xml:space="preserve">GRILLE A BARRE FIXE 400*300 </t>
  </si>
  <si>
    <t xml:space="preserve">GRILLE A BARRE FIXE 500*400 </t>
  </si>
  <si>
    <t xml:space="preserve">GRILLE A BARRE FIXE 900*400 </t>
  </si>
  <si>
    <t>0,09M2</t>
  </si>
  <si>
    <t>sama neazec</t>
  </si>
  <si>
    <t>2570 m2</t>
  </si>
  <si>
    <t>72 AIL</t>
  </si>
  <si>
    <t>GRILLE SIMPLE DEFLEXION 300*70</t>
  </si>
  <si>
    <t>300*70</t>
  </si>
  <si>
    <t>GRILLE SIMPLE DEFLEXION 400*600</t>
  </si>
  <si>
    <t>GOOD CLIM</t>
  </si>
  <si>
    <t>FROID MIXTE</t>
  </si>
  <si>
    <t>GRILLE SIMPLE DEFLEXION 1500*125</t>
  </si>
  <si>
    <t>1500*125</t>
  </si>
  <si>
    <t>REG 125</t>
  </si>
  <si>
    <t>AIR CLIM</t>
  </si>
  <si>
    <t xml:space="preserve">GRILLE A BARRE FIXE 1000*400 </t>
  </si>
  <si>
    <t>GRILLE SIMPLE DEFLEXION 400*800</t>
  </si>
  <si>
    <t>ENERGIE SAHEL</t>
  </si>
  <si>
    <t>400*800</t>
  </si>
  <si>
    <t>0,32 m2</t>
  </si>
  <si>
    <t xml:space="preserve">GRILLE DOUBLE DEFLEXION 780*180 </t>
  </si>
  <si>
    <t xml:space="preserve">GRILLE DOUBLE DEFLEXION 1100*100 </t>
  </si>
  <si>
    <t>1100*100</t>
  </si>
  <si>
    <t>54 AIL</t>
  </si>
  <si>
    <t>REG 1100</t>
  </si>
  <si>
    <t xml:space="preserve">GRILLE A BARRE FIXE 600*400 </t>
  </si>
  <si>
    <t xml:space="preserve">GRILLE A BARRE FIXE 950*50 </t>
  </si>
  <si>
    <t>GRILLE SIMPLE DEFLEXION 600*40</t>
  </si>
  <si>
    <t>GRILLE SIMPLE DEFLEXION 500*40</t>
  </si>
  <si>
    <t>BEN HAKIM</t>
  </si>
  <si>
    <t>0,30M2</t>
  </si>
  <si>
    <t>0,18M2</t>
  </si>
  <si>
    <t xml:space="preserve">GRILLE A BARRE FIXE 600*150 </t>
  </si>
  <si>
    <t xml:space="preserve">GRILLE DOUBLE DEFLEXION 600*200 </t>
  </si>
  <si>
    <t>COMPTOIR</t>
  </si>
  <si>
    <t>350*100</t>
  </si>
  <si>
    <t>GRILLE A BARRE FIXE 1800*400 blanc</t>
  </si>
  <si>
    <t>EL HARTI</t>
  </si>
  <si>
    <t xml:space="preserve">GRILLE A BARRE FIXE 500*40 </t>
  </si>
  <si>
    <t>GRILLE SIMPLE DEFLEXION 380*90</t>
  </si>
  <si>
    <t>3k air</t>
  </si>
  <si>
    <t>380*90</t>
  </si>
  <si>
    <t>530*180</t>
  </si>
  <si>
    <t>GRILLE A BARRE FIXE 3560*300</t>
  </si>
  <si>
    <t>1780*300</t>
  </si>
  <si>
    <t>GRILLE A BARRE FIXE 2510*300</t>
  </si>
  <si>
    <t>2510*300</t>
  </si>
  <si>
    <t>1800*400</t>
  </si>
  <si>
    <t>air nature</t>
  </si>
  <si>
    <t>750*100</t>
  </si>
  <si>
    <t>270*160</t>
  </si>
  <si>
    <t>280*190</t>
  </si>
  <si>
    <t>GRILLE SIMPLE DEFLEXION 750*100 ALU</t>
  </si>
  <si>
    <t>GRILLE SIMPLE DEFLEXION 500*220 ALU</t>
  </si>
  <si>
    <t>500*220</t>
  </si>
  <si>
    <t xml:space="preserve"> 11 AIL</t>
  </si>
  <si>
    <t>REG 220</t>
  </si>
  <si>
    <t>ben hakim</t>
  </si>
  <si>
    <t>970*330</t>
  </si>
  <si>
    <t>GRILLE SIMPLE DEFLEXION 970*330 blanc</t>
  </si>
  <si>
    <t xml:space="preserve"> 15 AIL</t>
  </si>
  <si>
    <t>GRILLE A BARRE FIXE 970*330 blanc</t>
  </si>
  <si>
    <t>GRILLE SIMPLE DEFLEXION 400*200 blanc</t>
  </si>
  <si>
    <t xml:space="preserve"> 4AIL</t>
  </si>
  <si>
    <t>GRILLE A BARRE FIXE 3000*40 blanc</t>
  </si>
  <si>
    <t xml:space="preserve"> </t>
  </si>
  <si>
    <t>GRILLE DOUBLE DEFLEXION 600*300 BL</t>
  </si>
  <si>
    <t>ARISOLA</t>
  </si>
  <si>
    <t xml:space="preserve"> 14AIL</t>
  </si>
  <si>
    <t>580*40 BL</t>
  </si>
  <si>
    <t>MILOVER</t>
  </si>
  <si>
    <t>3000*400</t>
  </si>
  <si>
    <t>1,2 m2</t>
  </si>
  <si>
    <t>GRILLE SIMPLE DEFLEXION 3000*400 GRIS</t>
  </si>
  <si>
    <t>GRILLE SIMPLE DEFLEXION 2500*300 GRIS</t>
  </si>
  <si>
    <t>2500*300</t>
  </si>
  <si>
    <t>GRILLE SIMPLE DEFLEXION 2450*300 GRIS</t>
  </si>
  <si>
    <t>2450*300</t>
  </si>
  <si>
    <t>0,75 m2</t>
  </si>
  <si>
    <t>0,74 m2</t>
  </si>
  <si>
    <t>GRILLE SIMPLE DEFLEXION 2250*300 GRIS</t>
  </si>
  <si>
    <t>2250*300</t>
  </si>
  <si>
    <t>1,20 m2</t>
  </si>
  <si>
    <t>0,68 m2</t>
  </si>
  <si>
    <t>GRILLE A BARRE FIXE 2500*300 GRIS</t>
  </si>
  <si>
    <t>GRILLE A BARRE FIXE 2250*300 GRIS</t>
  </si>
  <si>
    <t>GRILLE A BARRE FIXE 2450*300 GRIS</t>
  </si>
  <si>
    <t>GRILLE A BARRE FIXE 3000*400 GRIS</t>
  </si>
  <si>
    <t>GRILLE SIMPLE DEFLEXION 478*644 blanc</t>
  </si>
  <si>
    <t>478*644</t>
  </si>
  <si>
    <t xml:space="preserve"> 31 AIL</t>
  </si>
  <si>
    <t>450*544</t>
  </si>
  <si>
    <t xml:space="preserve"> 27 AIL</t>
  </si>
  <si>
    <t>410*180</t>
  </si>
  <si>
    <t>REG  180</t>
  </si>
  <si>
    <t>800*308 BL</t>
  </si>
  <si>
    <t>GRILLE SIMPLE DEFLEXION BLANC JUSTE CADRE</t>
  </si>
  <si>
    <t>GRILLE A BARRE FIXE 1000*60 blanc</t>
  </si>
  <si>
    <t>GRILLE SIMPLE DEFLEXION 2000*40 GRIS</t>
  </si>
  <si>
    <t>400*50 BL</t>
  </si>
  <si>
    <t>GRILLE DOUBLE DEFLEXION 330*180 GIS</t>
  </si>
  <si>
    <t>330*180 GRIS</t>
  </si>
  <si>
    <t>15 AIL</t>
  </si>
  <si>
    <t>REG 330</t>
  </si>
  <si>
    <t>1460*114 BL</t>
  </si>
  <si>
    <t>REG  114</t>
  </si>
  <si>
    <t>GRILLE A BARRE FIXE 980*130 blanc</t>
  </si>
  <si>
    <t>980*130</t>
  </si>
  <si>
    <t>GRILLE SIMPLE DEFLEXION 400*400</t>
  </si>
  <si>
    <t>GRILLE SIMPLE DEFLEXION 350*690</t>
  </si>
  <si>
    <t>350*690</t>
  </si>
  <si>
    <t>0,241 m2</t>
  </si>
  <si>
    <t>REG 690</t>
  </si>
  <si>
    <t>GRILLE SIMPLE DEFLEXION 1400*600 BLANC</t>
  </si>
  <si>
    <t>1400*600</t>
  </si>
  <si>
    <t>0,84 m2</t>
  </si>
  <si>
    <t>GRILLE SIMPLE DEFLEXION 1000*450 BLANC</t>
  </si>
  <si>
    <t>ACOSYS</t>
  </si>
  <si>
    <t>1000*450</t>
  </si>
  <si>
    <t>0,45 m2</t>
  </si>
  <si>
    <t>air isola</t>
  </si>
  <si>
    <t>GRILLE SIMPLE DEFLEXION 800*300 GRIS</t>
  </si>
  <si>
    <t>0, 24m2</t>
  </si>
  <si>
    <t xml:space="preserve"> 21AIL</t>
  </si>
  <si>
    <t>GRILLE SIMPLE DEFLEXION 1045*690 GRIS</t>
  </si>
  <si>
    <t>1045*690</t>
  </si>
  <si>
    <t>GRILLE A BARRE FIXE 200*100 GRIS</t>
  </si>
  <si>
    <t>GRILLE DOUBLE DEFLEXION 800*600 BLANC</t>
  </si>
  <si>
    <t>800*600 BL</t>
  </si>
  <si>
    <t>GRILLE DOUBLE DEFLEXION 2000*1000 BL</t>
  </si>
  <si>
    <t>ESDATA</t>
  </si>
  <si>
    <t>2000*1000</t>
  </si>
  <si>
    <t xml:space="preserve"> 50 AIL</t>
  </si>
  <si>
    <t>470*220</t>
  </si>
  <si>
    <t>0,104 M2</t>
  </si>
  <si>
    <t>REG  220</t>
  </si>
  <si>
    <t>GRILLE DOUBLE DEFLEXION 1000*200 BL</t>
  </si>
  <si>
    <t>GRILLE A BARRE FIXE 1000*600 blanc</t>
  </si>
  <si>
    <t>GRILLE SIMPLE DEFLEXION 845*240 BLANC</t>
  </si>
  <si>
    <t>benhakim</t>
  </si>
  <si>
    <t>845*240</t>
  </si>
  <si>
    <t>0,202 m2</t>
  </si>
  <si>
    <t>REG 240</t>
  </si>
  <si>
    <t>GRILLE SIMPLE DEFLEXION 1110*235 BLANC</t>
  </si>
  <si>
    <t>1110*235</t>
  </si>
  <si>
    <t>0,260 m2</t>
  </si>
  <si>
    <t>REG 235</t>
  </si>
  <si>
    <t>TTC</t>
  </si>
  <si>
    <t>equipsol</t>
  </si>
  <si>
    <t>45 AIL</t>
  </si>
  <si>
    <t>GRILLE DOUBLE DEFLEXION 400*100 GRIS</t>
  </si>
  <si>
    <t>GRILLE A BARRE FIXE 600*300 blanc</t>
  </si>
  <si>
    <t>GRILLE A BARRE FIXE 650*150 blanc</t>
  </si>
  <si>
    <t>0,097 m2</t>
  </si>
  <si>
    <t>GRILLE SIMPLE DEFLEXION 350*240 BLANC</t>
  </si>
  <si>
    <t>L AUBERGE</t>
  </si>
  <si>
    <t>350*240</t>
  </si>
  <si>
    <t>0,084 m2</t>
  </si>
  <si>
    <t>GRILLE SIMPLE DEFLEXION 310*200 BLANC</t>
  </si>
  <si>
    <t>310*200</t>
  </si>
  <si>
    <t>0,062 m2</t>
  </si>
  <si>
    <t>GRILLE DOUBLE DEFLEXION 400*100 BL</t>
  </si>
  <si>
    <t>440*80</t>
  </si>
  <si>
    <t>GRILLE DOUBLE DEFLEXION 745*450 GRIS</t>
  </si>
  <si>
    <t>745*450</t>
  </si>
  <si>
    <t>0,335 m2</t>
  </si>
  <si>
    <t>REG 745</t>
  </si>
  <si>
    <t>1000*205</t>
  </si>
  <si>
    <t>0,205 M2</t>
  </si>
  <si>
    <t>REG  205</t>
  </si>
  <si>
    <t>1040*230</t>
  </si>
  <si>
    <t>REG  230</t>
  </si>
  <si>
    <t>GRILLE SIMPLE DEFLEXION 400*400 BLANC</t>
  </si>
  <si>
    <t>GRILLE DOUBLE DEFLEXION 800*200 BL</t>
  </si>
  <si>
    <t>GRILLE SIMPLE DEFLEXION 750*300 BLANC</t>
  </si>
  <si>
    <t>INTERPLOMB</t>
  </si>
  <si>
    <t>750*300</t>
  </si>
  <si>
    <t>0,225 m2</t>
  </si>
  <si>
    <t>GRILLE A BARRE FIXE 750*300 blanc</t>
  </si>
  <si>
    <t>CLIM SERV</t>
  </si>
  <si>
    <t>GRILLE SIMPLE DEFLEXION 1200*120 BLANC</t>
  </si>
  <si>
    <t>PROJECTIA</t>
  </si>
  <si>
    <t>0,144 m2</t>
  </si>
  <si>
    <t>REG 120</t>
  </si>
  <si>
    <t>GRILLE SIMPLE DEFLEXION 480*80 BLANC</t>
  </si>
  <si>
    <t>480*80</t>
  </si>
  <si>
    <t>400*80</t>
  </si>
  <si>
    <t>02 ail</t>
  </si>
  <si>
    <t>GRILLE SIMPLE DEFLEXION 650*340 BLANC</t>
  </si>
  <si>
    <t>BAUENER</t>
  </si>
  <si>
    <t>650*340</t>
  </si>
  <si>
    <t>16 AIL</t>
  </si>
  <si>
    <t>0,221 m2</t>
  </si>
  <si>
    <t>GRILLE A BARRE FIXE 650*430 blanc</t>
  </si>
  <si>
    <t xml:space="preserve">ADVANCED </t>
  </si>
  <si>
    <t>650*430</t>
  </si>
  <si>
    <t>STF MAINTENANCE</t>
  </si>
  <si>
    <t>REG 60</t>
  </si>
  <si>
    <t>GRILLE A BARRE FIXE 650*340 blanc</t>
  </si>
  <si>
    <t>TEMA HAOUSSE</t>
  </si>
  <si>
    <t>0,016 m2</t>
  </si>
  <si>
    <t>GRILLE SIMPLE DEFLEXION 600*600 BLANC</t>
  </si>
  <si>
    <t>GRILLE DOUBLE DEFLEXION 600*600 BL</t>
  </si>
  <si>
    <t xml:space="preserve"> 29AIL</t>
  </si>
  <si>
    <t>GRILLE SIMPLE DEFLEXION 800*50 BLANC</t>
  </si>
  <si>
    <t>ESPACE SERVICE</t>
  </si>
  <si>
    <t>GRILLE SIMPLE DEFLEXION 600*50 BLANC</t>
  </si>
  <si>
    <t>GRILLE DOUBLE DEFLEXION 800*50 BL</t>
  </si>
  <si>
    <t>GRILLE DOUBLE DEFLEXION 600*50 BL</t>
  </si>
  <si>
    <t>29AIL</t>
  </si>
  <si>
    <t>GRILLE DOUBLE DEFLEXION 500*100 BL</t>
  </si>
  <si>
    <t>24AIL</t>
  </si>
  <si>
    <t>DIM</t>
  </si>
  <si>
    <t>PROFILE</t>
  </si>
  <si>
    <t>prix</t>
  </si>
  <si>
    <t>VAL/PROFIL</t>
  </si>
  <si>
    <t>REGLETTES</t>
  </si>
  <si>
    <t>RENFORT</t>
  </si>
  <si>
    <t>AILETTES</t>
  </si>
  <si>
    <t xml:space="preserve">prix </t>
  </si>
  <si>
    <t>VAL/AILE</t>
  </si>
  <si>
    <t>M/P</t>
  </si>
  <si>
    <t>MP/40%</t>
  </si>
  <si>
    <t>M/D</t>
  </si>
  <si>
    <t>P/VENTE/HT</t>
  </si>
  <si>
    <t>GRILLE DOUBLE DEFLEXION 730*370 BL</t>
  </si>
  <si>
    <t>730*370</t>
  </si>
  <si>
    <t>REG 370</t>
  </si>
  <si>
    <t>REG 730</t>
  </si>
  <si>
    <t>120*100</t>
  </si>
  <si>
    <t>04 ail</t>
  </si>
  <si>
    <t>240*70</t>
  </si>
  <si>
    <t>03 ail</t>
  </si>
  <si>
    <t>GRILLE DOUBLE DEFLEXION 1400*200 BL</t>
  </si>
  <si>
    <t>69 AIL</t>
  </si>
  <si>
    <t>REG 1400</t>
  </si>
  <si>
    <t>GRILLE A BARRE FIXE 700*350 blanc</t>
  </si>
  <si>
    <t>TEMA HOUSSE</t>
  </si>
  <si>
    <t>GRILLE DOUBLE DEFLEXION 1230*130 BLANC</t>
  </si>
  <si>
    <t>1230*130</t>
  </si>
  <si>
    <t>0,159 m2</t>
  </si>
  <si>
    <t>REG 130</t>
  </si>
  <si>
    <t>REG 1230</t>
  </si>
  <si>
    <t>GRILLE SIMPLE DEFLEXION 930*170 BLANC</t>
  </si>
  <si>
    <t>FCVC MAROC</t>
  </si>
  <si>
    <t>930*170</t>
  </si>
  <si>
    <t>0,158 m2</t>
  </si>
  <si>
    <t>REG 170</t>
  </si>
  <si>
    <t>GRILLE DOUBLE DEFLEXION 500*200 BL</t>
  </si>
  <si>
    <t>GRILLE DOUBLE DEFLEXION 1000*100 BL</t>
  </si>
  <si>
    <t>EURO FLUIDE</t>
  </si>
  <si>
    <t>GRILLE SIMPLE DEFLEXION 900*70 BLANC</t>
  </si>
  <si>
    <t>h a s</t>
  </si>
  <si>
    <t>REG 70</t>
  </si>
  <si>
    <t>4AIL</t>
  </si>
  <si>
    <t>0,067 m2</t>
  </si>
  <si>
    <t>euro fluide</t>
  </si>
  <si>
    <t>GRILLE SIMPLE DEFLEXION 900*300 BLANC</t>
  </si>
  <si>
    <t>0,270 m2</t>
  </si>
  <si>
    <t>BABWOOD</t>
  </si>
  <si>
    <t>GRILLE SIMPLE DEFLEXION 600*1400 BLANC</t>
  </si>
  <si>
    <t>600*1400</t>
  </si>
  <si>
    <t>68 AIL</t>
  </si>
  <si>
    <t>600*1000</t>
  </si>
  <si>
    <t>0,6 m2</t>
  </si>
  <si>
    <t>GRILLE SIMPLE DEFLEXION 600*1000 BLANC</t>
  </si>
  <si>
    <t>GRILLE SIMPLE DEFLEXION 605*942 BLANC</t>
  </si>
  <si>
    <t>MED EXPLOITATION</t>
  </si>
  <si>
    <t>605*942</t>
  </si>
  <si>
    <t>REG 942</t>
  </si>
  <si>
    <t>GRILLE SIMPLE DEFLEXION 700*700 BLANC</t>
  </si>
  <si>
    <t>33 AIL</t>
  </si>
  <si>
    <t>0,490 m2</t>
  </si>
  <si>
    <t>405*405</t>
  </si>
  <si>
    <t>0,164 m2</t>
  </si>
  <si>
    <t>GRILLE A BARRE FIXE 500*120 blanc</t>
  </si>
  <si>
    <t>GRILLE SIMPLE DEFLEXION 580*440 BLANC</t>
  </si>
  <si>
    <t>jm fluide</t>
  </si>
  <si>
    <t>580*440</t>
  </si>
  <si>
    <t>0,255 m2</t>
  </si>
  <si>
    <t>REG 440</t>
  </si>
  <si>
    <t>GRILLE SIMPLE DEFLEXION 500*200 BLANC</t>
  </si>
  <si>
    <t>GRILLE SIMPLE DEFLEXION 335*430 BLANC</t>
  </si>
  <si>
    <t>aerolique</t>
  </si>
  <si>
    <t>335*430</t>
  </si>
  <si>
    <t>REG 430</t>
  </si>
  <si>
    <t>GRILLE DOUBLE DEFLEXION 1100*1100 BL</t>
  </si>
  <si>
    <t>FIRSTHERM</t>
  </si>
  <si>
    <t>1100*1100</t>
  </si>
  <si>
    <t>GRILLE SIMPLE DEFLEXION 300*380 BLANC</t>
  </si>
  <si>
    <t>300*380</t>
  </si>
  <si>
    <t>19AIL</t>
  </si>
  <si>
    <t>0,114 m2</t>
  </si>
  <si>
    <t>MOUHSIB</t>
  </si>
  <si>
    <t>390*490</t>
  </si>
  <si>
    <t>0,191 m2</t>
  </si>
  <si>
    <t>REG 490</t>
  </si>
  <si>
    <t>550,00 NET</t>
  </si>
  <si>
    <t>GRILLE SIMPLE DEFLEXION 300*500 BLANC</t>
  </si>
  <si>
    <t>JM FLUIDE</t>
  </si>
  <si>
    <t>200*500</t>
  </si>
  <si>
    <t>GRILLE SIMPLE DEFLEXION 250*300 BLANC</t>
  </si>
  <si>
    <t>250*300</t>
  </si>
  <si>
    <t>GRILLE A BARRE FIXE 250*300 blanc</t>
  </si>
  <si>
    <t>FRIGIVAL</t>
  </si>
  <si>
    <t>GRILLE A BARRE FIXE 200*100 blanc avec peinture</t>
  </si>
  <si>
    <t>250*500</t>
  </si>
  <si>
    <t>600*45</t>
  </si>
  <si>
    <t>0,027 M2</t>
  </si>
  <si>
    <t>GRILLE DOUBLE DEFLEXION 1370*130 BLANC</t>
  </si>
  <si>
    <t>1370*130</t>
  </si>
  <si>
    <t>0,178 m2</t>
  </si>
  <si>
    <t>NET 10%</t>
  </si>
  <si>
    <t>GRILLE DOUBLE DEFLEXION 1430*130 BLANC</t>
  </si>
  <si>
    <t>1430*130</t>
  </si>
  <si>
    <t>0,186 m2</t>
  </si>
  <si>
    <t>REG 1430</t>
  </si>
  <si>
    <t>GRILLE DOUBLE DEFLEXION 200*150 BL</t>
  </si>
  <si>
    <t>PT</t>
  </si>
  <si>
    <t>0,045 m2</t>
  </si>
  <si>
    <t>6933M2</t>
  </si>
  <si>
    <t>6933 M2  PT</t>
  </si>
  <si>
    <t>6100 M2  PT</t>
  </si>
  <si>
    <t>GRILLE A BARRE FIXE 650*350 blanc</t>
  </si>
  <si>
    <t>650*350</t>
  </si>
  <si>
    <t>0,228 m2</t>
  </si>
  <si>
    <t>*10%</t>
  </si>
  <si>
    <t>GRILLE A BARRE FIXE 600*400 blanc</t>
  </si>
  <si>
    <t>760*120</t>
  </si>
  <si>
    <t>0,092 M2</t>
  </si>
  <si>
    <t>GRILLE A BARRE FIXE 760*120 blanc</t>
  </si>
  <si>
    <t>0,092 m2</t>
  </si>
  <si>
    <t>470*60</t>
  </si>
  <si>
    <t>0,028 M2</t>
  </si>
  <si>
    <t>GRILLE DOUBLE DEFLEXION 800*100 BL</t>
  </si>
  <si>
    <t>sotheca</t>
  </si>
  <si>
    <t>PEINTURE</t>
  </si>
  <si>
    <t>3284 M2</t>
  </si>
  <si>
    <t>GRILLE SIMPLE DEFLEXION 300*100 Gris</t>
  </si>
  <si>
    <t>GRILLE SIMPLE DEFLEXION 650*150 BLANC</t>
  </si>
  <si>
    <t>harti</t>
  </si>
  <si>
    <t>GRILLE DOUBLE DEFLEXION 1500*500 BL</t>
  </si>
  <si>
    <t>74 AIL</t>
  </si>
  <si>
    <t>3466  m2  PT</t>
  </si>
  <si>
    <t>2600 m2  NET</t>
  </si>
  <si>
    <t>GRILLE DOUBLE DEFLEXION 450*110 BLANC</t>
  </si>
  <si>
    <t>450*110</t>
  </si>
  <si>
    <t>REG 110</t>
  </si>
  <si>
    <t>300*110</t>
  </si>
  <si>
    <t>GRILLE DOUBLE DEFLEXION 1400*600 BLANC</t>
  </si>
  <si>
    <t>NET 5%</t>
  </si>
  <si>
    <t>GRILLE SIMPLE DEFLEXION 600*350 BLANC</t>
  </si>
  <si>
    <t>600*350</t>
  </si>
  <si>
    <t>SMART ECO SOLUTION</t>
  </si>
  <si>
    <t>GRILLE DOUBLE DEFLEXION 497*277 BL</t>
  </si>
  <si>
    <t>497*277</t>
  </si>
  <si>
    <t>REG 277</t>
  </si>
  <si>
    <t>REG 497</t>
  </si>
  <si>
    <t>GRILLE DOUBLE DEFLEXION 497*287 BL</t>
  </si>
  <si>
    <t>497*287</t>
  </si>
  <si>
    <t>REG 287</t>
  </si>
  <si>
    <t>NET +33%</t>
  </si>
  <si>
    <t>GRILLE DOUBLE DEFLEXION 630*330 BL</t>
  </si>
  <si>
    <t>630*330</t>
  </si>
  <si>
    <t>31 AIL</t>
  </si>
  <si>
    <t>REG 630</t>
  </si>
  <si>
    <t>567*287</t>
  </si>
  <si>
    <t>REG 567</t>
  </si>
  <si>
    <t>MED EL HARTI</t>
  </si>
  <si>
    <t>600*450</t>
  </si>
  <si>
    <t>28 AIL</t>
  </si>
  <si>
    <t>0,27m2</t>
  </si>
  <si>
    <t>GRILLE A BARRE FIXE 600*450 blanc</t>
  </si>
  <si>
    <t>1040*55</t>
  </si>
  <si>
    <t xml:space="preserve"> 02 ail</t>
  </si>
  <si>
    <t>REG  55</t>
  </si>
  <si>
    <t>440*100</t>
  </si>
  <si>
    <t xml:space="preserve"> 04 ail</t>
  </si>
  <si>
    <t>GRILLE DOUBLE DEFLEXION 440*100 BLANC</t>
  </si>
  <si>
    <t xml:space="preserve"> 04 AIL</t>
  </si>
  <si>
    <t>AYOUCHE</t>
  </si>
  <si>
    <t>500*1650</t>
  </si>
  <si>
    <t>GRILLE A BARRE FIXE 540*135 GRIS</t>
  </si>
  <si>
    <t>HICHAM</t>
  </si>
  <si>
    <t>540*135</t>
  </si>
  <si>
    <t>GRILLE A BARRE FIXE 500*1650 blanc</t>
  </si>
  <si>
    <t xml:space="preserve"> 09 AIL</t>
  </si>
  <si>
    <t xml:space="preserve"> 17 AIL</t>
  </si>
  <si>
    <t>climatherm</t>
  </si>
  <si>
    <t xml:space="preserve"> 01 ail</t>
  </si>
  <si>
    <t>GRILLE A BARRE FIXE 200*200 blanc</t>
  </si>
  <si>
    <t>GRILLE A BARRE FIXE 1500*200 blanc</t>
  </si>
  <si>
    <t>CEGELEC</t>
  </si>
  <si>
    <t>GRILLE DOUBLE DEFLEXION 300*150 BL</t>
  </si>
  <si>
    <t>EXELUM</t>
  </si>
  <si>
    <t>14  AIL</t>
  </si>
  <si>
    <t>MOHSIB</t>
  </si>
  <si>
    <t>GRILLE SIMPLE DEFLEXION 390*490 BLANC</t>
  </si>
  <si>
    <t>VENTEC</t>
  </si>
  <si>
    <t>GRILLE A BARRE FIXE 540*490 blanc</t>
  </si>
  <si>
    <t>540*490</t>
  </si>
  <si>
    <t>0,26m2</t>
  </si>
  <si>
    <t>GRILLE DOUBLE DEFLEXION 600*100 BL</t>
  </si>
  <si>
    <t>29  AIL</t>
  </si>
  <si>
    <t>GRILLE SIMPLE DEFLEXION 1500*100 BLANC</t>
  </si>
  <si>
    <t>KAMAL</t>
  </si>
  <si>
    <t>GRILLE DOUBLE DEFLEXION 1000*150 BL</t>
  </si>
  <si>
    <t>50  AIL</t>
  </si>
  <si>
    <t>GRILLE SIMPLE DEFLEXION 300*80 BLANC</t>
  </si>
  <si>
    <t>GREEN AEROLIQUE</t>
  </si>
  <si>
    <t>300*80</t>
  </si>
  <si>
    <t>GRILLE DOUBLE DEFLEXION 1000*350 BL</t>
  </si>
  <si>
    <t>250*150</t>
  </si>
  <si>
    <t xml:space="preserve">electrovent </t>
  </si>
  <si>
    <t>480*300</t>
  </si>
  <si>
    <t>GRILLE A BARRE FIXE 480*300 blanc</t>
  </si>
  <si>
    <t>0,140 m2</t>
  </si>
  <si>
    <t>GRILLE A BARRE FIXE 370*200 blanc</t>
  </si>
  <si>
    <t>370*200</t>
  </si>
  <si>
    <t>GRILLE SIMPLE DEFLEXION 845*95 BLANC</t>
  </si>
  <si>
    <t>techno air clim</t>
  </si>
  <si>
    <t>845*95</t>
  </si>
  <si>
    <t>GRILLE A BARRE FIXE 600*200 Gris</t>
  </si>
  <si>
    <t>GRILLE A BARRE FIXE 3500*500 blanc</t>
  </si>
  <si>
    <t>3500*500</t>
  </si>
  <si>
    <t>1,75 m2</t>
  </si>
  <si>
    <t>GRILLE A BARRE FIXE 2500*500 blanc</t>
  </si>
  <si>
    <t>2500*500</t>
  </si>
  <si>
    <t>GRILLE A BARRE FIXE 1800*500 blanc</t>
  </si>
  <si>
    <t>24  AIL</t>
  </si>
  <si>
    <t>GRILLE SIMPLE DEFLEXION 960*160 BLANC</t>
  </si>
  <si>
    <t>960*160</t>
  </si>
  <si>
    <t>REG 160</t>
  </si>
  <si>
    <t>GRILLE SIMPLE DEFLEXION 930*160 BLANC</t>
  </si>
  <si>
    <t>930*160</t>
  </si>
  <si>
    <t>950*170</t>
  </si>
  <si>
    <t>940*150</t>
  </si>
  <si>
    <t>9AIL</t>
  </si>
  <si>
    <t>48  AIL</t>
  </si>
  <si>
    <t>REG 960</t>
  </si>
  <si>
    <t>GRILLE DOUBLE DEFLEXION 930*160 BL</t>
  </si>
  <si>
    <t>GRILLE DOUBLE DEFLEXION 960*160 BL</t>
  </si>
  <si>
    <t>GRILLE SIMPLE DEFLEXION 450*250 BLANC</t>
  </si>
  <si>
    <t>450*250</t>
  </si>
  <si>
    <t>GRILLE SIMPLE DEFLEXION 1500*500 BLANC</t>
  </si>
  <si>
    <t>HIG TECH</t>
  </si>
  <si>
    <t>GRILLE SIMPLE DEFLEXION 1000*400 BLANC</t>
  </si>
  <si>
    <t>19  AIL</t>
  </si>
  <si>
    <t>GRILLE DOUBLE DEFLEXION 900*500 BL</t>
  </si>
  <si>
    <t>SOBY SARL</t>
  </si>
  <si>
    <t>900*500</t>
  </si>
  <si>
    <t>0,83 m2</t>
  </si>
  <si>
    <t>470*120</t>
  </si>
  <si>
    <t>GRILLE SIMPLE DEFLEXION 400*600 BLANC</t>
  </si>
  <si>
    <t>GRILLE DOUBLE DEFLEXION 1200*300 BLANC</t>
  </si>
  <si>
    <t xml:space="preserve"> 60 AIL</t>
  </si>
  <si>
    <t>600*55</t>
  </si>
  <si>
    <t>GRILLE A BARRE FIXE 1000*250 blanc</t>
  </si>
  <si>
    <t>CLIMETEC</t>
  </si>
  <si>
    <t>GRILLE A BARRE FIXE 300*150 blanc</t>
  </si>
  <si>
    <t>GRILLE SIMPLE DEFLEXION 300*150 BLANC</t>
  </si>
  <si>
    <t>6  AIL</t>
  </si>
  <si>
    <t>GRILLE DOUBLE DEFLEXION 900*800 BLANC</t>
  </si>
  <si>
    <t xml:space="preserve"> 45 AIL</t>
  </si>
  <si>
    <t>0,72 m2</t>
  </si>
  <si>
    <t>GRILLE DOUBLE DEFLEXION 1200*550 BL</t>
  </si>
  <si>
    <t>11  AIL</t>
  </si>
  <si>
    <t>GRILLE DOUBLE DEFLEXION 590*290 BL</t>
  </si>
  <si>
    <t>590*290</t>
  </si>
  <si>
    <t>REG 290</t>
  </si>
  <si>
    <t>REG 590</t>
  </si>
  <si>
    <t>1220*250</t>
  </si>
  <si>
    <t>0,310 M2</t>
  </si>
  <si>
    <t>GRILLE DOUBLE DEFLEXION 1220*250 BLANC</t>
  </si>
  <si>
    <t>REG 1220</t>
  </si>
  <si>
    <t>GRILLE A BARRE FIXE 720*100 blanc</t>
  </si>
  <si>
    <t>720*100</t>
  </si>
  <si>
    <t xml:space="preserve">GRILLE SIMPLE DEFLEXION </t>
  </si>
  <si>
    <t>GRILLE DOUBLE DEFLEXION 2000*150 BL</t>
  </si>
  <si>
    <t>96  AIL</t>
  </si>
  <si>
    <t xml:space="preserve">450*150 </t>
  </si>
  <si>
    <t>GRILLE SIMPLE DEFLEXION Blanc</t>
  </si>
  <si>
    <t>GRILLE DOUBLE DEFLEXION 450*150 BL</t>
  </si>
  <si>
    <t>AMPEREDIS</t>
  </si>
  <si>
    <t>450*150</t>
  </si>
  <si>
    <t>21  AIL</t>
  </si>
  <si>
    <t>550*400 BLANC</t>
  </si>
  <si>
    <t>0,22 M2</t>
  </si>
  <si>
    <t>TOTO ISOL</t>
  </si>
  <si>
    <t>1000*120 BLANC</t>
  </si>
  <si>
    <t>710*160</t>
  </si>
  <si>
    <t xml:space="preserve"> 7 ail</t>
  </si>
  <si>
    <t>500*110</t>
  </si>
  <si>
    <t>REG  110</t>
  </si>
  <si>
    <t>GRILLE DOUBLE DEFLEXION 480*480 BL</t>
  </si>
  <si>
    <t>MJID EZZAKANI</t>
  </si>
  <si>
    <t>480*480</t>
  </si>
  <si>
    <t>REG 480</t>
  </si>
  <si>
    <t>GRILLE A BARRE FIXE 450*85 blanc</t>
  </si>
  <si>
    <t>450*85</t>
  </si>
  <si>
    <t>GRILLE A BARRE FIXE 1280*250 blanc</t>
  </si>
  <si>
    <t>1280*250</t>
  </si>
  <si>
    <t>1280*200</t>
  </si>
  <si>
    <t>AIRAD CLIM</t>
  </si>
  <si>
    <t>0,56 M2</t>
  </si>
  <si>
    <t>GRILLE DOUBLE DEFLEXION 1000*300 BL</t>
  </si>
  <si>
    <t>540*185</t>
  </si>
  <si>
    <t>REG  185</t>
  </si>
  <si>
    <t>380*230</t>
  </si>
  <si>
    <t>4550 m2  NET</t>
  </si>
  <si>
    <t>62  AIL</t>
  </si>
  <si>
    <t>REG 1250</t>
  </si>
  <si>
    <t>2178 m2  NET</t>
  </si>
  <si>
    <t>540*40</t>
  </si>
  <si>
    <t>CONFORT WORKS</t>
  </si>
  <si>
    <t>770*370</t>
  </si>
  <si>
    <t>0,290 M2</t>
  </si>
  <si>
    <t>REG  370</t>
  </si>
  <si>
    <t>GRILLE A BARRE FIXE 500*60 blanc</t>
  </si>
  <si>
    <t>FROCLIM</t>
  </si>
  <si>
    <t>480*50</t>
  </si>
  <si>
    <t>GOLD INDUSTRIE</t>
  </si>
  <si>
    <t>600*140</t>
  </si>
  <si>
    <t>REG  140</t>
  </si>
  <si>
    <t>CLIVENCHAU</t>
  </si>
  <si>
    <t>480*260</t>
  </si>
  <si>
    <t>12 AIL</t>
  </si>
  <si>
    <t>REG 260</t>
  </si>
  <si>
    <t>450*40</t>
  </si>
  <si>
    <t>GRILLE A BARRE FIXE 800*600 blanc</t>
  </si>
  <si>
    <t>trabelca</t>
  </si>
  <si>
    <t xml:space="preserve"> 43 AIL</t>
  </si>
  <si>
    <t>airisola</t>
  </si>
  <si>
    <t>390*40</t>
  </si>
  <si>
    <t>360*40</t>
  </si>
  <si>
    <t>GRILLE A BARRE FIXE 1050*200 blanc</t>
  </si>
  <si>
    <t>1050*200</t>
  </si>
  <si>
    <t>jamal</t>
  </si>
  <si>
    <t>GRILLE SIMPLE DEFLEXION Gris</t>
  </si>
  <si>
    <t>GRILLE A BARRE FIXE 500*400 blanc</t>
  </si>
  <si>
    <t>1020*127</t>
  </si>
  <si>
    <t>0,129 m2</t>
  </si>
  <si>
    <t>REG 127</t>
  </si>
  <si>
    <t>REG 1020</t>
  </si>
  <si>
    <t>1335*195</t>
  </si>
  <si>
    <t>REG 1335</t>
  </si>
  <si>
    <t>STF MAINTENANACE</t>
  </si>
  <si>
    <t>1342*697</t>
  </si>
  <si>
    <t>REG  397</t>
  </si>
  <si>
    <t>1342*520</t>
  </si>
  <si>
    <t>REG  520</t>
  </si>
  <si>
    <t>0,939 M2</t>
  </si>
  <si>
    <t>440*430</t>
  </si>
  <si>
    <t>HIGH TECH INDUSTRIE</t>
  </si>
  <si>
    <t>GRILLE A BARRE FIXE 150*150 blanc</t>
  </si>
  <si>
    <t>UNIMEC</t>
  </si>
  <si>
    <t>150*150</t>
  </si>
  <si>
    <t>0,022 m2</t>
  </si>
  <si>
    <t>GRILLE A BARRE FIXE 500*50 blanc</t>
  </si>
  <si>
    <t>GRILLE A BARRE FIXE 600*50 blanc</t>
  </si>
  <si>
    <t>260*40</t>
  </si>
  <si>
    <t>690*120</t>
  </si>
  <si>
    <t>05 AIL</t>
  </si>
  <si>
    <t>GRILLE A BARRE FIXE  blanc</t>
  </si>
  <si>
    <t>670*70</t>
  </si>
  <si>
    <t>1050*70</t>
  </si>
  <si>
    <t>0,073 m2</t>
  </si>
  <si>
    <t>0,046 m2</t>
  </si>
  <si>
    <t>BAALA CASTOR</t>
  </si>
  <si>
    <t>0,700 m2</t>
  </si>
  <si>
    <t>1400*500</t>
  </si>
  <si>
    <t>GRILLE A BARRE FIXE  GRIS</t>
  </si>
  <si>
    <t>ZAHID</t>
  </si>
  <si>
    <t>1050*100</t>
  </si>
  <si>
    <t>GRILLE A BARRE FIXE  GRIS Sans CADRE</t>
  </si>
  <si>
    <t>1680*100</t>
  </si>
  <si>
    <t>TECHNO CLIM</t>
  </si>
  <si>
    <t>550*400 BL</t>
  </si>
  <si>
    <t>550*400</t>
  </si>
  <si>
    <t>HARTI</t>
  </si>
  <si>
    <t>36 AIL</t>
  </si>
  <si>
    <t>0,450 m2</t>
  </si>
  <si>
    <t>800*560</t>
  </si>
  <si>
    <t>0,448 M2</t>
  </si>
  <si>
    <t>260*180</t>
  </si>
  <si>
    <t>800*56</t>
  </si>
  <si>
    <t>800*800 BL</t>
  </si>
  <si>
    <t>0,640 m2</t>
  </si>
  <si>
    <t>CEGELC</t>
  </si>
  <si>
    <t>1600*600</t>
  </si>
  <si>
    <t>0,960 m2</t>
  </si>
  <si>
    <t>MIROPURE</t>
  </si>
  <si>
    <t>665*825</t>
  </si>
  <si>
    <t>0,548M2</t>
  </si>
  <si>
    <t>REG  825</t>
  </si>
  <si>
    <t>560*920</t>
  </si>
  <si>
    <t>emagdop</t>
  </si>
  <si>
    <t>200*400</t>
  </si>
  <si>
    <t>TEMA HAOUSS</t>
  </si>
  <si>
    <t>0,052 m2</t>
  </si>
  <si>
    <t>840*590</t>
  </si>
  <si>
    <t>REG  590</t>
  </si>
  <si>
    <t>590*840</t>
  </si>
  <si>
    <t>frigival</t>
  </si>
  <si>
    <t>640*870</t>
  </si>
  <si>
    <t>GRILLE A BARRE FIXE  ALUM ( ailette sautè)</t>
  </si>
  <si>
    <t>0,096 m2</t>
  </si>
  <si>
    <t>640*80</t>
  </si>
  <si>
    <t>0,0512M2</t>
  </si>
  <si>
    <t xml:space="preserve">GRILLE A BARRE FIXE  ALUM </t>
  </si>
  <si>
    <t>goodclim</t>
  </si>
  <si>
    <t>1800*150</t>
  </si>
  <si>
    <t>ANIR</t>
  </si>
  <si>
    <t>450*430</t>
  </si>
  <si>
    <t>0,194 m2</t>
  </si>
  <si>
    <t>500*600</t>
  </si>
  <si>
    <t>ENT GAOUZI</t>
  </si>
  <si>
    <t>0,800 m2</t>
  </si>
  <si>
    <t>AC MAROC</t>
  </si>
  <si>
    <t>GRILLE A BARRE FIXE  ALU</t>
  </si>
  <si>
    <t>GRILLE DOUBLE DEFLEXION GRIS ANODISE</t>
  </si>
  <si>
    <t>950*600</t>
  </si>
  <si>
    <t>0,57 m2</t>
  </si>
  <si>
    <t>REG 950</t>
  </si>
  <si>
    <t>GRILLE A BARRE FIXE Blanc</t>
  </si>
  <si>
    <t>BLANC</t>
  </si>
  <si>
    <t>GRIS ANODISE</t>
  </si>
  <si>
    <t>DIMENSSIONS</t>
  </si>
  <si>
    <t>GRILLE SIMPLE DEFLEXION BLANC ET GRIS ANODISE</t>
  </si>
  <si>
    <t>GRILLE DOUBLE DEFLEXION BLANC ET GRIS ANODISE</t>
  </si>
  <si>
    <t>GRILLE A BARRE FIXE BLANC ET GRIS ANODISE</t>
  </si>
  <si>
    <t>REG  75</t>
  </si>
  <si>
    <t>RAPIBAT</t>
  </si>
  <si>
    <t>0,180 m2</t>
  </si>
  <si>
    <t>350*595</t>
  </si>
  <si>
    <t>550*835</t>
  </si>
  <si>
    <t>0,459 m2</t>
  </si>
  <si>
    <t>450*685</t>
  </si>
  <si>
    <t>400*565</t>
  </si>
  <si>
    <t>500*805</t>
  </si>
  <si>
    <t>990*380</t>
  </si>
  <si>
    <t>380*990</t>
  </si>
  <si>
    <t>1700*800</t>
  </si>
  <si>
    <t>L,TINSEFT</t>
  </si>
  <si>
    <t>1400*950</t>
  </si>
  <si>
    <t>47 AIL</t>
  </si>
  <si>
    <t>2365*170</t>
  </si>
  <si>
    <t>14AIL</t>
  </si>
  <si>
    <t>0,402 m2</t>
  </si>
  <si>
    <t>1765*175</t>
  </si>
  <si>
    <t>100*100</t>
  </si>
  <si>
    <t>GRILLE A BARRE FIXE GRIS</t>
  </si>
  <si>
    <t>GAOUZI</t>
  </si>
  <si>
    <t>350*700</t>
  </si>
  <si>
    <t>52 AIL</t>
  </si>
  <si>
    <t>545*100</t>
  </si>
  <si>
    <t>GRILLE DOUBLE DEFLEXION 545*100 BLANC</t>
  </si>
  <si>
    <t xml:space="preserve"> 26 AIL</t>
  </si>
  <si>
    <t>2334,00 m2</t>
  </si>
  <si>
    <t>GRILLE SIMPLE DEFLEXION ANODISE</t>
  </si>
  <si>
    <t>1860*550</t>
  </si>
  <si>
    <t>1,0230 m2</t>
  </si>
  <si>
    <t>1820*520</t>
  </si>
  <si>
    <t>CHANGEMNET</t>
  </si>
  <si>
    <t>GRILLE DOUBLE DEFLEXION 760*150 BLANC</t>
  </si>
  <si>
    <t>760*150</t>
  </si>
  <si>
    <t>REG 760</t>
  </si>
  <si>
    <t>advanced</t>
  </si>
  <si>
    <t>TEHNO AIR CLIM</t>
  </si>
  <si>
    <t>0,07m2</t>
  </si>
  <si>
    <t>GLOBALE CONTRACT</t>
  </si>
  <si>
    <t>760*60</t>
  </si>
  <si>
    <t>1170*60</t>
  </si>
  <si>
    <t>0,0702M2</t>
  </si>
  <si>
    <t>2000*80</t>
  </si>
  <si>
    <t>1000*900</t>
  </si>
  <si>
    <t xml:space="preserve"> 64 AIL</t>
  </si>
  <si>
    <t>DPCAIR</t>
  </si>
  <si>
    <t>0,560 M2</t>
  </si>
  <si>
    <t>650*60</t>
  </si>
  <si>
    <t>0,039 M2</t>
  </si>
  <si>
    <t xml:space="preserve"> 35 AIL</t>
  </si>
  <si>
    <t xml:space="preserve"> 70 AIL</t>
  </si>
  <si>
    <t>1,0 M2</t>
  </si>
  <si>
    <t>590*340</t>
  </si>
  <si>
    <t>REG 340</t>
  </si>
  <si>
    <t>TRABELKA</t>
  </si>
  <si>
    <t>815*530</t>
  </si>
  <si>
    <t xml:space="preserve"> 36 AIL</t>
  </si>
  <si>
    <t>0,431 M2</t>
  </si>
  <si>
    <t>96 AIL</t>
  </si>
  <si>
    <t>TECHNOFRIC</t>
  </si>
  <si>
    <t>AURAFRIC</t>
  </si>
  <si>
    <t>755*750</t>
  </si>
  <si>
    <t>REG 750</t>
  </si>
  <si>
    <t>AIR FROID</t>
  </si>
  <si>
    <t>800*1000</t>
  </si>
  <si>
    <t>1,25 M2</t>
  </si>
  <si>
    <t>0,900 M2</t>
  </si>
  <si>
    <t>390*650</t>
  </si>
  <si>
    <t>GRILLE DOUBLE DEFLEXION 500*500 BLANC</t>
  </si>
  <si>
    <t>LE MAITRE INGENIEUR</t>
  </si>
  <si>
    <t>300*700</t>
  </si>
  <si>
    <t>STE EZALUM</t>
  </si>
  <si>
    <t>1030*855</t>
  </si>
  <si>
    <t>0,88 m2</t>
  </si>
  <si>
    <t>REG 855</t>
  </si>
  <si>
    <t>GRILLE DOUBLE DEFLEXION 1500*800 BLANC</t>
  </si>
  <si>
    <t>1500*800</t>
  </si>
  <si>
    <t xml:space="preserve"> 38 AIL</t>
  </si>
  <si>
    <t>SG2I</t>
  </si>
  <si>
    <t>590*140</t>
  </si>
  <si>
    <t>REG 140</t>
  </si>
  <si>
    <t>1060*860</t>
  </si>
  <si>
    <t>61 AIL</t>
  </si>
  <si>
    <t>0,910 M2</t>
  </si>
  <si>
    <t>760*370</t>
  </si>
  <si>
    <t>0,28 M2</t>
  </si>
  <si>
    <t>GRILLE DOUBLE DEFLEXION</t>
  </si>
  <si>
    <t>0,320 M2</t>
  </si>
  <si>
    <t>0,350 m2</t>
  </si>
  <si>
    <t>ASSALA ISKANE</t>
  </si>
  <si>
    <t>3780*450</t>
  </si>
  <si>
    <t>32 AIL</t>
  </si>
  <si>
    <t>1890*2=3780</t>
  </si>
  <si>
    <t>3400*450</t>
  </si>
  <si>
    <t>1700*2=3400</t>
  </si>
  <si>
    <t>0,850 M2</t>
  </si>
  <si>
    <t>0,760 M2</t>
  </si>
  <si>
    <t>4380*450</t>
  </si>
  <si>
    <t>2190*2=4380</t>
  </si>
  <si>
    <t>*2=2460</t>
  </si>
  <si>
    <t>3500*450</t>
  </si>
  <si>
    <t>1750*2=3500</t>
  </si>
  <si>
    <t>3680*450</t>
  </si>
  <si>
    <t>1840*2=3500</t>
  </si>
  <si>
    <t>600*700</t>
  </si>
  <si>
    <t>0,42 M2</t>
  </si>
  <si>
    <t>250*750</t>
  </si>
  <si>
    <t>600*1100</t>
  </si>
  <si>
    <t>0,66 M2</t>
  </si>
  <si>
    <t>1200*710</t>
  </si>
  <si>
    <t>0,852 M2</t>
  </si>
  <si>
    <t>490*240</t>
  </si>
  <si>
    <t>250*450</t>
  </si>
  <si>
    <t>0,112 M2</t>
  </si>
  <si>
    <t>1200*1100</t>
  </si>
  <si>
    <t>78 AIL</t>
  </si>
  <si>
    <t>1,320 M2</t>
  </si>
  <si>
    <t>0,100 M2</t>
  </si>
  <si>
    <t>350*600</t>
  </si>
  <si>
    <t>900*1000</t>
  </si>
  <si>
    <t>70 AIL</t>
  </si>
  <si>
    <t>0,9 M2</t>
  </si>
  <si>
    <t>0,016M2</t>
  </si>
  <si>
    <t>1300*1100</t>
  </si>
  <si>
    <t>1,43M2</t>
  </si>
  <si>
    <t xml:space="preserve"> 34 AIL</t>
  </si>
  <si>
    <t>0,054M2</t>
  </si>
  <si>
    <t>550*60</t>
  </si>
  <si>
    <t>2592,00 m2</t>
  </si>
  <si>
    <t>0,033M2</t>
  </si>
  <si>
    <t>3636,00 m2</t>
  </si>
  <si>
    <t>0,045 M2</t>
  </si>
  <si>
    <t>REG 90</t>
  </si>
  <si>
    <t>toto isol</t>
  </si>
  <si>
    <t>990*140</t>
  </si>
  <si>
    <t>0,138 m2</t>
  </si>
  <si>
    <t>ent gaouzi</t>
  </si>
  <si>
    <t>krisna</t>
  </si>
  <si>
    <t>445*200</t>
  </si>
  <si>
    <t>BY ROOM</t>
  </si>
  <si>
    <t>SAMA FLUIDE</t>
  </si>
  <si>
    <t>275*490</t>
  </si>
  <si>
    <t>0,134 m2</t>
  </si>
  <si>
    <t>500*70</t>
  </si>
  <si>
    <t>800*70</t>
  </si>
  <si>
    <t>AIRIZOLA</t>
  </si>
  <si>
    <t>ERMEC</t>
  </si>
  <si>
    <t>490*130</t>
  </si>
  <si>
    <t>ola clim</t>
  </si>
  <si>
    <t>420*650</t>
  </si>
  <si>
    <t>0,273 M2</t>
  </si>
  <si>
    <t>2420 m2</t>
  </si>
  <si>
    <t>1940*70</t>
  </si>
  <si>
    <t>0,135  M2</t>
  </si>
  <si>
    <t>2390*70</t>
  </si>
  <si>
    <t>0,167  M2</t>
  </si>
  <si>
    <t>1800*70</t>
  </si>
  <si>
    <t>0,126  M2</t>
  </si>
  <si>
    <t>2750*70</t>
  </si>
  <si>
    <t>0,192  M2</t>
  </si>
  <si>
    <t>2415*70</t>
  </si>
  <si>
    <t>0,169  M2</t>
  </si>
  <si>
    <t>530*670</t>
  </si>
  <si>
    <t>480*620</t>
  </si>
  <si>
    <t>510*640</t>
  </si>
  <si>
    <t>560*700</t>
  </si>
  <si>
    <t>510*800</t>
  </si>
  <si>
    <t xml:space="preserve"> 22 AIL</t>
  </si>
  <si>
    <t>0,195 m2</t>
  </si>
  <si>
    <t>EL BEDRAOUI</t>
  </si>
  <si>
    <t>GRILLE A BARRE FIXE 350*350 blanc</t>
  </si>
  <si>
    <t xml:space="preserve"> 23 AIL</t>
  </si>
  <si>
    <t>0,122 m2</t>
  </si>
  <si>
    <t>GRILLE A BARRE FIXE 400*350 blanc</t>
  </si>
  <si>
    <t>GRILLE A BARRE FIXE 1590*55 blanc</t>
  </si>
  <si>
    <t>1590*55</t>
  </si>
  <si>
    <t>GRILLE A BARRE FIXE 1580*50 blanc</t>
  </si>
  <si>
    <t>1580*50</t>
  </si>
  <si>
    <t>1600*45</t>
  </si>
  <si>
    <t>GRILLE A BARRE FIXE 1600*55 blanc</t>
  </si>
  <si>
    <t>1600*55</t>
  </si>
  <si>
    <t>JAMAL</t>
  </si>
  <si>
    <t>400*1000</t>
  </si>
  <si>
    <t>100*400</t>
  </si>
  <si>
    <t>BUTEC</t>
  </si>
  <si>
    <t>GRILLE A BARRE FIXE 1000*1000 blanc</t>
  </si>
  <si>
    <t>khoumri said</t>
  </si>
  <si>
    <t>740 PR</t>
  </si>
  <si>
    <t>GRILLE A BARRE FIXE 400*150 blanc</t>
  </si>
  <si>
    <t>GRILLE A BARRE FIXE 800*150 blanc</t>
  </si>
  <si>
    <t>0,175 m2</t>
  </si>
  <si>
    <t>0,165 m2</t>
  </si>
  <si>
    <t>GRILLE A BARRE FIXE 610*400 blanc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</si>
</sst>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"/>
  </numFmts>
  <fonts count="1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sz val="16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3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3" borderId="1" xfId="0" applyFill="1" applyBorder="1"/>
    <xf numFmtId="0" fontId="0" fillId="0" borderId="1" xfId="0" applyBorder="1"/>
    <xf numFmtId="0" fontId="1" fillId="0" borderId="0" xfId="0" applyFont="1"/>
    <xf numFmtId="0" fontId="2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2" fontId="0" fillId="0" borderId="1" xfId="0" applyNumberFormat="1" applyBorder="1"/>
    <xf numFmtId="2" fontId="0" fillId="0" borderId="0" xfId="0" applyNumberFormat="1"/>
    <xf numFmtId="0" fontId="0" fillId="0" borderId="2" xfId="0" applyBorder="1"/>
    <xf numFmtId="2" fontId="0" fillId="0" borderId="2" xfId="0" applyNumberFormat="1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3" fillId="0" borderId="0" xfId="0" applyFont="1"/>
    <xf numFmtId="0" fontId="2" fillId="5" borderId="1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0" fillId="5" borderId="0" xfId="0" applyFill="1"/>
    <xf numFmtId="0" fontId="0" fillId="3" borderId="3" xfId="0" applyFill="1" applyBorder="1"/>
    <xf numFmtId="0" fontId="2" fillId="0" borderId="3" xfId="0" applyFont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0" fillId="5" borderId="1" xfId="0" applyFill="1" applyBorder="1"/>
    <xf numFmtId="2" fontId="0" fillId="6" borderId="1" xfId="0" applyNumberFormat="1" applyFill="1" applyBorder="1"/>
    <xf numFmtId="0" fontId="0" fillId="0" borderId="1" xfId="0" applyBorder="1" applyAlignment="1">
      <alignment horizontal="right"/>
    </xf>
    <xf numFmtId="0" fontId="0" fillId="7" borderId="0" xfId="0" applyFill="1"/>
    <xf numFmtId="0" fontId="0" fillId="7" borderId="1" xfId="0" applyFill="1" applyBorder="1"/>
    <xf numFmtId="11" fontId="0" fillId="0" borderId="1" xfId="0" applyNumberFormat="1" applyBorder="1"/>
    <xf numFmtId="0" fontId="0" fillId="0" borderId="4" xfId="0" applyBorder="1"/>
    <xf numFmtId="2" fontId="0" fillId="0" borderId="4" xfId="0" applyNumberFormat="1" applyBorder="1"/>
    <xf numFmtId="0" fontId="0" fillId="0" borderId="5" xfId="0" applyBorder="1"/>
    <xf numFmtId="2" fontId="0" fillId="0" borderId="5" xfId="0" applyNumberFormat="1" applyBorder="1"/>
    <xf numFmtId="0" fontId="2" fillId="8" borderId="3" xfId="0" applyFont="1" applyFill="1" applyBorder="1"/>
    <xf numFmtId="0" fontId="2" fillId="8" borderId="6" xfId="0" applyFont="1" applyFill="1" applyBorder="1"/>
    <xf numFmtId="0" fontId="0" fillId="8" borderId="7" xfId="0" applyFill="1" applyBorder="1"/>
    <xf numFmtId="0" fontId="4" fillId="0" borderId="0" xfId="0" applyFont="1"/>
    <xf numFmtId="0" fontId="4" fillId="0" borderId="1" xfId="0" applyFont="1" applyBorder="1"/>
    <xf numFmtId="2" fontId="4" fillId="0" borderId="1" xfId="0" applyNumberFormat="1" applyFont="1" applyBorder="1"/>
    <xf numFmtId="2" fontId="4" fillId="0" borderId="0" xfId="0" applyNumberFormat="1" applyFont="1"/>
    <xf numFmtId="0" fontId="2" fillId="0" borderId="0" xfId="0" applyFont="1"/>
    <xf numFmtId="2" fontId="2" fillId="0" borderId="0" xfId="0" applyNumberFormat="1" applyFont="1"/>
    <xf numFmtId="0" fontId="5" fillId="0" borderId="0" xfId="0" applyFont="1"/>
    <xf numFmtId="0" fontId="5" fillId="0" borderId="1" xfId="0" applyFont="1" applyBorder="1"/>
    <xf numFmtId="2" fontId="5" fillId="0" borderId="1" xfId="0" applyNumberFormat="1" applyFont="1" applyBorder="1"/>
    <xf numFmtId="2" fontId="5" fillId="0" borderId="0" xfId="0" applyNumberFormat="1" applyFont="1"/>
    <xf numFmtId="0" fontId="0" fillId="0" borderId="0" xfId="0" applyFill="1"/>
    <xf numFmtId="0" fontId="5" fillId="9" borderId="0" xfId="0" applyFont="1" applyFill="1"/>
    <xf numFmtId="0" fontId="5" fillId="0" borderId="0" xfId="0" applyFont="1" applyAlignment="1">
      <alignment horizontal="center"/>
    </xf>
    <xf numFmtId="0" fontId="1" fillId="9" borderId="0" xfId="0" applyFont="1" applyFill="1"/>
    <xf numFmtId="0" fontId="1" fillId="0" borderId="1" xfId="0" applyFont="1" applyBorder="1"/>
    <xf numFmtId="2" fontId="1" fillId="0" borderId="1" xfId="0" applyNumberFormat="1" applyFont="1" applyBorder="1"/>
    <xf numFmtId="2" fontId="1" fillId="0" borderId="0" xfId="0" applyNumberFormat="1" applyFont="1"/>
    <xf numFmtId="2" fontId="1" fillId="0" borderId="0" xfId="0" applyNumberFormat="1" applyFont="1" applyBorder="1"/>
    <xf numFmtId="0" fontId="1" fillId="0" borderId="0" xfId="0" applyFont="1" applyAlignment="1">
      <alignment horizontal="center"/>
    </xf>
    <xf numFmtId="0" fontId="1" fillId="0" borderId="0" xfId="0" applyFont="1" applyAlignment="1"/>
    <xf numFmtId="0" fontId="0" fillId="7" borderId="8" xfId="0" applyFill="1" applyBorder="1"/>
    <xf numFmtId="2" fontId="0" fillId="0" borderId="0" xfId="0" applyNumberFormat="1" applyFill="1" applyBorder="1"/>
    <xf numFmtId="0" fontId="0" fillId="0" borderId="0" xfId="0" applyAlignment="1">
      <alignment horizontal="right"/>
    </xf>
    <xf numFmtId="0" fontId="0" fillId="0" borderId="0" xfId="0" applyBorder="1"/>
    <xf numFmtId="2" fontId="0" fillId="0" borderId="0" xfId="0" applyNumberFormat="1" applyBorder="1"/>
    <xf numFmtId="0" fontId="0" fillId="0" borderId="2" xfId="0" applyFill="1" applyBorder="1"/>
    <xf numFmtId="0" fontId="0" fillId="0" borderId="0" xfId="0" applyAlignment="1">
      <alignment horizontal="left"/>
    </xf>
    <xf numFmtId="0" fontId="0" fillId="0" borderId="0" xfId="0" applyBorder="1" applyAlignment="1">
      <alignment horizontal="left"/>
    </xf>
    <xf numFmtId="4" fontId="0" fillId="0" borderId="0" xfId="0" applyNumberFormat="1"/>
    <xf numFmtId="0" fontId="1" fillId="10" borderId="1" xfId="0" applyFont="1" applyFill="1" applyBorder="1" applyAlignment="1">
      <alignment horizontal="center"/>
    </xf>
    <xf numFmtId="164" fontId="1" fillId="0" borderId="1" xfId="0" applyNumberFormat="1" applyFont="1" applyBorder="1" applyAlignment="1">
      <alignment horizontal="center"/>
    </xf>
    <xf numFmtId="4" fontId="1" fillId="0" borderId="1" xfId="0" applyNumberFormat="1" applyFon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4" fontId="1" fillId="0" borderId="4" xfId="0" applyNumberFormat="1" applyFont="1" applyBorder="1" applyAlignment="1">
      <alignment horizontal="center"/>
    </xf>
    <xf numFmtId="164" fontId="1" fillId="0" borderId="5" xfId="0" applyNumberFormat="1" applyFont="1" applyBorder="1" applyAlignment="1">
      <alignment horizontal="center"/>
    </xf>
    <xf numFmtId="4" fontId="1" fillId="0" borderId="5" xfId="0" applyNumberFormat="1" applyFont="1" applyBorder="1" applyAlignment="1">
      <alignment horizontal="center"/>
    </xf>
    <xf numFmtId="164" fontId="1" fillId="0" borderId="0" xfId="0" applyNumberFormat="1" applyFont="1" applyBorder="1" applyAlignment="1">
      <alignment horizontal="center"/>
    </xf>
    <xf numFmtId="4" fontId="1" fillId="0" borderId="0" xfId="0" applyNumberFormat="1" applyFont="1" applyBorder="1" applyAlignment="1">
      <alignment horizontal="center"/>
    </xf>
    <xf numFmtId="4" fontId="1" fillId="0" borderId="2" xfId="0" applyNumberFormat="1" applyFont="1" applyFill="1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3" xfId="0" applyBorder="1"/>
    <xf numFmtId="0" fontId="0" fillId="0" borderId="7" xfId="0" applyBorder="1"/>
    <xf numFmtId="0" fontId="5" fillId="4" borderId="1" xfId="0" applyFont="1" applyFill="1" applyBorder="1"/>
    <xf numFmtId="0" fontId="1" fillId="0" borderId="2" xfId="0" applyFont="1" applyFill="1" applyBorder="1"/>
    <xf numFmtId="9" fontId="1" fillId="0" borderId="0" xfId="0" applyNumberFormat="1" applyFont="1"/>
    <xf numFmtId="0" fontId="6" fillId="0" borderId="0" xfId="0" applyFont="1"/>
    <xf numFmtId="2" fontId="0" fillId="0" borderId="0" xfId="0" applyNumberFormat="1" applyBorder="1" applyAlignment="1">
      <alignment horizontal="center"/>
    </xf>
    <xf numFmtId="0" fontId="2" fillId="0" borderId="0" xfId="0" applyFont="1" applyAlignment="1">
      <alignment horizontal="center"/>
    </xf>
    <xf numFmtId="2" fontId="1" fillId="0" borderId="1" xfId="0" applyNumberFormat="1" applyFont="1" applyBorder="1" applyAlignment="1">
      <alignment horizontal="center"/>
    </xf>
    <xf numFmtId="0" fontId="1" fillId="0" borderId="2" xfId="0" applyFont="1" applyFill="1" applyBorder="1" applyAlignment="1">
      <alignment horizontal="center"/>
    </xf>
    <xf numFmtId="0" fontId="1" fillId="0" borderId="0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2" xfId="0" applyNumberFormat="1" applyFont="1" applyBorder="1" applyAlignment="1">
      <alignment horizontal="center"/>
    </xf>
    <xf numFmtId="0" fontId="2" fillId="0" borderId="1" xfId="0" applyFont="1" applyBorder="1"/>
    <xf numFmtId="2" fontId="2" fillId="0" borderId="1" xfId="0" applyNumberFormat="1" applyFont="1" applyBorder="1"/>
    <xf numFmtId="0" fontId="1" fillId="0" borderId="1" xfId="0" applyFont="1" applyFill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4" fontId="1" fillId="0" borderId="1" xfId="0" applyNumberFormat="1" applyFont="1" applyFill="1" applyBorder="1" applyAlignment="1">
      <alignment horizontal="center"/>
    </xf>
    <xf numFmtId="0" fontId="1" fillId="0" borderId="0" xfId="0" applyFont="1" applyBorder="1"/>
    <xf numFmtId="2" fontId="7" fillId="0" borderId="1" xfId="0" applyNumberFormat="1" applyFont="1" applyBorder="1" applyAlignment="1">
      <alignment horizontal="center"/>
    </xf>
    <xf numFmtId="2" fontId="1" fillId="2" borderId="1" xfId="0" applyNumberFormat="1" applyFont="1" applyFill="1" applyBorder="1" applyAlignment="1">
      <alignment horizontal="center"/>
    </xf>
    <xf numFmtId="9" fontId="0" fillId="0" borderId="0" xfId="0" applyNumberFormat="1"/>
    <xf numFmtId="9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1" fillId="0" borderId="0" xfId="0" applyFont="1" applyFill="1" applyBorder="1"/>
    <xf numFmtId="0" fontId="1" fillId="0" borderId="12" xfId="0" applyFont="1" applyFill="1" applyBorder="1"/>
    <xf numFmtId="2" fontId="1" fillId="0" borderId="2" xfId="0" applyNumberFormat="1" applyFont="1" applyFill="1" applyBorder="1" applyAlignment="1">
      <alignment horizontal="center"/>
    </xf>
    <xf numFmtId="9" fontId="1" fillId="0" borderId="0" xfId="0" applyNumberFormat="1" applyFont="1" applyAlignment="1">
      <alignment horizontal="center"/>
    </xf>
    <xf numFmtId="0" fontId="5" fillId="7" borderId="1" xfId="0" applyFont="1" applyFill="1" applyBorder="1"/>
    <xf numFmtId="0" fontId="4" fillId="0" borderId="1" xfId="0" applyFont="1" applyBorder="1" applyAlignment="1">
      <alignment horizontal="center"/>
    </xf>
    <xf numFmtId="0" fontId="5" fillId="7" borderId="1" xfId="0" applyFont="1" applyFill="1" applyBorder="1" applyAlignment="1">
      <alignment horizontal="center"/>
    </xf>
    <xf numFmtId="2" fontId="1" fillId="0" borderId="5" xfId="0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0" fontId="8" fillId="0" borderId="0" xfId="0" applyFont="1"/>
    <xf numFmtId="2" fontId="8" fillId="0" borderId="1" xfId="0" applyNumberFormat="1" applyFont="1" applyBorder="1" applyAlignment="1">
      <alignment horizontal="center"/>
    </xf>
    <xf numFmtId="0" fontId="9" fillId="0" borderId="0" xfId="0" applyFont="1"/>
    <xf numFmtId="0" fontId="5" fillId="6" borderId="1" xfId="0" applyFont="1" applyFill="1" applyBorder="1" applyAlignment="1">
      <alignment horizontal="center"/>
    </xf>
    <xf numFmtId="2" fontId="5" fillId="0" borderId="1" xfId="0" applyNumberFormat="1" applyFont="1" applyFill="1" applyBorder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3" fillId="0" borderId="1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0" fillId="0" borderId="0" xfId="0" applyFont="1"/>
    <xf numFmtId="2" fontId="7" fillId="0" borderId="1" xfId="0" applyNumberFormat="1" applyFont="1" applyFill="1" applyBorder="1" applyAlignment="1">
      <alignment horizontal="center"/>
    </xf>
    <xf numFmtId="0" fontId="0" fillId="12" borderId="0" xfId="0" applyFill="1" applyAlignment="1">
      <alignment horizontal="center"/>
    </xf>
    <xf numFmtId="0" fontId="0" fillId="12" borderId="0" xfId="0" applyFill="1"/>
    <xf numFmtId="0" fontId="11" fillId="0" borderId="1" xfId="0" applyFont="1" applyBorder="1" applyAlignment="1">
      <alignment horizontal="center"/>
    </xf>
    <xf numFmtId="0" fontId="5" fillId="11" borderId="1" xfId="0" applyFont="1" applyFill="1" applyBorder="1" applyAlignment="1">
      <alignment horizontal="center"/>
    </xf>
    <xf numFmtId="0" fontId="1" fillId="7" borderId="0" xfId="0" applyFont="1" applyFill="1"/>
    <xf numFmtId="0" fontId="5" fillId="0" borderId="0" xfId="0" applyFont="1" applyBorder="1" applyAlignment="1">
      <alignment horizontal="center"/>
    </xf>
    <xf numFmtId="0" fontId="0" fillId="0" borderId="0" xfId="0" applyFill="1" applyBorder="1"/>
    <xf numFmtId="0" fontId="0" fillId="12" borderId="1" xfId="0" applyFill="1" applyBorder="1" applyAlignment="1">
      <alignment horizontal="center"/>
    </xf>
    <xf numFmtId="0" fontId="0" fillId="12" borderId="1" xfId="0" applyFill="1" applyBorder="1"/>
    <xf numFmtId="2" fontId="7" fillId="11" borderId="1" xfId="0" applyNumberFormat="1" applyFont="1" applyFill="1" applyBorder="1" applyAlignment="1">
      <alignment horizontal="center"/>
    </xf>
    <xf numFmtId="0" fontId="11" fillId="0" borderId="0" xfId="0" applyFont="1"/>
    <xf numFmtId="0" fontId="11" fillId="0" borderId="0" xfId="0" applyFont="1" applyAlignment="1">
      <alignment horizontal="center"/>
    </xf>
    <xf numFmtId="164" fontId="0" fillId="13" borderId="0" xfId="0" applyNumberFormat="1" applyFill="1"/>
    <xf numFmtId="164" fontId="0" fillId="0" borderId="0" xfId="0" applyNumberFormat="1"/>
    <xf numFmtId="0" fontId="0" fillId="0" borderId="0" xfId="0" applyBorder="1" applyAlignment="1">
      <alignment horizontal="center"/>
    </xf>
    <xf numFmtId="0" fontId="2" fillId="0" borderId="8" xfId="0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/>
    </xf>
    <xf numFmtId="0" fontId="2" fillId="14" borderId="0" xfId="0" applyFont="1" applyFill="1"/>
    <xf numFmtId="0" fontId="0" fillId="14" borderId="0" xfId="0" applyFill="1" applyAlignment="1">
      <alignment horizontal="center"/>
    </xf>
    <xf numFmtId="0" fontId="1" fillId="14" borderId="0" xfId="0" applyFont="1" applyFill="1"/>
    <xf numFmtId="0" fontId="1" fillId="14" borderId="1" xfId="0" applyFont="1" applyFill="1" applyBorder="1" applyAlignment="1">
      <alignment horizontal="center"/>
    </xf>
    <xf numFmtId="0" fontId="1" fillId="14" borderId="1" xfId="0" applyFont="1" applyFill="1" applyBorder="1"/>
    <xf numFmtId="2" fontId="1" fillId="14" borderId="1" xfId="0" applyNumberFormat="1" applyFont="1" applyFill="1" applyBorder="1" applyAlignment="1">
      <alignment horizontal="center"/>
    </xf>
    <xf numFmtId="0" fontId="1" fillId="14" borderId="0" xfId="0" applyFont="1" applyFill="1" applyBorder="1" applyAlignment="1">
      <alignment horizontal="center"/>
    </xf>
    <xf numFmtId="0" fontId="1" fillId="14" borderId="2" xfId="0" applyFont="1" applyFill="1" applyBorder="1" applyAlignment="1">
      <alignment horizontal="center"/>
    </xf>
    <xf numFmtId="0" fontId="1" fillId="14" borderId="0" xfId="0" applyFont="1" applyFill="1" applyAlignment="1">
      <alignment horizontal="center"/>
    </xf>
    <xf numFmtId="0" fontId="5" fillId="14" borderId="1" xfId="0" applyFont="1" applyFill="1" applyBorder="1"/>
    <xf numFmtId="0" fontId="5" fillId="14" borderId="1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center"/>
    </xf>
    <xf numFmtId="0" fontId="0" fillId="3" borderId="2" xfId="0" applyFill="1" applyBorder="1"/>
    <xf numFmtId="0" fontId="0" fillId="0" borderId="1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57150</xdr:rowOff>
    </xdr:from>
    <xdr:to>
      <xdr:col>0</xdr:col>
      <xdr:colOff>2990850</xdr:colOff>
      <xdr:row>2</xdr:row>
      <xdr:rowOff>180975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57150"/>
          <a:ext cx="2876550" cy="5048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I546"/>
  <sheetViews>
    <sheetView topLeftCell="A63" workbookViewId="0">
      <selection activeCell="A126" sqref="A126"/>
    </sheetView>
  </sheetViews>
  <sheetFormatPr baseColWidth="10" defaultRowHeight="14.4" x14ac:dyDescent="0.3"/>
  <cols>
    <col min="1" max="1" width="59.33203125" customWidth="1"/>
    <col min="2" max="2" width="26.44140625" customWidth="1"/>
    <col min="3" max="3" width="15.6640625" customWidth="1"/>
    <col min="5" max="5" width="14.44140625" customWidth="1"/>
  </cols>
  <sheetData>
    <row r="5" spans="1:9" ht="21" x14ac:dyDescent="0.4">
      <c r="A5" s="33" t="s">
        <v>272</v>
      </c>
      <c r="B5" s="34"/>
      <c r="C5" s="35"/>
    </row>
    <row r="7" spans="1:9" ht="18" x14ac:dyDescent="0.35">
      <c r="A7" s="5" t="s">
        <v>273</v>
      </c>
      <c r="B7" s="5"/>
      <c r="C7" s="5"/>
    </row>
    <row r="8" spans="1:9" x14ac:dyDescent="0.3">
      <c r="A8" s="27" t="s">
        <v>274</v>
      </c>
      <c r="B8" s="27" t="s">
        <v>4</v>
      </c>
      <c r="C8" s="27" t="s">
        <v>275</v>
      </c>
      <c r="D8" s="27" t="s">
        <v>276</v>
      </c>
      <c r="E8" s="27" t="s">
        <v>277</v>
      </c>
      <c r="G8" s="56" t="s">
        <v>455</v>
      </c>
      <c r="H8">
        <v>2800</v>
      </c>
    </row>
    <row r="9" spans="1:9" ht="20.100000000000001" customHeight="1" x14ac:dyDescent="0.3">
      <c r="A9" s="4" t="s">
        <v>31</v>
      </c>
      <c r="B9" s="8">
        <v>57.9</v>
      </c>
      <c r="C9" s="8">
        <v>105.4</v>
      </c>
      <c r="D9" s="8">
        <v>79</v>
      </c>
      <c r="E9" s="8">
        <v>85.4</v>
      </c>
      <c r="G9" t="s">
        <v>456</v>
      </c>
      <c r="H9" s="57">
        <v>3000</v>
      </c>
    </row>
    <row r="10" spans="1:9" ht="20.100000000000001" customHeight="1" x14ac:dyDescent="0.3">
      <c r="A10" s="4" t="s">
        <v>38</v>
      </c>
      <c r="B10" s="8">
        <v>67</v>
      </c>
      <c r="C10" s="8">
        <v>122</v>
      </c>
      <c r="D10" s="8">
        <v>91.5</v>
      </c>
      <c r="E10" s="8">
        <v>109.8</v>
      </c>
      <c r="G10" t="s">
        <v>457</v>
      </c>
      <c r="H10" s="57">
        <v>3200</v>
      </c>
    </row>
    <row r="11" spans="1:9" ht="20.100000000000001" customHeight="1" x14ac:dyDescent="0.3">
      <c r="A11" s="4" t="s">
        <v>40</v>
      </c>
      <c r="B11" s="8">
        <v>75</v>
      </c>
      <c r="C11" s="8">
        <v>136.5</v>
      </c>
      <c r="D11" s="8">
        <v>102.5</v>
      </c>
      <c r="E11" s="8">
        <v>122.8</v>
      </c>
      <c r="G11" t="s">
        <v>459</v>
      </c>
      <c r="H11" s="57">
        <v>3500</v>
      </c>
      <c r="I11" t="s">
        <v>458</v>
      </c>
    </row>
    <row r="12" spans="1:9" ht="20.100000000000001" customHeight="1" x14ac:dyDescent="0.3">
      <c r="A12" s="4" t="s">
        <v>41</v>
      </c>
      <c r="B12" s="8">
        <v>83</v>
      </c>
      <c r="C12" s="8">
        <v>151</v>
      </c>
      <c r="D12" s="8">
        <v>113.2</v>
      </c>
      <c r="E12" s="8">
        <v>135.9</v>
      </c>
    </row>
    <row r="13" spans="1:9" ht="20.100000000000001" customHeight="1" x14ac:dyDescent="0.3">
      <c r="A13" s="4" t="s">
        <v>44</v>
      </c>
      <c r="B13" s="8">
        <v>100</v>
      </c>
      <c r="C13" s="8">
        <v>182</v>
      </c>
      <c r="D13" s="8">
        <v>136.5</v>
      </c>
      <c r="E13" s="8">
        <v>163.80000000000001</v>
      </c>
    </row>
    <row r="14" spans="1:9" ht="20.100000000000001" customHeight="1" x14ac:dyDescent="0.3">
      <c r="A14" s="4" t="s">
        <v>45</v>
      </c>
      <c r="B14" s="8">
        <v>109</v>
      </c>
      <c r="C14" s="8">
        <v>199</v>
      </c>
      <c r="D14" s="8">
        <v>149</v>
      </c>
      <c r="E14" s="8">
        <v>179.1</v>
      </c>
    </row>
    <row r="15" spans="1:9" ht="20.100000000000001" customHeight="1" x14ac:dyDescent="0.3">
      <c r="A15" s="4" t="s">
        <v>46</v>
      </c>
      <c r="B15" s="8">
        <v>124.1</v>
      </c>
      <c r="C15" s="8">
        <v>226</v>
      </c>
      <c r="D15" s="8">
        <v>169.5</v>
      </c>
      <c r="E15" s="8">
        <v>203.4</v>
      </c>
    </row>
    <row r="16" spans="1:9" ht="20.100000000000001" customHeight="1" x14ac:dyDescent="0.3">
      <c r="A16" s="4" t="s">
        <v>47</v>
      </c>
      <c r="B16" s="8">
        <v>140.1</v>
      </c>
      <c r="C16" s="8">
        <v>255</v>
      </c>
      <c r="D16" s="8">
        <v>191.2</v>
      </c>
      <c r="E16" s="8">
        <v>229.5</v>
      </c>
    </row>
    <row r="17" spans="1:5" ht="20.100000000000001" customHeight="1" x14ac:dyDescent="0.3">
      <c r="A17" s="4" t="s">
        <v>48</v>
      </c>
      <c r="B17" s="8">
        <v>148.30000000000001</v>
      </c>
      <c r="C17" s="8">
        <v>271</v>
      </c>
      <c r="D17" s="8">
        <v>203.2</v>
      </c>
      <c r="E17" s="8">
        <v>243.9</v>
      </c>
    </row>
    <row r="18" spans="1:5" ht="20.100000000000001" customHeight="1" x14ac:dyDescent="0.3">
      <c r="A18" s="4" t="s">
        <v>49</v>
      </c>
      <c r="B18" s="8">
        <v>164.7</v>
      </c>
      <c r="C18" s="8">
        <v>300</v>
      </c>
      <c r="D18" s="8">
        <v>225</v>
      </c>
      <c r="E18" s="8">
        <v>270</v>
      </c>
    </row>
    <row r="19" spans="1:5" ht="20.100000000000001" customHeight="1" x14ac:dyDescent="0.3">
      <c r="A19" s="4" t="s">
        <v>62</v>
      </c>
      <c r="B19" s="8">
        <v>64.099999999999994</v>
      </c>
      <c r="C19" s="8">
        <v>119</v>
      </c>
      <c r="D19" s="8">
        <v>89.2</v>
      </c>
      <c r="E19" s="8">
        <v>107.1</v>
      </c>
    </row>
    <row r="20" spans="1:5" ht="20.100000000000001" customHeight="1" x14ac:dyDescent="0.3">
      <c r="A20" s="4" t="s">
        <v>64</v>
      </c>
      <c r="B20" s="8">
        <v>74.5</v>
      </c>
      <c r="C20" s="8">
        <v>136</v>
      </c>
      <c r="D20" s="8">
        <v>102</v>
      </c>
      <c r="E20" s="8">
        <v>122.4</v>
      </c>
    </row>
    <row r="21" spans="1:5" ht="20.100000000000001" customHeight="1" x14ac:dyDescent="0.3">
      <c r="A21" s="4" t="s">
        <v>65</v>
      </c>
      <c r="B21" s="8">
        <v>84.8</v>
      </c>
      <c r="C21" s="8">
        <v>156</v>
      </c>
      <c r="D21" s="8">
        <v>117</v>
      </c>
      <c r="E21" s="8">
        <v>140.4</v>
      </c>
    </row>
    <row r="22" spans="1:5" ht="20.100000000000001" customHeight="1" x14ac:dyDescent="0.3">
      <c r="A22" s="4" t="s">
        <v>66</v>
      </c>
      <c r="B22" s="8">
        <v>95.2</v>
      </c>
      <c r="C22" s="8">
        <v>175</v>
      </c>
      <c r="D22" s="8">
        <v>131.19999999999999</v>
      </c>
      <c r="E22" s="8">
        <v>157.5</v>
      </c>
    </row>
    <row r="23" spans="1:5" ht="20.100000000000001" customHeight="1" x14ac:dyDescent="0.3">
      <c r="A23" s="4" t="s">
        <v>67</v>
      </c>
      <c r="B23" s="8">
        <v>114.7</v>
      </c>
      <c r="C23" s="8">
        <v>209</v>
      </c>
      <c r="D23" s="8">
        <v>156.69999999999999</v>
      </c>
      <c r="E23" s="8">
        <v>188.1</v>
      </c>
    </row>
    <row r="24" spans="1:5" ht="20.100000000000001" customHeight="1" x14ac:dyDescent="0.3">
      <c r="A24" s="4" t="s">
        <v>68</v>
      </c>
      <c r="B24" s="8">
        <v>125.1</v>
      </c>
      <c r="C24" s="8">
        <v>228</v>
      </c>
      <c r="D24" s="8">
        <v>171</v>
      </c>
      <c r="E24" s="8">
        <v>205.2</v>
      </c>
    </row>
    <row r="25" spans="1:5" ht="20.100000000000001" customHeight="1" x14ac:dyDescent="0.3">
      <c r="A25" s="4" t="s">
        <v>69</v>
      </c>
      <c r="B25" s="8">
        <v>143.1</v>
      </c>
      <c r="C25" s="8">
        <v>262</v>
      </c>
      <c r="D25" s="8">
        <v>196.5</v>
      </c>
      <c r="E25" s="8">
        <v>235.8</v>
      </c>
    </row>
    <row r="26" spans="1:5" ht="20.100000000000001" customHeight="1" x14ac:dyDescent="0.3">
      <c r="A26" s="28" t="s">
        <v>70</v>
      </c>
      <c r="B26" s="8">
        <v>161.30000000000001</v>
      </c>
      <c r="C26" s="8">
        <v>294</v>
      </c>
      <c r="D26" s="8">
        <v>220.5</v>
      </c>
      <c r="E26" s="8">
        <v>264.60000000000002</v>
      </c>
    </row>
    <row r="27" spans="1:5" ht="20.100000000000001" customHeight="1" x14ac:dyDescent="0.3">
      <c r="A27" s="4" t="s">
        <v>71</v>
      </c>
      <c r="B27" s="8">
        <v>172</v>
      </c>
      <c r="C27" s="8">
        <v>313</v>
      </c>
      <c r="D27" s="8">
        <v>234.7</v>
      </c>
      <c r="E27" s="8">
        <v>281.7</v>
      </c>
    </row>
    <row r="28" spans="1:5" ht="20.100000000000001" customHeight="1" x14ac:dyDescent="0.3">
      <c r="A28" s="4" t="s">
        <v>72</v>
      </c>
      <c r="B28" s="8">
        <v>192.3</v>
      </c>
      <c r="C28" s="8">
        <v>352</v>
      </c>
      <c r="D28" s="8">
        <v>264</v>
      </c>
      <c r="E28" s="8">
        <v>316.8</v>
      </c>
    </row>
    <row r="29" spans="1:5" ht="20.100000000000001" customHeight="1" x14ac:dyDescent="0.3">
      <c r="A29" s="4" t="s">
        <v>73</v>
      </c>
      <c r="B29" s="8">
        <v>73</v>
      </c>
      <c r="C29" s="8">
        <v>133</v>
      </c>
      <c r="D29" s="8">
        <v>99.7</v>
      </c>
      <c r="E29" s="8">
        <v>119.7</v>
      </c>
    </row>
    <row r="30" spans="1:5" ht="20.100000000000001" customHeight="1" x14ac:dyDescent="0.3">
      <c r="A30" s="4" t="s">
        <v>74</v>
      </c>
      <c r="B30" s="8">
        <v>87</v>
      </c>
      <c r="C30" s="8">
        <v>159</v>
      </c>
      <c r="D30" s="8">
        <v>119.2</v>
      </c>
      <c r="E30" s="8">
        <v>143.1</v>
      </c>
    </row>
    <row r="31" spans="1:5" ht="20.100000000000001" customHeight="1" x14ac:dyDescent="0.3">
      <c r="A31" s="4" t="s">
        <v>75</v>
      </c>
      <c r="B31" s="8">
        <v>99.7</v>
      </c>
      <c r="C31" s="8">
        <v>182</v>
      </c>
      <c r="D31" s="8">
        <v>136.5</v>
      </c>
      <c r="E31" s="8">
        <v>163.80000000000001</v>
      </c>
    </row>
    <row r="32" spans="1:5" ht="20.100000000000001" customHeight="1" x14ac:dyDescent="0.3">
      <c r="A32" s="4" t="s">
        <v>76</v>
      </c>
      <c r="B32" s="8">
        <v>113.5</v>
      </c>
      <c r="C32" s="8">
        <v>207</v>
      </c>
      <c r="D32" s="8">
        <v>155.19999999999999</v>
      </c>
      <c r="E32" s="8">
        <v>186.3</v>
      </c>
    </row>
    <row r="33" spans="1:5" ht="20.100000000000001" customHeight="1" x14ac:dyDescent="0.3">
      <c r="A33" s="4" t="s">
        <v>77</v>
      </c>
      <c r="B33" s="8">
        <v>138</v>
      </c>
      <c r="C33" s="8">
        <v>252</v>
      </c>
      <c r="D33" s="8">
        <v>189</v>
      </c>
      <c r="E33" s="8">
        <v>226.8</v>
      </c>
    </row>
    <row r="34" spans="1:5" ht="20.100000000000001" customHeight="1" x14ac:dyDescent="0.3">
      <c r="A34" s="4" t="s">
        <v>78</v>
      </c>
      <c r="B34" s="8">
        <v>151</v>
      </c>
      <c r="C34" s="8">
        <v>275</v>
      </c>
      <c r="D34" s="8">
        <v>206.2</v>
      </c>
      <c r="E34" s="8">
        <v>247.5</v>
      </c>
    </row>
    <row r="35" spans="1:5" ht="20.100000000000001" customHeight="1" x14ac:dyDescent="0.3">
      <c r="A35" s="4" t="s">
        <v>79</v>
      </c>
      <c r="B35" s="8">
        <v>173</v>
      </c>
      <c r="C35" s="8">
        <v>315</v>
      </c>
      <c r="D35" s="8">
        <v>236.2</v>
      </c>
      <c r="E35" s="8">
        <v>283.5</v>
      </c>
    </row>
    <row r="36" spans="1:5" ht="20.100000000000001" customHeight="1" x14ac:dyDescent="0.3">
      <c r="A36" s="4" t="s">
        <v>80</v>
      </c>
      <c r="B36" s="8">
        <v>193.5</v>
      </c>
      <c r="C36" s="8">
        <v>354</v>
      </c>
      <c r="D36" s="8">
        <v>265.5</v>
      </c>
      <c r="E36" s="8">
        <v>318.60000000000002</v>
      </c>
    </row>
    <row r="37" spans="1:5" ht="20.100000000000001" customHeight="1" x14ac:dyDescent="0.3">
      <c r="A37" s="4" t="s">
        <v>81</v>
      </c>
      <c r="B37" s="8">
        <v>207</v>
      </c>
      <c r="C37" s="8">
        <v>377</v>
      </c>
      <c r="D37" s="8">
        <v>282.7</v>
      </c>
      <c r="E37" s="8">
        <v>339.3</v>
      </c>
    </row>
    <row r="38" spans="1:5" ht="20.100000000000001" customHeight="1" x14ac:dyDescent="0.3">
      <c r="A38" s="4" t="s">
        <v>82</v>
      </c>
      <c r="B38" s="8">
        <v>234.1</v>
      </c>
      <c r="C38" s="8">
        <v>427</v>
      </c>
      <c r="D38" s="8">
        <v>320.2</v>
      </c>
      <c r="E38" s="8">
        <v>384.3</v>
      </c>
    </row>
    <row r="39" spans="1:5" ht="20.100000000000001" customHeight="1" x14ac:dyDescent="0.3">
      <c r="A39" s="4" t="s">
        <v>102</v>
      </c>
      <c r="B39" s="8">
        <v>106.2</v>
      </c>
      <c r="C39" s="8">
        <v>195</v>
      </c>
      <c r="D39" s="8">
        <v>146.19999999999999</v>
      </c>
      <c r="E39" s="8">
        <v>175.5</v>
      </c>
    </row>
    <row r="40" spans="1:5" ht="20.100000000000001" customHeight="1" x14ac:dyDescent="0.3">
      <c r="A40" s="4" t="s">
        <v>103</v>
      </c>
      <c r="B40" s="8">
        <v>125</v>
      </c>
      <c r="C40" s="8">
        <v>228</v>
      </c>
      <c r="D40" s="8">
        <v>171</v>
      </c>
      <c r="E40" s="8">
        <v>205.2</v>
      </c>
    </row>
    <row r="41" spans="1:5" ht="20.100000000000001" customHeight="1" x14ac:dyDescent="0.3">
      <c r="A41" s="4" t="s">
        <v>104</v>
      </c>
      <c r="B41" s="8">
        <v>152</v>
      </c>
      <c r="C41" s="8">
        <v>277</v>
      </c>
      <c r="D41" s="8">
        <v>207.7</v>
      </c>
      <c r="E41" s="8">
        <v>249.3</v>
      </c>
    </row>
    <row r="42" spans="1:5" ht="20.100000000000001" customHeight="1" x14ac:dyDescent="0.3">
      <c r="A42" s="4" t="s">
        <v>105</v>
      </c>
      <c r="B42" s="8">
        <v>170.5</v>
      </c>
      <c r="C42" s="8">
        <v>311</v>
      </c>
      <c r="D42" s="8">
        <v>233.2</v>
      </c>
      <c r="E42" s="8">
        <v>279.89999999999998</v>
      </c>
    </row>
    <row r="43" spans="1:5" ht="20.100000000000001" customHeight="1" x14ac:dyDescent="0.3">
      <c r="A43" s="4" t="s">
        <v>106</v>
      </c>
      <c r="B43" s="8">
        <v>194</v>
      </c>
      <c r="C43" s="8">
        <v>354</v>
      </c>
      <c r="D43" s="8">
        <v>265.5</v>
      </c>
      <c r="E43" s="8">
        <v>318.60000000000002</v>
      </c>
    </row>
    <row r="44" spans="1:5" ht="20.100000000000001" customHeight="1" x14ac:dyDescent="0.3">
      <c r="A44" s="4" t="s">
        <v>107</v>
      </c>
      <c r="B44" s="8">
        <v>221</v>
      </c>
      <c r="C44" s="8">
        <v>403</v>
      </c>
      <c r="D44" s="8">
        <v>302.2</v>
      </c>
      <c r="E44" s="8">
        <v>362.7</v>
      </c>
    </row>
    <row r="45" spans="1:5" ht="20.100000000000001" customHeight="1" x14ac:dyDescent="0.3">
      <c r="E45" s="9"/>
    </row>
    <row r="46" spans="1:5" ht="20.100000000000001" customHeight="1" x14ac:dyDescent="0.35">
      <c r="A46" s="5" t="s">
        <v>273</v>
      </c>
      <c r="B46" s="5"/>
      <c r="C46" s="5"/>
      <c r="E46" s="9"/>
    </row>
    <row r="47" spans="1:5" x14ac:dyDescent="0.3">
      <c r="A47" s="27" t="s">
        <v>274</v>
      </c>
      <c r="B47" s="27" t="s">
        <v>4</v>
      </c>
      <c r="C47" s="27" t="s">
        <v>275</v>
      </c>
      <c r="D47" s="27" t="s">
        <v>276</v>
      </c>
      <c r="E47" s="27" t="s">
        <v>277</v>
      </c>
    </row>
    <row r="48" spans="1:5" ht="20.100000000000001" customHeight="1" x14ac:dyDescent="0.3">
      <c r="A48" s="4" t="s">
        <v>108</v>
      </c>
      <c r="B48" s="8">
        <v>240</v>
      </c>
      <c r="C48" s="8">
        <v>437</v>
      </c>
      <c r="D48" s="8">
        <v>327.7</v>
      </c>
      <c r="E48" s="8">
        <v>393.3</v>
      </c>
    </row>
    <row r="49" spans="1:5" ht="20.100000000000001" customHeight="1" x14ac:dyDescent="0.3">
      <c r="A49" s="4" t="s">
        <v>109</v>
      </c>
      <c r="B49" s="8">
        <v>281.5</v>
      </c>
      <c r="C49" s="8">
        <v>514</v>
      </c>
      <c r="D49" s="8">
        <v>385.5</v>
      </c>
      <c r="E49" s="8">
        <v>462.6</v>
      </c>
    </row>
    <row r="50" spans="1:5" ht="20.100000000000001" customHeight="1" x14ac:dyDescent="0.3">
      <c r="A50" s="4" t="s">
        <v>110</v>
      </c>
      <c r="B50" s="8">
        <v>319</v>
      </c>
      <c r="C50" s="8">
        <v>581</v>
      </c>
      <c r="D50" s="8">
        <v>435.7</v>
      </c>
      <c r="E50" s="8">
        <v>522.9</v>
      </c>
    </row>
    <row r="51" spans="1:5" ht="20.100000000000001" customHeight="1" x14ac:dyDescent="0.3">
      <c r="A51" s="4" t="s">
        <v>116</v>
      </c>
      <c r="B51" s="8">
        <v>150</v>
      </c>
      <c r="C51" s="8">
        <v>273</v>
      </c>
      <c r="D51" s="8">
        <v>204.7</v>
      </c>
      <c r="E51" s="8">
        <v>245.7</v>
      </c>
    </row>
    <row r="52" spans="1:5" ht="20.100000000000001" customHeight="1" x14ac:dyDescent="0.3">
      <c r="A52" s="4" t="s">
        <v>118</v>
      </c>
      <c r="B52" s="8">
        <v>182</v>
      </c>
      <c r="C52" s="8">
        <v>332</v>
      </c>
      <c r="D52" s="8">
        <v>249</v>
      </c>
      <c r="E52" s="8">
        <v>298.8</v>
      </c>
    </row>
    <row r="53" spans="1:5" ht="20.100000000000001" customHeight="1" x14ac:dyDescent="0.3">
      <c r="A53" s="4" t="s">
        <v>119</v>
      </c>
      <c r="B53" s="8">
        <v>211.5</v>
      </c>
      <c r="C53" s="8">
        <v>385</v>
      </c>
      <c r="D53" s="8">
        <v>288.7</v>
      </c>
      <c r="E53" s="8">
        <v>346.5</v>
      </c>
    </row>
    <row r="54" spans="1:5" ht="20.100000000000001" customHeight="1" x14ac:dyDescent="0.3">
      <c r="A54" s="4" t="s">
        <v>120</v>
      </c>
      <c r="B54" s="8">
        <v>235.6</v>
      </c>
      <c r="C54" s="8">
        <v>429</v>
      </c>
      <c r="D54" s="8">
        <v>321.7</v>
      </c>
      <c r="E54" s="8">
        <v>386.1</v>
      </c>
    </row>
    <row r="55" spans="1:5" ht="20.100000000000001" customHeight="1" x14ac:dyDescent="0.3">
      <c r="A55" s="4" t="s">
        <v>121</v>
      </c>
      <c r="B55" s="8">
        <v>267.5</v>
      </c>
      <c r="C55" s="8">
        <v>487</v>
      </c>
      <c r="D55" s="8">
        <v>365.2</v>
      </c>
      <c r="E55" s="8">
        <v>438.3</v>
      </c>
    </row>
    <row r="56" spans="1:5" ht="20.100000000000001" customHeight="1" x14ac:dyDescent="0.3">
      <c r="A56" s="4" t="s">
        <v>122</v>
      </c>
      <c r="B56" s="8">
        <v>292</v>
      </c>
      <c r="C56" s="8">
        <v>532</v>
      </c>
      <c r="D56" s="8">
        <v>399</v>
      </c>
      <c r="E56" s="8">
        <v>478.8</v>
      </c>
    </row>
    <row r="57" spans="1:5" ht="20.100000000000001" customHeight="1" x14ac:dyDescent="0.3">
      <c r="A57" s="4" t="s">
        <v>123</v>
      </c>
      <c r="B57" s="8">
        <v>324</v>
      </c>
      <c r="C57" s="8">
        <v>590</v>
      </c>
      <c r="D57" s="8">
        <v>442.5</v>
      </c>
      <c r="E57" s="8">
        <v>531</v>
      </c>
    </row>
    <row r="58" spans="1:5" ht="20.100000000000001" customHeight="1" x14ac:dyDescent="0.3">
      <c r="A58" s="4" t="s">
        <v>124</v>
      </c>
      <c r="B58" s="8">
        <v>380</v>
      </c>
      <c r="C58" s="8">
        <v>692</v>
      </c>
      <c r="D58" s="8">
        <v>519</v>
      </c>
      <c r="E58" s="8">
        <v>622.79999999999995</v>
      </c>
    </row>
    <row r="61" spans="1:5" ht="18" x14ac:dyDescent="0.35">
      <c r="A61" s="5" t="s">
        <v>135</v>
      </c>
      <c r="B61" s="5"/>
    </row>
    <row r="62" spans="1:5" x14ac:dyDescent="0.3">
      <c r="A62" s="27" t="s">
        <v>274</v>
      </c>
      <c r="B62" s="27" t="s">
        <v>4</v>
      </c>
      <c r="C62" s="27" t="s">
        <v>275</v>
      </c>
      <c r="D62" s="27" t="s">
        <v>276</v>
      </c>
      <c r="E62" s="27" t="s">
        <v>277</v>
      </c>
    </row>
    <row r="63" spans="1:5" ht="20.100000000000001" customHeight="1" x14ac:dyDescent="0.3">
      <c r="A63" s="4" t="s">
        <v>31</v>
      </c>
      <c r="B63" s="8">
        <v>59.3</v>
      </c>
      <c r="C63" s="8">
        <v>108</v>
      </c>
      <c r="D63" s="8">
        <v>81</v>
      </c>
      <c r="E63" s="8">
        <v>97.2</v>
      </c>
    </row>
    <row r="64" spans="1:5" ht="20.100000000000001" customHeight="1" x14ac:dyDescent="0.3">
      <c r="A64" s="4" t="s">
        <v>38</v>
      </c>
      <c r="B64" s="8">
        <v>68</v>
      </c>
      <c r="C64" s="8">
        <v>124</v>
      </c>
      <c r="D64" s="8">
        <v>93</v>
      </c>
      <c r="E64" s="8">
        <v>111.6</v>
      </c>
    </row>
    <row r="65" spans="1:5" ht="20.100000000000001" customHeight="1" x14ac:dyDescent="0.3">
      <c r="A65" s="4" t="s">
        <v>40</v>
      </c>
      <c r="B65" s="8">
        <v>76.8</v>
      </c>
      <c r="C65" s="8">
        <v>140</v>
      </c>
      <c r="D65" s="8">
        <v>105</v>
      </c>
      <c r="E65" s="8">
        <v>154</v>
      </c>
    </row>
    <row r="66" spans="1:5" ht="20.100000000000001" customHeight="1" x14ac:dyDescent="0.3">
      <c r="A66" s="4" t="s">
        <v>41</v>
      </c>
      <c r="B66" s="8">
        <v>85.6</v>
      </c>
      <c r="C66" s="8">
        <v>156</v>
      </c>
      <c r="D66" s="8">
        <v>117</v>
      </c>
      <c r="E66" s="8">
        <v>140.4</v>
      </c>
    </row>
    <row r="67" spans="1:5" ht="20.100000000000001" customHeight="1" x14ac:dyDescent="0.3">
      <c r="A67" s="4" t="s">
        <v>44</v>
      </c>
      <c r="B67" s="8">
        <v>103.6</v>
      </c>
      <c r="C67" s="8">
        <v>188.6</v>
      </c>
      <c r="D67" s="8">
        <v>141.4</v>
      </c>
      <c r="E67" s="8">
        <v>169.7</v>
      </c>
    </row>
    <row r="68" spans="1:5" ht="20.100000000000001" customHeight="1" x14ac:dyDescent="0.3">
      <c r="A68" s="4" t="s">
        <v>45</v>
      </c>
      <c r="B68" s="8">
        <v>112.4</v>
      </c>
      <c r="C68" s="8">
        <v>205</v>
      </c>
      <c r="D68" s="8">
        <v>153.69999999999999</v>
      </c>
      <c r="E68" s="8">
        <v>184.5</v>
      </c>
    </row>
    <row r="69" spans="1:5" ht="20.100000000000001" customHeight="1" x14ac:dyDescent="0.3">
      <c r="A69" s="4" t="s">
        <v>46</v>
      </c>
      <c r="B69" s="8">
        <v>129</v>
      </c>
      <c r="C69" s="8">
        <v>234.8</v>
      </c>
      <c r="D69" s="8">
        <v>176.1</v>
      </c>
      <c r="E69" s="8">
        <v>211.3</v>
      </c>
    </row>
    <row r="70" spans="1:5" ht="20.100000000000001" customHeight="1" x14ac:dyDescent="0.3">
      <c r="A70" s="4" t="s">
        <v>47</v>
      </c>
      <c r="B70" s="8">
        <v>145.5</v>
      </c>
      <c r="C70" s="8">
        <v>265</v>
      </c>
      <c r="D70" s="8">
        <v>198.7</v>
      </c>
      <c r="E70" s="8">
        <v>238.5</v>
      </c>
    </row>
    <row r="71" spans="1:5" ht="20.100000000000001" customHeight="1" x14ac:dyDescent="0.3">
      <c r="A71" s="4" t="s">
        <v>48</v>
      </c>
      <c r="B71" s="8">
        <v>154.5</v>
      </c>
      <c r="C71" s="8">
        <v>282</v>
      </c>
      <c r="D71" s="8">
        <v>211.5</v>
      </c>
      <c r="E71" s="8">
        <v>253.8</v>
      </c>
    </row>
    <row r="72" spans="1:5" ht="20.100000000000001" customHeight="1" x14ac:dyDescent="0.3">
      <c r="A72" s="4" t="s">
        <v>49</v>
      </c>
      <c r="B72" s="8">
        <v>172</v>
      </c>
      <c r="C72" s="8">
        <v>313</v>
      </c>
      <c r="D72" s="8">
        <v>234.7</v>
      </c>
      <c r="E72" s="8">
        <v>281.7</v>
      </c>
    </row>
    <row r="73" spans="1:5" ht="20.100000000000001" customHeight="1" x14ac:dyDescent="0.3">
      <c r="A73" s="4" t="s">
        <v>62</v>
      </c>
      <c r="B73" s="8">
        <v>66</v>
      </c>
      <c r="C73" s="8">
        <v>121</v>
      </c>
      <c r="D73" s="8">
        <v>90.7</v>
      </c>
      <c r="E73" s="8">
        <v>108.9</v>
      </c>
    </row>
    <row r="74" spans="1:5" ht="20.100000000000001" customHeight="1" x14ac:dyDescent="0.3">
      <c r="A74" s="4" t="s">
        <v>64</v>
      </c>
      <c r="B74" s="8">
        <v>77.099999999999994</v>
      </c>
      <c r="C74" s="8">
        <v>141</v>
      </c>
      <c r="D74" s="8">
        <v>105.7</v>
      </c>
      <c r="E74" s="8">
        <v>126.9</v>
      </c>
    </row>
    <row r="75" spans="1:5" ht="20.100000000000001" customHeight="1" x14ac:dyDescent="0.3">
      <c r="A75" s="4" t="s">
        <v>65</v>
      </c>
      <c r="B75" s="8">
        <v>88.2</v>
      </c>
      <c r="C75" s="8">
        <v>161</v>
      </c>
      <c r="D75" s="8">
        <v>120.7</v>
      </c>
      <c r="E75" s="8">
        <v>144.9</v>
      </c>
    </row>
    <row r="76" spans="1:5" ht="20.100000000000001" customHeight="1" x14ac:dyDescent="0.3">
      <c r="A76" s="4" t="s">
        <v>66</v>
      </c>
      <c r="B76" s="8">
        <v>99.3</v>
      </c>
      <c r="C76" s="8">
        <v>181</v>
      </c>
      <c r="D76" s="8">
        <v>135.69999999999999</v>
      </c>
      <c r="E76" s="8">
        <v>162.9</v>
      </c>
    </row>
    <row r="77" spans="1:5" ht="20.100000000000001" customHeight="1" x14ac:dyDescent="0.3">
      <c r="A77" s="4" t="s">
        <v>67</v>
      </c>
      <c r="B77" s="8">
        <v>119.7</v>
      </c>
      <c r="C77" s="8">
        <v>218</v>
      </c>
      <c r="D77" s="8">
        <v>163.5</v>
      </c>
      <c r="E77" s="8">
        <v>196.2</v>
      </c>
    </row>
    <row r="78" spans="1:5" ht="20.100000000000001" customHeight="1" x14ac:dyDescent="0.3">
      <c r="A78" s="4" t="s">
        <v>68</v>
      </c>
      <c r="B78" s="8">
        <v>130.80000000000001</v>
      </c>
      <c r="C78" s="8">
        <v>238</v>
      </c>
      <c r="D78" s="8">
        <v>178.5</v>
      </c>
      <c r="E78" s="8">
        <v>214.2</v>
      </c>
    </row>
    <row r="79" spans="1:5" ht="20.100000000000001" customHeight="1" x14ac:dyDescent="0.3">
      <c r="A79" s="4" t="s">
        <v>69</v>
      </c>
      <c r="B79" s="8">
        <v>149.69999999999999</v>
      </c>
      <c r="C79" s="8">
        <v>273</v>
      </c>
      <c r="D79" s="8">
        <v>204.7</v>
      </c>
      <c r="E79" s="8">
        <v>245.7</v>
      </c>
    </row>
    <row r="80" spans="1:5" ht="20.100000000000001" customHeight="1" x14ac:dyDescent="0.3">
      <c r="A80" s="4" t="s">
        <v>70</v>
      </c>
      <c r="B80" s="8">
        <v>168.5</v>
      </c>
      <c r="C80" s="8">
        <v>307</v>
      </c>
      <c r="D80" s="8">
        <v>230.2</v>
      </c>
      <c r="E80" s="8">
        <v>276.3</v>
      </c>
    </row>
    <row r="81" spans="1:5" ht="20.100000000000001" customHeight="1" x14ac:dyDescent="0.3">
      <c r="A81" s="4" t="s">
        <v>71</v>
      </c>
      <c r="B81" s="8">
        <v>179.6</v>
      </c>
      <c r="C81" s="8">
        <v>307</v>
      </c>
      <c r="D81" s="8">
        <v>230.2</v>
      </c>
      <c r="E81" s="8">
        <v>276.3</v>
      </c>
    </row>
    <row r="82" spans="1:5" ht="20.100000000000001" customHeight="1" x14ac:dyDescent="0.3">
      <c r="A82" s="4" t="s">
        <v>72</v>
      </c>
      <c r="B82" s="8">
        <v>201.8</v>
      </c>
      <c r="C82" s="8">
        <v>366</v>
      </c>
      <c r="D82" s="8">
        <v>274.5</v>
      </c>
      <c r="E82" s="8">
        <v>329.4</v>
      </c>
    </row>
    <row r="83" spans="1:5" ht="20.100000000000001" customHeight="1" x14ac:dyDescent="0.3">
      <c r="A83" s="4" t="s">
        <v>73</v>
      </c>
      <c r="B83" s="8">
        <v>75.099999999999994</v>
      </c>
      <c r="C83" s="8">
        <v>137</v>
      </c>
      <c r="D83" s="8">
        <v>102.7</v>
      </c>
      <c r="E83" s="8">
        <v>123.3</v>
      </c>
    </row>
    <row r="84" spans="1:5" ht="20.100000000000001" customHeight="1" x14ac:dyDescent="0.3">
      <c r="A84" s="4" t="s">
        <v>74</v>
      </c>
      <c r="B84" s="8">
        <v>89.8</v>
      </c>
      <c r="C84" s="8">
        <v>164</v>
      </c>
      <c r="D84" s="8">
        <v>123</v>
      </c>
      <c r="E84" s="8">
        <v>147.6</v>
      </c>
    </row>
    <row r="85" spans="1:5" ht="20.100000000000001" customHeight="1" x14ac:dyDescent="0.3">
      <c r="A85" s="4" t="s">
        <v>75</v>
      </c>
      <c r="B85" s="8">
        <v>104.3</v>
      </c>
      <c r="C85" s="8">
        <v>190</v>
      </c>
      <c r="D85" s="8">
        <v>142.5</v>
      </c>
      <c r="E85" s="8">
        <v>171</v>
      </c>
    </row>
    <row r="86" spans="1:5" ht="20.100000000000001" customHeight="1" x14ac:dyDescent="0.3">
      <c r="A86" s="4" t="s">
        <v>76</v>
      </c>
      <c r="B86" s="8">
        <v>118.9</v>
      </c>
      <c r="C86" s="8">
        <v>217</v>
      </c>
      <c r="D86" s="8">
        <v>162.69999999999999</v>
      </c>
      <c r="E86" s="8">
        <v>195.3</v>
      </c>
    </row>
    <row r="87" spans="1:5" ht="20.100000000000001" customHeight="1" x14ac:dyDescent="0.3">
      <c r="A87" s="4"/>
      <c r="B87" s="8"/>
      <c r="C87" s="8"/>
      <c r="D87" s="8"/>
      <c r="E87" s="8"/>
    </row>
    <row r="88" spans="1:5" ht="20.100000000000001" customHeight="1" x14ac:dyDescent="0.3"/>
    <row r="90" spans="1:5" ht="20.100000000000001" customHeight="1" x14ac:dyDescent="0.35">
      <c r="A90" s="5" t="s">
        <v>135</v>
      </c>
      <c r="B90" s="5"/>
    </row>
    <row r="91" spans="1:5" ht="20.100000000000001" customHeight="1" x14ac:dyDescent="0.3">
      <c r="A91" s="27" t="s">
        <v>274</v>
      </c>
      <c r="B91" s="27" t="s">
        <v>4</v>
      </c>
      <c r="C91" s="27" t="s">
        <v>275</v>
      </c>
      <c r="D91" s="27" t="s">
        <v>276</v>
      </c>
      <c r="E91" s="27" t="s">
        <v>277</v>
      </c>
    </row>
    <row r="92" spans="1:5" ht="20.100000000000001" customHeight="1" x14ac:dyDescent="0.3">
      <c r="A92" s="4" t="s">
        <v>77</v>
      </c>
      <c r="B92" s="8">
        <v>144.30000000000001</v>
      </c>
      <c r="C92" s="8">
        <v>263</v>
      </c>
      <c r="D92" s="8">
        <v>197.2</v>
      </c>
      <c r="E92" s="8">
        <v>236.7</v>
      </c>
    </row>
    <row r="93" spans="1:5" ht="20.100000000000001" customHeight="1" x14ac:dyDescent="0.3">
      <c r="A93" s="4" t="s">
        <v>78</v>
      </c>
      <c r="B93" s="8">
        <v>158.80000000000001</v>
      </c>
      <c r="C93" s="8">
        <v>289</v>
      </c>
      <c r="D93" s="8">
        <v>216.7</v>
      </c>
      <c r="E93" s="8">
        <v>260.10000000000002</v>
      </c>
    </row>
    <row r="94" spans="1:5" ht="20.100000000000001" customHeight="1" x14ac:dyDescent="0.3">
      <c r="A94" s="4" t="s">
        <v>79</v>
      </c>
      <c r="B94" s="8">
        <v>181.3</v>
      </c>
      <c r="C94" s="8">
        <v>330</v>
      </c>
      <c r="D94" s="8">
        <v>247.5</v>
      </c>
      <c r="E94" s="8">
        <v>297</v>
      </c>
    </row>
    <row r="95" spans="1:5" ht="20.100000000000001" customHeight="1" x14ac:dyDescent="0.3">
      <c r="A95" s="4" t="s">
        <v>80</v>
      </c>
      <c r="B95" s="8">
        <v>203.6</v>
      </c>
      <c r="C95" s="8">
        <v>371</v>
      </c>
      <c r="D95" s="8">
        <v>278.2</v>
      </c>
      <c r="E95" s="8">
        <v>333.9</v>
      </c>
    </row>
    <row r="96" spans="1:5" ht="20.100000000000001" customHeight="1" x14ac:dyDescent="0.3">
      <c r="A96" s="4" t="s">
        <v>81</v>
      </c>
      <c r="B96" s="8">
        <v>218</v>
      </c>
      <c r="C96" s="8">
        <v>397</v>
      </c>
      <c r="D96" s="8">
        <v>297.7</v>
      </c>
      <c r="E96" s="8">
        <v>357.3</v>
      </c>
    </row>
    <row r="97" spans="1:5" ht="20.100000000000001" customHeight="1" x14ac:dyDescent="0.3">
      <c r="A97" s="4" t="s">
        <v>82</v>
      </c>
      <c r="B97" s="8">
        <v>247.4</v>
      </c>
      <c r="C97" s="8">
        <v>451</v>
      </c>
      <c r="D97" s="8">
        <v>338.2</v>
      </c>
      <c r="E97" s="8">
        <v>405.9</v>
      </c>
    </row>
    <row r="98" spans="1:5" ht="20.100000000000001" customHeight="1" x14ac:dyDescent="0.3">
      <c r="A98" s="4" t="s">
        <v>102</v>
      </c>
      <c r="B98" s="8">
        <v>111.4</v>
      </c>
      <c r="C98" s="8">
        <v>203</v>
      </c>
      <c r="D98" s="8">
        <v>152.19999999999999</v>
      </c>
      <c r="E98" s="8">
        <v>182.7</v>
      </c>
    </row>
    <row r="99" spans="1:5" ht="20.100000000000001" customHeight="1" x14ac:dyDescent="0.3">
      <c r="A99" s="4" t="s">
        <v>103</v>
      </c>
      <c r="B99" s="8">
        <v>132</v>
      </c>
      <c r="C99" s="8">
        <v>241</v>
      </c>
      <c r="D99" s="8">
        <v>180.7</v>
      </c>
      <c r="E99" s="8">
        <v>216.9</v>
      </c>
    </row>
    <row r="100" spans="1:5" ht="20.100000000000001" customHeight="1" x14ac:dyDescent="0.3">
      <c r="A100" s="4" t="s">
        <v>104</v>
      </c>
      <c r="B100" s="8">
        <v>161</v>
      </c>
      <c r="C100" s="8">
        <v>293</v>
      </c>
      <c r="D100" s="8">
        <v>219.7</v>
      </c>
      <c r="E100" s="8">
        <v>263.7</v>
      </c>
    </row>
    <row r="101" spans="1:5" ht="20.100000000000001" customHeight="1" x14ac:dyDescent="0.3">
      <c r="A101" s="4" t="s">
        <v>105</v>
      </c>
      <c r="B101" s="8">
        <v>180.5</v>
      </c>
      <c r="C101" s="8">
        <v>329</v>
      </c>
      <c r="D101" s="8">
        <v>246.7</v>
      </c>
      <c r="E101" s="8">
        <v>296.10000000000002</v>
      </c>
    </row>
    <row r="102" spans="1:5" ht="20.100000000000001" customHeight="1" x14ac:dyDescent="0.3">
      <c r="A102" s="4" t="s">
        <v>106</v>
      </c>
      <c r="B102" s="8">
        <v>205.5</v>
      </c>
      <c r="C102" s="8">
        <v>375</v>
      </c>
      <c r="D102" s="8">
        <v>281.2</v>
      </c>
      <c r="E102" s="8">
        <v>337.5</v>
      </c>
    </row>
    <row r="103" spans="1:5" ht="20.100000000000001" customHeight="1" x14ac:dyDescent="0.3">
      <c r="A103" s="4" t="s">
        <v>107</v>
      </c>
      <c r="B103" s="8">
        <v>233.6</v>
      </c>
      <c r="C103" s="8">
        <v>426</v>
      </c>
      <c r="D103" s="8">
        <v>319.5</v>
      </c>
      <c r="E103" s="8">
        <v>383.4</v>
      </c>
    </row>
    <row r="104" spans="1:5" ht="20.100000000000001" customHeight="1" x14ac:dyDescent="0.3">
      <c r="A104" s="4" t="s">
        <v>108</v>
      </c>
      <c r="B104" s="8">
        <v>254</v>
      </c>
      <c r="C104" s="8">
        <v>463</v>
      </c>
      <c r="D104" s="8">
        <v>347.2</v>
      </c>
      <c r="E104" s="8">
        <v>416.7</v>
      </c>
    </row>
    <row r="105" spans="1:5" ht="20.100000000000001" customHeight="1" x14ac:dyDescent="0.3">
      <c r="A105" s="4" t="s">
        <v>109</v>
      </c>
      <c r="B105" s="8">
        <v>297.8</v>
      </c>
      <c r="C105" s="8">
        <v>542</v>
      </c>
      <c r="D105" s="8">
        <v>406.5</v>
      </c>
      <c r="E105" s="8">
        <v>487.8</v>
      </c>
    </row>
    <row r="106" spans="1:5" ht="20.100000000000001" customHeight="1" x14ac:dyDescent="0.3">
      <c r="A106" s="4" t="s">
        <v>110</v>
      </c>
      <c r="B106" s="8">
        <v>338.7</v>
      </c>
      <c r="C106" s="8">
        <v>617</v>
      </c>
      <c r="D106" s="8">
        <v>462.7</v>
      </c>
      <c r="E106" s="8">
        <v>555.29999999999995</v>
      </c>
    </row>
    <row r="107" spans="1:5" ht="20.100000000000001" customHeight="1" x14ac:dyDescent="0.3">
      <c r="A107" s="4" t="s">
        <v>116</v>
      </c>
      <c r="B107" s="8">
        <v>159</v>
      </c>
      <c r="C107" s="8">
        <v>290</v>
      </c>
      <c r="D107" s="8">
        <v>217.5</v>
      </c>
      <c r="E107" s="8">
        <v>261</v>
      </c>
    </row>
    <row r="108" spans="1:5" ht="20.100000000000001" customHeight="1" x14ac:dyDescent="0.3">
      <c r="A108" s="4" t="s">
        <v>118</v>
      </c>
      <c r="B108" s="8">
        <v>193</v>
      </c>
      <c r="C108" s="8">
        <v>352</v>
      </c>
      <c r="D108" s="8">
        <v>264</v>
      </c>
      <c r="E108" s="8">
        <v>316.8</v>
      </c>
    </row>
    <row r="109" spans="1:5" ht="20.100000000000001" customHeight="1" x14ac:dyDescent="0.3">
      <c r="A109" s="4" t="s">
        <v>119</v>
      </c>
      <c r="B109" s="8">
        <v>224.7</v>
      </c>
      <c r="C109" s="8">
        <v>409</v>
      </c>
      <c r="D109" s="8">
        <v>306.7</v>
      </c>
      <c r="E109" s="8">
        <v>368.1</v>
      </c>
    </row>
    <row r="110" spans="1:5" ht="20.100000000000001" customHeight="1" x14ac:dyDescent="0.3">
      <c r="A110" s="4" t="s">
        <v>120</v>
      </c>
      <c r="B110" s="8">
        <v>251</v>
      </c>
      <c r="C110" s="8">
        <v>457</v>
      </c>
      <c r="D110" s="8">
        <v>342.7</v>
      </c>
      <c r="E110" s="8">
        <v>411.3</v>
      </c>
    </row>
    <row r="111" spans="1:5" ht="20.100000000000001" customHeight="1" x14ac:dyDescent="0.3">
      <c r="A111" s="4" t="s">
        <v>121</v>
      </c>
      <c r="B111" s="8">
        <v>285</v>
      </c>
      <c r="C111" s="8">
        <v>519</v>
      </c>
      <c r="D111" s="8">
        <v>389.2</v>
      </c>
      <c r="E111" s="8">
        <v>467.1</v>
      </c>
    </row>
    <row r="112" spans="1:5" ht="20.100000000000001" customHeight="1" x14ac:dyDescent="0.3">
      <c r="A112" s="4" t="s">
        <v>122</v>
      </c>
      <c r="B112" s="8">
        <v>312</v>
      </c>
      <c r="C112" s="8">
        <v>568</v>
      </c>
      <c r="D112" s="8">
        <v>426</v>
      </c>
      <c r="E112" s="8">
        <v>511.2</v>
      </c>
    </row>
    <row r="113" spans="1:5" ht="20.100000000000001" customHeight="1" x14ac:dyDescent="0.3">
      <c r="A113" s="4" t="s">
        <v>123</v>
      </c>
      <c r="B113" s="8">
        <v>345.5</v>
      </c>
      <c r="C113" s="8">
        <v>629</v>
      </c>
      <c r="D113" s="8">
        <v>471.7</v>
      </c>
      <c r="E113" s="8">
        <v>566.1</v>
      </c>
    </row>
    <row r="114" spans="1:5" ht="20.100000000000001" customHeight="1" x14ac:dyDescent="0.3">
      <c r="A114" s="4" t="s">
        <v>124</v>
      </c>
      <c r="B114" s="8">
        <v>405.7</v>
      </c>
      <c r="C114" s="8">
        <v>738.5</v>
      </c>
      <c r="D114" s="8">
        <v>553.9</v>
      </c>
      <c r="E114" s="8">
        <v>664.2</v>
      </c>
    </row>
    <row r="115" spans="1:5" ht="20.100000000000001" customHeight="1" x14ac:dyDescent="0.3"/>
    <row r="116" spans="1:5" ht="20.100000000000001" customHeight="1" x14ac:dyDescent="0.35">
      <c r="A116" s="5" t="s">
        <v>278</v>
      </c>
      <c r="B116" s="5"/>
      <c r="C116" s="5"/>
    </row>
    <row r="117" spans="1:5" ht="20.100000000000001" customHeight="1" x14ac:dyDescent="0.3">
      <c r="A117" s="27" t="s">
        <v>274</v>
      </c>
      <c r="B117" s="27" t="s">
        <v>4</v>
      </c>
      <c r="C117" s="27" t="s">
        <v>275</v>
      </c>
      <c r="D117" s="27" t="s">
        <v>276</v>
      </c>
      <c r="E117" s="27" t="s">
        <v>277</v>
      </c>
    </row>
    <row r="118" spans="1:5" ht="20.100000000000001" customHeight="1" x14ac:dyDescent="0.3">
      <c r="A118" s="4" t="s">
        <v>31</v>
      </c>
      <c r="B118" s="8">
        <v>79.7</v>
      </c>
      <c r="C118" s="8">
        <v>145</v>
      </c>
      <c r="D118" s="8">
        <v>108.7</v>
      </c>
      <c r="E118" s="8">
        <v>130.5</v>
      </c>
    </row>
    <row r="119" spans="1:5" ht="20.100000000000001" customHeight="1" x14ac:dyDescent="0.3">
      <c r="A119" s="4" t="s">
        <v>38</v>
      </c>
      <c r="B119" s="8">
        <v>95.7</v>
      </c>
      <c r="C119" s="8">
        <v>174.2</v>
      </c>
      <c r="D119" s="8">
        <v>130.6</v>
      </c>
      <c r="E119" s="8">
        <v>156.6</v>
      </c>
    </row>
    <row r="120" spans="1:5" ht="20.100000000000001" customHeight="1" x14ac:dyDescent="0.3">
      <c r="A120" s="4" t="s">
        <v>40</v>
      </c>
      <c r="B120" s="8">
        <v>112.6</v>
      </c>
      <c r="C120" s="8">
        <v>205</v>
      </c>
      <c r="D120" s="8">
        <v>153.69999999999999</v>
      </c>
      <c r="E120" s="8">
        <v>184.5</v>
      </c>
    </row>
    <row r="121" spans="1:5" ht="20.100000000000001" customHeight="1" x14ac:dyDescent="0.3">
      <c r="A121" s="4" t="s">
        <v>41</v>
      </c>
      <c r="B121" s="8">
        <v>133.69999999999999</v>
      </c>
      <c r="C121" s="8">
        <v>243.3</v>
      </c>
      <c r="D121" s="8">
        <v>182.5</v>
      </c>
      <c r="E121" s="8">
        <v>219</v>
      </c>
    </row>
    <row r="122" spans="1:5" ht="20.100000000000001" customHeight="1" x14ac:dyDescent="0.3">
      <c r="A122" s="4" t="s">
        <v>44</v>
      </c>
      <c r="B122" s="8">
        <v>157.6</v>
      </c>
      <c r="C122" s="8">
        <v>286.89999999999998</v>
      </c>
      <c r="D122" s="8">
        <v>215.2</v>
      </c>
      <c r="E122" s="8">
        <v>258.2</v>
      </c>
    </row>
    <row r="123" spans="1:5" ht="20.100000000000001" customHeight="1" x14ac:dyDescent="0.3">
      <c r="A123" s="4" t="s">
        <v>45</v>
      </c>
      <c r="B123" s="8">
        <v>181.2</v>
      </c>
      <c r="C123" s="8">
        <v>329.8</v>
      </c>
      <c r="D123" s="8">
        <v>247.3</v>
      </c>
      <c r="E123" s="8">
        <v>296.10000000000002</v>
      </c>
    </row>
    <row r="124" spans="1:5" ht="20.100000000000001" customHeight="1" x14ac:dyDescent="0.3">
      <c r="A124" s="4" t="s">
        <v>46</v>
      </c>
      <c r="B124" s="8">
        <v>204.9</v>
      </c>
      <c r="C124" s="8">
        <v>373</v>
      </c>
      <c r="D124" s="8">
        <v>279.7</v>
      </c>
      <c r="E124" s="8">
        <v>335.7</v>
      </c>
    </row>
    <row r="125" spans="1:5" ht="20.100000000000001" customHeight="1" x14ac:dyDescent="0.3">
      <c r="A125" s="4" t="s">
        <v>47</v>
      </c>
      <c r="B125" s="8">
        <v>221.3</v>
      </c>
      <c r="C125" s="8">
        <v>402.2</v>
      </c>
      <c r="D125" s="8">
        <v>301.60000000000002</v>
      </c>
      <c r="E125" s="8">
        <v>362</v>
      </c>
    </row>
    <row r="126" spans="1:5" ht="20.100000000000001" customHeight="1" x14ac:dyDescent="0.3">
      <c r="A126" s="4" t="s">
        <v>48</v>
      </c>
      <c r="B126" s="8">
        <v>237.6</v>
      </c>
      <c r="C126" s="8">
        <v>431.3</v>
      </c>
      <c r="D126" s="8">
        <v>323.5</v>
      </c>
      <c r="E126" s="8">
        <v>388.2</v>
      </c>
    </row>
    <row r="127" spans="1:5" ht="20.100000000000001" customHeight="1" x14ac:dyDescent="0.3">
      <c r="A127" s="4" t="s">
        <v>49</v>
      </c>
      <c r="B127" s="8">
        <v>272.8</v>
      </c>
      <c r="C127" s="8">
        <v>496.4</v>
      </c>
      <c r="D127" s="8">
        <v>372.3</v>
      </c>
      <c r="E127" s="8">
        <v>446.8</v>
      </c>
    </row>
    <row r="128" spans="1:5" ht="20.100000000000001" customHeight="1" x14ac:dyDescent="0.3">
      <c r="A128" s="4" t="s">
        <v>62</v>
      </c>
      <c r="B128" s="8">
        <v>92.6</v>
      </c>
      <c r="C128" s="8">
        <v>168.6</v>
      </c>
      <c r="D128" s="8">
        <v>126.4</v>
      </c>
      <c r="E128" s="8">
        <v>151.69999999999999</v>
      </c>
    </row>
    <row r="129" spans="1:5" ht="20.100000000000001" customHeight="1" x14ac:dyDescent="0.3">
      <c r="A129" s="4" t="s">
        <v>64</v>
      </c>
      <c r="B129" s="8">
        <v>113.9</v>
      </c>
      <c r="C129" s="8">
        <v>205.7</v>
      </c>
      <c r="D129" s="8">
        <v>154.30000000000001</v>
      </c>
      <c r="E129" s="8">
        <v>185.1</v>
      </c>
    </row>
    <row r="130" spans="1:5" ht="20.100000000000001" customHeight="1" x14ac:dyDescent="0.3">
      <c r="A130" s="4" t="s">
        <v>65</v>
      </c>
      <c r="B130" s="8">
        <v>142.19999999999999</v>
      </c>
      <c r="C130" s="8">
        <v>258.89999999999998</v>
      </c>
      <c r="D130" s="8">
        <v>194.2</v>
      </c>
      <c r="E130" s="8">
        <v>233</v>
      </c>
    </row>
    <row r="131" spans="1:5" ht="20.100000000000001" customHeight="1" x14ac:dyDescent="0.3">
      <c r="A131" s="4" t="s">
        <v>66</v>
      </c>
      <c r="B131" s="8">
        <v>163.6</v>
      </c>
      <c r="C131" s="8">
        <v>297.8</v>
      </c>
      <c r="D131" s="8">
        <v>223.3</v>
      </c>
      <c r="E131" s="8">
        <v>268</v>
      </c>
    </row>
    <row r="132" spans="1:5" ht="20.100000000000001" customHeight="1" x14ac:dyDescent="0.3">
      <c r="A132" s="4" t="s">
        <v>67</v>
      </c>
      <c r="B132" s="8">
        <v>189.6</v>
      </c>
      <c r="C132" s="8">
        <v>345.1</v>
      </c>
      <c r="D132" s="8">
        <v>258.8</v>
      </c>
      <c r="E132" s="8">
        <v>310.60000000000002</v>
      </c>
    </row>
    <row r="133" spans="1:5" ht="20.100000000000001" customHeight="1" x14ac:dyDescent="0.3">
      <c r="A133" s="4" t="s">
        <v>68</v>
      </c>
      <c r="B133" s="8">
        <v>218.2</v>
      </c>
      <c r="C133" s="8">
        <v>396.8</v>
      </c>
      <c r="D133" s="8">
        <v>297.60000000000002</v>
      </c>
      <c r="E133" s="8">
        <v>336.6</v>
      </c>
    </row>
    <row r="134" spans="1:5" ht="20.100000000000001" customHeight="1" x14ac:dyDescent="0.3">
      <c r="A134" s="4" t="s">
        <v>69</v>
      </c>
      <c r="B134" s="8">
        <v>246.4</v>
      </c>
      <c r="C134" s="8">
        <v>448.4</v>
      </c>
      <c r="D134" s="8">
        <v>336.3</v>
      </c>
      <c r="E134" s="8">
        <v>403.6</v>
      </c>
    </row>
    <row r="135" spans="1:5" ht="20.100000000000001" customHeight="1" x14ac:dyDescent="0.3">
      <c r="A135" s="4" t="s">
        <v>70</v>
      </c>
      <c r="B135" s="8">
        <v>268</v>
      </c>
      <c r="C135" s="8">
        <v>487.8</v>
      </c>
      <c r="D135" s="8">
        <v>365.8</v>
      </c>
      <c r="E135" s="8">
        <v>439</v>
      </c>
    </row>
    <row r="136" spans="1:5" ht="20.100000000000001" customHeight="1" x14ac:dyDescent="0.3">
      <c r="A136" s="4" t="s">
        <v>71</v>
      </c>
      <c r="B136" s="8">
        <v>295.89999999999998</v>
      </c>
      <c r="C136" s="8">
        <v>538.6</v>
      </c>
      <c r="D136" s="8">
        <v>403.9</v>
      </c>
      <c r="E136" s="8">
        <v>484.7</v>
      </c>
    </row>
    <row r="137" spans="1:5" ht="20.100000000000001" customHeight="1" x14ac:dyDescent="0.3">
      <c r="A137" s="4" t="s">
        <v>72</v>
      </c>
      <c r="B137" s="8">
        <v>342.8</v>
      </c>
      <c r="C137" s="8">
        <v>623.79999999999995</v>
      </c>
      <c r="D137" s="8">
        <v>467.8</v>
      </c>
      <c r="E137" s="8">
        <v>561.4</v>
      </c>
    </row>
    <row r="138" spans="1:5" ht="20.100000000000001" customHeight="1" x14ac:dyDescent="0.3">
      <c r="A138" s="4" t="s">
        <v>73</v>
      </c>
      <c r="B138" s="8">
        <v>107.2</v>
      </c>
      <c r="C138" s="8">
        <v>195.2</v>
      </c>
      <c r="D138" s="8">
        <v>146.4</v>
      </c>
      <c r="E138" s="8">
        <v>175.9</v>
      </c>
    </row>
    <row r="139" spans="1:5" ht="20.100000000000001" customHeight="1" x14ac:dyDescent="0.3">
      <c r="A139" s="4" t="s">
        <v>74</v>
      </c>
      <c r="B139" s="8">
        <v>141.9</v>
      </c>
      <c r="C139" s="8">
        <v>258.3</v>
      </c>
      <c r="D139" s="8">
        <v>193.7</v>
      </c>
      <c r="E139" s="8">
        <v>232.5</v>
      </c>
    </row>
    <row r="140" spans="1:5" ht="20.100000000000001" customHeight="1" x14ac:dyDescent="0.3">
      <c r="A140" s="4" t="s">
        <v>75</v>
      </c>
      <c r="B140" s="8">
        <v>168.3</v>
      </c>
      <c r="C140" s="8">
        <v>306.3</v>
      </c>
      <c r="D140" s="8">
        <v>229.7</v>
      </c>
      <c r="E140" s="8">
        <v>275.7</v>
      </c>
    </row>
    <row r="141" spans="1:5" ht="20.100000000000001" customHeight="1" x14ac:dyDescent="0.3">
      <c r="A141" s="4" t="s">
        <v>76</v>
      </c>
      <c r="B141" s="8">
        <v>202.4</v>
      </c>
      <c r="C141" s="8">
        <v>368.3</v>
      </c>
      <c r="D141" s="8">
        <v>276.2</v>
      </c>
      <c r="E141" s="8">
        <v>331.5</v>
      </c>
    </row>
    <row r="142" spans="1:5" ht="20.100000000000001" customHeight="1" x14ac:dyDescent="0.3">
      <c r="A142" s="4" t="s">
        <v>77</v>
      </c>
      <c r="B142" s="8">
        <v>235.4</v>
      </c>
      <c r="C142" s="8">
        <v>428.4</v>
      </c>
      <c r="D142" s="8">
        <v>321.3</v>
      </c>
      <c r="E142" s="8">
        <v>385.6</v>
      </c>
    </row>
    <row r="143" spans="1:5" ht="20.100000000000001" customHeight="1" x14ac:dyDescent="0.3">
      <c r="A143" s="4" t="s">
        <v>78</v>
      </c>
      <c r="B143" s="8">
        <v>261.8</v>
      </c>
      <c r="C143" s="8">
        <v>476.4</v>
      </c>
      <c r="D143" s="8">
        <v>357.3</v>
      </c>
      <c r="E143" s="8">
        <v>428.8</v>
      </c>
    </row>
    <row r="144" spans="1:5" ht="20.100000000000001" customHeight="1" x14ac:dyDescent="0.3">
      <c r="A144" s="4" t="s">
        <v>79</v>
      </c>
      <c r="B144" s="8">
        <v>297</v>
      </c>
      <c r="C144" s="8">
        <v>540.5</v>
      </c>
      <c r="D144" s="8">
        <v>405.4</v>
      </c>
      <c r="E144" s="8">
        <v>486.4</v>
      </c>
    </row>
    <row r="145" spans="1:5" ht="20.100000000000001" customHeight="1" x14ac:dyDescent="0.3">
      <c r="A145" s="4" t="s">
        <v>80</v>
      </c>
      <c r="B145" s="8">
        <v>323.39999999999998</v>
      </c>
      <c r="C145" s="8">
        <v>588.6</v>
      </c>
      <c r="D145" s="8">
        <v>441.4</v>
      </c>
      <c r="E145" s="8">
        <v>529.70000000000005</v>
      </c>
    </row>
    <row r="146" spans="1:5" ht="20.100000000000001" customHeight="1" x14ac:dyDescent="0.3">
      <c r="A146" s="4" t="s">
        <v>81</v>
      </c>
      <c r="B146" s="8">
        <v>360.8</v>
      </c>
      <c r="C146" s="8">
        <v>656.6</v>
      </c>
      <c r="D146" s="8">
        <v>492.4</v>
      </c>
      <c r="E146" s="8">
        <v>590.9</v>
      </c>
    </row>
    <row r="147" spans="1:5" ht="20.100000000000001" customHeight="1" x14ac:dyDescent="0.3">
      <c r="A147" s="4" t="s">
        <v>82</v>
      </c>
      <c r="B147" s="8">
        <v>424.6</v>
      </c>
      <c r="C147" s="8">
        <v>772.8</v>
      </c>
      <c r="D147" s="8">
        <v>579.6</v>
      </c>
      <c r="E147" s="8">
        <v>695.5</v>
      </c>
    </row>
    <row r="148" spans="1:5" ht="20.100000000000001" customHeight="1" x14ac:dyDescent="0.3">
      <c r="A148" s="4" t="s">
        <v>102</v>
      </c>
      <c r="B148" s="8">
        <v>203.2</v>
      </c>
      <c r="C148" s="8">
        <v>369.9</v>
      </c>
      <c r="D148" s="8">
        <v>277.39999999999998</v>
      </c>
      <c r="E148" s="8">
        <v>332.9</v>
      </c>
    </row>
    <row r="149" spans="1:5" ht="20.100000000000001" customHeight="1" x14ac:dyDescent="0.3">
      <c r="A149" s="4" t="s">
        <v>103</v>
      </c>
      <c r="B149" s="8">
        <v>214.4</v>
      </c>
      <c r="C149" s="8">
        <v>390.2</v>
      </c>
      <c r="D149" s="8">
        <v>292.60000000000002</v>
      </c>
      <c r="E149" s="8">
        <v>351.2</v>
      </c>
    </row>
    <row r="150" spans="1:5" ht="20.100000000000001" customHeight="1" x14ac:dyDescent="0.3">
      <c r="A150" s="4" t="s">
        <v>104</v>
      </c>
      <c r="B150" s="8">
        <v>262.5</v>
      </c>
      <c r="C150" s="8">
        <v>477.8</v>
      </c>
      <c r="D150" s="8">
        <v>358.3</v>
      </c>
      <c r="E150" s="8">
        <v>430</v>
      </c>
    </row>
    <row r="151" spans="1:5" x14ac:dyDescent="0.3">
      <c r="A151" s="4" t="s">
        <v>105</v>
      </c>
      <c r="B151" s="8">
        <v>314.60000000000002</v>
      </c>
      <c r="C151" s="8">
        <v>572.6</v>
      </c>
      <c r="D151" s="8">
        <v>429.4</v>
      </c>
      <c r="E151" s="8">
        <v>515.29999999999995</v>
      </c>
    </row>
    <row r="152" spans="1:5" ht="20.100000000000001" customHeight="1" x14ac:dyDescent="0.3">
      <c r="A152" s="4" t="s">
        <v>106</v>
      </c>
      <c r="B152" s="8">
        <v>359.7</v>
      </c>
      <c r="C152" s="8">
        <v>654.6</v>
      </c>
      <c r="D152" s="8">
        <v>490.9</v>
      </c>
      <c r="E152" s="8">
        <v>589.1</v>
      </c>
    </row>
    <row r="153" spans="1:5" ht="20.100000000000001" customHeight="1" x14ac:dyDescent="0.3">
      <c r="A153" s="4" t="s">
        <v>107</v>
      </c>
      <c r="B153" s="8">
        <v>397.1</v>
      </c>
      <c r="C153" s="8">
        <v>722.7</v>
      </c>
      <c r="D153" s="8">
        <v>542</v>
      </c>
      <c r="E153" s="8">
        <v>650.4</v>
      </c>
    </row>
    <row r="154" spans="1:5" ht="20.100000000000001" customHeight="1" x14ac:dyDescent="0.3">
      <c r="A154" s="4" t="s">
        <v>108</v>
      </c>
      <c r="B154" s="8">
        <v>434.5</v>
      </c>
      <c r="C154" s="8">
        <v>790.9</v>
      </c>
      <c r="D154" s="8">
        <v>593.20000000000005</v>
      </c>
      <c r="E154" s="8">
        <v>711.8</v>
      </c>
    </row>
    <row r="155" spans="1:5" ht="20.100000000000001" customHeight="1" x14ac:dyDescent="0.3">
      <c r="A155" s="4" t="s">
        <v>109</v>
      </c>
      <c r="B155" s="8">
        <v>479.6</v>
      </c>
      <c r="C155" s="8">
        <v>872</v>
      </c>
      <c r="D155" s="8">
        <v>654</v>
      </c>
      <c r="E155" s="8">
        <v>784.8</v>
      </c>
    </row>
    <row r="156" spans="1:5" ht="20.100000000000001" customHeight="1" x14ac:dyDescent="0.3">
      <c r="A156" s="4" t="s">
        <v>110</v>
      </c>
      <c r="B156" s="8">
        <v>559.9</v>
      </c>
      <c r="C156" s="8">
        <v>1020</v>
      </c>
      <c r="D156" s="8">
        <v>765</v>
      </c>
      <c r="E156" s="8">
        <v>918</v>
      </c>
    </row>
    <row r="157" spans="1:5" ht="20.100000000000001" customHeight="1" x14ac:dyDescent="0.3">
      <c r="A157" s="4" t="s">
        <v>116</v>
      </c>
      <c r="B157" s="8">
        <v>256.3</v>
      </c>
      <c r="C157" s="8">
        <v>467</v>
      </c>
      <c r="D157" s="8">
        <v>350</v>
      </c>
      <c r="E157" s="8">
        <v>420.5</v>
      </c>
    </row>
    <row r="158" spans="1:5" ht="20.100000000000001" customHeight="1" x14ac:dyDescent="0.3">
      <c r="A158" s="4" t="s">
        <v>118</v>
      </c>
      <c r="B158" s="8">
        <v>312.39999999999998</v>
      </c>
      <c r="C158" s="8">
        <v>568.5</v>
      </c>
      <c r="D158" s="8">
        <v>426.5</v>
      </c>
      <c r="E158" s="8">
        <v>512</v>
      </c>
    </row>
    <row r="159" spans="1:5" ht="20.100000000000001" customHeight="1" x14ac:dyDescent="0.3">
      <c r="A159" s="4" t="s">
        <v>119</v>
      </c>
      <c r="B159" s="8">
        <v>390.5</v>
      </c>
      <c r="C159" s="8">
        <v>710.8</v>
      </c>
      <c r="D159" s="8">
        <v>533.1</v>
      </c>
      <c r="E159" s="8">
        <v>640</v>
      </c>
    </row>
    <row r="160" spans="1:5" ht="20.100000000000001" customHeight="1" x14ac:dyDescent="0.3">
      <c r="A160" s="4" t="s">
        <v>120</v>
      </c>
      <c r="B160" s="8">
        <v>445.5</v>
      </c>
      <c r="C160" s="8">
        <v>810.9</v>
      </c>
      <c r="D160" s="8">
        <v>608.5</v>
      </c>
      <c r="E160" s="8">
        <v>730</v>
      </c>
    </row>
    <row r="161" spans="1:5" ht="20.100000000000001" customHeight="1" x14ac:dyDescent="0.3">
      <c r="A161" s="4" t="s">
        <v>121</v>
      </c>
      <c r="B161" s="8">
        <v>493.9</v>
      </c>
      <c r="C161" s="8">
        <v>898.9</v>
      </c>
      <c r="D161" s="8">
        <v>674.2</v>
      </c>
      <c r="E161" s="8">
        <v>809</v>
      </c>
    </row>
    <row r="162" spans="1:5" ht="20.100000000000001" customHeight="1" x14ac:dyDescent="0.3">
      <c r="A162" s="4" t="s">
        <v>122</v>
      </c>
      <c r="B162" s="8">
        <v>542.29999999999995</v>
      </c>
      <c r="C162" s="8">
        <v>987</v>
      </c>
      <c r="D162" s="8">
        <v>740.2</v>
      </c>
      <c r="E162" s="8">
        <v>888.3</v>
      </c>
    </row>
    <row r="163" spans="1:5" ht="20.100000000000001" customHeight="1" x14ac:dyDescent="0.3">
      <c r="A163" s="4" t="s">
        <v>123</v>
      </c>
      <c r="B163" s="8">
        <v>606</v>
      </c>
      <c r="C163" s="8">
        <v>1103</v>
      </c>
      <c r="D163" s="8">
        <v>827.2</v>
      </c>
      <c r="E163" s="8">
        <v>993</v>
      </c>
    </row>
    <row r="164" spans="1:5" ht="20.100000000000001" customHeight="1" x14ac:dyDescent="0.3">
      <c r="A164" s="4" t="s">
        <v>124</v>
      </c>
      <c r="B164" s="8">
        <v>704</v>
      </c>
      <c r="C164" s="8">
        <v>1281.3</v>
      </c>
      <c r="D164" s="8">
        <v>961</v>
      </c>
      <c r="E164" s="8">
        <v>1153</v>
      </c>
    </row>
    <row r="165" spans="1:5" ht="20.100000000000001" customHeight="1" x14ac:dyDescent="0.3">
      <c r="B165" s="9"/>
      <c r="C165" s="9"/>
      <c r="D165" s="9"/>
      <c r="E165" s="9"/>
    </row>
    <row r="166" spans="1:5" ht="20.100000000000001" customHeight="1" x14ac:dyDescent="0.35">
      <c r="A166" s="5" t="s">
        <v>271</v>
      </c>
      <c r="B166" s="5"/>
      <c r="C166" s="5"/>
    </row>
    <row r="167" spans="1:5" ht="20.100000000000001" customHeight="1" x14ac:dyDescent="0.3">
      <c r="A167" s="27" t="s">
        <v>274</v>
      </c>
      <c r="B167" s="27" t="s">
        <v>4</v>
      </c>
      <c r="C167" s="27" t="s">
        <v>275</v>
      </c>
      <c r="D167" s="27" t="s">
        <v>276</v>
      </c>
      <c r="E167" s="27" t="s">
        <v>277</v>
      </c>
    </row>
    <row r="168" spans="1:5" ht="20.100000000000001" customHeight="1" x14ac:dyDescent="0.3">
      <c r="A168" s="4" t="s">
        <v>31</v>
      </c>
      <c r="B168" s="8">
        <v>82.5</v>
      </c>
      <c r="C168" s="8">
        <v>150.19999999999999</v>
      </c>
      <c r="D168" s="8">
        <v>112.6</v>
      </c>
      <c r="E168" s="8">
        <v>135.19999999999999</v>
      </c>
    </row>
    <row r="169" spans="1:5" ht="20.100000000000001" customHeight="1" x14ac:dyDescent="0.3">
      <c r="A169" s="4" t="s">
        <v>38</v>
      </c>
      <c r="B169" s="8">
        <v>101.2</v>
      </c>
      <c r="C169" s="8">
        <v>185</v>
      </c>
      <c r="D169" s="8">
        <v>139</v>
      </c>
      <c r="E169" s="8">
        <v>167</v>
      </c>
    </row>
    <row r="170" spans="1:5" ht="20.100000000000001" customHeight="1" x14ac:dyDescent="0.3">
      <c r="A170" s="4" t="s">
        <v>40</v>
      </c>
      <c r="B170" s="8">
        <v>118.8</v>
      </c>
      <c r="C170" s="8">
        <v>217</v>
      </c>
      <c r="D170" s="8">
        <v>163</v>
      </c>
      <c r="E170" s="8">
        <v>196</v>
      </c>
    </row>
    <row r="171" spans="1:5" ht="20.100000000000001" customHeight="1" x14ac:dyDescent="0.3">
      <c r="A171" s="4" t="s">
        <v>41</v>
      </c>
      <c r="B171" s="8">
        <v>140.80000000000001</v>
      </c>
      <c r="C171" s="8">
        <v>257</v>
      </c>
      <c r="D171" s="8">
        <v>193</v>
      </c>
      <c r="E171" s="8">
        <v>232</v>
      </c>
    </row>
    <row r="172" spans="1:5" ht="20.100000000000001" customHeight="1" x14ac:dyDescent="0.3">
      <c r="A172" s="4" t="s">
        <v>44</v>
      </c>
      <c r="B172" s="8">
        <v>166.1</v>
      </c>
      <c r="C172" s="8">
        <v>303</v>
      </c>
      <c r="D172" s="8">
        <v>228</v>
      </c>
      <c r="E172" s="8">
        <v>273</v>
      </c>
    </row>
    <row r="173" spans="1:5" ht="20.100000000000001" customHeight="1" x14ac:dyDescent="0.3">
      <c r="A173" s="4" t="s">
        <v>45</v>
      </c>
      <c r="B173" s="8">
        <v>191.4</v>
      </c>
      <c r="C173" s="8">
        <v>349</v>
      </c>
      <c r="D173" s="8">
        <v>262</v>
      </c>
      <c r="E173" s="8">
        <v>315</v>
      </c>
    </row>
    <row r="174" spans="1:5" ht="20.100000000000001" customHeight="1" x14ac:dyDescent="0.3">
      <c r="A174" s="4" t="s">
        <v>46</v>
      </c>
      <c r="B174" s="8">
        <v>216.7</v>
      </c>
      <c r="C174" s="8">
        <v>395</v>
      </c>
      <c r="D174" s="8">
        <v>297</v>
      </c>
      <c r="E174" s="8">
        <v>356</v>
      </c>
    </row>
    <row r="175" spans="1:5" ht="20.100000000000001" customHeight="1" x14ac:dyDescent="0.3">
      <c r="A175" s="4" t="s">
        <v>47</v>
      </c>
      <c r="B175" s="8">
        <v>234.3</v>
      </c>
      <c r="C175" s="8">
        <v>427</v>
      </c>
      <c r="D175" s="8">
        <v>321</v>
      </c>
      <c r="E175" s="8">
        <v>384</v>
      </c>
    </row>
    <row r="176" spans="1:5" ht="20.100000000000001" customHeight="1" x14ac:dyDescent="0.3">
      <c r="A176" s="4" t="s">
        <v>48</v>
      </c>
      <c r="B176" s="8">
        <v>251.9</v>
      </c>
      <c r="C176" s="8">
        <v>459</v>
      </c>
      <c r="D176" s="8">
        <v>345</v>
      </c>
      <c r="E176" s="8">
        <v>414</v>
      </c>
    </row>
    <row r="177" spans="1:5" ht="20.100000000000001" customHeight="1" x14ac:dyDescent="0.3">
      <c r="A177" s="4" t="s">
        <v>49</v>
      </c>
      <c r="B177" s="8">
        <v>290.39999999999998</v>
      </c>
      <c r="C177" s="8">
        <v>529</v>
      </c>
      <c r="D177" s="8">
        <v>397</v>
      </c>
      <c r="E177" s="8">
        <v>477</v>
      </c>
    </row>
    <row r="178" spans="1:5" ht="20.100000000000001" customHeight="1" x14ac:dyDescent="0.3">
      <c r="A178" s="4" t="s">
        <v>62</v>
      </c>
      <c r="B178" s="8">
        <v>96.8</v>
      </c>
      <c r="C178" s="8">
        <v>177</v>
      </c>
      <c r="D178" s="8">
        <v>133</v>
      </c>
      <c r="E178" s="8">
        <v>160</v>
      </c>
    </row>
    <row r="179" spans="1:5" ht="20.100000000000001" customHeight="1" x14ac:dyDescent="0.3">
      <c r="A179" s="4" t="s">
        <v>64</v>
      </c>
      <c r="B179" s="8">
        <v>119.9</v>
      </c>
      <c r="C179" s="8">
        <v>219</v>
      </c>
      <c r="D179" s="8">
        <v>165</v>
      </c>
      <c r="E179" s="8">
        <v>198</v>
      </c>
    </row>
    <row r="180" spans="1:5" ht="20.100000000000001" customHeight="1" x14ac:dyDescent="0.3">
      <c r="A180" s="4" t="s">
        <v>65</v>
      </c>
      <c r="B180" s="8">
        <v>149.6</v>
      </c>
      <c r="C180" s="8">
        <v>273</v>
      </c>
      <c r="D180" s="8">
        <v>204</v>
      </c>
      <c r="E180" s="8">
        <v>246</v>
      </c>
    </row>
    <row r="181" spans="1:5" ht="20.100000000000001" customHeight="1" x14ac:dyDescent="0.3">
      <c r="A181" s="4" t="s">
        <v>66</v>
      </c>
      <c r="B181" s="8">
        <v>172.7</v>
      </c>
      <c r="C181" s="8">
        <v>315</v>
      </c>
      <c r="D181" s="8">
        <v>237</v>
      </c>
      <c r="E181" s="8">
        <v>284</v>
      </c>
    </row>
    <row r="182" spans="1:5" ht="20.100000000000001" customHeight="1" x14ac:dyDescent="0.3">
      <c r="A182" s="4" t="s">
        <v>67</v>
      </c>
      <c r="B182" s="8">
        <v>201.3</v>
      </c>
      <c r="C182" s="8">
        <v>367</v>
      </c>
      <c r="D182" s="8">
        <v>276</v>
      </c>
      <c r="E182" s="8">
        <v>331</v>
      </c>
    </row>
    <row r="183" spans="1:5" ht="20.100000000000001" customHeight="1" x14ac:dyDescent="0.3">
      <c r="A183" s="4" t="s">
        <v>68</v>
      </c>
      <c r="B183" s="8">
        <v>232.1</v>
      </c>
      <c r="C183" s="8">
        <v>423</v>
      </c>
      <c r="D183" s="8">
        <v>318</v>
      </c>
      <c r="E183" s="8">
        <v>381</v>
      </c>
    </row>
    <row r="184" spans="1:5" ht="20.100000000000001" customHeight="1" x14ac:dyDescent="0.3">
      <c r="A184" s="4" t="s">
        <v>69</v>
      </c>
      <c r="B184" s="8">
        <v>261.8</v>
      </c>
      <c r="C184" s="8">
        <v>477</v>
      </c>
      <c r="D184" s="8">
        <v>358</v>
      </c>
      <c r="E184" s="8">
        <v>430</v>
      </c>
    </row>
    <row r="185" spans="1:5" ht="20.100000000000001" customHeight="1" x14ac:dyDescent="0.3">
      <c r="A185" s="4" t="s">
        <v>70</v>
      </c>
      <c r="B185" s="8">
        <v>284.89999999999998</v>
      </c>
      <c r="C185" s="8">
        <v>519</v>
      </c>
      <c r="D185" s="8">
        <v>390</v>
      </c>
      <c r="E185" s="8">
        <v>468</v>
      </c>
    </row>
    <row r="186" spans="1:5" ht="20.100000000000001" customHeight="1" x14ac:dyDescent="0.3">
      <c r="A186" s="4" t="s">
        <v>71</v>
      </c>
      <c r="B186" s="8">
        <v>315.7</v>
      </c>
      <c r="C186" s="8">
        <v>575</v>
      </c>
      <c r="D186" s="8">
        <v>432</v>
      </c>
      <c r="E186" s="8">
        <v>518</v>
      </c>
    </row>
    <row r="187" spans="1:5" ht="20.100000000000001" customHeight="1" x14ac:dyDescent="0.3">
      <c r="A187" s="4" t="s">
        <v>72</v>
      </c>
      <c r="B187" s="8">
        <v>365.2</v>
      </c>
      <c r="C187" s="8">
        <v>665</v>
      </c>
      <c r="D187" s="8">
        <v>499</v>
      </c>
      <c r="E187" s="8">
        <v>598.5</v>
      </c>
    </row>
    <row r="188" spans="1:5" ht="20.100000000000001" customHeight="1" x14ac:dyDescent="0.3">
      <c r="A188" s="4" t="s">
        <v>73</v>
      </c>
      <c r="B188" s="8">
        <v>112.2</v>
      </c>
      <c r="C188" s="8">
        <v>205</v>
      </c>
      <c r="D188" s="8">
        <v>154</v>
      </c>
      <c r="E188" s="8">
        <v>185</v>
      </c>
    </row>
    <row r="189" spans="1:5" ht="20.100000000000001" customHeight="1" x14ac:dyDescent="0.3">
      <c r="A189" s="4" t="s">
        <v>74</v>
      </c>
      <c r="B189" s="8">
        <v>149.6</v>
      </c>
      <c r="C189" s="8">
        <v>273</v>
      </c>
      <c r="D189" s="8">
        <v>205</v>
      </c>
      <c r="E189" s="8">
        <v>246</v>
      </c>
    </row>
    <row r="190" spans="1:5" ht="20.100000000000001" customHeight="1" x14ac:dyDescent="0.3">
      <c r="A190" s="4" t="s">
        <v>75</v>
      </c>
      <c r="B190" s="8">
        <v>179.3</v>
      </c>
      <c r="C190" s="8">
        <v>327</v>
      </c>
      <c r="D190" s="8">
        <v>246</v>
      </c>
      <c r="E190" s="8">
        <v>295</v>
      </c>
    </row>
    <row r="191" spans="1:5" x14ac:dyDescent="0.3">
      <c r="A191" s="4" t="s">
        <v>76</v>
      </c>
      <c r="B191" s="8">
        <v>215.6</v>
      </c>
      <c r="C191" s="8">
        <v>393</v>
      </c>
      <c r="D191" s="8">
        <v>295</v>
      </c>
      <c r="E191" s="8">
        <v>354</v>
      </c>
    </row>
    <row r="192" spans="1:5" ht="20.100000000000001" customHeight="1" x14ac:dyDescent="0.3">
      <c r="A192" s="4" t="s">
        <v>77</v>
      </c>
      <c r="B192" s="8">
        <v>250.8</v>
      </c>
      <c r="C192" s="8">
        <v>457</v>
      </c>
      <c r="D192" s="8">
        <v>343</v>
      </c>
      <c r="E192" s="8">
        <v>412</v>
      </c>
    </row>
    <row r="193" spans="1:5" ht="20.100000000000001" customHeight="1" x14ac:dyDescent="0.3">
      <c r="A193" s="4" t="s">
        <v>78</v>
      </c>
      <c r="B193" s="8">
        <v>280.5</v>
      </c>
      <c r="C193" s="8">
        <v>512</v>
      </c>
      <c r="D193" s="8">
        <v>384</v>
      </c>
      <c r="E193" s="8">
        <v>461</v>
      </c>
    </row>
    <row r="194" spans="1:5" ht="20.100000000000001" customHeight="1" x14ac:dyDescent="0.3">
      <c r="A194" s="4" t="s">
        <v>79</v>
      </c>
      <c r="B194" s="8">
        <v>316.8</v>
      </c>
      <c r="C194" s="8">
        <v>577</v>
      </c>
      <c r="D194" s="8">
        <v>433</v>
      </c>
      <c r="E194" s="8">
        <v>520</v>
      </c>
    </row>
    <row r="195" spans="1:5" ht="20.100000000000001" customHeight="1" x14ac:dyDescent="0.3">
      <c r="A195" s="4" t="s">
        <v>80</v>
      </c>
      <c r="B195" s="8">
        <v>346.5</v>
      </c>
      <c r="C195" s="8">
        <v>631</v>
      </c>
      <c r="D195" s="8">
        <v>474</v>
      </c>
      <c r="E195" s="8">
        <v>568</v>
      </c>
    </row>
    <row r="196" spans="1:5" ht="20.100000000000001" customHeight="1" x14ac:dyDescent="0.3">
      <c r="A196" s="4" t="s">
        <v>81</v>
      </c>
      <c r="B196" s="8">
        <v>386.1</v>
      </c>
      <c r="C196" s="8">
        <v>703</v>
      </c>
      <c r="D196" s="8">
        <v>528</v>
      </c>
      <c r="E196" s="8">
        <v>633</v>
      </c>
    </row>
    <row r="197" spans="1:5" ht="20.100000000000001" customHeight="1" x14ac:dyDescent="0.3">
      <c r="A197" s="4" t="s">
        <v>82</v>
      </c>
      <c r="B197" s="8">
        <v>454.3</v>
      </c>
      <c r="C197" s="8">
        <v>827</v>
      </c>
      <c r="D197" s="8">
        <v>621</v>
      </c>
      <c r="E197" s="8">
        <v>745</v>
      </c>
    </row>
    <row r="198" spans="1:5" ht="20.100000000000001" customHeight="1" x14ac:dyDescent="0.3">
      <c r="A198" s="4" t="s">
        <v>102</v>
      </c>
      <c r="B198" s="8">
        <v>179.6</v>
      </c>
      <c r="C198" s="8">
        <v>327</v>
      </c>
      <c r="D198" s="8">
        <v>246</v>
      </c>
      <c r="E198" s="8">
        <v>295</v>
      </c>
    </row>
    <row r="199" spans="1:5" ht="20.100000000000001" customHeight="1" x14ac:dyDescent="0.3">
      <c r="A199" s="4" t="s">
        <v>103</v>
      </c>
      <c r="B199" s="8">
        <v>223.3</v>
      </c>
      <c r="C199" s="8">
        <v>407</v>
      </c>
      <c r="D199" s="8">
        <v>306</v>
      </c>
      <c r="E199" s="8">
        <v>367</v>
      </c>
    </row>
    <row r="200" spans="1:5" ht="20.100000000000001" customHeight="1" x14ac:dyDescent="0.3">
      <c r="A200" s="4" t="s">
        <v>104</v>
      </c>
      <c r="B200" s="8">
        <v>273.89999999999998</v>
      </c>
      <c r="C200" s="8">
        <v>497</v>
      </c>
      <c r="D200" s="8">
        <v>373</v>
      </c>
      <c r="E200" s="8">
        <v>448</v>
      </c>
    </row>
    <row r="201" spans="1:5" ht="20.100000000000001" customHeight="1" x14ac:dyDescent="0.3">
      <c r="A201" s="4" t="s">
        <v>105</v>
      </c>
      <c r="B201" s="8">
        <v>327.8</v>
      </c>
      <c r="C201" s="8">
        <v>597</v>
      </c>
      <c r="D201" s="8">
        <v>448</v>
      </c>
      <c r="E201" s="8">
        <v>538</v>
      </c>
    </row>
    <row r="202" spans="1:5" ht="20.100000000000001" customHeight="1" x14ac:dyDescent="0.3">
      <c r="A202" s="4" t="s">
        <v>106</v>
      </c>
      <c r="B202" s="8">
        <v>374</v>
      </c>
      <c r="C202" s="8">
        <v>681</v>
      </c>
      <c r="D202" s="8">
        <v>511</v>
      </c>
      <c r="E202" s="8">
        <v>613</v>
      </c>
    </row>
    <row r="203" spans="1:5" ht="20.100000000000001" customHeight="1" x14ac:dyDescent="0.3">
      <c r="A203" s="4" t="s">
        <v>107</v>
      </c>
      <c r="B203" s="8">
        <v>413.6</v>
      </c>
      <c r="C203" s="8">
        <v>753</v>
      </c>
      <c r="D203" s="8">
        <v>565</v>
      </c>
      <c r="E203" s="8">
        <v>678</v>
      </c>
    </row>
    <row r="204" spans="1:5" ht="20.100000000000001" customHeight="1" x14ac:dyDescent="0.3">
      <c r="A204" s="4" t="s">
        <v>108</v>
      </c>
      <c r="B204" s="8">
        <v>454.1</v>
      </c>
      <c r="C204" s="8">
        <v>827</v>
      </c>
      <c r="D204" s="8">
        <v>621</v>
      </c>
      <c r="E204" s="8">
        <v>745</v>
      </c>
    </row>
    <row r="205" spans="1:5" ht="20.100000000000001" customHeight="1" x14ac:dyDescent="0.3">
      <c r="A205" s="4" t="s">
        <v>109</v>
      </c>
      <c r="B205" s="8">
        <v>501.3</v>
      </c>
      <c r="C205" s="8">
        <v>913</v>
      </c>
      <c r="D205" s="8">
        <v>685</v>
      </c>
      <c r="E205" s="8">
        <v>822</v>
      </c>
    </row>
    <row r="206" spans="1:5" ht="20.100000000000001" customHeight="1" x14ac:dyDescent="0.3">
      <c r="A206" s="4" t="s">
        <v>110</v>
      </c>
      <c r="B206" s="8">
        <v>585.20000000000005</v>
      </c>
      <c r="C206" s="8">
        <v>1065</v>
      </c>
      <c r="D206" s="8">
        <v>799</v>
      </c>
      <c r="E206" s="8">
        <v>959</v>
      </c>
    </row>
    <row r="207" spans="1:5" ht="20.100000000000001" customHeight="1" x14ac:dyDescent="0.3">
      <c r="B207" s="9"/>
      <c r="C207" s="9"/>
      <c r="D207" s="9"/>
      <c r="E207" s="9"/>
    </row>
    <row r="208" spans="1:5" ht="20.100000000000001" customHeight="1" x14ac:dyDescent="0.3"/>
    <row r="209" spans="1:5" ht="20.100000000000001" customHeight="1" x14ac:dyDescent="0.35">
      <c r="A209" s="5" t="s">
        <v>271</v>
      </c>
      <c r="B209" s="5"/>
      <c r="C209" s="5"/>
    </row>
    <row r="210" spans="1:5" ht="20.100000000000001" customHeight="1" x14ac:dyDescent="0.3">
      <c r="A210" s="27" t="s">
        <v>274</v>
      </c>
      <c r="B210" s="27" t="s">
        <v>4</v>
      </c>
      <c r="C210" s="27" t="s">
        <v>275</v>
      </c>
      <c r="D210" s="27" t="s">
        <v>276</v>
      </c>
      <c r="E210" s="27" t="s">
        <v>277</v>
      </c>
    </row>
    <row r="211" spans="1:5" ht="20.100000000000001" customHeight="1" x14ac:dyDescent="0.3">
      <c r="A211" s="31" t="s">
        <v>116</v>
      </c>
      <c r="B211" s="32">
        <v>268.39999999999998</v>
      </c>
      <c r="C211" s="32">
        <v>489</v>
      </c>
      <c r="D211" s="32">
        <v>367</v>
      </c>
      <c r="E211" s="32">
        <v>441</v>
      </c>
    </row>
    <row r="212" spans="1:5" ht="20.100000000000001" customHeight="1" x14ac:dyDescent="0.3">
      <c r="A212" s="4" t="s">
        <v>118</v>
      </c>
      <c r="B212" s="8">
        <v>327.8</v>
      </c>
      <c r="C212" s="8">
        <v>597</v>
      </c>
      <c r="D212" s="8">
        <v>448</v>
      </c>
      <c r="E212" s="8">
        <v>538</v>
      </c>
    </row>
    <row r="213" spans="1:5" ht="20.100000000000001" customHeight="1" x14ac:dyDescent="0.3">
      <c r="A213" s="4" t="s">
        <v>119</v>
      </c>
      <c r="B213" s="8">
        <v>407</v>
      </c>
      <c r="C213" s="8">
        <v>741</v>
      </c>
      <c r="D213" s="8">
        <v>556</v>
      </c>
      <c r="E213" s="8">
        <v>667</v>
      </c>
    </row>
    <row r="214" spans="1:5" ht="20.100000000000001" customHeight="1" x14ac:dyDescent="0.3">
      <c r="A214" s="4" t="s">
        <v>120</v>
      </c>
      <c r="B214" s="8">
        <v>465.3</v>
      </c>
      <c r="C214" s="8">
        <v>847</v>
      </c>
      <c r="D214" s="8">
        <v>636</v>
      </c>
      <c r="E214" s="8">
        <v>763</v>
      </c>
    </row>
    <row r="215" spans="1:5" ht="20.100000000000001" customHeight="1" x14ac:dyDescent="0.3">
      <c r="A215" s="4" t="s">
        <v>121</v>
      </c>
      <c r="B215" s="8">
        <v>515.9</v>
      </c>
      <c r="C215" s="8">
        <v>939</v>
      </c>
      <c r="D215" s="8">
        <v>705</v>
      </c>
      <c r="E215" s="8">
        <v>846</v>
      </c>
    </row>
    <row r="216" spans="1:5" ht="20.100000000000001" customHeight="1" x14ac:dyDescent="0.3">
      <c r="A216" s="4" t="s">
        <v>122</v>
      </c>
      <c r="B216" s="8">
        <v>566.5</v>
      </c>
      <c r="C216" s="8">
        <v>1032</v>
      </c>
      <c r="D216" s="8">
        <v>774</v>
      </c>
      <c r="E216" s="8">
        <v>929</v>
      </c>
    </row>
    <row r="217" spans="1:5" ht="20.100000000000001" customHeight="1" x14ac:dyDescent="0.3">
      <c r="A217" s="4" t="s">
        <v>123</v>
      </c>
      <c r="B217" s="8">
        <v>632.5</v>
      </c>
      <c r="C217" s="8">
        <v>1152.5</v>
      </c>
      <c r="D217" s="8">
        <v>865</v>
      </c>
      <c r="E217" s="8">
        <v>1037</v>
      </c>
    </row>
    <row r="218" spans="1:5" ht="20.100000000000001" customHeight="1" x14ac:dyDescent="0.3">
      <c r="A218" s="4" t="s">
        <v>124</v>
      </c>
      <c r="B218" s="8">
        <v>735.9</v>
      </c>
      <c r="C218" s="8">
        <v>1340</v>
      </c>
      <c r="D218" s="8">
        <v>1005</v>
      </c>
      <c r="E218" s="8">
        <v>1206</v>
      </c>
    </row>
    <row r="219" spans="1:5" ht="20.100000000000001" customHeight="1" x14ac:dyDescent="0.3"/>
    <row r="220" spans="1:5" ht="20.100000000000001" customHeight="1" x14ac:dyDescent="0.35">
      <c r="A220" s="5" t="s">
        <v>279</v>
      </c>
      <c r="B220" s="5"/>
    </row>
    <row r="221" spans="1:5" ht="20.100000000000001" customHeight="1" x14ac:dyDescent="0.3">
      <c r="A221" s="27" t="s">
        <v>274</v>
      </c>
      <c r="B221" s="27" t="s">
        <v>4</v>
      </c>
      <c r="C221" s="27" t="s">
        <v>275</v>
      </c>
      <c r="D221" s="27" t="s">
        <v>276</v>
      </c>
      <c r="E221" s="27" t="s">
        <v>277</v>
      </c>
    </row>
    <row r="222" spans="1:5" ht="20.100000000000001" customHeight="1" x14ac:dyDescent="0.3">
      <c r="A222" s="4" t="s">
        <v>138</v>
      </c>
      <c r="B222" s="8">
        <v>47.9</v>
      </c>
      <c r="C222" s="8">
        <v>88</v>
      </c>
      <c r="D222" s="8">
        <v>66</v>
      </c>
      <c r="E222" s="8">
        <v>79.2</v>
      </c>
    </row>
    <row r="223" spans="1:5" ht="20.100000000000001" customHeight="1" x14ac:dyDescent="0.3">
      <c r="A223" s="4" t="s">
        <v>136</v>
      </c>
      <c r="B223" s="8">
        <v>50.7</v>
      </c>
      <c r="C223" s="8">
        <v>93</v>
      </c>
      <c r="D223" s="8">
        <v>70</v>
      </c>
      <c r="E223" s="8">
        <v>84</v>
      </c>
    </row>
    <row r="224" spans="1:5" ht="20.100000000000001" customHeight="1" x14ac:dyDescent="0.3">
      <c r="A224" s="4" t="s">
        <v>139</v>
      </c>
      <c r="B224" s="8">
        <v>53.6</v>
      </c>
      <c r="C224" s="8">
        <v>98</v>
      </c>
      <c r="D224" s="8">
        <v>74</v>
      </c>
      <c r="E224" s="8">
        <v>89</v>
      </c>
    </row>
    <row r="225" spans="1:5" ht="20.100000000000001" customHeight="1" x14ac:dyDescent="0.3">
      <c r="A225" s="4" t="s">
        <v>140</v>
      </c>
      <c r="B225" s="8">
        <v>56.8</v>
      </c>
      <c r="C225" s="8">
        <v>104</v>
      </c>
      <c r="D225" s="8">
        <v>78</v>
      </c>
      <c r="E225" s="8">
        <v>94</v>
      </c>
    </row>
    <row r="226" spans="1:5" ht="20.100000000000001" customHeight="1" x14ac:dyDescent="0.3">
      <c r="A226" s="4" t="s">
        <v>141</v>
      </c>
      <c r="B226" s="8">
        <v>59.7</v>
      </c>
      <c r="C226" s="8">
        <v>109</v>
      </c>
      <c r="D226" s="8">
        <v>82</v>
      </c>
      <c r="E226" s="8">
        <v>98.1</v>
      </c>
    </row>
    <row r="227" spans="1:5" ht="20.100000000000001" customHeight="1" x14ac:dyDescent="0.3">
      <c r="A227" s="4" t="s">
        <v>142</v>
      </c>
      <c r="B227" s="8">
        <v>60.1</v>
      </c>
      <c r="C227" s="8">
        <v>110</v>
      </c>
      <c r="D227" s="8">
        <v>82.5</v>
      </c>
      <c r="E227" s="8">
        <v>99</v>
      </c>
    </row>
    <row r="228" spans="1:5" ht="20.100000000000001" customHeight="1" x14ac:dyDescent="0.3">
      <c r="A228" s="4" t="s">
        <v>31</v>
      </c>
      <c r="B228" s="8">
        <v>70.599999999999994</v>
      </c>
      <c r="C228" s="8">
        <v>128.5</v>
      </c>
      <c r="D228" s="8">
        <v>96.4</v>
      </c>
      <c r="E228" s="8">
        <v>115.6</v>
      </c>
    </row>
    <row r="229" spans="1:5" ht="20.100000000000001" customHeight="1" x14ac:dyDescent="0.3">
      <c r="A229" s="4" t="s">
        <v>144</v>
      </c>
      <c r="B229" s="8">
        <v>74.099999999999994</v>
      </c>
      <c r="C229" s="8">
        <v>135</v>
      </c>
      <c r="D229" s="8">
        <v>101.5</v>
      </c>
      <c r="E229" s="8">
        <v>121.5</v>
      </c>
    </row>
    <row r="230" spans="1:5" ht="20.100000000000001" customHeight="1" x14ac:dyDescent="0.3">
      <c r="A230" s="4" t="s">
        <v>145</v>
      </c>
      <c r="B230" s="8">
        <v>77</v>
      </c>
      <c r="C230" s="8">
        <v>140.5</v>
      </c>
      <c r="D230" s="8">
        <v>105.5</v>
      </c>
      <c r="E230" s="8">
        <v>126</v>
      </c>
    </row>
    <row r="231" spans="1:5" ht="20.100000000000001" customHeight="1" x14ac:dyDescent="0.3">
      <c r="A231" s="4" t="s">
        <v>146</v>
      </c>
      <c r="B231" s="8">
        <v>79.5</v>
      </c>
      <c r="C231" s="8">
        <v>145</v>
      </c>
      <c r="D231" s="8">
        <v>109</v>
      </c>
      <c r="E231" s="8">
        <v>131</v>
      </c>
    </row>
    <row r="232" spans="1:5" ht="20.100000000000001" customHeight="1" x14ac:dyDescent="0.3">
      <c r="A232" s="4" t="s">
        <v>62</v>
      </c>
      <c r="B232" s="8">
        <v>83</v>
      </c>
      <c r="C232" s="8">
        <v>152</v>
      </c>
      <c r="D232" s="8">
        <v>114</v>
      </c>
      <c r="E232" s="8">
        <v>136.80000000000001</v>
      </c>
    </row>
    <row r="233" spans="1:5" ht="20.100000000000001" customHeight="1" x14ac:dyDescent="0.3">
      <c r="A233" s="4" t="s">
        <v>73</v>
      </c>
      <c r="B233" s="8">
        <v>95</v>
      </c>
      <c r="C233" s="8">
        <v>173</v>
      </c>
      <c r="D233" s="8">
        <v>129.69999999999999</v>
      </c>
      <c r="E233" s="8">
        <v>155.69999999999999</v>
      </c>
    </row>
    <row r="234" spans="1:5" x14ac:dyDescent="0.3">
      <c r="A234" s="4" t="s">
        <v>148</v>
      </c>
      <c r="B234" s="8">
        <v>53</v>
      </c>
      <c r="C234" s="8">
        <v>97</v>
      </c>
      <c r="D234" s="8">
        <v>72.7</v>
      </c>
      <c r="E234" s="8">
        <v>87.3</v>
      </c>
    </row>
    <row r="235" spans="1:5" ht="20.100000000000001" customHeight="1" x14ac:dyDescent="0.3">
      <c r="A235" s="4" t="s">
        <v>147</v>
      </c>
      <c r="B235" s="8">
        <v>57</v>
      </c>
      <c r="C235" s="8">
        <v>104</v>
      </c>
      <c r="D235" s="8">
        <v>78</v>
      </c>
      <c r="E235" s="8">
        <v>93.6</v>
      </c>
    </row>
    <row r="236" spans="1:5" ht="20.100000000000001" customHeight="1" x14ac:dyDescent="0.3">
      <c r="A236" s="4" t="s">
        <v>149</v>
      </c>
      <c r="B236" s="8">
        <v>61</v>
      </c>
      <c r="C236" s="8">
        <v>111</v>
      </c>
      <c r="D236" s="8">
        <v>83.2</v>
      </c>
      <c r="E236" s="8">
        <v>99.9</v>
      </c>
    </row>
    <row r="237" spans="1:5" ht="20.100000000000001" customHeight="1" x14ac:dyDescent="0.3">
      <c r="A237" s="4" t="s">
        <v>150</v>
      </c>
      <c r="B237" s="8">
        <v>66</v>
      </c>
      <c r="C237" s="8">
        <v>121</v>
      </c>
      <c r="D237" s="8">
        <v>90.7</v>
      </c>
      <c r="E237" s="8">
        <v>108.9</v>
      </c>
    </row>
    <row r="238" spans="1:5" ht="20.100000000000001" customHeight="1" x14ac:dyDescent="0.3">
      <c r="A238" s="4" t="s">
        <v>151</v>
      </c>
      <c r="B238" s="8">
        <v>70</v>
      </c>
      <c r="C238" s="8">
        <v>128</v>
      </c>
      <c r="D238" s="8">
        <v>96</v>
      </c>
      <c r="E238" s="8">
        <v>115.2</v>
      </c>
    </row>
    <row r="239" spans="1:5" ht="20.100000000000001" customHeight="1" x14ac:dyDescent="0.3">
      <c r="A239" s="4" t="s">
        <v>152</v>
      </c>
      <c r="B239" s="8">
        <v>72</v>
      </c>
      <c r="C239" s="8">
        <v>131</v>
      </c>
      <c r="D239" s="8">
        <v>98.2</v>
      </c>
      <c r="E239" s="8">
        <v>117.9</v>
      </c>
    </row>
    <row r="240" spans="1:5" ht="20.100000000000001" customHeight="1" x14ac:dyDescent="0.3">
      <c r="A240" s="4" t="s">
        <v>38</v>
      </c>
      <c r="B240" s="8">
        <v>74</v>
      </c>
      <c r="C240" s="8">
        <v>135</v>
      </c>
      <c r="D240" s="8">
        <v>101.2</v>
      </c>
      <c r="E240" s="8">
        <v>121.5</v>
      </c>
    </row>
    <row r="241" spans="1:5" ht="20.100000000000001" customHeight="1" x14ac:dyDescent="0.3">
      <c r="A241" s="4" t="s">
        <v>153</v>
      </c>
      <c r="B241" s="8">
        <v>79</v>
      </c>
      <c r="C241" s="8">
        <v>144</v>
      </c>
      <c r="D241" s="8">
        <v>108</v>
      </c>
      <c r="E241" s="8">
        <v>129.6</v>
      </c>
    </row>
    <row r="242" spans="1:5" ht="20.100000000000001" customHeight="1" x14ac:dyDescent="0.3">
      <c r="A242" s="4" t="s">
        <v>154</v>
      </c>
      <c r="B242" s="8">
        <v>83</v>
      </c>
      <c r="C242" s="8">
        <v>152</v>
      </c>
      <c r="D242" s="8">
        <v>114</v>
      </c>
      <c r="E242" s="8">
        <v>136.80000000000001</v>
      </c>
    </row>
    <row r="243" spans="1:5" ht="20.100000000000001" customHeight="1" x14ac:dyDescent="0.3">
      <c r="A243" s="4" t="s">
        <v>155</v>
      </c>
      <c r="B243" s="8">
        <v>86</v>
      </c>
      <c r="C243" s="8">
        <v>157</v>
      </c>
      <c r="D243" s="8">
        <v>117.7</v>
      </c>
      <c r="E243" s="8">
        <v>141.30000000000001</v>
      </c>
    </row>
    <row r="244" spans="1:5" ht="20.100000000000001" customHeight="1" x14ac:dyDescent="0.3">
      <c r="A244" s="4" t="s">
        <v>64</v>
      </c>
      <c r="B244" s="8">
        <v>91</v>
      </c>
      <c r="C244" s="8">
        <v>166</v>
      </c>
      <c r="D244" s="8">
        <v>124.5</v>
      </c>
      <c r="E244" s="8">
        <v>149.4</v>
      </c>
    </row>
    <row r="245" spans="1:5" ht="20.100000000000001" customHeight="1" x14ac:dyDescent="0.3">
      <c r="A245" s="4" t="s">
        <v>74</v>
      </c>
      <c r="B245" s="8">
        <v>115</v>
      </c>
      <c r="C245" s="8">
        <v>210</v>
      </c>
      <c r="D245" s="8">
        <v>157.5</v>
      </c>
      <c r="E245" s="8">
        <v>189</v>
      </c>
    </row>
    <row r="246" spans="1:5" ht="20.100000000000001" customHeight="1" x14ac:dyDescent="0.3">
      <c r="A246" s="4" t="s">
        <v>156</v>
      </c>
      <c r="B246" s="8">
        <v>128</v>
      </c>
      <c r="C246" s="8">
        <v>233</v>
      </c>
      <c r="D246" s="8">
        <v>174.7</v>
      </c>
      <c r="E246" s="8">
        <v>209.7</v>
      </c>
    </row>
    <row r="247" spans="1:5" ht="20.100000000000001" customHeight="1" x14ac:dyDescent="0.3">
      <c r="A247" s="4" t="s">
        <v>102</v>
      </c>
      <c r="B247" s="8">
        <v>142</v>
      </c>
      <c r="C247" s="8">
        <v>259</v>
      </c>
      <c r="D247" s="8">
        <v>194.2</v>
      </c>
      <c r="E247" s="8">
        <v>233.1</v>
      </c>
    </row>
    <row r="248" spans="1:5" ht="20.100000000000001" customHeight="1" x14ac:dyDescent="0.3">
      <c r="A248" s="4" t="s">
        <v>158</v>
      </c>
      <c r="B248" s="8">
        <v>97</v>
      </c>
      <c r="C248" s="8">
        <v>177</v>
      </c>
      <c r="D248" s="8">
        <v>132.69999999999999</v>
      </c>
      <c r="E248" s="8">
        <v>159.30000000000001</v>
      </c>
    </row>
    <row r="249" spans="1:5" ht="20.100000000000001" customHeight="1" x14ac:dyDescent="0.3">
      <c r="A249" s="4" t="s">
        <v>157</v>
      </c>
      <c r="B249" s="8">
        <v>63</v>
      </c>
      <c r="C249" s="8">
        <v>115</v>
      </c>
      <c r="D249" s="8">
        <v>86.2</v>
      </c>
      <c r="E249" s="8">
        <v>103.5</v>
      </c>
    </row>
    <row r="250" spans="1:5" ht="20.100000000000001" customHeight="1" x14ac:dyDescent="0.3">
      <c r="A250" s="4" t="s">
        <v>159</v>
      </c>
      <c r="B250" s="8">
        <v>69</v>
      </c>
      <c r="C250" s="8">
        <v>126</v>
      </c>
      <c r="D250" s="8">
        <v>94.5</v>
      </c>
      <c r="E250" s="8">
        <v>113.4</v>
      </c>
    </row>
    <row r="251" spans="1:5" ht="20.100000000000001" customHeight="1" x14ac:dyDescent="0.3">
      <c r="B251" s="9"/>
      <c r="C251" s="9"/>
      <c r="D251" s="9"/>
      <c r="E251" s="9"/>
    </row>
    <row r="252" spans="1:5" ht="20.100000000000001" customHeight="1" x14ac:dyDescent="0.35">
      <c r="A252" s="5" t="s">
        <v>279</v>
      </c>
      <c r="B252" s="5"/>
    </row>
    <row r="253" spans="1:5" ht="20.100000000000001" customHeight="1" x14ac:dyDescent="0.3">
      <c r="A253" s="27" t="s">
        <v>274</v>
      </c>
      <c r="B253" s="27" t="s">
        <v>4</v>
      </c>
      <c r="C253" s="27" t="s">
        <v>275</v>
      </c>
      <c r="D253" s="27" t="s">
        <v>276</v>
      </c>
      <c r="E253" s="27" t="s">
        <v>277</v>
      </c>
    </row>
    <row r="254" spans="1:5" ht="20.100000000000001" customHeight="1" x14ac:dyDescent="0.3">
      <c r="A254" s="31" t="s">
        <v>160</v>
      </c>
      <c r="B254" s="32">
        <v>74</v>
      </c>
      <c r="C254" s="32">
        <v>135</v>
      </c>
      <c r="D254" s="32">
        <v>101.2</v>
      </c>
      <c r="E254" s="32">
        <v>121.5</v>
      </c>
    </row>
    <row r="255" spans="1:5" ht="20.100000000000001" customHeight="1" x14ac:dyDescent="0.3">
      <c r="A255" s="4" t="s">
        <v>161</v>
      </c>
      <c r="B255" s="8">
        <v>79</v>
      </c>
      <c r="C255" s="8">
        <v>144</v>
      </c>
      <c r="D255" s="8">
        <v>108</v>
      </c>
      <c r="E255" s="8">
        <v>129.6</v>
      </c>
    </row>
    <row r="256" spans="1:5" ht="20.100000000000001" customHeight="1" x14ac:dyDescent="0.3">
      <c r="A256" s="4" t="s">
        <v>162</v>
      </c>
      <c r="B256" s="8">
        <v>80</v>
      </c>
      <c r="C256" s="8">
        <v>146</v>
      </c>
      <c r="D256" s="8">
        <v>109.5</v>
      </c>
      <c r="E256" s="8">
        <v>131.4</v>
      </c>
    </row>
    <row r="257" spans="1:5" ht="20.100000000000001" customHeight="1" x14ac:dyDescent="0.3">
      <c r="A257" s="4" t="s">
        <v>40</v>
      </c>
      <c r="B257" s="8">
        <v>85</v>
      </c>
      <c r="C257" s="8">
        <v>155</v>
      </c>
      <c r="D257" s="8">
        <v>116.2</v>
      </c>
      <c r="E257" s="8">
        <v>139.5</v>
      </c>
    </row>
    <row r="258" spans="1:5" ht="20.100000000000001" customHeight="1" x14ac:dyDescent="0.3">
      <c r="A258" s="4" t="s">
        <v>163</v>
      </c>
      <c r="B258" s="8">
        <v>91</v>
      </c>
      <c r="C258" s="8">
        <v>166</v>
      </c>
      <c r="D258" s="8">
        <v>124.5</v>
      </c>
      <c r="E258" s="8">
        <v>149.4</v>
      </c>
    </row>
    <row r="259" spans="1:5" ht="20.100000000000001" customHeight="1" x14ac:dyDescent="0.3">
      <c r="A259" s="4" t="s">
        <v>164</v>
      </c>
      <c r="B259" s="8">
        <v>96</v>
      </c>
      <c r="C259" s="8">
        <v>175</v>
      </c>
      <c r="D259" s="8">
        <v>131.19999999999999</v>
      </c>
      <c r="E259" s="8">
        <v>157.5</v>
      </c>
    </row>
    <row r="260" spans="1:5" ht="20.100000000000001" customHeight="1" x14ac:dyDescent="0.3">
      <c r="A260" s="4" t="s">
        <v>165</v>
      </c>
      <c r="B260" s="8">
        <v>101</v>
      </c>
      <c r="C260" s="8">
        <v>184</v>
      </c>
      <c r="D260" s="8">
        <v>138</v>
      </c>
      <c r="E260" s="8">
        <v>165.6</v>
      </c>
    </row>
    <row r="261" spans="1:5" ht="20.100000000000001" customHeight="1" x14ac:dyDescent="0.3">
      <c r="A261" s="4" t="s">
        <v>65</v>
      </c>
      <c r="B261" s="8">
        <v>114</v>
      </c>
      <c r="C261" s="8">
        <v>208</v>
      </c>
      <c r="D261" s="8">
        <v>156</v>
      </c>
      <c r="E261" s="8">
        <v>187.2</v>
      </c>
    </row>
    <row r="262" spans="1:5" ht="20.100000000000001" customHeight="1" x14ac:dyDescent="0.3">
      <c r="A262" s="4" t="s">
        <v>75</v>
      </c>
      <c r="B262" s="8">
        <v>136.5</v>
      </c>
      <c r="C262" s="8">
        <v>248</v>
      </c>
      <c r="D262" s="8">
        <v>186</v>
      </c>
      <c r="E262" s="8">
        <v>223.2</v>
      </c>
    </row>
    <row r="263" spans="1:5" ht="20.100000000000001" customHeight="1" x14ac:dyDescent="0.3">
      <c r="A263" s="4" t="s">
        <v>166</v>
      </c>
      <c r="B263" s="8">
        <v>151.5</v>
      </c>
      <c r="C263" s="8">
        <v>276</v>
      </c>
      <c r="D263" s="8">
        <v>207</v>
      </c>
      <c r="E263" s="8">
        <v>248.4</v>
      </c>
    </row>
    <row r="264" spans="1:5" ht="20.100000000000001" customHeight="1" x14ac:dyDescent="0.3">
      <c r="A264" s="4" t="s">
        <v>103</v>
      </c>
      <c r="B264" s="8">
        <v>173</v>
      </c>
      <c r="C264" s="8">
        <v>315</v>
      </c>
      <c r="D264" s="8">
        <v>236.2</v>
      </c>
      <c r="E264" s="8">
        <v>283.5</v>
      </c>
    </row>
    <row r="265" spans="1:5" ht="20.100000000000001" customHeight="1" x14ac:dyDescent="0.3">
      <c r="A265" s="4" t="s">
        <v>116</v>
      </c>
      <c r="B265" s="8">
        <v>259.60000000000002</v>
      </c>
      <c r="C265" s="8">
        <v>472.5</v>
      </c>
      <c r="D265" s="8">
        <v>354.4</v>
      </c>
      <c r="E265" s="8">
        <v>425.2</v>
      </c>
    </row>
    <row r="266" spans="1:5" ht="20.100000000000001" customHeight="1" x14ac:dyDescent="0.3">
      <c r="A266" s="4" t="s">
        <v>169</v>
      </c>
      <c r="B266" s="8">
        <v>64</v>
      </c>
      <c r="C266" s="8">
        <v>117</v>
      </c>
      <c r="D266" s="8">
        <v>87.7</v>
      </c>
      <c r="E266" s="8">
        <v>105.3</v>
      </c>
    </row>
    <row r="267" spans="1:5" ht="20.100000000000001" customHeight="1" x14ac:dyDescent="0.3">
      <c r="A267" s="4" t="s">
        <v>170</v>
      </c>
      <c r="B267" s="8">
        <v>70</v>
      </c>
      <c r="C267" s="8">
        <v>128</v>
      </c>
      <c r="D267" s="8">
        <v>96</v>
      </c>
      <c r="E267" s="8">
        <v>115.2</v>
      </c>
    </row>
    <row r="268" spans="1:5" ht="20.100000000000001" customHeight="1" x14ac:dyDescent="0.3">
      <c r="A268" s="4" t="s">
        <v>211</v>
      </c>
      <c r="B268" s="8">
        <v>76</v>
      </c>
      <c r="C268" s="8">
        <v>139</v>
      </c>
      <c r="D268" s="8">
        <v>104.25</v>
      </c>
      <c r="E268" s="8">
        <v>125.1</v>
      </c>
    </row>
    <row r="269" spans="1:5" ht="20.100000000000001" customHeight="1" x14ac:dyDescent="0.3">
      <c r="A269" s="4" t="s">
        <v>172</v>
      </c>
      <c r="B269" s="8">
        <v>84</v>
      </c>
      <c r="C269" s="8">
        <v>153</v>
      </c>
      <c r="D269" s="8">
        <v>114.75</v>
      </c>
      <c r="E269" s="8">
        <v>137.69999999999999</v>
      </c>
    </row>
    <row r="270" spans="1:5" ht="20.100000000000001" customHeight="1" x14ac:dyDescent="0.3">
      <c r="A270" s="4" t="s">
        <v>173</v>
      </c>
      <c r="B270" s="8">
        <v>89</v>
      </c>
      <c r="C270" s="8">
        <v>162</v>
      </c>
      <c r="D270" s="8">
        <v>121.5</v>
      </c>
      <c r="E270" s="8">
        <v>145.80000000000001</v>
      </c>
    </row>
    <row r="271" spans="1:5" ht="20.100000000000001" customHeight="1" x14ac:dyDescent="0.3">
      <c r="A271" s="4" t="s">
        <v>174</v>
      </c>
      <c r="B271" s="8">
        <v>90</v>
      </c>
      <c r="C271" s="8">
        <v>164</v>
      </c>
      <c r="D271" s="8">
        <v>123</v>
      </c>
      <c r="E271" s="8">
        <v>147.6</v>
      </c>
    </row>
    <row r="272" spans="1:5" ht="20.100000000000001" customHeight="1" x14ac:dyDescent="0.3">
      <c r="A272" s="4" t="s">
        <v>41</v>
      </c>
      <c r="B272" s="8">
        <v>105</v>
      </c>
      <c r="C272" s="8">
        <v>152</v>
      </c>
      <c r="D272" s="8">
        <v>114</v>
      </c>
      <c r="E272" s="8">
        <v>136.80000000000001</v>
      </c>
    </row>
    <row r="273" spans="1:5" x14ac:dyDescent="0.3">
      <c r="A273" s="4" t="s">
        <v>175</v>
      </c>
      <c r="B273" s="8">
        <v>110</v>
      </c>
      <c r="C273" s="8">
        <v>201</v>
      </c>
      <c r="D273" s="8">
        <v>150.75</v>
      </c>
      <c r="E273" s="8">
        <v>180.9</v>
      </c>
    </row>
    <row r="274" spans="1:5" ht="20.100000000000001" customHeight="1" x14ac:dyDescent="0.3">
      <c r="A274" s="4" t="s">
        <v>176</v>
      </c>
      <c r="B274" s="8">
        <v>117</v>
      </c>
      <c r="C274" s="8">
        <v>213</v>
      </c>
      <c r="D274" s="8">
        <v>159.75</v>
      </c>
      <c r="E274" s="8">
        <v>191.7</v>
      </c>
    </row>
    <row r="275" spans="1:5" ht="20.100000000000001" customHeight="1" x14ac:dyDescent="0.3">
      <c r="A275" s="4" t="s">
        <v>177</v>
      </c>
      <c r="B275" s="8">
        <v>123</v>
      </c>
      <c r="C275" s="8">
        <v>224</v>
      </c>
      <c r="D275" s="8">
        <v>168</v>
      </c>
      <c r="E275" s="8">
        <v>202</v>
      </c>
    </row>
    <row r="276" spans="1:5" ht="20.100000000000001" customHeight="1" x14ac:dyDescent="0.3">
      <c r="A276" s="4" t="s">
        <v>66</v>
      </c>
      <c r="B276" s="8">
        <v>129</v>
      </c>
      <c r="C276" s="8">
        <v>235</v>
      </c>
      <c r="D276" s="8">
        <v>176.25</v>
      </c>
      <c r="E276" s="8">
        <v>211.5</v>
      </c>
    </row>
    <row r="277" spans="1:5" ht="20.100000000000001" customHeight="1" x14ac:dyDescent="0.3">
      <c r="A277" s="4" t="s">
        <v>76</v>
      </c>
      <c r="B277" s="8">
        <v>155</v>
      </c>
      <c r="C277" s="8">
        <v>283</v>
      </c>
      <c r="D277" s="8">
        <v>212.25</v>
      </c>
      <c r="E277" s="8">
        <v>254.7</v>
      </c>
    </row>
    <row r="278" spans="1:5" ht="20.100000000000001" customHeight="1" x14ac:dyDescent="0.3">
      <c r="A278" s="4" t="s">
        <v>179</v>
      </c>
      <c r="B278" s="8">
        <v>183</v>
      </c>
      <c r="C278" s="8">
        <v>334</v>
      </c>
      <c r="D278" s="8">
        <v>250.5</v>
      </c>
      <c r="E278" s="8">
        <v>300.60000000000002</v>
      </c>
    </row>
    <row r="279" spans="1:5" ht="20.100000000000001" customHeight="1" x14ac:dyDescent="0.3">
      <c r="A279" s="4" t="s">
        <v>104</v>
      </c>
      <c r="B279" s="8">
        <v>209</v>
      </c>
      <c r="C279" s="8">
        <v>381</v>
      </c>
      <c r="D279" s="8">
        <v>285.75</v>
      </c>
      <c r="E279" s="8">
        <v>342.9</v>
      </c>
    </row>
    <row r="280" spans="1:5" ht="20.100000000000001" customHeight="1" x14ac:dyDescent="0.3">
      <c r="A280" s="4" t="s">
        <v>118</v>
      </c>
      <c r="B280" s="8">
        <v>260</v>
      </c>
      <c r="C280" s="8">
        <v>474</v>
      </c>
      <c r="D280" s="8">
        <v>355.5</v>
      </c>
      <c r="E280" s="8">
        <v>426.6</v>
      </c>
    </row>
    <row r="281" spans="1:5" ht="20.100000000000001" customHeight="1" x14ac:dyDescent="0.3">
      <c r="A281" s="4" t="s">
        <v>181</v>
      </c>
      <c r="B281" s="8">
        <v>69</v>
      </c>
      <c r="C281" s="8">
        <v>126</v>
      </c>
      <c r="D281" s="8">
        <v>94.5</v>
      </c>
      <c r="E281" s="8">
        <v>113.4</v>
      </c>
    </row>
    <row r="282" spans="1:5" ht="20.100000000000001" customHeight="1" x14ac:dyDescent="0.3">
      <c r="A282" s="4" t="s">
        <v>182</v>
      </c>
      <c r="B282" s="8">
        <v>76</v>
      </c>
      <c r="C282" s="8">
        <v>139</v>
      </c>
      <c r="D282" s="8">
        <v>104.25</v>
      </c>
      <c r="E282" s="8">
        <v>125.1</v>
      </c>
    </row>
    <row r="283" spans="1:5" ht="20.100000000000001" customHeight="1" x14ac:dyDescent="0.3">
      <c r="A283" s="4" t="s">
        <v>180</v>
      </c>
      <c r="B283" s="8">
        <v>90</v>
      </c>
      <c r="C283" s="8">
        <v>164</v>
      </c>
      <c r="D283" s="8">
        <v>123</v>
      </c>
      <c r="E283" s="8">
        <v>147.6</v>
      </c>
    </row>
    <row r="284" spans="1:5" ht="20.100000000000001" customHeight="1" x14ac:dyDescent="0.3">
      <c r="A284" s="4" t="s">
        <v>183</v>
      </c>
      <c r="B284" s="8">
        <v>99</v>
      </c>
      <c r="C284" s="8">
        <v>180.5</v>
      </c>
      <c r="D284" s="8">
        <v>135.37</v>
      </c>
      <c r="E284" s="8">
        <v>162.44999999999999</v>
      </c>
    </row>
    <row r="285" spans="1:5" ht="20.100000000000001" customHeight="1" x14ac:dyDescent="0.3">
      <c r="A285" s="4" t="s">
        <v>184</v>
      </c>
      <c r="B285" s="8">
        <v>106</v>
      </c>
      <c r="C285" s="8">
        <v>193</v>
      </c>
      <c r="D285" s="8">
        <v>144.75</v>
      </c>
      <c r="E285" s="8">
        <v>173.7</v>
      </c>
    </row>
    <row r="286" spans="1:5" ht="20.100000000000001" customHeight="1" x14ac:dyDescent="0.3">
      <c r="A286" s="4" t="s">
        <v>185</v>
      </c>
      <c r="B286" s="8">
        <v>106.5</v>
      </c>
      <c r="C286" s="8">
        <v>194</v>
      </c>
      <c r="D286" s="8">
        <v>145.5</v>
      </c>
      <c r="E286" s="8">
        <v>174.6</v>
      </c>
    </row>
    <row r="287" spans="1:5" ht="20.100000000000001" customHeight="1" x14ac:dyDescent="0.3">
      <c r="A287" s="4" t="s">
        <v>44</v>
      </c>
      <c r="B287" s="8">
        <v>114</v>
      </c>
      <c r="C287" s="8">
        <v>208</v>
      </c>
      <c r="D287" s="8">
        <v>156</v>
      </c>
      <c r="E287" s="8">
        <v>187.2</v>
      </c>
    </row>
    <row r="288" spans="1:5" ht="20.100000000000001" customHeight="1" x14ac:dyDescent="0.3">
      <c r="A288" s="4" t="s">
        <v>186</v>
      </c>
      <c r="B288" s="8">
        <v>122</v>
      </c>
      <c r="C288" s="8">
        <v>222.5</v>
      </c>
      <c r="D288" s="8">
        <v>166.87</v>
      </c>
      <c r="E288" s="8">
        <v>200.25</v>
      </c>
    </row>
    <row r="289" spans="1:5" ht="20.100000000000001" customHeight="1" x14ac:dyDescent="0.3">
      <c r="A289" s="4" t="s">
        <v>187</v>
      </c>
      <c r="B289" s="8">
        <v>137</v>
      </c>
      <c r="C289" s="8">
        <v>250</v>
      </c>
      <c r="D289" s="8">
        <v>187.5</v>
      </c>
      <c r="E289" s="8">
        <v>225</v>
      </c>
    </row>
    <row r="290" spans="1:5" ht="20.100000000000001" customHeight="1" x14ac:dyDescent="0.3">
      <c r="B290" s="9"/>
      <c r="C290" s="9"/>
      <c r="D290" s="9"/>
      <c r="E290" s="9"/>
    </row>
    <row r="291" spans="1:5" ht="20.100000000000001" customHeight="1" x14ac:dyDescent="0.35">
      <c r="A291" s="5" t="s">
        <v>279</v>
      </c>
      <c r="B291" s="5"/>
    </row>
    <row r="292" spans="1:5" ht="20.100000000000001" customHeight="1" x14ac:dyDescent="0.3">
      <c r="A292" s="27" t="s">
        <v>274</v>
      </c>
      <c r="B292" s="27" t="s">
        <v>4</v>
      </c>
      <c r="C292" s="27" t="s">
        <v>275</v>
      </c>
      <c r="D292" s="27" t="s">
        <v>276</v>
      </c>
      <c r="E292" s="27" t="s">
        <v>277</v>
      </c>
    </row>
    <row r="293" spans="1:5" ht="20.100000000000001" customHeight="1" x14ac:dyDescent="0.3">
      <c r="A293" s="4" t="s">
        <v>188</v>
      </c>
      <c r="B293" s="8">
        <v>143</v>
      </c>
      <c r="C293" s="8">
        <v>260.5</v>
      </c>
      <c r="D293" s="8">
        <v>195.37</v>
      </c>
      <c r="E293" s="8">
        <v>234.45</v>
      </c>
    </row>
    <row r="294" spans="1:5" ht="20.100000000000001" customHeight="1" x14ac:dyDescent="0.3">
      <c r="A294" s="4" t="s">
        <v>67</v>
      </c>
      <c r="B294" s="8">
        <v>152</v>
      </c>
      <c r="C294" s="8">
        <v>277</v>
      </c>
      <c r="D294" s="8">
        <v>207.75</v>
      </c>
      <c r="E294" s="8">
        <v>249.3</v>
      </c>
    </row>
    <row r="295" spans="1:5" ht="20.100000000000001" customHeight="1" x14ac:dyDescent="0.3">
      <c r="A295" s="4" t="s">
        <v>77</v>
      </c>
      <c r="B295" s="8">
        <v>185.5</v>
      </c>
      <c r="C295" s="8">
        <v>338</v>
      </c>
      <c r="D295" s="8">
        <v>253.5</v>
      </c>
      <c r="E295" s="8">
        <v>304.2</v>
      </c>
    </row>
    <row r="296" spans="1:5" ht="20.100000000000001" customHeight="1" x14ac:dyDescent="0.3">
      <c r="A296" s="4" t="s">
        <v>189</v>
      </c>
      <c r="B296" s="8">
        <v>209.5</v>
      </c>
      <c r="C296" s="8">
        <v>381.5</v>
      </c>
      <c r="D296" s="8">
        <v>286.5</v>
      </c>
      <c r="E296" s="8">
        <v>343.35</v>
      </c>
    </row>
    <row r="297" spans="1:5" ht="20.100000000000001" customHeight="1" x14ac:dyDescent="0.3">
      <c r="A297" s="4" t="s">
        <v>105</v>
      </c>
      <c r="B297" s="8">
        <v>249</v>
      </c>
      <c r="C297" s="8">
        <v>453.5</v>
      </c>
      <c r="D297" s="8">
        <v>34.119999999999997</v>
      </c>
      <c r="E297" s="8">
        <v>408.15</v>
      </c>
    </row>
    <row r="298" spans="1:5" ht="20.100000000000001" customHeight="1" x14ac:dyDescent="0.3">
      <c r="A298" s="4" t="s">
        <v>119</v>
      </c>
      <c r="B298" s="8">
        <v>311</v>
      </c>
      <c r="C298" s="8">
        <v>566.1</v>
      </c>
      <c r="D298" s="8">
        <v>424.57</v>
      </c>
      <c r="E298" s="8">
        <v>509.49</v>
      </c>
    </row>
    <row r="299" spans="1:5" ht="20.100000000000001" customHeight="1" x14ac:dyDescent="0.3">
      <c r="A299" s="4" t="s">
        <v>191</v>
      </c>
      <c r="B299" s="8">
        <v>82</v>
      </c>
      <c r="C299" s="8">
        <v>150</v>
      </c>
      <c r="D299" s="8">
        <v>112.5</v>
      </c>
      <c r="E299" s="8">
        <v>135</v>
      </c>
    </row>
    <row r="300" spans="1:5" ht="20.100000000000001" customHeight="1" x14ac:dyDescent="0.3">
      <c r="A300" s="4" t="s">
        <v>192</v>
      </c>
      <c r="B300" s="8">
        <v>91</v>
      </c>
      <c r="C300" s="8">
        <v>128</v>
      </c>
      <c r="D300" s="8">
        <v>96</v>
      </c>
      <c r="E300" s="8">
        <v>115.2</v>
      </c>
    </row>
    <row r="301" spans="1:5" ht="20.100000000000001" customHeight="1" x14ac:dyDescent="0.3">
      <c r="A301" s="4" t="s">
        <v>190</v>
      </c>
      <c r="B301" s="8">
        <v>100</v>
      </c>
      <c r="C301" s="8">
        <v>182</v>
      </c>
      <c r="D301" s="8">
        <v>136.5</v>
      </c>
      <c r="E301" s="8">
        <v>163.80000000000001</v>
      </c>
    </row>
    <row r="302" spans="1:5" ht="20.100000000000001" customHeight="1" x14ac:dyDescent="0.3">
      <c r="A302" s="4" t="s">
        <v>193</v>
      </c>
      <c r="B302" s="8">
        <v>108</v>
      </c>
      <c r="C302" s="8">
        <v>197</v>
      </c>
      <c r="D302" s="8">
        <v>147.75</v>
      </c>
      <c r="E302" s="8">
        <v>177.3</v>
      </c>
    </row>
    <row r="303" spans="1:5" ht="20.100000000000001" customHeight="1" x14ac:dyDescent="0.3">
      <c r="A303" s="4" t="s">
        <v>194</v>
      </c>
      <c r="B303" s="8">
        <v>117</v>
      </c>
      <c r="C303" s="8">
        <v>213</v>
      </c>
      <c r="D303" s="8">
        <v>160</v>
      </c>
      <c r="E303" s="8">
        <v>191.7</v>
      </c>
    </row>
    <row r="304" spans="1:5" ht="20.100000000000001" customHeight="1" x14ac:dyDescent="0.3">
      <c r="A304" s="4" t="s">
        <v>195</v>
      </c>
      <c r="B304" s="8">
        <v>118</v>
      </c>
      <c r="C304" s="8">
        <v>215</v>
      </c>
      <c r="D304" s="8">
        <v>161.25</v>
      </c>
      <c r="E304" s="8">
        <v>193.5</v>
      </c>
    </row>
    <row r="305" spans="1:5" ht="20.100000000000001" customHeight="1" x14ac:dyDescent="0.3">
      <c r="A305" s="4" t="s">
        <v>45</v>
      </c>
      <c r="B305" s="8">
        <v>134</v>
      </c>
      <c r="C305" s="8">
        <v>244</v>
      </c>
      <c r="D305" s="8">
        <v>183</v>
      </c>
      <c r="E305" s="8">
        <v>219.6</v>
      </c>
    </row>
    <row r="306" spans="1:5" ht="20.100000000000001" customHeight="1" x14ac:dyDescent="0.3">
      <c r="A306" s="4" t="s">
        <v>196</v>
      </c>
      <c r="B306" s="8">
        <v>151.5</v>
      </c>
      <c r="C306" s="8">
        <v>276</v>
      </c>
      <c r="D306" s="8">
        <v>207</v>
      </c>
      <c r="E306" s="8">
        <v>248.4</v>
      </c>
    </row>
    <row r="307" spans="1:5" ht="20.100000000000001" customHeight="1" x14ac:dyDescent="0.3">
      <c r="A307" s="4" t="s">
        <v>197</v>
      </c>
      <c r="B307" s="8">
        <v>152</v>
      </c>
      <c r="C307" s="8">
        <v>277</v>
      </c>
      <c r="D307" s="8">
        <v>207.75</v>
      </c>
      <c r="E307" s="8">
        <v>249.3</v>
      </c>
    </row>
    <row r="308" spans="1:5" ht="20.100000000000001" customHeight="1" x14ac:dyDescent="0.3">
      <c r="A308" s="4" t="s">
        <v>198</v>
      </c>
      <c r="B308" s="8">
        <v>168</v>
      </c>
      <c r="C308" s="8">
        <v>306</v>
      </c>
      <c r="D308" s="8">
        <v>229.5</v>
      </c>
      <c r="E308" s="8">
        <v>275.5</v>
      </c>
    </row>
    <row r="309" spans="1:5" ht="20.100000000000001" customHeight="1" x14ac:dyDescent="0.3">
      <c r="A309" s="4" t="s">
        <v>68</v>
      </c>
      <c r="B309" s="8">
        <v>177</v>
      </c>
      <c r="C309" s="8">
        <v>322.5</v>
      </c>
      <c r="D309" s="8">
        <v>242</v>
      </c>
      <c r="E309" s="8">
        <v>290</v>
      </c>
    </row>
    <row r="310" spans="1:5" ht="20.100000000000001" customHeight="1" x14ac:dyDescent="0.3">
      <c r="A310" s="29" t="s">
        <v>78</v>
      </c>
      <c r="B310" s="30">
        <v>213</v>
      </c>
      <c r="C310" s="30">
        <v>388</v>
      </c>
      <c r="D310" s="30">
        <v>291</v>
      </c>
      <c r="E310" s="30">
        <v>349.2</v>
      </c>
    </row>
    <row r="311" spans="1:5" ht="20.100000000000001" customHeight="1" x14ac:dyDescent="0.3">
      <c r="A311" s="4" t="s">
        <v>199</v>
      </c>
      <c r="B311" s="8">
        <v>250</v>
      </c>
      <c r="C311" s="8">
        <v>455</v>
      </c>
      <c r="D311" s="8">
        <v>341.25</v>
      </c>
      <c r="E311" s="8">
        <v>409.5</v>
      </c>
    </row>
    <row r="312" spans="1:5" ht="20.100000000000001" customHeight="1" x14ac:dyDescent="0.3">
      <c r="A312" s="4" t="s">
        <v>106</v>
      </c>
      <c r="B312" s="8">
        <v>300</v>
      </c>
      <c r="C312" s="8">
        <v>546</v>
      </c>
      <c r="D312" s="8">
        <v>409.5</v>
      </c>
      <c r="E312" s="8">
        <v>491.4</v>
      </c>
    </row>
    <row r="313" spans="1:5" ht="20.100000000000001" customHeight="1" x14ac:dyDescent="0.3">
      <c r="A313" s="4" t="s">
        <v>120</v>
      </c>
      <c r="B313" s="8">
        <v>371</v>
      </c>
      <c r="C313" s="8">
        <v>676</v>
      </c>
      <c r="D313" s="8">
        <v>507</v>
      </c>
      <c r="E313" s="8">
        <v>608.4</v>
      </c>
    </row>
    <row r="314" spans="1:5" ht="20.100000000000001" customHeight="1" x14ac:dyDescent="0.3">
      <c r="A314" s="4" t="s">
        <v>202</v>
      </c>
      <c r="B314" s="8">
        <v>95</v>
      </c>
      <c r="C314" s="8">
        <v>173</v>
      </c>
      <c r="D314" s="8">
        <v>129.75</v>
      </c>
      <c r="E314" s="8">
        <v>155.69999999999999</v>
      </c>
    </row>
    <row r="315" spans="1:5" x14ac:dyDescent="0.3">
      <c r="A315" s="4" t="s">
        <v>203</v>
      </c>
      <c r="B315" s="8">
        <v>105</v>
      </c>
      <c r="C315" s="8">
        <v>192</v>
      </c>
      <c r="D315" s="8">
        <v>144</v>
      </c>
      <c r="E315" s="8">
        <v>172.8</v>
      </c>
    </row>
    <row r="316" spans="1:5" ht="20.100000000000001" customHeight="1" x14ac:dyDescent="0.3">
      <c r="A316" s="4" t="s">
        <v>200</v>
      </c>
      <c r="B316" s="8">
        <v>117</v>
      </c>
      <c r="C316" s="8">
        <v>213</v>
      </c>
      <c r="D316" s="8">
        <v>160</v>
      </c>
      <c r="E316" s="8">
        <v>191.7</v>
      </c>
    </row>
    <row r="317" spans="1:5" ht="20.100000000000001" customHeight="1" x14ac:dyDescent="0.3">
      <c r="A317" s="4" t="s">
        <v>204</v>
      </c>
      <c r="B317" s="8">
        <v>125.5</v>
      </c>
      <c r="C317" s="8">
        <v>229</v>
      </c>
      <c r="D317" s="8">
        <v>171.75</v>
      </c>
      <c r="E317" s="8">
        <v>206.1</v>
      </c>
    </row>
    <row r="318" spans="1:5" ht="20.100000000000001" customHeight="1" x14ac:dyDescent="0.3">
      <c r="A318" s="4" t="s">
        <v>205</v>
      </c>
      <c r="B318" s="8">
        <v>135</v>
      </c>
      <c r="C318" s="8">
        <v>246</v>
      </c>
      <c r="D318" s="8">
        <v>184.5</v>
      </c>
      <c r="E318" s="8">
        <v>221.4</v>
      </c>
    </row>
    <row r="319" spans="1:5" ht="20.100000000000001" customHeight="1" x14ac:dyDescent="0.3">
      <c r="A319" s="4" t="s">
        <v>206</v>
      </c>
      <c r="B319" s="8">
        <v>145</v>
      </c>
      <c r="C319" s="8">
        <v>264</v>
      </c>
      <c r="D319" s="8">
        <v>198</v>
      </c>
      <c r="E319" s="8">
        <v>237.6</v>
      </c>
    </row>
    <row r="320" spans="1:5" ht="20.100000000000001" customHeight="1" x14ac:dyDescent="0.3">
      <c r="A320" s="4" t="s">
        <v>46</v>
      </c>
      <c r="B320" s="8">
        <v>145</v>
      </c>
      <c r="C320" s="8">
        <v>264</v>
      </c>
      <c r="D320" s="8">
        <v>198</v>
      </c>
      <c r="E320" s="8">
        <v>237.6</v>
      </c>
    </row>
    <row r="321" spans="1:5" ht="20.100000000000001" customHeight="1" x14ac:dyDescent="0.3">
      <c r="A321" s="4" t="s">
        <v>209</v>
      </c>
      <c r="B321" s="8">
        <v>165</v>
      </c>
      <c r="C321" s="8">
        <v>300.5</v>
      </c>
      <c r="D321" s="8">
        <v>225.37</v>
      </c>
      <c r="E321" s="8">
        <v>270.45</v>
      </c>
    </row>
    <row r="322" spans="1:5" ht="20.100000000000001" customHeight="1" x14ac:dyDescent="0.3">
      <c r="A322" s="4" t="s">
        <v>207</v>
      </c>
      <c r="B322" s="8">
        <v>167</v>
      </c>
      <c r="C322" s="8">
        <v>304</v>
      </c>
      <c r="D322" s="8">
        <v>228</v>
      </c>
      <c r="E322" s="8">
        <v>273.60000000000002</v>
      </c>
    </row>
    <row r="323" spans="1:5" ht="20.100000000000001" customHeight="1" x14ac:dyDescent="0.3">
      <c r="A323" s="4" t="s">
        <v>208</v>
      </c>
      <c r="B323" s="8">
        <v>182.5</v>
      </c>
      <c r="C323" s="8">
        <v>332.5</v>
      </c>
      <c r="D323" s="8">
        <v>250</v>
      </c>
      <c r="E323" s="8">
        <v>299.25</v>
      </c>
    </row>
    <row r="324" spans="1:5" ht="20.100000000000001" customHeight="1" x14ac:dyDescent="0.3">
      <c r="A324" s="4" t="s">
        <v>69</v>
      </c>
      <c r="B324" s="8">
        <v>192.5</v>
      </c>
      <c r="C324" s="8">
        <v>351</v>
      </c>
      <c r="D324" s="8">
        <v>263.25</v>
      </c>
      <c r="E324" s="8">
        <v>315.89999999999998</v>
      </c>
    </row>
    <row r="325" spans="1:5" ht="20.100000000000001" customHeight="1" x14ac:dyDescent="0.3">
      <c r="A325" s="4" t="s">
        <v>79</v>
      </c>
      <c r="B325" s="8">
        <v>256</v>
      </c>
      <c r="C325" s="8">
        <v>466</v>
      </c>
      <c r="D325" s="8">
        <v>349.5</v>
      </c>
      <c r="E325" s="8">
        <v>419.4</v>
      </c>
    </row>
    <row r="326" spans="1:5" ht="20.100000000000001" customHeight="1" x14ac:dyDescent="0.3">
      <c r="A326" s="4" t="s">
        <v>210</v>
      </c>
      <c r="B326" s="8">
        <v>287</v>
      </c>
      <c r="C326" s="8">
        <v>522.5</v>
      </c>
      <c r="D326" s="8">
        <v>391.87</v>
      </c>
      <c r="E326" s="8">
        <v>470.25</v>
      </c>
    </row>
    <row r="327" spans="1:5" ht="20.100000000000001" customHeight="1" x14ac:dyDescent="0.3">
      <c r="A327" s="4" t="s">
        <v>107</v>
      </c>
      <c r="B327" s="8">
        <v>327</v>
      </c>
      <c r="C327" s="8">
        <v>595.5</v>
      </c>
      <c r="D327" s="8">
        <v>446.62</v>
      </c>
      <c r="E327" s="8">
        <v>535.95000000000005</v>
      </c>
    </row>
    <row r="328" spans="1:5" ht="20.100000000000001" customHeight="1" x14ac:dyDescent="0.3">
      <c r="A328" s="4" t="s">
        <v>121</v>
      </c>
      <c r="B328" s="8">
        <v>407.5</v>
      </c>
      <c r="C328" s="8">
        <v>742</v>
      </c>
      <c r="D328" s="8">
        <v>556.5</v>
      </c>
      <c r="E328" s="8">
        <v>667.8</v>
      </c>
    </row>
    <row r="329" spans="1:5" ht="20.100000000000001" customHeight="1" x14ac:dyDescent="0.3">
      <c r="A329" s="4" t="s">
        <v>225</v>
      </c>
      <c r="B329" s="8">
        <v>100</v>
      </c>
      <c r="C329" s="8">
        <v>182</v>
      </c>
      <c r="D329" s="8">
        <v>136.5</v>
      </c>
      <c r="E329" s="8">
        <v>163.80000000000001</v>
      </c>
    </row>
    <row r="330" spans="1:5" ht="20.100000000000001" customHeight="1" x14ac:dyDescent="0.3">
      <c r="A330" s="4" t="s">
        <v>222</v>
      </c>
      <c r="B330" s="8">
        <v>111</v>
      </c>
      <c r="C330" s="8">
        <v>202.5</v>
      </c>
      <c r="D330" s="8">
        <v>151.5</v>
      </c>
      <c r="E330" s="8">
        <v>182.25</v>
      </c>
    </row>
    <row r="331" spans="1:5" ht="20.100000000000001" customHeight="1" x14ac:dyDescent="0.3">
      <c r="A331" s="4" t="s">
        <v>223</v>
      </c>
      <c r="B331" s="8">
        <v>121.5</v>
      </c>
      <c r="C331" s="8">
        <v>221.5</v>
      </c>
      <c r="D331" s="8">
        <v>166.12</v>
      </c>
      <c r="E331" s="8">
        <v>199.35</v>
      </c>
    </row>
    <row r="332" spans="1:5" ht="20.100000000000001" customHeight="1" x14ac:dyDescent="0.3"/>
    <row r="333" spans="1:5" ht="20.100000000000001" customHeight="1" x14ac:dyDescent="0.35">
      <c r="A333" s="5"/>
      <c r="B333" s="5"/>
    </row>
    <row r="334" spans="1:5" ht="20.100000000000001" customHeight="1" x14ac:dyDescent="0.35">
      <c r="A334" s="5" t="s">
        <v>279</v>
      </c>
      <c r="B334" s="5"/>
    </row>
    <row r="335" spans="1:5" ht="20.100000000000001" customHeight="1" x14ac:dyDescent="0.3">
      <c r="A335" s="27" t="s">
        <v>274</v>
      </c>
      <c r="B335" s="27" t="s">
        <v>4</v>
      </c>
      <c r="C335" s="27" t="s">
        <v>275</v>
      </c>
      <c r="D335" s="27" t="s">
        <v>276</v>
      </c>
      <c r="E335" s="27" t="s">
        <v>277</v>
      </c>
    </row>
    <row r="336" spans="1:5" ht="20.100000000000001" customHeight="1" x14ac:dyDescent="0.3">
      <c r="A336" s="4" t="s">
        <v>224</v>
      </c>
      <c r="B336" s="8">
        <v>132.9</v>
      </c>
      <c r="C336" s="8">
        <v>242</v>
      </c>
      <c r="D336" s="8">
        <v>181.5</v>
      </c>
      <c r="E336" s="8">
        <v>217.8</v>
      </c>
    </row>
    <row r="337" spans="1:5" ht="20.100000000000001" customHeight="1" x14ac:dyDescent="0.3">
      <c r="A337" s="4" t="s">
        <v>226</v>
      </c>
      <c r="B337" s="8">
        <v>143.87</v>
      </c>
      <c r="C337" s="8">
        <v>262</v>
      </c>
      <c r="D337" s="8">
        <v>196.5</v>
      </c>
      <c r="E337" s="8">
        <v>235.8</v>
      </c>
    </row>
    <row r="338" spans="1:5" ht="20.100000000000001" customHeight="1" x14ac:dyDescent="0.3">
      <c r="A338" s="4" t="s">
        <v>227</v>
      </c>
      <c r="B338" s="8">
        <v>144.5</v>
      </c>
      <c r="C338" s="8">
        <v>263</v>
      </c>
      <c r="D338" s="8">
        <v>198</v>
      </c>
      <c r="E338" s="8">
        <v>236.7</v>
      </c>
    </row>
    <row r="339" spans="1:5" ht="20.100000000000001" customHeight="1" x14ac:dyDescent="0.3">
      <c r="A339" s="4" t="s">
        <v>47</v>
      </c>
      <c r="B339" s="8">
        <v>155.5</v>
      </c>
      <c r="C339" s="8">
        <v>283.5</v>
      </c>
      <c r="D339" s="8">
        <v>212.62</v>
      </c>
      <c r="E339" s="8">
        <v>255.15</v>
      </c>
    </row>
    <row r="340" spans="1:5" ht="20.100000000000001" customHeight="1" x14ac:dyDescent="0.3">
      <c r="A340" s="4" t="s">
        <v>228</v>
      </c>
      <c r="B340" s="8">
        <v>177.5</v>
      </c>
      <c r="C340" s="8">
        <v>323.5</v>
      </c>
      <c r="D340" s="8">
        <v>242.62</v>
      </c>
      <c r="E340" s="8">
        <v>291.14999999999998</v>
      </c>
    </row>
    <row r="341" spans="1:5" ht="20.100000000000001" customHeight="1" x14ac:dyDescent="0.3">
      <c r="A341" s="4" t="s">
        <v>230</v>
      </c>
      <c r="B341" s="8">
        <v>179.5</v>
      </c>
      <c r="C341" s="8">
        <v>327</v>
      </c>
      <c r="D341" s="8">
        <v>245.25</v>
      </c>
      <c r="E341" s="8">
        <v>294.3</v>
      </c>
    </row>
    <row r="342" spans="1:5" ht="20.100000000000001" customHeight="1" x14ac:dyDescent="0.3">
      <c r="A342" s="4" t="s">
        <v>231</v>
      </c>
      <c r="B342" s="8">
        <v>196.5</v>
      </c>
      <c r="C342" s="8">
        <v>358</v>
      </c>
      <c r="D342" s="8">
        <v>268.5</v>
      </c>
      <c r="E342" s="8">
        <v>322.2</v>
      </c>
    </row>
    <row r="343" spans="1:5" ht="20.100000000000001" customHeight="1" x14ac:dyDescent="0.3">
      <c r="A343" s="4" t="s">
        <v>70</v>
      </c>
      <c r="B343" s="8">
        <v>207.67</v>
      </c>
      <c r="C343" s="8">
        <v>378</v>
      </c>
      <c r="D343" s="8">
        <v>283.5</v>
      </c>
      <c r="E343" s="8">
        <v>340.2</v>
      </c>
    </row>
    <row r="344" spans="1:5" ht="20.100000000000001" customHeight="1" x14ac:dyDescent="0.3">
      <c r="A344" s="4" t="s">
        <v>80</v>
      </c>
      <c r="B344" s="8">
        <v>275.5</v>
      </c>
      <c r="C344" s="8">
        <v>501.5</v>
      </c>
      <c r="D344" s="8">
        <v>376.12</v>
      </c>
      <c r="E344" s="8">
        <v>451.35</v>
      </c>
    </row>
    <row r="345" spans="1:5" ht="20.100000000000001" customHeight="1" x14ac:dyDescent="0.3">
      <c r="A345" s="4" t="s">
        <v>233</v>
      </c>
      <c r="B345" s="8">
        <v>310.08</v>
      </c>
      <c r="C345" s="8">
        <v>564.34</v>
      </c>
      <c r="D345" s="8">
        <v>423.25</v>
      </c>
      <c r="E345" s="8">
        <v>507.91</v>
      </c>
    </row>
    <row r="346" spans="1:5" ht="20.100000000000001" customHeight="1" x14ac:dyDescent="0.3">
      <c r="A346" s="4" t="s">
        <v>108</v>
      </c>
      <c r="B346" s="8">
        <v>355</v>
      </c>
      <c r="C346" s="8">
        <v>646.5</v>
      </c>
      <c r="D346" s="8">
        <v>484.87</v>
      </c>
      <c r="E346" s="8">
        <v>581.85</v>
      </c>
    </row>
    <row r="347" spans="1:5" ht="20.100000000000001" customHeight="1" x14ac:dyDescent="0.3">
      <c r="A347" s="4" t="s">
        <v>122</v>
      </c>
      <c r="B347" s="8">
        <v>354.78</v>
      </c>
      <c r="C347" s="8">
        <v>646</v>
      </c>
      <c r="D347" s="8">
        <v>484.5</v>
      </c>
      <c r="E347" s="8">
        <v>581.4</v>
      </c>
    </row>
    <row r="348" spans="1:5" ht="20.100000000000001" customHeight="1" x14ac:dyDescent="0.3">
      <c r="A348" s="4" t="s">
        <v>234</v>
      </c>
      <c r="B348" s="8">
        <v>104.65</v>
      </c>
      <c r="C348" s="8">
        <v>190.5</v>
      </c>
      <c r="D348" s="8">
        <v>142.87</v>
      </c>
      <c r="E348" s="8">
        <v>171.45</v>
      </c>
    </row>
    <row r="349" spans="1:5" ht="20.100000000000001" customHeight="1" x14ac:dyDescent="0.3">
      <c r="A349" s="4" t="s">
        <v>235</v>
      </c>
      <c r="B349" s="8">
        <v>116.77</v>
      </c>
      <c r="C349" s="8">
        <v>212.52</v>
      </c>
      <c r="D349" s="8">
        <v>159.38999999999999</v>
      </c>
      <c r="E349" s="8">
        <v>191.27</v>
      </c>
    </row>
    <row r="350" spans="1:5" ht="20.100000000000001" customHeight="1" x14ac:dyDescent="0.3">
      <c r="A350" s="4" t="s">
        <v>236</v>
      </c>
      <c r="B350" s="8">
        <v>129</v>
      </c>
      <c r="C350" s="8">
        <v>235</v>
      </c>
      <c r="D350" s="8">
        <v>176.25</v>
      </c>
      <c r="E350" s="8">
        <v>211.5</v>
      </c>
    </row>
    <row r="351" spans="1:5" ht="20.100000000000001" customHeight="1" x14ac:dyDescent="0.3">
      <c r="A351" s="4" t="s">
        <v>237</v>
      </c>
      <c r="B351" s="8">
        <v>142</v>
      </c>
      <c r="C351" s="8">
        <v>258.8</v>
      </c>
      <c r="D351" s="8">
        <v>193.87</v>
      </c>
      <c r="E351" s="8">
        <v>232.92</v>
      </c>
    </row>
    <row r="352" spans="1:5" ht="20.100000000000001" customHeight="1" x14ac:dyDescent="0.3">
      <c r="A352" s="4" t="s">
        <v>239</v>
      </c>
      <c r="B352" s="8">
        <v>162</v>
      </c>
      <c r="C352" s="8">
        <v>295</v>
      </c>
      <c r="D352" s="8">
        <v>221.25</v>
      </c>
      <c r="E352" s="8">
        <v>265.5</v>
      </c>
    </row>
    <row r="353" spans="1:5" ht="20.100000000000001" customHeight="1" x14ac:dyDescent="0.3">
      <c r="A353" s="4" t="s">
        <v>240</v>
      </c>
      <c r="B353" s="8">
        <v>162</v>
      </c>
      <c r="C353" s="8">
        <v>295</v>
      </c>
      <c r="D353" s="8">
        <v>221.25</v>
      </c>
      <c r="E353" s="8">
        <v>265.5</v>
      </c>
    </row>
    <row r="354" spans="1:5" ht="20.100000000000001" customHeight="1" x14ac:dyDescent="0.3">
      <c r="A354" s="4" t="s">
        <v>48</v>
      </c>
      <c r="B354" s="8">
        <v>174</v>
      </c>
      <c r="C354" s="8">
        <v>317</v>
      </c>
      <c r="D354" s="8">
        <v>237.75</v>
      </c>
      <c r="E354" s="8">
        <v>285.3</v>
      </c>
    </row>
    <row r="355" spans="1:5" ht="20.100000000000001" customHeight="1" x14ac:dyDescent="0.3">
      <c r="A355" s="4" t="s">
        <v>241</v>
      </c>
      <c r="B355" s="8">
        <v>195</v>
      </c>
      <c r="C355" s="8">
        <v>355</v>
      </c>
      <c r="D355" s="8">
        <v>266.25</v>
      </c>
      <c r="E355" s="8">
        <v>319.5</v>
      </c>
    </row>
    <row r="356" spans="1:5" ht="20.100000000000001" customHeight="1" x14ac:dyDescent="0.3">
      <c r="A356" s="4" t="s">
        <v>242</v>
      </c>
      <c r="B356" s="8">
        <v>207</v>
      </c>
      <c r="C356" s="8">
        <v>377</v>
      </c>
      <c r="D356" s="8">
        <v>282.75</v>
      </c>
      <c r="E356" s="8">
        <v>339.3</v>
      </c>
    </row>
    <row r="357" spans="1:5" ht="20.100000000000001" customHeight="1" x14ac:dyDescent="0.3">
      <c r="A357" s="4" t="s">
        <v>243</v>
      </c>
      <c r="B357" s="8">
        <v>226</v>
      </c>
      <c r="C357" s="8">
        <v>412</v>
      </c>
      <c r="D357" s="8">
        <v>309</v>
      </c>
      <c r="E357" s="8">
        <v>370.8</v>
      </c>
    </row>
    <row r="358" spans="1:5" ht="20.100000000000001" customHeight="1" x14ac:dyDescent="0.3">
      <c r="A358" s="4" t="s">
        <v>71</v>
      </c>
      <c r="B358" s="8">
        <v>239</v>
      </c>
      <c r="C358" s="8">
        <v>435</v>
      </c>
      <c r="D358" s="8">
        <v>326.25</v>
      </c>
      <c r="E358" s="8">
        <v>391.5</v>
      </c>
    </row>
    <row r="359" spans="1:5" ht="20.100000000000001" customHeight="1" x14ac:dyDescent="0.3">
      <c r="A359" s="4" t="s">
        <v>81</v>
      </c>
      <c r="B359" s="8">
        <v>296</v>
      </c>
      <c r="C359" s="8">
        <v>539</v>
      </c>
      <c r="D359" s="8">
        <v>404.25</v>
      </c>
      <c r="E359" s="8">
        <v>485.1</v>
      </c>
    </row>
    <row r="360" spans="1:5" ht="20.100000000000001" customHeight="1" x14ac:dyDescent="0.3">
      <c r="A360" s="4" t="s">
        <v>244</v>
      </c>
      <c r="B360" s="8">
        <v>338</v>
      </c>
      <c r="C360" s="8">
        <v>616</v>
      </c>
      <c r="D360" s="8">
        <v>462</v>
      </c>
      <c r="E360" s="8">
        <v>554.4</v>
      </c>
    </row>
    <row r="361" spans="1:5" ht="20.100000000000001" customHeight="1" x14ac:dyDescent="0.3">
      <c r="A361" s="4" t="s">
        <v>109</v>
      </c>
      <c r="B361" s="8">
        <v>387.5</v>
      </c>
      <c r="C361" s="8">
        <v>706</v>
      </c>
      <c r="D361" s="8">
        <v>529.5</v>
      </c>
      <c r="E361" s="8">
        <v>635.4</v>
      </c>
    </row>
    <row r="362" spans="1:5" ht="20.100000000000001" customHeight="1" x14ac:dyDescent="0.3">
      <c r="A362" s="4" t="s">
        <v>123</v>
      </c>
      <c r="B362" s="8">
        <v>487.5</v>
      </c>
      <c r="C362" s="8">
        <v>887.5</v>
      </c>
      <c r="D362" s="8">
        <v>665.62</v>
      </c>
      <c r="E362" s="8">
        <v>798.75</v>
      </c>
    </row>
    <row r="363" spans="1:5" ht="20.100000000000001" customHeight="1" x14ac:dyDescent="0.3">
      <c r="A363" s="4" t="s">
        <v>245</v>
      </c>
      <c r="B363" s="8">
        <v>115.5</v>
      </c>
      <c r="C363" s="8">
        <v>210.5</v>
      </c>
      <c r="D363" s="8">
        <v>157.87</v>
      </c>
      <c r="E363" s="8">
        <v>189.45</v>
      </c>
    </row>
    <row r="364" spans="1:5" x14ac:dyDescent="0.3">
      <c r="A364" s="4" t="s">
        <v>247</v>
      </c>
      <c r="B364" s="8">
        <v>130</v>
      </c>
      <c r="C364" s="8">
        <v>237</v>
      </c>
      <c r="D364" s="8">
        <v>177.75</v>
      </c>
      <c r="E364" s="8">
        <v>213.3</v>
      </c>
    </row>
    <row r="365" spans="1:5" ht="20.100000000000001" customHeight="1" x14ac:dyDescent="0.3">
      <c r="A365" s="4" t="s">
        <v>248</v>
      </c>
      <c r="B365" s="8">
        <v>144.5</v>
      </c>
      <c r="C365" s="8">
        <v>263</v>
      </c>
      <c r="D365" s="8">
        <v>197.25</v>
      </c>
      <c r="E365" s="8">
        <v>236.7</v>
      </c>
    </row>
    <row r="366" spans="1:5" ht="20.100000000000001" customHeight="1" x14ac:dyDescent="0.3">
      <c r="A366" s="4" t="s">
        <v>249</v>
      </c>
      <c r="B366" s="8">
        <v>160</v>
      </c>
      <c r="C366" s="8">
        <v>291.5</v>
      </c>
      <c r="D366" s="8">
        <v>218.62</v>
      </c>
      <c r="E366" s="8">
        <v>262.35000000000002</v>
      </c>
    </row>
    <row r="367" spans="1:5" ht="20.100000000000001" customHeight="1" x14ac:dyDescent="0.3">
      <c r="A367" s="4" t="s">
        <v>250</v>
      </c>
      <c r="B367" s="8">
        <v>182</v>
      </c>
      <c r="C367" s="8">
        <v>331.5</v>
      </c>
      <c r="D367" s="8">
        <v>248.62</v>
      </c>
      <c r="E367" s="8">
        <v>298.35000000000002</v>
      </c>
    </row>
    <row r="368" spans="1:5" ht="20.100000000000001" customHeight="1" x14ac:dyDescent="0.3">
      <c r="A368" s="4" t="s">
        <v>251</v>
      </c>
      <c r="B368" s="8">
        <v>184</v>
      </c>
      <c r="C368" s="8">
        <v>335</v>
      </c>
      <c r="D368" s="8">
        <v>251.25</v>
      </c>
      <c r="E368" s="8">
        <v>301.5</v>
      </c>
    </row>
    <row r="369" spans="1:5" ht="20.100000000000001" customHeight="1" x14ac:dyDescent="0.3">
      <c r="A369" s="4" t="s">
        <v>49</v>
      </c>
      <c r="B369" s="8">
        <v>197</v>
      </c>
      <c r="C369" s="8">
        <v>359</v>
      </c>
      <c r="D369" s="8">
        <v>269.25</v>
      </c>
      <c r="E369" s="8">
        <v>323.10000000000002</v>
      </c>
    </row>
    <row r="370" spans="1:5" ht="20.100000000000001" customHeight="1" x14ac:dyDescent="0.3">
      <c r="A370" s="4" t="s">
        <v>252</v>
      </c>
      <c r="B370" s="8">
        <v>220</v>
      </c>
      <c r="C370" s="8">
        <v>400.4</v>
      </c>
      <c r="D370" s="8">
        <v>300.3</v>
      </c>
      <c r="E370" s="8">
        <v>360.36</v>
      </c>
    </row>
    <row r="371" spans="1:5" ht="20.100000000000001" customHeight="1" x14ac:dyDescent="0.3">
      <c r="A371" s="4" t="s">
        <v>253</v>
      </c>
      <c r="B371" s="8">
        <v>234.52</v>
      </c>
      <c r="C371" s="8">
        <v>427</v>
      </c>
      <c r="D371" s="8">
        <v>320.25</v>
      </c>
      <c r="E371" s="8">
        <v>384.3</v>
      </c>
    </row>
    <row r="372" spans="1:5" ht="20.100000000000001" customHeight="1" x14ac:dyDescent="0.3">
      <c r="A372" s="4" t="s">
        <v>254</v>
      </c>
      <c r="B372" s="8">
        <v>257</v>
      </c>
      <c r="C372" s="8">
        <v>467.74</v>
      </c>
      <c r="D372" s="8">
        <v>350.8</v>
      </c>
      <c r="E372" s="8">
        <v>420.97</v>
      </c>
    </row>
    <row r="373" spans="1:5" ht="20.100000000000001" customHeight="1" x14ac:dyDescent="0.3">
      <c r="A373" s="4" t="s">
        <v>72</v>
      </c>
      <c r="B373" s="8">
        <v>271.5</v>
      </c>
      <c r="C373" s="8">
        <v>494.5</v>
      </c>
      <c r="D373" s="8">
        <v>370.87</v>
      </c>
      <c r="E373" s="8">
        <v>445.05</v>
      </c>
    </row>
    <row r="374" spans="1:5" ht="20.100000000000001" customHeight="1" x14ac:dyDescent="0.3">
      <c r="A374" s="4" t="s">
        <v>82</v>
      </c>
      <c r="B374" s="8">
        <v>338.1</v>
      </c>
      <c r="C374" s="8">
        <v>615.5</v>
      </c>
      <c r="D374" s="8">
        <v>461.62</v>
      </c>
      <c r="E374" s="8">
        <v>553.95000000000005</v>
      </c>
    </row>
    <row r="375" spans="1:5" ht="20.100000000000001" customHeight="1" x14ac:dyDescent="0.3">
      <c r="A375" s="4" t="s">
        <v>255</v>
      </c>
      <c r="B375" s="8">
        <v>384</v>
      </c>
      <c r="C375" s="8">
        <v>698.88</v>
      </c>
      <c r="D375" s="8">
        <v>524.16</v>
      </c>
      <c r="E375" s="8">
        <v>628.99</v>
      </c>
    </row>
    <row r="376" spans="1:5" ht="20.100000000000001" customHeight="1" x14ac:dyDescent="0.3">
      <c r="A376" s="4" t="s">
        <v>110</v>
      </c>
      <c r="B376" s="8">
        <v>443</v>
      </c>
      <c r="C376" s="8">
        <v>806.5</v>
      </c>
      <c r="D376" s="8">
        <v>604.87</v>
      </c>
      <c r="E376" s="8">
        <v>725.85</v>
      </c>
    </row>
    <row r="377" spans="1:5" ht="20.100000000000001" customHeight="1" x14ac:dyDescent="0.3">
      <c r="A377" s="4" t="s">
        <v>124</v>
      </c>
      <c r="B377" s="8">
        <v>561.5</v>
      </c>
      <c r="C377" s="8">
        <v>1021.93</v>
      </c>
      <c r="D377" s="8">
        <v>766.45</v>
      </c>
      <c r="E377" s="8">
        <v>919.74</v>
      </c>
    </row>
    <row r="378" spans="1:5" ht="20.100000000000001" customHeight="1" x14ac:dyDescent="0.3"/>
    <row r="379" spans="1:5" ht="20.100000000000001" customHeight="1" x14ac:dyDescent="0.3"/>
    <row r="380" spans="1:5" ht="20.100000000000001" customHeight="1" x14ac:dyDescent="0.3"/>
    <row r="381" spans="1:5" ht="20.100000000000001" customHeight="1" x14ac:dyDescent="0.35">
      <c r="A381" s="5" t="s">
        <v>280</v>
      </c>
      <c r="B381" s="5"/>
    </row>
    <row r="382" spans="1:5" ht="20.100000000000001" customHeight="1" x14ac:dyDescent="0.3">
      <c r="A382" s="27" t="s">
        <v>274</v>
      </c>
      <c r="B382" s="27" t="s">
        <v>4</v>
      </c>
      <c r="C382" s="27" t="s">
        <v>275</v>
      </c>
      <c r="D382" s="27" t="s">
        <v>276</v>
      </c>
      <c r="E382" s="27" t="s">
        <v>277</v>
      </c>
    </row>
    <row r="383" spans="1:5" ht="20.100000000000001" customHeight="1" x14ac:dyDescent="0.3">
      <c r="A383" s="4" t="s">
        <v>138</v>
      </c>
      <c r="B383" s="8">
        <v>48.5</v>
      </c>
      <c r="C383" s="8">
        <v>88.82</v>
      </c>
      <c r="D383" s="8">
        <v>66.61</v>
      </c>
      <c r="E383" s="8">
        <v>79.94</v>
      </c>
    </row>
    <row r="384" spans="1:5" ht="20.100000000000001" customHeight="1" x14ac:dyDescent="0.3">
      <c r="A384" s="4" t="s">
        <v>136</v>
      </c>
      <c r="B384" s="8">
        <v>51.5</v>
      </c>
      <c r="C384" s="8">
        <v>93.73</v>
      </c>
      <c r="D384" s="8">
        <v>70.3</v>
      </c>
      <c r="E384" s="8">
        <v>87.96</v>
      </c>
    </row>
    <row r="385" spans="1:5" ht="20.100000000000001" customHeight="1" x14ac:dyDescent="0.3">
      <c r="A385" s="4" t="s">
        <v>139</v>
      </c>
      <c r="B385" s="8">
        <v>54.5</v>
      </c>
      <c r="C385" s="8">
        <v>99.19</v>
      </c>
      <c r="D385" s="8">
        <v>74.39</v>
      </c>
      <c r="E385" s="8">
        <v>89.27</v>
      </c>
    </row>
    <row r="386" spans="1:5" ht="20.100000000000001" customHeight="1" x14ac:dyDescent="0.3">
      <c r="A386" s="4" t="s">
        <v>140</v>
      </c>
      <c r="B386" s="8">
        <v>58</v>
      </c>
      <c r="C386" s="8">
        <v>106</v>
      </c>
      <c r="D386" s="8">
        <v>79.5</v>
      </c>
      <c r="E386" s="8">
        <v>95.4</v>
      </c>
    </row>
    <row r="387" spans="1:5" ht="20.100000000000001" customHeight="1" x14ac:dyDescent="0.3">
      <c r="A387" s="4" t="s">
        <v>141</v>
      </c>
      <c r="B387" s="8">
        <v>61</v>
      </c>
      <c r="C387" s="8">
        <v>112</v>
      </c>
      <c r="D387" s="8">
        <v>84</v>
      </c>
      <c r="E387" s="8">
        <v>100.8</v>
      </c>
    </row>
    <row r="388" spans="1:5" ht="20.100000000000001" customHeight="1" x14ac:dyDescent="0.3">
      <c r="A388" s="4" t="s">
        <v>142</v>
      </c>
      <c r="B388" s="8">
        <v>62</v>
      </c>
      <c r="C388" s="8">
        <v>113</v>
      </c>
      <c r="D388" s="8">
        <v>84.75</v>
      </c>
      <c r="E388" s="8">
        <v>101.7</v>
      </c>
    </row>
    <row r="389" spans="1:5" ht="20.100000000000001" customHeight="1" x14ac:dyDescent="0.3">
      <c r="A389" s="4" t="s">
        <v>31</v>
      </c>
      <c r="B389" s="8">
        <v>72</v>
      </c>
      <c r="C389" s="8">
        <v>131.04</v>
      </c>
      <c r="D389" s="8">
        <v>98.28</v>
      </c>
      <c r="E389" s="8">
        <v>117.94</v>
      </c>
    </row>
    <row r="390" spans="1:5" ht="20.100000000000001" customHeight="1" x14ac:dyDescent="0.3">
      <c r="A390" s="4" t="s">
        <v>144</v>
      </c>
      <c r="B390" s="8">
        <v>75.5</v>
      </c>
      <c r="C390" s="8">
        <v>137.41</v>
      </c>
      <c r="D390" s="8">
        <v>103.06</v>
      </c>
      <c r="E390" s="8">
        <v>123.67</v>
      </c>
    </row>
    <row r="391" spans="1:5" ht="20.100000000000001" customHeight="1" x14ac:dyDescent="0.3">
      <c r="A391" s="4" t="s">
        <v>145</v>
      </c>
      <c r="B391" s="8">
        <v>78.5</v>
      </c>
      <c r="C391" s="8">
        <v>142.87</v>
      </c>
      <c r="D391" s="8">
        <v>107.15</v>
      </c>
      <c r="E391" s="8">
        <v>128.58000000000001</v>
      </c>
    </row>
    <row r="392" spans="1:5" ht="20.100000000000001" customHeight="1" x14ac:dyDescent="0.3">
      <c r="A392" s="4" t="s">
        <v>146</v>
      </c>
      <c r="B392" s="8">
        <v>81.5</v>
      </c>
      <c r="C392" s="8">
        <v>148.33000000000001</v>
      </c>
      <c r="D392" s="8">
        <v>111.25</v>
      </c>
      <c r="E392" s="8">
        <v>133.5</v>
      </c>
    </row>
    <row r="393" spans="1:5" ht="20.100000000000001" customHeight="1" x14ac:dyDescent="0.3">
      <c r="A393" s="4" t="s">
        <v>62</v>
      </c>
      <c r="B393" s="8">
        <v>84.5</v>
      </c>
      <c r="C393" s="8">
        <v>153.79</v>
      </c>
      <c r="D393" s="8">
        <v>115.34</v>
      </c>
      <c r="E393" s="8">
        <v>138.41</v>
      </c>
    </row>
    <row r="394" spans="1:5" ht="20.100000000000001" customHeight="1" x14ac:dyDescent="0.3">
      <c r="A394" s="4" t="s">
        <v>73</v>
      </c>
      <c r="B394" s="8">
        <v>97.5</v>
      </c>
      <c r="C394" s="8">
        <v>177.45</v>
      </c>
      <c r="D394" s="8">
        <v>133.09</v>
      </c>
      <c r="E394" s="8">
        <v>159.69999999999999</v>
      </c>
    </row>
    <row r="395" spans="1:5" ht="20.100000000000001" customHeight="1" x14ac:dyDescent="0.3">
      <c r="A395" s="4" t="s">
        <v>148</v>
      </c>
      <c r="B395" s="8">
        <v>64.599999999999994</v>
      </c>
      <c r="C395" s="8">
        <v>117.57</v>
      </c>
      <c r="D395" s="8">
        <v>88.18</v>
      </c>
      <c r="E395" s="8">
        <v>105.81</v>
      </c>
    </row>
    <row r="396" spans="1:5" ht="20.100000000000001" customHeight="1" x14ac:dyDescent="0.3">
      <c r="A396" s="4" t="s">
        <v>147</v>
      </c>
      <c r="B396" s="8">
        <v>58</v>
      </c>
      <c r="C396" s="8">
        <v>105.56</v>
      </c>
      <c r="D396" s="8">
        <v>79.17</v>
      </c>
      <c r="E396" s="8">
        <v>95</v>
      </c>
    </row>
    <row r="397" spans="1:5" ht="20.100000000000001" customHeight="1" x14ac:dyDescent="0.3">
      <c r="A397" s="4" t="s">
        <v>149</v>
      </c>
      <c r="B397" s="8">
        <v>62.5</v>
      </c>
      <c r="C397" s="8">
        <v>113.75</v>
      </c>
      <c r="D397" s="8">
        <v>85.31</v>
      </c>
      <c r="E397" s="8">
        <v>102.37</v>
      </c>
    </row>
    <row r="398" spans="1:5" ht="20.100000000000001" customHeight="1" x14ac:dyDescent="0.3">
      <c r="A398" s="4" t="s">
        <v>150</v>
      </c>
      <c r="B398" s="8">
        <v>67</v>
      </c>
      <c r="C398" s="8">
        <v>121.94</v>
      </c>
      <c r="D398" s="8">
        <v>91.45</v>
      </c>
      <c r="E398" s="8">
        <v>109.75</v>
      </c>
    </row>
    <row r="399" spans="1:5" x14ac:dyDescent="0.3">
      <c r="A399" s="4" t="s">
        <v>151</v>
      </c>
      <c r="B399" s="8">
        <v>71</v>
      </c>
      <c r="C399" s="8">
        <v>129.22</v>
      </c>
      <c r="D399" s="8">
        <v>96.91</v>
      </c>
      <c r="E399" s="8">
        <v>116.3</v>
      </c>
    </row>
    <row r="400" spans="1:5" ht="20.100000000000001" customHeight="1" x14ac:dyDescent="0.3">
      <c r="A400" s="4" t="s">
        <v>152</v>
      </c>
      <c r="B400" s="8">
        <v>71.5</v>
      </c>
      <c r="C400" s="8">
        <v>130.13</v>
      </c>
      <c r="D400" s="8">
        <v>97.6</v>
      </c>
      <c r="E400" s="8">
        <v>117.12</v>
      </c>
    </row>
    <row r="401" spans="1:5" ht="20.100000000000001" customHeight="1" x14ac:dyDescent="0.3">
      <c r="A401" s="4" t="s">
        <v>38</v>
      </c>
      <c r="B401" s="8">
        <v>75.5</v>
      </c>
      <c r="C401" s="8">
        <v>137.41</v>
      </c>
      <c r="D401" s="8">
        <v>103.06</v>
      </c>
      <c r="E401" s="8">
        <v>123.67</v>
      </c>
    </row>
    <row r="402" spans="1:5" ht="20.100000000000001" customHeight="1" x14ac:dyDescent="0.3">
      <c r="A402" s="4" t="s">
        <v>153</v>
      </c>
      <c r="B402" s="8">
        <v>81</v>
      </c>
      <c r="C402" s="8">
        <v>147.41999999999999</v>
      </c>
      <c r="D402" s="8">
        <v>110.56</v>
      </c>
      <c r="E402" s="8">
        <v>132.68</v>
      </c>
    </row>
    <row r="403" spans="1:5" ht="20.100000000000001" customHeight="1" x14ac:dyDescent="0.3">
      <c r="A403" s="4" t="s">
        <v>154</v>
      </c>
      <c r="B403" s="8">
        <v>85</v>
      </c>
      <c r="C403" s="8">
        <v>155</v>
      </c>
      <c r="D403" s="8">
        <v>116.25</v>
      </c>
      <c r="E403" s="8">
        <v>139.5</v>
      </c>
    </row>
    <row r="404" spans="1:5" ht="20.100000000000001" customHeight="1" x14ac:dyDescent="0.3">
      <c r="A404" s="4" t="s">
        <v>155</v>
      </c>
      <c r="B404" s="8">
        <v>88.5</v>
      </c>
      <c r="C404" s="8">
        <v>162</v>
      </c>
      <c r="D404" s="8">
        <v>121.5</v>
      </c>
      <c r="E404" s="8">
        <v>145.80000000000001</v>
      </c>
    </row>
    <row r="405" spans="1:5" ht="20.100000000000001" customHeight="1" x14ac:dyDescent="0.3">
      <c r="A405" s="4" t="s">
        <v>64</v>
      </c>
      <c r="B405" s="8">
        <v>92</v>
      </c>
      <c r="C405" s="8">
        <v>168</v>
      </c>
      <c r="D405" s="8">
        <v>126</v>
      </c>
      <c r="E405" s="8">
        <v>151.19999999999999</v>
      </c>
    </row>
    <row r="406" spans="1:5" ht="20.100000000000001" customHeight="1" x14ac:dyDescent="0.3">
      <c r="A406" s="4" t="s">
        <v>74</v>
      </c>
      <c r="B406" s="8">
        <v>118</v>
      </c>
      <c r="C406" s="8">
        <v>215</v>
      </c>
      <c r="D406" s="8">
        <v>161.25</v>
      </c>
      <c r="E406" s="8">
        <v>193.5</v>
      </c>
    </row>
    <row r="407" spans="1:5" ht="20.100000000000001" customHeight="1" x14ac:dyDescent="0.3">
      <c r="A407" s="4" t="s">
        <v>156</v>
      </c>
      <c r="B407" s="8">
        <v>132</v>
      </c>
      <c r="C407" s="8">
        <v>240.5</v>
      </c>
      <c r="D407" s="8">
        <v>180.37</v>
      </c>
      <c r="E407" s="8">
        <v>216.45</v>
      </c>
    </row>
    <row r="408" spans="1:5" ht="20.100000000000001" customHeight="1" x14ac:dyDescent="0.3">
      <c r="A408" s="4" t="s">
        <v>102</v>
      </c>
      <c r="B408" s="8">
        <v>146</v>
      </c>
      <c r="C408" s="8">
        <v>266</v>
      </c>
      <c r="D408" s="8">
        <v>199.5</v>
      </c>
      <c r="E408" s="8">
        <v>239.4</v>
      </c>
    </row>
    <row r="409" spans="1:5" ht="20.100000000000001" customHeight="1" x14ac:dyDescent="0.3">
      <c r="A409" s="4" t="s">
        <v>158</v>
      </c>
      <c r="B409" s="8">
        <v>60</v>
      </c>
      <c r="C409" s="8">
        <v>110</v>
      </c>
      <c r="D409" s="8">
        <v>82.5</v>
      </c>
      <c r="E409" s="8">
        <v>99</v>
      </c>
    </row>
    <row r="410" spans="1:5" ht="20.100000000000001" customHeight="1" x14ac:dyDescent="0.3">
      <c r="A410" s="4" t="s">
        <v>157</v>
      </c>
      <c r="B410" s="8">
        <v>64</v>
      </c>
      <c r="C410" s="8">
        <v>117</v>
      </c>
      <c r="D410" s="8">
        <v>87.75</v>
      </c>
      <c r="E410" s="8">
        <v>105.3</v>
      </c>
    </row>
    <row r="411" spans="1:5" ht="20.100000000000001" customHeight="1" x14ac:dyDescent="0.3">
      <c r="A411" s="4" t="s">
        <v>159</v>
      </c>
      <c r="B411" s="8">
        <v>70</v>
      </c>
      <c r="C411" s="8">
        <v>127.5</v>
      </c>
      <c r="D411" s="8">
        <v>95.62</v>
      </c>
      <c r="E411" s="8">
        <v>114.75</v>
      </c>
    </row>
    <row r="412" spans="1:5" ht="20.100000000000001" customHeight="1" x14ac:dyDescent="0.3">
      <c r="A412" s="4" t="s">
        <v>160</v>
      </c>
      <c r="B412" s="8">
        <v>76</v>
      </c>
      <c r="C412" s="8">
        <v>138.32</v>
      </c>
      <c r="D412" s="8">
        <v>103.74</v>
      </c>
      <c r="E412" s="8">
        <v>124.49</v>
      </c>
    </row>
    <row r="413" spans="1:5" ht="20.100000000000001" customHeight="1" x14ac:dyDescent="0.3">
      <c r="A413" s="4" t="s">
        <v>161</v>
      </c>
      <c r="B413" s="8">
        <v>81</v>
      </c>
      <c r="C413" s="8">
        <v>147.41999999999999</v>
      </c>
      <c r="D413" s="8">
        <v>110.56</v>
      </c>
      <c r="E413" s="8">
        <v>132.68</v>
      </c>
    </row>
    <row r="414" spans="1:5" ht="20.100000000000001" customHeight="1" x14ac:dyDescent="0.3">
      <c r="A414" s="4" t="s">
        <v>162</v>
      </c>
      <c r="B414" s="8">
        <v>83</v>
      </c>
      <c r="C414" s="8">
        <v>151.5</v>
      </c>
      <c r="D414" s="8">
        <v>113.62</v>
      </c>
      <c r="E414" s="8">
        <v>136.35</v>
      </c>
    </row>
    <row r="415" spans="1:5" ht="20.100000000000001" customHeight="1" x14ac:dyDescent="0.3">
      <c r="A415" s="4" t="s">
        <v>40</v>
      </c>
      <c r="B415" s="8">
        <v>87</v>
      </c>
      <c r="C415" s="8">
        <v>158.5</v>
      </c>
      <c r="D415" s="8">
        <v>118.87</v>
      </c>
      <c r="E415" s="8">
        <v>142.65</v>
      </c>
    </row>
    <row r="416" spans="1:5" ht="20.100000000000001" customHeight="1" x14ac:dyDescent="0.35">
      <c r="A416" s="5" t="s">
        <v>280</v>
      </c>
      <c r="B416" s="5"/>
    </row>
    <row r="417" spans="1:5" ht="20.100000000000001" customHeight="1" x14ac:dyDescent="0.3">
      <c r="A417" s="27" t="s">
        <v>274</v>
      </c>
      <c r="B417" s="27" t="s">
        <v>4</v>
      </c>
      <c r="C417" s="27" t="s">
        <v>275</v>
      </c>
      <c r="D417" s="27" t="s">
        <v>276</v>
      </c>
      <c r="E417" s="27" t="s">
        <v>277</v>
      </c>
    </row>
    <row r="418" spans="1:5" ht="20.100000000000001" customHeight="1" x14ac:dyDescent="0.3">
      <c r="A418" s="4" t="s">
        <v>163</v>
      </c>
      <c r="B418" s="8">
        <v>93</v>
      </c>
      <c r="C418" s="8">
        <v>170</v>
      </c>
      <c r="D418" s="8">
        <v>127.5</v>
      </c>
      <c r="E418" s="8">
        <v>153</v>
      </c>
    </row>
    <row r="419" spans="1:5" ht="20.100000000000001" customHeight="1" x14ac:dyDescent="0.3">
      <c r="A419" s="4" t="s">
        <v>164</v>
      </c>
      <c r="B419" s="8">
        <v>98.5</v>
      </c>
      <c r="C419" s="8">
        <v>179.5</v>
      </c>
      <c r="D419" s="8">
        <v>134.62</v>
      </c>
      <c r="E419" s="8">
        <v>161.55000000000001</v>
      </c>
    </row>
    <row r="420" spans="1:5" ht="20.100000000000001" customHeight="1" x14ac:dyDescent="0.3">
      <c r="A420" s="4" t="s">
        <v>165</v>
      </c>
      <c r="B420" s="8">
        <v>103.5</v>
      </c>
      <c r="C420" s="8">
        <v>188.5</v>
      </c>
      <c r="D420" s="8">
        <v>141.37</v>
      </c>
      <c r="E420" s="8">
        <v>169.65</v>
      </c>
    </row>
    <row r="421" spans="1:5" ht="20.100000000000001" customHeight="1" x14ac:dyDescent="0.3">
      <c r="A421" s="4" t="s">
        <v>65</v>
      </c>
      <c r="B421" s="8">
        <v>117</v>
      </c>
      <c r="C421" s="8">
        <v>213</v>
      </c>
      <c r="D421" s="8">
        <v>160</v>
      </c>
      <c r="E421" s="8">
        <v>192</v>
      </c>
    </row>
    <row r="422" spans="1:5" ht="20.100000000000001" customHeight="1" x14ac:dyDescent="0.3">
      <c r="A422" s="4" t="s">
        <v>75</v>
      </c>
      <c r="B422" s="8">
        <v>140.5</v>
      </c>
      <c r="C422" s="8">
        <v>256</v>
      </c>
      <c r="D422" s="8">
        <v>192</v>
      </c>
      <c r="E422" s="8">
        <v>230.5</v>
      </c>
    </row>
    <row r="423" spans="1:5" ht="20.100000000000001" customHeight="1" x14ac:dyDescent="0.3">
      <c r="A423" s="4" t="s">
        <v>166</v>
      </c>
      <c r="B423" s="8">
        <v>156.5</v>
      </c>
      <c r="C423" s="8">
        <v>285</v>
      </c>
      <c r="D423" s="8">
        <v>214</v>
      </c>
      <c r="E423" s="8">
        <v>256.5</v>
      </c>
    </row>
    <row r="424" spans="1:5" ht="20.100000000000001" customHeight="1" x14ac:dyDescent="0.3">
      <c r="A424" s="4" t="s">
        <v>103</v>
      </c>
      <c r="B424" s="8">
        <v>178.5</v>
      </c>
      <c r="C424" s="8">
        <v>325</v>
      </c>
      <c r="D424" s="8">
        <v>243.75</v>
      </c>
      <c r="E424" s="8">
        <v>292.5</v>
      </c>
    </row>
    <row r="425" spans="1:5" ht="20.100000000000001" customHeight="1" x14ac:dyDescent="0.3">
      <c r="A425" s="4" t="s">
        <v>116</v>
      </c>
      <c r="B425" s="8">
        <v>260</v>
      </c>
      <c r="C425" s="8">
        <v>473.5</v>
      </c>
      <c r="D425" s="8">
        <v>355.12</v>
      </c>
      <c r="E425" s="8">
        <v>426.15</v>
      </c>
    </row>
    <row r="426" spans="1:5" ht="20.100000000000001" customHeight="1" x14ac:dyDescent="0.3">
      <c r="A426" s="4" t="s">
        <v>169</v>
      </c>
      <c r="B426" s="8">
        <v>64.5</v>
      </c>
      <c r="C426" s="8">
        <v>117.5</v>
      </c>
      <c r="D426" s="8">
        <v>88.12</v>
      </c>
      <c r="E426" s="8">
        <v>105.75</v>
      </c>
    </row>
    <row r="427" spans="1:5" ht="20.100000000000001" customHeight="1" x14ac:dyDescent="0.3">
      <c r="A427" s="4" t="s">
        <v>170</v>
      </c>
      <c r="B427" s="8">
        <v>71</v>
      </c>
      <c r="C427" s="8">
        <v>129.5</v>
      </c>
      <c r="D427" s="8">
        <v>97.12</v>
      </c>
      <c r="E427" s="8">
        <v>116.55</v>
      </c>
    </row>
    <row r="428" spans="1:5" ht="20.100000000000001" customHeight="1" x14ac:dyDescent="0.3">
      <c r="A428" s="4" t="s">
        <v>211</v>
      </c>
      <c r="B428" s="8">
        <v>77.5</v>
      </c>
      <c r="C428" s="8">
        <v>141.5</v>
      </c>
      <c r="D428" s="8">
        <v>106.12</v>
      </c>
      <c r="E428" s="8">
        <v>127.35</v>
      </c>
    </row>
    <row r="429" spans="1:5" ht="20.100000000000001" customHeight="1" x14ac:dyDescent="0.3">
      <c r="A429" s="4" t="s">
        <v>172</v>
      </c>
      <c r="B429" s="8">
        <v>84.5</v>
      </c>
      <c r="C429" s="8">
        <v>154</v>
      </c>
      <c r="D429" s="8">
        <v>115.5</v>
      </c>
      <c r="E429" s="8">
        <v>138.6</v>
      </c>
    </row>
    <row r="430" spans="1:5" ht="20.100000000000001" customHeight="1" x14ac:dyDescent="0.3">
      <c r="A430" s="4" t="s">
        <v>173</v>
      </c>
      <c r="B430" s="8">
        <v>91</v>
      </c>
      <c r="C430" s="8">
        <v>166</v>
      </c>
      <c r="D430" s="8">
        <v>124.5</v>
      </c>
      <c r="E430" s="8">
        <v>149.4</v>
      </c>
    </row>
    <row r="431" spans="1:5" ht="20.100000000000001" customHeight="1" x14ac:dyDescent="0.3">
      <c r="A431" s="4" t="s">
        <v>174</v>
      </c>
      <c r="B431" s="8">
        <v>98</v>
      </c>
      <c r="C431" s="8">
        <v>178.5</v>
      </c>
      <c r="D431" s="8">
        <v>133.87</v>
      </c>
      <c r="E431" s="8">
        <v>160.65</v>
      </c>
    </row>
    <row r="432" spans="1:5" ht="20.100000000000001" customHeight="1" x14ac:dyDescent="0.3">
      <c r="A432" s="4" t="s">
        <v>41</v>
      </c>
      <c r="B432" s="8">
        <v>107</v>
      </c>
      <c r="C432" s="8">
        <v>195</v>
      </c>
      <c r="D432" s="8">
        <v>146.25</v>
      </c>
      <c r="E432" s="8">
        <v>175.5</v>
      </c>
    </row>
    <row r="433" spans="1:5" ht="20.100000000000001" customHeight="1" x14ac:dyDescent="0.3">
      <c r="A433" s="4" t="s">
        <v>175</v>
      </c>
      <c r="B433" s="8">
        <v>113</v>
      </c>
      <c r="C433" s="8">
        <v>206</v>
      </c>
      <c r="D433" s="8">
        <v>154.5</v>
      </c>
      <c r="E433" s="8">
        <v>185.4</v>
      </c>
    </row>
    <row r="434" spans="1:5" ht="20.100000000000001" customHeight="1" x14ac:dyDescent="0.3">
      <c r="A434" s="4" t="s">
        <v>176</v>
      </c>
      <c r="B434" s="8">
        <v>120</v>
      </c>
      <c r="C434" s="8">
        <v>218.5</v>
      </c>
      <c r="D434" s="8">
        <v>163.87</v>
      </c>
      <c r="E434" s="8">
        <v>196.65</v>
      </c>
    </row>
    <row r="435" spans="1:5" ht="20.100000000000001" customHeight="1" x14ac:dyDescent="0.3">
      <c r="A435" s="4" t="s">
        <v>177</v>
      </c>
      <c r="B435" s="8">
        <v>126</v>
      </c>
      <c r="C435" s="8">
        <v>229.5</v>
      </c>
      <c r="D435" s="8">
        <v>172.12</v>
      </c>
      <c r="E435" s="8">
        <v>206.55</v>
      </c>
    </row>
    <row r="436" spans="1:5" ht="20.100000000000001" customHeight="1" x14ac:dyDescent="0.3">
      <c r="A436" s="4" t="s">
        <v>66</v>
      </c>
      <c r="B436" s="8">
        <v>133</v>
      </c>
      <c r="C436" s="8">
        <v>242.5</v>
      </c>
      <c r="D436" s="8">
        <v>181.87</v>
      </c>
      <c r="E436" s="8">
        <v>218.25</v>
      </c>
    </row>
    <row r="437" spans="1:5" ht="20.100000000000001" customHeight="1" x14ac:dyDescent="0.3">
      <c r="A437" s="4" t="s">
        <v>76</v>
      </c>
      <c r="B437" s="8">
        <v>160</v>
      </c>
      <c r="C437" s="8">
        <v>291.2</v>
      </c>
      <c r="D437" s="8">
        <v>218.4</v>
      </c>
      <c r="E437" s="8">
        <v>262.08</v>
      </c>
    </row>
    <row r="438" spans="1:5" ht="20.100000000000001" customHeight="1" x14ac:dyDescent="0.3">
      <c r="A438" s="4" t="s">
        <v>179</v>
      </c>
      <c r="B438" s="8">
        <v>188.5</v>
      </c>
      <c r="C438" s="8">
        <v>343.5</v>
      </c>
      <c r="D438" s="8">
        <v>257.62</v>
      </c>
      <c r="E438" s="8">
        <v>309.14999999999998</v>
      </c>
    </row>
    <row r="439" spans="1:5" ht="20.100000000000001" customHeight="1" x14ac:dyDescent="0.3">
      <c r="A439" s="4" t="s">
        <v>104</v>
      </c>
      <c r="B439" s="8">
        <v>215.5</v>
      </c>
      <c r="C439" s="8">
        <v>392.5</v>
      </c>
      <c r="D439" s="8">
        <v>294.37</v>
      </c>
      <c r="E439" s="8">
        <v>353.25</v>
      </c>
    </row>
    <row r="440" spans="1:5" x14ac:dyDescent="0.3">
      <c r="A440" s="4" t="s">
        <v>118</v>
      </c>
      <c r="B440" s="8">
        <v>270</v>
      </c>
      <c r="C440" s="8">
        <v>491.5</v>
      </c>
      <c r="D440" s="8">
        <v>368.62</v>
      </c>
      <c r="E440" s="8">
        <v>442.35</v>
      </c>
    </row>
    <row r="441" spans="1:5" ht="20.100000000000001" customHeight="1" x14ac:dyDescent="0.3">
      <c r="A441" s="4" t="s">
        <v>181</v>
      </c>
      <c r="B441" s="8">
        <v>70</v>
      </c>
      <c r="C441" s="8">
        <v>127.5</v>
      </c>
      <c r="D441" s="8">
        <v>95.62</v>
      </c>
      <c r="E441" s="8">
        <v>114.75</v>
      </c>
    </row>
    <row r="442" spans="1:5" ht="20.100000000000001" customHeight="1" x14ac:dyDescent="0.3">
      <c r="A442" s="4" t="s">
        <v>182</v>
      </c>
      <c r="B442" s="8">
        <v>78</v>
      </c>
      <c r="C442" s="8">
        <v>142</v>
      </c>
      <c r="D442" s="8">
        <v>106.5</v>
      </c>
      <c r="E442" s="8">
        <v>127.8</v>
      </c>
    </row>
    <row r="443" spans="1:5" ht="20.100000000000001" customHeight="1" x14ac:dyDescent="0.3">
      <c r="A443" s="4" t="s">
        <v>180</v>
      </c>
      <c r="B443" s="8">
        <v>91.5</v>
      </c>
      <c r="C443" s="8">
        <v>167</v>
      </c>
      <c r="D443" s="8">
        <v>125.25</v>
      </c>
      <c r="E443" s="8">
        <v>150.30000000000001</v>
      </c>
    </row>
    <row r="444" spans="1:5" ht="20.100000000000001" customHeight="1" x14ac:dyDescent="0.3">
      <c r="A444" s="4" t="s">
        <v>183</v>
      </c>
      <c r="B444" s="8">
        <v>101.5</v>
      </c>
      <c r="C444" s="8">
        <v>185</v>
      </c>
      <c r="D444" s="8">
        <v>138.75</v>
      </c>
      <c r="E444" s="8">
        <v>166.5</v>
      </c>
    </row>
    <row r="445" spans="1:5" ht="20.100000000000001" customHeight="1" x14ac:dyDescent="0.3">
      <c r="A445" s="4" t="s">
        <v>184</v>
      </c>
      <c r="B445" s="8">
        <v>109</v>
      </c>
      <c r="C445" s="8">
        <v>198.38</v>
      </c>
      <c r="D445" s="8">
        <v>148.78</v>
      </c>
      <c r="E445" s="8">
        <v>178.54</v>
      </c>
    </row>
    <row r="446" spans="1:5" ht="20.100000000000001" customHeight="1" x14ac:dyDescent="0.3">
      <c r="A446" s="4" t="s">
        <v>185</v>
      </c>
      <c r="B446" s="8">
        <v>109.5</v>
      </c>
      <c r="C446" s="8">
        <v>199.5</v>
      </c>
      <c r="D446" s="8">
        <v>149.62</v>
      </c>
      <c r="E446" s="8">
        <v>179.55</v>
      </c>
    </row>
    <row r="447" spans="1:5" ht="20.100000000000001" customHeight="1" x14ac:dyDescent="0.3">
      <c r="A447" s="4" t="s">
        <v>44</v>
      </c>
      <c r="B447" s="8">
        <v>118.5</v>
      </c>
      <c r="C447" s="8">
        <v>216</v>
      </c>
      <c r="D447" s="8">
        <v>162</v>
      </c>
      <c r="E447" s="8">
        <v>194.4</v>
      </c>
    </row>
    <row r="448" spans="1:5" ht="20.100000000000001" customHeight="1" x14ac:dyDescent="0.3">
      <c r="A448" s="4" t="s">
        <v>186</v>
      </c>
      <c r="B448" s="8">
        <v>136</v>
      </c>
      <c r="C448" s="8">
        <v>248</v>
      </c>
      <c r="D448" s="8">
        <v>186</v>
      </c>
      <c r="E448" s="8">
        <v>223.2</v>
      </c>
    </row>
    <row r="449" spans="1:5" ht="20.100000000000001" customHeight="1" x14ac:dyDescent="0.3">
      <c r="A449" s="4" t="s">
        <v>187</v>
      </c>
      <c r="B449" s="8">
        <v>141</v>
      </c>
      <c r="C449" s="8">
        <v>257</v>
      </c>
      <c r="D449" s="8">
        <v>192.75</v>
      </c>
      <c r="E449" s="8">
        <v>231.3</v>
      </c>
    </row>
    <row r="450" spans="1:5" ht="20.100000000000001" customHeight="1" x14ac:dyDescent="0.3">
      <c r="A450" s="4" t="s">
        <v>188</v>
      </c>
      <c r="B450" s="8">
        <v>149</v>
      </c>
      <c r="C450" s="8">
        <v>271.5</v>
      </c>
      <c r="D450" s="8">
        <v>203.62</v>
      </c>
      <c r="E450" s="8">
        <v>244.35</v>
      </c>
    </row>
    <row r="451" spans="1:5" ht="20.100000000000001" customHeight="1" x14ac:dyDescent="0.3">
      <c r="A451" s="4" t="s">
        <v>67</v>
      </c>
      <c r="B451" s="8">
        <v>156.5</v>
      </c>
      <c r="C451" s="8">
        <v>285</v>
      </c>
      <c r="D451" s="8">
        <v>213.75</v>
      </c>
      <c r="E451" s="8">
        <v>256.5</v>
      </c>
    </row>
    <row r="452" spans="1:5" ht="20.100000000000001" customHeight="1" x14ac:dyDescent="0.3">
      <c r="A452" s="4" t="s">
        <v>77</v>
      </c>
      <c r="B452" s="8">
        <v>191.5</v>
      </c>
      <c r="C452" s="8">
        <v>348.53</v>
      </c>
      <c r="D452" s="8">
        <v>261.39999999999998</v>
      </c>
      <c r="E452" s="8">
        <v>313.68</v>
      </c>
    </row>
    <row r="453" spans="1:5" ht="20.100000000000001" customHeight="1" x14ac:dyDescent="0.3">
      <c r="A453" s="4" t="s">
        <v>189</v>
      </c>
      <c r="B453" s="8">
        <v>217</v>
      </c>
      <c r="C453" s="8">
        <v>395</v>
      </c>
      <c r="D453" s="8">
        <v>296.25</v>
      </c>
      <c r="E453" s="8">
        <v>355.5</v>
      </c>
    </row>
    <row r="454" spans="1:5" ht="20.100000000000001" customHeight="1" x14ac:dyDescent="0.3">
      <c r="A454" s="4" t="s">
        <v>105</v>
      </c>
      <c r="B454" s="8">
        <v>257</v>
      </c>
      <c r="C454" s="8">
        <v>468</v>
      </c>
      <c r="D454" s="8">
        <v>351</v>
      </c>
      <c r="E454" s="8">
        <v>421.2</v>
      </c>
    </row>
    <row r="455" spans="1:5" ht="20.100000000000001" customHeight="1" x14ac:dyDescent="0.3">
      <c r="A455" s="4" t="s">
        <v>119</v>
      </c>
      <c r="B455" s="8">
        <v>322</v>
      </c>
      <c r="C455" s="8">
        <v>586.5</v>
      </c>
      <c r="D455" s="8">
        <v>439.87</v>
      </c>
      <c r="E455" s="8">
        <v>527.4</v>
      </c>
    </row>
    <row r="456" spans="1:5" ht="20.100000000000001" customHeight="1" x14ac:dyDescent="0.3">
      <c r="A456" s="4" t="s">
        <v>191</v>
      </c>
      <c r="B456" s="8">
        <v>84</v>
      </c>
      <c r="C456" s="8">
        <v>153</v>
      </c>
      <c r="D456" s="8">
        <v>114.75</v>
      </c>
      <c r="E456" s="8">
        <v>137.69999999999999</v>
      </c>
    </row>
    <row r="457" spans="1:5" ht="20.100000000000001" customHeight="1" x14ac:dyDescent="0.35">
      <c r="A457" s="5" t="s">
        <v>280</v>
      </c>
      <c r="B457" s="5"/>
    </row>
    <row r="458" spans="1:5" ht="20.100000000000001" customHeight="1" x14ac:dyDescent="0.3">
      <c r="A458" s="27" t="s">
        <v>274</v>
      </c>
      <c r="B458" s="27" t="s">
        <v>4</v>
      </c>
      <c r="C458" s="27" t="s">
        <v>275</v>
      </c>
      <c r="D458" s="27" t="s">
        <v>276</v>
      </c>
      <c r="E458" s="27" t="s">
        <v>277</v>
      </c>
    </row>
    <row r="459" spans="1:5" ht="20.100000000000001" customHeight="1" x14ac:dyDescent="0.3">
      <c r="A459" s="4" t="s">
        <v>192</v>
      </c>
      <c r="B459" s="8">
        <v>93</v>
      </c>
      <c r="C459" s="8">
        <v>170</v>
      </c>
      <c r="D459" s="8">
        <v>127.5</v>
      </c>
      <c r="E459" s="8">
        <v>153</v>
      </c>
    </row>
    <row r="460" spans="1:5" ht="20.100000000000001" customHeight="1" x14ac:dyDescent="0.3">
      <c r="A460" s="4" t="s">
        <v>190</v>
      </c>
      <c r="B460" s="8">
        <v>102</v>
      </c>
      <c r="C460" s="8">
        <v>186</v>
      </c>
      <c r="D460" s="8">
        <v>139.5</v>
      </c>
      <c r="E460" s="8">
        <v>167.4</v>
      </c>
    </row>
    <row r="461" spans="1:5" ht="20.100000000000001" customHeight="1" x14ac:dyDescent="0.3">
      <c r="A461" s="4" t="s">
        <v>193</v>
      </c>
      <c r="B461" s="8">
        <v>112</v>
      </c>
      <c r="C461" s="8">
        <v>204</v>
      </c>
      <c r="D461" s="8">
        <v>153</v>
      </c>
      <c r="E461" s="8">
        <v>183.6</v>
      </c>
    </row>
    <row r="462" spans="1:5" ht="20.100000000000001" customHeight="1" x14ac:dyDescent="0.3">
      <c r="A462" s="4" t="s">
        <v>194</v>
      </c>
      <c r="B462" s="8">
        <v>121</v>
      </c>
      <c r="C462" s="8">
        <v>221</v>
      </c>
      <c r="D462" s="8">
        <v>166</v>
      </c>
      <c r="E462" s="8">
        <v>198.9</v>
      </c>
    </row>
    <row r="463" spans="1:5" ht="20.100000000000001" customHeight="1" x14ac:dyDescent="0.3">
      <c r="A463" s="4" t="s">
        <v>195</v>
      </c>
      <c r="B463" s="8">
        <v>122</v>
      </c>
      <c r="C463" s="8">
        <v>222.04</v>
      </c>
      <c r="D463" s="8">
        <v>166.53</v>
      </c>
      <c r="E463" s="8">
        <v>199.84</v>
      </c>
    </row>
    <row r="464" spans="1:5" ht="20.100000000000001" customHeight="1" x14ac:dyDescent="0.3">
      <c r="A464" s="4" t="s">
        <v>45</v>
      </c>
      <c r="B464" s="8">
        <v>137.35</v>
      </c>
      <c r="C464" s="8">
        <v>250</v>
      </c>
      <c r="D464" s="8">
        <v>187.5</v>
      </c>
      <c r="E464" s="8">
        <v>225</v>
      </c>
    </row>
    <row r="465" spans="1:5" ht="20.100000000000001" customHeight="1" x14ac:dyDescent="0.3">
      <c r="A465" s="4" t="s">
        <v>196</v>
      </c>
      <c r="B465" s="8">
        <v>155.6</v>
      </c>
      <c r="C465" s="8">
        <v>283.5</v>
      </c>
      <c r="D465" s="8">
        <v>212.62</v>
      </c>
      <c r="E465" s="8">
        <v>255.15</v>
      </c>
    </row>
    <row r="466" spans="1:5" ht="20.100000000000001" customHeight="1" x14ac:dyDescent="0.3">
      <c r="A466" s="4" t="s">
        <v>197</v>
      </c>
      <c r="B466" s="8">
        <v>156.5</v>
      </c>
      <c r="C466" s="8">
        <v>285</v>
      </c>
      <c r="D466" s="8">
        <v>213.75</v>
      </c>
      <c r="E466" s="8">
        <v>256.5</v>
      </c>
    </row>
    <row r="467" spans="1:5" ht="20.100000000000001" customHeight="1" x14ac:dyDescent="0.3">
      <c r="A467" s="4" t="s">
        <v>198</v>
      </c>
      <c r="B467" s="8">
        <v>173</v>
      </c>
      <c r="C467" s="8">
        <v>315</v>
      </c>
      <c r="D467" s="8">
        <v>236.25</v>
      </c>
      <c r="E467" s="8">
        <v>283.5</v>
      </c>
    </row>
    <row r="468" spans="1:5" ht="20.100000000000001" customHeight="1" x14ac:dyDescent="0.3">
      <c r="A468" s="4" t="s">
        <v>68</v>
      </c>
      <c r="B468" s="8">
        <v>182.5</v>
      </c>
      <c r="C468" s="8">
        <v>333</v>
      </c>
      <c r="D468" s="8">
        <v>249.75</v>
      </c>
      <c r="E468" s="8">
        <v>299.7</v>
      </c>
    </row>
    <row r="469" spans="1:5" ht="20.100000000000001" customHeight="1" x14ac:dyDescent="0.3">
      <c r="A469" s="29" t="s">
        <v>78</v>
      </c>
      <c r="B469" s="8">
        <v>220</v>
      </c>
      <c r="C469" s="8">
        <v>400.4</v>
      </c>
      <c r="D469" s="8">
        <v>300.3</v>
      </c>
      <c r="E469" s="8">
        <v>360.36</v>
      </c>
    </row>
    <row r="470" spans="1:5" ht="20.100000000000001" customHeight="1" x14ac:dyDescent="0.3">
      <c r="A470" s="4" t="s">
        <v>199</v>
      </c>
      <c r="B470" s="8">
        <v>272</v>
      </c>
      <c r="C470" s="8">
        <v>495.04</v>
      </c>
      <c r="D470" s="8">
        <v>371.28</v>
      </c>
      <c r="E470" s="8">
        <v>445.54</v>
      </c>
    </row>
    <row r="471" spans="1:5" ht="20.100000000000001" customHeight="1" x14ac:dyDescent="0.3">
      <c r="A471" s="4" t="s">
        <v>106</v>
      </c>
      <c r="B471" s="8">
        <v>309</v>
      </c>
      <c r="C471" s="8">
        <v>562.38</v>
      </c>
      <c r="D471" s="8">
        <v>421.78</v>
      </c>
      <c r="E471" s="8">
        <v>506.14</v>
      </c>
    </row>
    <row r="472" spans="1:5" ht="20.100000000000001" customHeight="1" x14ac:dyDescent="0.3">
      <c r="A472" s="4" t="s">
        <v>120</v>
      </c>
      <c r="B472" s="8">
        <v>384</v>
      </c>
      <c r="C472" s="8">
        <v>698.88</v>
      </c>
      <c r="D472" s="8">
        <v>524.16</v>
      </c>
      <c r="E472" s="8">
        <v>628.99</v>
      </c>
    </row>
    <row r="473" spans="1:5" ht="20.100000000000001" customHeight="1" x14ac:dyDescent="0.3">
      <c r="A473" s="4" t="s">
        <v>202</v>
      </c>
      <c r="B473" s="8">
        <v>97</v>
      </c>
      <c r="C473" s="8">
        <v>176.54</v>
      </c>
      <c r="D473" s="8">
        <v>132.4</v>
      </c>
      <c r="E473" s="8">
        <v>158.88999999999999</v>
      </c>
    </row>
    <row r="474" spans="1:5" ht="20.100000000000001" customHeight="1" x14ac:dyDescent="0.3">
      <c r="A474" s="4" t="s">
        <v>203</v>
      </c>
      <c r="B474" s="8">
        <v>107</v>
      </c>
      <c r="C474" s="8">
        <v>194.74</v>
      </c>
      <c r="D474" s="8">
        <v>146.05000000000001</v>
      </c>
      <c r="E474" s="8">
        <v>175.27</v>
      </c>
    </row>
    <row r="475" spans="1:5" ht="20.100000000000001" customHeight="1" x14ac:dyDescent="0.3">
      <c r="A475" s="4" t="s">
        <v>200</v>
      </c>
      <c r="B475" s="8">
        <v>117</v>
      </c>
      <c r="C475" s="8">
        <v>212.94</v>
      </c>
      <c r="D475" s="8">
        <v>159.69999999999999</v>
      </c>
      <c r="E475" s="8">
        <v>191.65</v>
      </c>
    </row>
    <row r="476" spans="1:5" ht="20.100000000000001" customHeight="1" x14ac:dyDescent="0.3">
      <c r="A476" s="4" t="s">
        <v>204</v>
      </c>
      <c r="B476" s="8">
        <v>128</v>
      </c>
      <c r="C476" s="8">
        <v>232.96</v>
      </c>
      <c r="D476" s="8">
        <v>174.72</v>
      </c>
      <c r="E476" s="8">
        <v>209.66</v>
      </c>
    </row>
    <row r="477" spans="1:5" ht="20.100000000000001" customHeight="1" x14ac:dyDescent="0.3">
      <c r="A477" s="4" t="s">
        <v>205</v>
      </c>
      <c r="B477" s="8">
        <v>138</v>
      </c>
      <c r="C477" s="8">
        <v>251.16</v>
      </c>
      <c r="D477" s="8">
        <v>188.37</v>
      </c>
      <c r="E477" s="8">
        <v>226.04</v>
      </c>
    </row>
    <row r="478" spans="1:5" ht="20.100000000000001" customHeight="1" x14ac:dyDescent="0.3">
      <c r="A478" s="4" t="s">
        <v>206</v>
      </c>
      <c r="B478" s="8">
        <v>149</v>
      </c>
      <c r="C478" s="8">
        <v>271.18</v>
      </c>
      <c r="D478" s="8">
        <v>203.38</v>
      </c>
      <c r="E478" s="8">
        <v>244.06</v>
      </c>
    </row>
    <row r="479" spans="1:5" ht="20.100000000000001" customHeight="1" x14ac:dyDescent="0.3">
      <c r="A479" s="4" t="s">
        <v>46</v>
      </c>
      <c r="B479" s="8">
        <v>151</v>
      </c>
      <c r="C479" s="8">
        <v>274.82</v>
      </c>
      <c r="D479" s="8">
        <v>206.11</v>
      </c>
      <c r="E479" s="8">
        <v>247.34</v>
      </c>
    </row>
    <row r="480" spans="1:5" ht="20.100000000000001" customHeight="1" x14ac:dyDescent="0.3">
      <c r="A480" s="4" t="s">
        <v>209</v>
      </c>
      <c r="B480" s="8">
        <v>170</v>
      </c>
      <c r="C480" s="8">
        <v>309.5</v>
      </c>
      <c r="D480" s="8">
        <v>232.12</v>
      </c>
      <c r="E480" s="8">
        <v>278.55</v>
      </c>
    </row>
    <row r="481" spans="1:5" x14ac:dyDescent="0.3">
      <c r="A481" s="4" t="s">
        <v>207</v>
      </c>
      <c r="B481" s="8">
        <v>171</v>
      </c>
      <c r="C481" s="8">
        <v>312</v>
      </c>
      <c r="D481" s="8">
        <v>234</v>
      </c>
      <c r="E481" s="8">
        <v>280.8</v>
      </c>
    </row>
    <row r="482" spans="1:5" ht="20.100000000000001" customHeight="1" x14ac:dyDescent="0.3">
      <c r="A482" s="4" t="s">
        <v>208</v>
      </c>
      <c r="B482" s="8">
        <v>187.63</v>
      </c>
      <c r="C482" s="8">
        <v>341.5</v>
      </c>
      <c r="D482" s="8">
        <v>256.12</v>
      </c>
      <c r="E482" s="8">
        <v>307.35000000000002</v>
      </c>
    </row>
    <row r="483" spans="1:5" ht="20.100000000000001" customHeight="1" x14ac:dyDescent="0.3">
      <c r="A483" s="4" t="s">
        <v>69</v>
      </c>
      <c r="B483" s="8">
        <v>198.5</v>
      </c>
      <c r="C483" s="8">
        <v>361.27</v>
      </c>
      <c r="D483" s="8">
        <v>270.95</v>
      </c>
      <c r="E483" s="8">
        <v>325.14</v>
      </c>
    </row>
    <row r="484" spans="1:5" ht="20.100000000000001" customHeight="1" x14ac:dyDescent="0.3">
      <c r="A484" s="4" t="s">
        <v>79</v>
      </c>
      <c r="B484" s="8">
        <v>263.5</v>
      </c>
      <c r="C484" s="8">
        <v>480</v>
      </c>
      <c r="D484" s="8">
        <v>360</v>
      </c>
      <c r="E484" s="8">
        <v>432</v>
      </c>
    </row>
    <row r="485" spans="1:5" ht="20.100000000000001" customHeight="1" x14ac:dyDescent="0.3">
      <c r="A485" s="4" t="s">
        <v>210</v>
      </c>
      <c r="B485" s="8">
        <v>296.5</v>
      </c>
      <c r="C485" s="8">
        <v>539.63</v>
      </c>
      <c r="D485" s="8">
        <v>404.72</v>
      </c>
      <c r="E485" s="8">
        <v>485.67</v>
      </c>
    </row>
    <row r="486" spans="1:5" ht="20.100000000000001" customHeight="1" x14ac:dyDescent="0.3">
      <c r="A486" s="4" t="s">
        <v>107</v>
      </c>
      <c r="B486" s="8">
        <v>338.5</v>
      </c>
      <c r="C486" s="8">
        <v>616.5</v>
      </c>
      <c r="D486" s="8">
        <v>462.37</v>
      </c>
      <c r="E486" s="8">
        <v>554.85</v>
      </c>
    </row>
    <row r="487" spans="1:5" ht="20.100000000000001" customHeight="1" x14ac:dyDescent="0.3">
      <c r="A487" s="4" t="s">
        <v>121</v>
      </c>
      <c r="B487" s="8">
        <v>422.5</v>
      </c>
      <c r="C487" s="8">
        <v>768.95</v>
      </c>
      <c r="D487" s="8">
        <v>576.71</v>
      </c>
      <c r="E487" s="8">
        <v>692.05</v>
      </c>
    </row>
    <row r="488" spans="1:5" ht="20.100000000000001" customHeight="1" x14ac:dyDescent="0.3">
      <c r="A488" s="4" t="s">
        <v>225</v>
      </c>
      <c r="B488" s="8">
        <v>102</v>
      </c>
      <c r="C488" s="8">
        <v>186</v>
      </c>
      <c r="D488" s="8">
        <v>139.5</v>
      </c>
      <c r="E488" s="8">
        <v>167.4</v>
      </c>
    </row>
    <row r="489" spans="1:5" ht="20.100000000000001" customHeight="1" x14ac:dyDescent="0.3">
      <c r="A489" s="4" t="s">
        <v>222</v>
      </c>
      <c r="B489" s="8">
        <v>113.5</v>
      </c>
      <c r="C489" s="8">
        <v>207</v>
      </c>
      <c r="D489" s="8">
        <v>155.25</v>
      </c>
      <c r="E489" s="8">
        <v>186.3</v>
      </c>
    </row>
    <row r="490" spans="1:5" ht="20.100000000000001" customHeight="1" x14ac:dyDescent="0.3">
      <c r="A490" s="4" t="s">
        <v>223</v>
      </c>
      <c r="B490" s="8">
        <v>125</v>
      </c>
      <c r="C490" s="8">
        <v>227.5</v>
      </c>
      <c r="D490" s="8">
        <v>170.62</v>
      </c>
      <c r="E490" s="8">
        <v>204.75</v>
      </c>
    </row>
    <row r="491" spans="1:5" ht="20.100000000000001" customHeight="1" x14ac:dyDescent="0.3">
      <c r="A491" s="4" t="s">
        <v>224</v>
      </c>
      <c r="B491" s="8">
        <v>137</v>
      </c>
      <c r="C491" s="8">
        <v>250</v>
      </c>
      <c r="D491" s="8">
        <v>187.5</v>
      </c>
      <c r="E491" s="8">
        <v>225</v>
      </c>
    </row>
    <row r="492" spans="1:5" ht="20.100000000000001" customHeight="1" x14ac:dyDescent="0.3">
      <c r="A492" s="4" t="s">
        <v>226</v>
      </c>
      <c r="B492" s="8">
        <v>148.5</v>
      </c>
      <c r="C492" s="8">
        <v>271</v>
      </c>
      <c r="D492" s="8">
        <v>203.25</v>
      </c>
      <c r="E492" s="8">
        <v>243.9</v>
      </c>
    </row>
    <row r="493" spans="1:5" ht="20.100000000000001" customHeight="1" x14ac:dyDescent="0.3">
      <c r="A493" s="4" t="s">
        <v>227</v>
      </c>
      <c r="B493" s="8">
        <v>149</v>
      </c>
      <c r="C493" s="8">
        <v>272</v>
      </c>
      <c r="D493" s="8">
        <v>204</v>
      </c>
      <c r="E493" s="8">
        <v>244.8</v>
      </c>
    </row>
    <row r="494" spans="1:5" ht="20.100000000000001" customHeight="1" x14ac:dyDescent="0.3">
      <c r="A494" s="4" t="s">
        <v>47</v>
      </c>
      <c r="B494" s="8">
        <v>160</v>
      </c>
      <c r="C494" s="8">
        <v>291.2</v>
      </c>
      <c r="D494" s="8">
        <v>218.4</v>
      </c>
      <c r="E494" s="8">
        <v>262.08</v>
      </c>
    </row>
    <row r="495" spans="1:5" ht="20.100000000000001" customHeight="1" x14ac:dyDescent="0.3">
      <c r="A495" s="4" t="s">
        <v>228</v>
      </c>
      <c r="B495" s="8">
        <v>183</v>
      </c>
      <c r="C495" s="8">
        <v>333.06</v>
      </c>
      <c r="D495" s="8">
        <v>249.79</v>
      </c>
      <c r="E495" s="8">
        <v>299.75</v>
      </c>
    </row>
    <row r="496" spans="1:5" ht="20.100000000000001" customHeight="1" x14ac:dyDescent="0.3">
      <c r="A496" s="4" t="s">
        <v>230</v>
      </c>
      <c r="B496" s="8">
        <v>184</v>
      </c>
      <c r="C496" s="8">
        <v>334.88</v>
      </c>
      <c r="D496" s="8">
        <v>251.16</v>
      </c>
      <c r="E496" s="8">
        <v>301.39</v>
      </c>
    </row>
    <row r="497" spans="1:5" ht="20.100000000000001" customHeight="1" x14ac:dyDescent="0.3">
      <c r="A497" s="4" t="s">
        <v>231</v>
      </c>
      <c r="B497" s="8">
        <v>203</v>
      </c>
      <c r="C497" s="8">
        <v>369.46</v>
      </c>
      <c r="D497" s="8">
        <v>277.08999999999997</v>
      </c>
      <c r="E497" s="8">
        <v>332.51</v>
      </c>
    </row>
    <row r="498" spans="1:5" ht="20.100000000000001" customHeight="1" x14ac:dyDescent="0.35">
      <c r="A498" s="5" t="s">
        <v>280</v>
      </c>
      <c r="B498" s="5"/>
    </row>
    <row r="499" spans="1:5" ht="20.100000000000001" customHeight="1" x14ac:dyDescent="0.3">
      <c r="A499" s="27" t="s">
        <v>274</v>
      </c>
      <c r="B499" s="27" t="s">
        <v>4</v>
      </c>
      <c r="C499" s="27" t="s">
        <v>275</v>
      </c>
      <c r="D499" s="27" t="s">
        <v>276</v>
      </c>
      <c r="E499" s="27" t="s">
        <v>277</v>
      </c>
    </row>
    <row r="500" spans="1:5" ht="20.100000000000001" customHeight="1" x14ac:dyDescent="0.3">
      <c r="A500" s="4" t="s">
        <v>70</v>
      </c>
      <c r="B500" s="8">
        <v>227</v>
      </c>
      <c r="C500" s="8">
        <v>413.14</v>
      </c>
      <c r="D500" s="8">
        <v>309.85000000000002</v>
      </c>
      <c r="E500" s="8">
        <v>371.83</v>
      </c>
    </row>
    <row r="501" spans="1:5" ht="20.100000000000001" customHeight="1" x14ac:dyDescent="0.3">
      <c r="A501" s="4" t="s">
        <v>80</v>
      </c>
      <c r="B501" s="8">
        <v>284.5</v>
      </c>
      <c r="C501" s="8">
        <v>517.79</v>
      </c>
      <c r="D501" s="8">
        <v>388.34</v>
      </c>
      <c r="E501" s="8">
        <v>466.01</v>
      </c>
    </row>
    <row r="502" spans="1:5" ht="20.100000000000001" customHeight="1" x14ac:dyDescent="0.3">
      <c r="A502" s="4" t="s">
        <v>233</v>
      </c>
      <c r="B502" s="8">
        <v>321</v>
      </c>
      <c r="C502" s="8">
        <v>584.22</v>
      </c>
      <c r="D502" s="8">
        <v>438.16</v>
      </c>
      <c r="E502" s="8">
        <v>525.79999999999995</v>
      </c>
    </row>
    <row r="503" spans="1:5" ht="20.100000000000001" customHeight="1" x14ac:dyDescent="0.3">
      <c r="A503" s="4" t="s">
        <v>108</v>
      </c>
      <c r="B503" s="8">
        <v>367.5</v>
      </c>
      <c r="C503" s="8">
        <v>668.85</v>
      </c>
      <c r="D503" s="8">
        <v>501.64</v>
      </c>
      <c r="E503" s="8">
        <v>601.96</v>
      </c>
    </row>
    <row r="504" spans="1:5" ht="20.100000000000001" customHeight="1" x14ac:dyDescent="0.3">
      <c r="A504" s="4" t="s">
        <v>122</v>
      </c>
      <c r="B504" s="8">
        <v>467</v>
      </c>
      <c r="C504" s="8">
        <v>849.94</v>
      </c>
      <c r="D504" s="8">
        <v>637.45000000000005</v>
      </c>
      <c r="E504" s="8">
        <v>764.95</v>
      </c>
    </row>
    <row r="505" spans="1:5" ht="20.100000000000001" customHeight="1" x14ac:dyDescent="0.3">
      <c r="A505" s="4" t="s">
        <v>234</v>
      </c>
      <c r="B505" s="8">
        <v>107</v>
      </c>
      <c r="C505" s="8">
        <v>194.74</v>
      </c>
      <c r="D505" s="8">
        <v>146.05000000000001</v>
      </c>
      <c r="E505" s="8">
        <v>175.27</v>
      </c>
    </row>
    <row r="506" spans="1:5" ht="20.100000000000001" customHeight="1" x14ac:dyDescent="0.3">
      <c r="A506" s="4" t="s">
        <v>235</v>
      </c>
      <c r="B506" s="8">
        <v>120</v>
      </c>
      <c r="C506" s="8">
        <v>218.4</v>
      </c>
      <c r="D506" s="8">
        <v>163.80000000000001</v>
      </c>
      <c r="E506" s="8">
        <v>196.56</v>
      </c>
    </row>
    <row r="507" spans="1:5" ht="20.100000000000001" customHeight="1" x14ac:dyDescent="0.3">
      <c r="A507" s="4" t="s">
        <v>236</v>
      </c>
      <c r="B507" s="8">
        <v>132.5</v>
      </c>
      <c r="C507" s="8">
        <v>241.15</v>
      </c>
      <c r="D507" s="8">
        <v>180.86</v>
      </c>
      <c r="E507" s="8">
        <v>217.03</v>
      </c>
    </row>
    <row r="508" spans="1:5" ht="20.100000000000001" customHeight="1" x14ac:dyDescent="0.3">
      <c r="A508" s="4" t="s">
        <v>237</v>
      </c>
      <c r="B508" s="8">
        <v>145.5</v>
      </c>
      <c r="C508" s="8">
        <v>264.81</v>
      </c>
      <c r="D508" s="8">
        <v>198.61</v>
      </c>
      <c r="E508" s="8">
        <v>238.33</v>
      </c>
    </row>
    <row r="509" spans="1:5" ht="20.100000000000001" customHeight="1" x14ac:dyDescent="0.3">
      <c r="A509" s="4" t="s">
        <v>239</v>
      </c>
      <c r="B509" s="8">
        <v>166</v>
      </c>
      <c r="C509" s="8">
        <v>302.12</v>
      </c>
      <c r="D509" s="8">
        <v>226.59</v>
      </c>
      <c r="E509" s="8">
        <v>271.91000000000003</v>
      </c>
    </row>
    <row r="510" spans="1:5" ht="20.100000000000001" customHeight="1" x14ac:dyDescent="0.3">
      <c r="A510" s="4" t="s">
        <v>240</v>
      </c>
      <c r="B510" s="8">
        <v>167</v>
      </c>
      <c r="C510" s="8">
        <v>303.94</v>
      </c>
      <c r="D510" s="8">
        <v>227.95</v>
      </c>
      <c r="E510" s="8">
        <v>273.55</v>
      </c>
    </row>
    <row r="511" spans="1:5" ht="20.100000000000001" customHeight="1" x14ac:dyDescent="0.3">
      <c r="A511" s="4" t="s">
        <v>48</v>
      </c>
      <c r="B511" s="8">
        <v>179</v>
      </c>
      <c r="C511" s="8">
        <v>325.77999999999997</v>
      </c>
      <c r="D511" s="8">
        <v>244.33</v>
      </c>
      <c r="E511" s="8">
        <v>293.2</v>
      </c>
    </row>
    <row r="512" spans="1:5" ht="20.100000000000001" customHeight="1" x14ac:dyDescent="0.3">
      <c r="A512" s="4" t="s">
        <v>241</v>
      </c>
      <c r="B512" s="8">
        <v>200.5</v>
      </c>
      <c r="C512" s="8">
        <v>364.91</v>
      </c>
      <c r="D512" s="8">
        <v>273.68</v>
      </c>
      <c r="E512" s="8">
        <v>328.42</v>
      </c>
    </row>
    <row r="513" spans="1:5" ht="20.100000000000001" customHeight="1" x14ac:dyDescent="0.3">
      <c r="A513" s="4" t="s">
        <v>242</v>
      </c>
      <c r="B513" s="8">
        <v>213</v>
      </c>
      <c r="C513" s="8">
        <v>387.66</v>
      </c>
      <c r="D513" s="8">
        <v>290.74</v>
      </c>
      <c r="E513" s="8">
        <v>348.89</v>
      </c>
    </row>
    <row r="514" spans="1:5" ht="20.100000000000001" customHeight="1" x14ac:dyDescent="0.3">
      <c r="A514" s="4" t="s">
        <v>243</v>
      </c>
      <c r="B514" s="8">
        <v>233</v>
      </c>
      <c r="C514" s="8">
        <v>424.06</v>
      </c>
      <c r="D514" s="8">
        <v>318.04000000000002</v>
      </c>
      <c r="E514" s="8">
        <v>381.65</v>
      </c>
    </row>
    <row r="515" spans="1:5" ht="20.100000000000001" customHeight="1" x14ac:dyDescent="0.3">
      <c r="A515" s="4" t="s">
        <v>71</v>
      </c>
      <c r="B515" s="8">
        <v>246</v>
      </c>
      <c r="C515" s="8">
        <v>447.72</v>
      </c>
      <c r="D515" s="8">
        <v>335.79</v>
      </c>
      <c r="E515" s="8">
        <v>402.95</v>
      </c>
    </row>
    <row r="516" spans="1:5" ht="20.100000000000001" customHeight="1" x14ac:dyDescent="0.3">
      <c r="A516" s="4" t="s">
        <v>81</v>
      </c>
      <c r="B516" s="8">
        <v>305.5</v>
      </c>
      <c r="C516" s="8">
        <v>556.01</v>
      </c>
      <c r="D516" s="8">
        <v>417.01</v>
      </c>
      <c r="E516" s="8">
        <v>500.41</v>
      </c>
    </row>
    <row r="517" spans="1:5" ht="20.100000000000001" customHeight="1" x14ac:dyDescent="0.3">
      <c r="A517" s="4" t="s">
        <v>244</v>
      </c>
      <c r="B517" s="8">
        <v>348.66</v>
      </c>
      <c r="C517" s="8">
        <v>634.55999999999995</v>
      </c>
      <c r="D517" s="8">
        <v>475.92</v>
      </c>
      <c r="E517" s="8">
        <v>571.1</v>
      </c>
    </row>
    <row r="518" spans="1:5" ht="20.100000000000001" customHeight="1" x14ac:dyDescent="0.3">
      <c r="A518" s="4" t="s">
        <v>109</v>
      </c>
      <c r="B518" s="8">
        <v>400.98</v>
      </c>
      <c r="C518" s="8">
        <v>729.78</v>
      </c>
      <c r="D518" s="8">
        <v>547.33000000000004</v>
      </c>
      <c r="E518" s="8">
        <v>656.8</v>
      </c>
    </row>
    <row r="519" spans="1:5" ht="20.100000000000001" customHeight="1" x14ac:dyDescent="0.3">
      <c r="A519" s="4" t="s">
        <v>123</v>
      </c>
      <c r="B519" s="8">
        <v>505.65</v>
      </c>
      <c r="C519" s="8">
        <v>920.29</v>
      </c>
      <c r="D519" s="8">
        <v>690.22</v>
      </c>
      <c r="E519" s="8">
        <v>828.26</v>
      </c>
    </row>
    <row r="520" spans="1:5" ht="20.100000000000001" customHeight="1" x14ac:dyDescent="0.3">
      <c r="A520" s="4" t="s">
        <v>245</v>
      </c>
      <c r="B520" s="8">
        <v>118.5</v>
      </c>
      <c r="C520" s="8">
        <v>215.67</v>
      </c>
      <c r="D520" s="8">
        <v>161.75</v>
      </c>
      <c r="E520" s="8">
        <v>194.1</v>
      </c>
    </row>
    <row r="521" spans="1:5" ht="20.100000000000001" customHeight="1" x14ac:dyDescent="0.3">
      <c r="A521" s="4" t="s">
        <v>247</v>
      </c>
      <c r="B521" s="8">
        <v>133.5</v>
      </c>
      <c r="C521" s="8">
        <v>242.97</v>
      </c>
      <c r="D521" s="8">
        <v>182.23</v>
      </c>
      <c r="E521" s="8">
        <v>218.67</v>
      </c>
    </row>
    <row r="522" spans="1:5" ht="20.100000000000001" customHeight="1" x14ac:dyDescent="0.3">
      <c r="A522" s="4" t="s">
        <v>248</v>
      </c>
      <c r="B522" s="8">
        <v>149</v>
      </c>
      <c r="C522" s="8">
        <v>271.18</v>
      </c>
      <c r="D522" s="8">
        <v>203.38</v>
      </c>
      <c r="E522" s="8">
        <v>244.06</v>
      </c>
    </row>
    <row r="523" spans="1:5" ht="20.100000000000001" customHeight="1" x14ac:dyDescent="0.3">
      <c r="A523" s="4" t="s">
        <v>249</v>
      </c>
      <c r="B523" s="8">
        <v>164.5</v>
      </c>
      <c r="C523" s="8">
        <v>299.39</v>
      </c>
      <c r="D523" s="8">
        <v>224.54</v>
      </c>
      <c r="E523" s="8">
        <v>269.45</v>
      </c>
    </row>
    <row r="524" spans="1:5" ht="20.100000000000001" customHeight="1" x14ac:dyDescent="0.3">
      <c r="A524" s="4" t="s">
        <v>250</v>
      </c>
      <c r="B524" s="8">
        <v>187.5</v>
      </c>
      <c r="C524" s="8">
        <v>341.25</v>
      </c>
      <c r="D524" s="8">
        <v>255.94</v>
      </c>
      <c r="E524" s="8">
        <v>307.12</v>
      </c>
    </row>
    <row r="525" spans="1:5" ht="20.100000000000001" customHeight="1" x14ac:dyDescent="0.3">
      <c r="A525" s="4" t="s">
        <v>251</v>
      </c>
      <c r="B525" s="8">
        <v>189</v>
      </c>
      <c r="C525" s="8">
        <v>343.98</v>
      </c>
      <c r="D525" s="8">
        <v>257.98</v>
      </c>
      <c r="E525" s="8">
        <v>309.58</v>
      </c>
    </row>
    <row r="526" spans="1:5" ht="20.100000000000001" customHeight="1" x14ac:dyDescent="0.3">
      <c r="A526" s="4" t="s">
        <v>49</v>
      </c>
      <c r="B526" s="8">
        <v>203</v>
      </c>
      <c r="C526" s="8">
        <v>369.46</v>
      </c>
      <c r="D526" s="8">
        <v>277.08999999999997</v>
      </c>
      <c r="E526" s="8">
        <v>332.51</v>
      </c>
    </row>
    <row r="527" spans="1:5" ht="20.100000000000001" customHeight="1" x14ac:dyDescent="0.3">
      <c r="A527" s="4" t="s">
        <v>252</v>
      </c>
      <c r="B527" s="8">
        <v>227</v>
      </c>
      <c r="C527" s="8">
        <v>413.14</v>
      </c>
      <c r="D527" s="8">
        <v>309.85000000000002</v>
      </c>
      <c r="E527" s="8">
        <v>371.83</v>
      </c>
    </row>
    <row r="528" spans="1:5" ht="20.100000000000001" customHeight="1" x14ac:dyDescent="0.3">
      <c r="A528" s="4" t="s">
        <v>253</v>
      </c>
      <c r="B528" s="8">
        <v>242.5</v>
      </c>
      <c r="C528" s="8">
        <v>441.35</v>
      </c>
      <c r="D528" s="8">
        <v>331.01</v>
      </c>
      <c r="E528" s="8">
        <v>397.21</v>
      </c>
    </row>
    <row r="529" spans="1:5" ht="20.100000000000001" customHeight="1" x14ac:dyDescent="0.3">
      <c r="A529" s="4" t="s">
        <v>254</v>
      </c>
      <c r="B529" s="8">
        <v>264.51</v>
      </c>
      <c r="C529" s="8">
        <v>481.4</v>
      </c>
      <c r="D529" s="8">
        <v>361.05</v>
      </c>
      <c r="E529" s="8">
        <v>433.26</v>
      </c>
    </row>
    <row r="530" spans="1:5" ht="20.100000000000001" customHeight="1" x14ac:dyDescent="0.3">
      <c r="A530" s="4" t="s">
        <v>72</v>
      </c>
      <c r="B530" s="8">
        <v>280.5</v>
      </c>
      <c r="C530" s="8">
        <v>510.51</v>
      </c>
      <c r="D530" s="8">
        <v>382.88</v>
      </c>
      <c r="E530" s="8">
        <v>459.46</v>
      </c>
    </row>
    <row r="531" spans="1:5" ht="20.100000000000001" customHeight="1" x14ac:dyDescent="0.3">
      <c r="A531" s="4" t="s">
        <v>82</v>
      </c>
      <c r="B531" s="8">
        <v>339</v>
      </c>
      <c r="C531" s="8">
        <v>616.98</v>
      </c>
      <c r="D531" s="8">
        <v>462.73</v>
      </c>
      <c r="E531" s="8">
        <v>555.28</v>
      </c>
    </row>
    <row r="532" spans="1:5" ht="20.100000000000001" customHeight="1" x14ac:dyDescent="0.3">
      <c r="A532" s="4" t="s">
        <v>255</v>
      </c>
      <c r="B532" s="8">
        <v>398</v>
      </c>
      <c r="C532" s="8">
        <v>725</v>
      </c>
      <c r="D532" s="8">
        <v>543.75</v>
      </c>
      <c r="E532" s="8">
        <v>652.5</v>
      </c>
    </row>
    <row r="533" spans="1:5" ht="20.100000000000001" customHeight="1" x14ac:dyDescent="0.3">
      <c r="A533" s="4" t="s">
        <v>110</v>
      </c>
      <c r="B533" s="8">
        <v>460</v>
      </c>
      <c r="C533" s="8">
        <v>838</v>
      </c>
      <c r="D533" s="8">
        <v>628.5</v>
      </c>
      <c r="E533" s="8">
        <v>754.2</v>
      </c>
    </row>
    <row r="534" spans="1:5" ht="20.100000000000001" customHeight="1" x14ac:dyDescent="0.3">
      <c r="A534" s="4" t="s">
        <v>124</v>
      </c>
      <c r="B534" s="8">
        <v>583.5</v>
      </c>
      <c r="C534" s="8">
        <v>1062</v>
      </c>
      <c r="D534" s="8">
        <v>796.5</v>
      </c>
      <c r="E534" s="8">
        <v>955.8</v>
      </c>
    </row>
    <row r="538" spans="1:5" ht="23.4" x14ac:dyDescent="0.45">
      <c r="A538" s="36" t="s">
        <v>620</v>
      </c>
    </row>
    <row r="540" spans="1:5" ht="15.6" x14ac:dyDescent="0.3">
      <c r="A540" s="106" t="s">
        <v>274</v>
      </c>
      <c r="B540" s="108" t="s">
        <v>1056</v>
      </c>
    </row>
    <row r="541" spans="1:5" ht="24.9" customHeight="1" x14ac:dyDescent="0.45">
      <c r="A541" s="37" t="s">
        <v>1054</v>
      </c>
      <c r="B541" s="107">
        <v>52.7</v>
      </c>
    </row>
    <row r="542" spans="1:5" ht="24.9" customHeight="1" x14ac:dyDescent="0.45">
      <c r="A542" s="37" t="s">
        <v>1060</v>
      </c>
      <c r="B542" s="107">
        <v>65.88</v>
      </c>
    </row>
    <row r="543" spans="1:5" ht="24.9" customHeight="1" x14ac:dyDescent="0.45">
      <c r="A543" s="37" t="s">
        <v>1055</v>
      </c>
      <c r="B543" s="107">
        <v>79.03</v>
      </c>
    </row>
    <row r="544" spans="1:5" ht="24.9" customHeight="1" x14ac:dyDescent="0.45">
      <c r="A544" s="37" t="s">
        <v>1058</v>
      </c>
      <c r="B544" s="107">
        <v>92.24</v>
      </c>
    </row>
    <row r="545" spans="1:2" ht="24.9" customHeight="1" x14ac:dyDescent="0.45">
      <c r="A545" s="37" t="s">
        <v>1059</v>
      </c>
      <c r="B545" s="107">
        <v>105.43</v>
      </c>
    </row>
    <row r="546" spans="1:2" x14ac:dyDescent="0.3">
      <c r="B546" s="12"/>
    </row>
  </sheetData>
  <pageMargins left="0.70866141732283472" right="0.70866141732283472" top="0.15748031496062992" bottom="0.15748031496062992" header="0.31496062992125984" footer="0.31496062992125984"/>
  <pageSetup paperSize="9" scale="95" orientation="landscape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Q6"/>
  <sheetViews>
    <sheetView workbookViewId="0">
      <selection activeCell="I6" sqref="I6"/>
    </sheetView>
  </sheetViews>
  <sheetFormatPr baseColWidth="10" defaultRowHeight="14.4" x14ac:dyDescent="0.3"/>
  <cols>
    <col min="2" max="2" width="8.5546875" customWidth="1"/>
    <col min="3" max="3" width="6" customWidth="1"/>
  </cols>
  <sheetData>
    <row r="4" spans="1:17" ht="21" x14ac:dyDescent="0.4">
      <c r="A4" s="40" t="s">
        <v>135</v>
      </c>
      <c r="B4" s="40"/>
      <c r="C4" s="40"/>
      <c r="D4" s="40"/>
    </row>
    <row r="5" spans="1:17" x14ac:dyDescent="0.3">
      <c r="A5" t="s">
        <v>1654</v>
      </c>
      <c r="B5" t="s">
        <v>572</v>
      </c>
      <c r="C5" t="s">
        <v>573</v>
      </c>
      <c r="D5" t="s">
        <v>1655</v>
      </c>
      <c r="E5" t="s">
        <v>1656</v>
      </c>
      <c r="F5" t="s">
        <v>1657</v>
      </c>
      <c r="G5" t="s">
        <v>1660</v>
      </c>
      <c r="H5" t="s">
        <v>1661</v>
      </c>
      <c r="I5" t="s">
        <v>1662</v>
      </c>
      <c r="J5" t="s">
        <v>1658</v>
      </c>
      <c r="K5" t="s">
        <v>1659</v>
      </c>
      <c r="L5" t="s">
        <v>216</v>
      </c>
      <c r="M5" t="s">
        <v>18</v>
      </c>
      <c r="N5" t="s">
        <v>1663</v>
      </c>
      <c r="O5" t="s">
        <v>1664</v>
      </c>
      <c r="P5" t="s">
        <v>1665</v>
      </c>
      <c r="Q5" t="s">
        <v>1666</v>
      </c>
    </row>
    <row r="6" spans="1:17" x14ac:dyDescent="0.3">
      <c r="A6" t="s">
        <v>67</v>
      </c>
      <c r="B6">
        <v>0.6</v>
      </c>
      <c r="C6">
        <v>0.15</v>
      </c>
      <c r="D6">
        <f>(B6+0.033+C6+0.033)*2</f>
        <v>1.6320000000000001</v>
      </c>
      <c r="E6">
        <v>11.37</v>
      </c>
      <c r="F6" s="134">
        <f>D6*E6</f>
        <v>18.55584</v>
      </c>
      <c r="G6" s="135">
        <f>B6*6</f>
        <v>3.5999999999999996</v>
      </c>
      <c r="H6" s="135">
        <v>14.94</v>
      </c>
      <c r="I6" s="134">
        <f>G6*14.94</f>
        <v>53.783999999999992</v>
      </c>
      <c r="J6" s="134">
        <f>1.6*2</f>
        <v>3.2</v>
      </c>
      <c r="K6" s="134">
        <f>C6*14.61</f>
        <v>2.1915</v>
      </c>
      <c r="L6" s="134">
        <f>4*2.91</f>
        <v>11.64</v>
      </c>
      <c r="M6" s="134">
        <f>4*0.61</f>
        <v>2.44</v>
      </c>
      <c r="N6" s="135">
        <f>F6+I6+J6+K6+L6+M6</f>
        <v>91.811340000000001</v>
      </c>
      <c r="O6" s="135">
        <f>N6+N6*40%</f>
        <v>128.535876</v>
      </c>
      <c r="P6" s="135">
        <v>50</v>
      </c>
      <c r="Q6" s="135">
        <f>O6+P6</f>
        <v>178.535876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263"/>
  <sheetViews>
    <sheetView workbookViewId="0">
      <selection activeCell="B40" sqref="B40"/>
    </sheetView>
  </sheetViews>
  <sheetFormatPr baseColWidth="10" defaultRowHeight="14.4" x14ac:dyDescent="0.3"/>
  <cols>
    <col min="1" max="1" width="40.33203125" customWidth="1"/>
    <col min="2" max="2" width="17.109375" customWidth="1"/>
    <col min="3" max="3" width="15" customWidth="1"/>
    <col min="4" max="4" width="14.109375" customWidth="1"/>
    <col min="5" max="5" width="14.88671875" customWidth="1"/>
    <col min="6" max="6" width="15.5546875" customWidth="1"/>
  </cols>
  <sheetData>
    <row r="1" spans="1:9" ht="18" x14ac:dyDescent="0.35">
      <c r="A1" s="126" t="s">
        <v>0</v>
      </c>
      <c r="B1" s="26"/>
      <c r="C1" s="26"/>
      <c r="D1" s="26"/>
      <c r="E1" s="26"/>
    </row>
    <row r="2" spans="1:9" x14ac:dyDescent="0.3">
      <c r="A2" t="s">
        <v>1249</v>
      </c>
    </row>
    <row r="3" spans="1:9" ht="15.6" x14ac:dyDescent="0.3">
      <c r="A3" s="3" t="s">
        <v>1</v>
      </c>
      <c r="B3" s="114" t="s">
        <v>593</v>
      </c>
      <c r="C3" s="125" t="s">
        <v>1181</v>
      </c>
      <c r="D3" s="129" t="s">
        <v>1246</v>
      </c>
      <c r="E3" s="130" t="s">
        <v>1247</v>
      </c>
      <c r="G3" s="128"/>
      <c r="H3" s="59"/>
      <c r="I3" s="59"/>
    </row>
    <row r="4" spans="1:9" ht="18" x14ac:dyDescent="0.35">
      <c r="A4" s="43" t="s">
        <v>1243</v>
      </c>
      <c r="B4" s="115">
        <v>29.12</v>
      </c>
      <c r="C4" s="118">
        <v>29.12</v>
      </c>
      <c r="D4" s="121">
        <v>11.37</v>
      </c>
      <c r="E4" s="124">
        <v>68.19</v>
      </c>
      <c r="G4" s="127"/>
      <c r="H4" s="59"/>
      <c r="I4" s="59"/>
    </row>
    <row r="5" spans="1:9" ht="18" x14ac:dyDescent="0.35">
      <c r="A5" s="79" t="s">
        <v>5</v>
      </c>
      <c r="B5" s="115">
        <v>30.29</v>
      </c>
      <c r="C5" s="117">
        <v>30.44</v>
      </c>
      <c r="D5" s="131">
        <v>10.34</v>
      </c>
      <c r="E5" s="124">
        <v>61.99</v>
      </c>
      <c r="G5" s="127"/>
      <c r="H5" s="59"/>
      <c r="I5" s="59"/>
    </row>
    <row r="6" spans="1:9" ht="18" x14ac:dyDescent="0.35">
      <c r="A6" s="43" t="s">
        <v>1242</v>
      </c>
      <c r="B6" s="115">
        <v>29.24</v>
      </c>
      <c r="C6" s="118">
        <v>29.24</v>
      </c>
      <c r="D6" s="121">
        <v>16.43</v>
      </c>
      <c r="E6" s="124">
        <v>98.54</v>
      </c>
      <c r="G6" s="127"/>
      <c r="H6" s="59"/>
      <c r="I6" s="59"/>
    </row>
    <row r="7" spans="1:9" ht="18" x14ac:dyDescent="0.35">
      <c r="A7" s="79" t="s">
        <v>6</v>
      </c>
      <c r="B7" s="115">
        <v>42.29</v>
      </c>
      <c r="C7" s="117">
        <v>45.07</v>
      </c>
      <c r="D7" s="121">
        <v>14.93</v>
      </c>
      <c r="E7" s="124">
        <v>89.58</v>
      </c>
      <c r="G7" s="127"/>
      <c r="H7" s="59"/>
      <c r="I7" s="59"/>
    </row>
    <row r="8" spans="1:9" ht="18" x14ac:dyDescent="0.35">
      <c r="A8" s="43" t="s">
        <v>1244</v>
      </c>
      <c r="B8" s="115">
        <v>14.94</v>
      </c>
      <c r="C8" s="118">
        <v>14.94</v>
      </c>
      <c r="D8" s="121">
        <v>4.8099999999999996</v>
      </c>
      <c r="E8" s="4"/>
      <c r="G8" s="127"/>
      <c r="H8" s="59"/>
      <c r="I8" s="59"/>
    </row>
    <row r="9" spans="1:9" ht="18" x14ac:dyDescent="0.35">
      <c r="A9" s="79" t="s">
        <v>7</v>
      </c>
      <c r="B9" s="115">
        <v>16.085999999999999</v>
      </c>
      <c r="C9" s="117">
        <v>16.170000000000002</v>
      </c>
      <c r="D9" s="121">
        <v>4.38</v>
      </c>
      <c r="E9" s="4"/>
      <c r="G9" s="127"/>
      <c r="H9" s="59"/>
      <c r="I9" s="59"/>
    </row>
    <row r="10" spans="1:9" ht="18" x14ac:dyDescent="0.35">
      <c r="A10" s="43" t="s">
        <v>1245</v>
      </c>
      <c r="B10" s="115">
        <v>15.25</v>
      </c>
      <c r="C10" s="118">
        <v>15.25</v>
      </c>
      <c r="D10" s="121"/>
      <c r="E10" s="4"/>
      <c r="G10" s="127"/>
      <c r="H10" s="59"/>
      <c r="I10" s="59"/>
    </row>
    <row r="11" spans="1:9" ht="18" x14ac:dyDescent="0.35">
      <c r="A11" s="79" t="s">
        <v>8</v>
      </c>
      <c r="B11" s="115">
        <v>16</v>
      </c>
      <c r="C11" s="117">
        <v>17.059999999999999</v>
      </c>
      <c r="D11" s="121">
        <v>3.89</v>
      </c>
      <c r="E11" s="4"/>
      <c r="G11" s="127"/>
      <c r="H11" s="59"/>
      <c r="I11" s="59"/>
    </row>
    <row r="12" spans="1:9" ht="15.6" x14ac:dyDescent="0.3">
      <c r="A12" s="43" t="s">
        <v>9</v>
      </c>
      <c r="B12" s="115">
        <v>14.61</v>
      </c>
      <c r="C12" s="117">
        <v>18.059999999999999</v>
      </c>
      <c r="G12" s="127"/>
      <c r="H12" s="59"/>
      <c r="I12" s="59"/>
    </row>
    <row r="13" spans="1:9" ht="15.6" x14ac:dyDescent="0.3">
      <c r="A13" s="43" t="s">
        <v>10</v>
      </c>
      <c r="B13" s="115">
        <v>17.190000000000001</v>
      </c>
      <c r="C13" s="118">
        <v>17.190000000000001</v>
      </c>
      <c r="G13" s="127"/>
      <c r="H13" s="59"/>
      <c r="I13" s="59"/>
    </row>
    <row r="14" spans="1:9" ht="15.6" x14ac:dyDescent="0.3">
      <c r="A14" s="43" t="s">
        <v>11</v>
      </c>
      <c r="B14" s="115">
        <v>1.1499999999999999</v>
      </c>
      <c r="C14" s="118">
        <v>1.1499999999999999</v>
      </c>
      <c r="G14" s="127"/>
      <c r="H14" s="59"/>
      <c r="I14" s="59"/>
    </row>
    <row r="15" spans="1:9" ht="15.6" x14ac:dyDescent="0.3">
      <c r="A15" s="43" t="s">
        <v>12</v>
      </c>
      <c r="B15" s="115">
        <v>1.6</v>
      </c>
      <c r="C15" s="118">
        <v>1.6</v>
      </c>
      <c r="G15" s="127"/>
      <c r="H15" s="59"/>
      <c r="I15" s="59"/>
    </row>
    <row r="16" spans="1:9" ht="15.6" x14ac:dyDescent="0.3">
      <c r="A16" s="43" t="s">
        <v>13</v>
      </c>
      <c r="B16" s="115">
        <v>1.48</v>
      </c>
      <c r="C16" s="118">
        <v>1.48</v>
      </c>
      <c r="G16" s="127"/>
      <c r="H16" s="59"/>
      <c r="I16" s="59"/>
    </row>
    <row r="17" spans="1:9" ht="15.6" x14ac:dyDescent="0.3">
      <c r="A17" s="43" t="s">
        <v>14</v>
      </c>
      <c r="B17" s="115">
        <v>1.08</v>
      </c>
      <c r="C17" s="118">
        <v>1.8</v>
      </c>
      <c r="G17" s="127"/>
      <c r="H17" s="59"/>
      <c r="I17" s="59"/>
    </row>
    <row r="18" spans="1:9" ht="15.6" x14ac:dyDescent="0.3">
      <c r="A18" s="43" t="s">
        <v>15</v>
      </c>
      <c r="B18" s="115">
        <v>1.7</v>
      </c>
      <c r="C18" s="118">
        <v>1.7</v>
      </c>
      <c r="G18" s="127"/>
      <c r="H18" s="59"/>
      <c r="I18" s="59"/>
    </row>
    <row r="19" spans="1:9" ht="15.6" x14ac:dyDescent="0.3">
      <c r="A19" s="43" t="s">
        <v>16</v>
      </c>
      <c r="B19" s="115">
        <v>1.81</v>
      </c>
      <c r="C19" s="118">
        <v>1.81</v>
      </c>
      <c r="G19" s="127"/>
      <c r="H19" s="59"/>
      <c r="I19" s="59"/>
    </row>
    <row r="20" spans="1:9" ht="15.6" x14ac:dyDescent="0.3">
      <c r="A20" s="43" t="s">
        <v>17</v>
      </c>
      <c r="B20" s="116">
        <v>2.2400000000000002</v>
      </c>
      <c r="C20" s="118">
        <v>2.2400000000000002</v>
      </c>
      <c r="G20" s="127"/>
      <c r="H20" s="59"/>
      <c r="I20" s="59"/>
    </row>
    <row r="21" spans="1:9" ht="15.6" x14ac:dyDescent="0.3">
      <c r="A21" s="43" t="s">
        <v>18</v>
      </c>
      <c r="B21" s="115">
        <v>0.6</v>
      </c>
      <c r="C21" s="117">
        <v>0.61</v>
      </c>
      <c r="G21" s="127"/>
      <c r="H21" s="59"/>
      <c r="I21" s="59"/>
    </row>
    <row r="22" spans="1:9" ht="15.6" x14ac:dyDescent="0.3">
      <c r="A22" s="43" t="s">
        <v>19</v>
      </c>
      <c r="B22" s="115">
        <v>2.89</v>
      </c>
      <c r="C22" s="117">
        <v>2.91</v>
      </c>
      <c r="G22" s="127"/>
      <c r="H22" s="59"/>
      <c r="I22" s="59"/>
    </row>
    <row r="23" spans="1:9" ht="15.6" x14ac:dyDescent="0.3">
      <c r="A23" s="43" t="s">
        <v>20</v>
      </c>
      <c r="B23" s="115">
        <v>1.03</v>
      </c>
      <c r="C23" s="118">
        <v>1.03</v>
      </c>
      <c r="G23" s="127"/>
      <c r="H23" s="59"/>
      <c r="I23" s="59"/>
    </row>
    <row r="24" spans="1:9" ht="15.6" x14ac:dyDescent="0.3">
      <c r="A24" s="43" t="s">
        <v>21</v>
      </c>
      <c r="B24" s="116"/>
      <c r="C24" s="118"/>
      <c r="G24" s="127"/>
      <c r="H24" s="59"/>
      <c r="I24" s="59"/>
    </row>
    <row r="25" spans="1:9" x14ac:dyDescent="0.3">
      <c r="G25" s="59"/>
      <c r="H25" s="59"/>
      <c r="I25" s="59"/>
    </row>
    <row r="26" spans="1:9" ht="18" x14ac:dyDescent="0.35">
      <c r="A26" s="5" t="s">
        <v>26</v>
      </c>
      <c r="B26" s="5"/>
      <c r="C26" s="5"/>
    </row>
    <row r="28" spans="1:9" ht="18" x14ac:dyDescent="0.35">
      <c r="A28" s="5"/>
      <c r="B28" s="5"/>
      <c r="C28" s="5"/>
    </row>
    <row r="29" spans="1:9" ht="18" x14ac:dyDescent="0.35">
      <c r="A29" s="1" t="s">
        <v>27</v>
      </c>
      <c r="B29" s="2"/>
      <c r="C29" s="2"/>
    </row>
    <row r="30" spans="1:9" ht="18" x14ac:dyDescent="0.35">
      <c r="A30" s="5"/>
    </row>
    <row r="31" spans="1:9" x14ac:dyDescent="0.3">
      <c r="A31" s="3" t="s">
        <v>23</v>
      </c>
      <c r="B31" s="3" t="s">
        <v>24</v>
      </c>
      <c r="C31" s="3" t="s">
        <v>25</v>
      </c>
    </row>
    <row r="32" spans="1:9" ht="21" x14ac:dyDescent="0.4">
      <c r="A32" s="6">
        <v>100</v>
      </c>
      <c r="B32" s="6">
        <v>40</v>
      </c>
      <c r="C32" s="7">
        <v>1</v>
      </c>
    </row>
    <row r="33" spans="1:3" ht="21" x14ac:dyDescent="0.4">
      <c r="A33" s="6">
        <v>100</v>
      </c>
      <c r="B33" s="6">
        <v>50</v>
      </c>
      <c r="C33" s="7">
        <v>2</v>
      </c>
    </row>
    <row r="34" spans="1:3" ht="21" x14ac:dyDescent="0.4">
      <c r="A34" s="6">
        <v>100</v>
      </c>
      <c r="B34" s="6">
        <v>60</v>
      </c>
      <c r="C34" s="7">
        <v>2</v>
      </c>
    </row>
    <row r="35" spans="1:3" ht="21" x14ac:dyDescent="0.4">
      <c r="A35" s="6">
        <v>100</v>
      </c>
      <c r="B35" s="6">
        <v>80</v>
      </c>
      <c r="C35" s="7">
        <v>3</v>
      </c>
    </row>
    <row r="36" spans="1:3" ht="21" x14ac:dyDescent="0.4">
      <c r="A36" s="6">
        <v>100</v>
      </c>
      <c r="B36" s="6">
        <v>100</v>
      </c>
      <c r="C36" s="7">
        <v>4</v>
      </c>
    </row>
    <row r="37" spans="1:3" ht="21" x14ac:dyDescent="0.4">
      <c r="A37" s="6">
        <v>200</v>
      </c>
      <c r="B37" s="6">
        <v>150</v>
      </c>
      <c r="C37" s="7">
        <v>6</v>
      </c>
    </row>
    <row r="38" spans="1:3" ht="21" x14ac:dyDescent="0.4">
      <c r="A38" s="6">
        <v>200</v>
      </c>
      <c r="B38" s="6">
        <v>200</v>
      </c>
      <c r="C38" s="7">
        <v>9</v>
      </c>
    </row>
    <row r="39" spans="1:3" ht="21" x14ac:dyDescent="0.4">
      <c r="A39" s="6">
        <v>200</v>
      </c>
      <c r="B39" s="6">
        <v>250</v>
      </c>
      <c r="C39" s="7">
        <v>11</v>
      </c>
    </row>
    <row r="40" spans="1:3" ht="21" x14ac:dyDescent="0.4">
      <c r="A40" s="6">
        <v>200</v>
      </c>
      <c r="B40" s="6">
        <v>300</v>
      </c>
      <c r="C40" s="7">
        <v>14</v>
      </c>
    </row>
    <row r="41" spans="1:3" ht="21" x14ac:dyDescent="0.4">
      <c r="A41" s="6">
        <v>200</v>
      </c>
      <c r="B41" s="6">
        <v>400</v>
      </c>
      <c r="C41" s="7">
        <v>19</v>
      </c>
    </row>
    <row r="42" spans="1:3" ht="21" x14ac:dyDescent="0.4">
      <c r="A42" s="6">
        <v>200</v>
      </c>
      <c r="B42" s="6">
        <v>500</v>
      </c>
      <c r="C42" s="7">
        <v>24</v>
      </c>
    </row>
    <row r="43" spans="1:3" ht="21" x14ac:dyDescent="0.4">
      <c r="A43" s="6">
        <v>300</v>
      </c>
      <c r="B43" s="6">
        <v>600</v>
      </c>
      <c r="C43" s="7">
        <v>29</v>
      </c>
    </row>
    <row r="52" spans="1:3" ht="15.6" x14ac:dyDescent="0.3">
      <c r="A52" s="15" t="s">
        <v>130</v>
      </c>
    </row>
    <row r="53" spans="1:3" x14ac:dyDescent="0.3">
      <c r="A53" s="13" t="s">
        <v>131</v>
      </c>
      <c r="B53" s="13" t="s">
        <v>132</v>
      </c>
      <c r="C53" s="13" t="s">
        <v>134</v>
      </c>
    </row>
    <row r="54" spans="1:3" x14ac:dyDescent="0.3">
      <c r="A54" s="14">
        <v>600</v>
      </c>
      <c r="B54" s="14">
        <v>100</v>
      </c>
      <c r="C54" s="14">
        <v>1</v>
      </c>
    </row>
    <row r="55" spans="1:3" x14ac:dyDescent="0.3">
      <c r="A55" s="14">
        <v>700</v>
      </c>
      <c r="B55" s="14">
        <v>100</v>
      </c>
      <c r="C55" s="14">
        <v>1</v>
      </c>
    </row>
    <row r="56" spans="1:3" x14ac:dyDescent="0.3">
      <c r="A56" s="14">
        <v>800</v>
      </c>
      <c r="B56" s="14">
        <v>100</v>
      </c>
      <c r="C56" s="14">
        <v>1</v>
      </c>
    </row>
    <row r="57" spans="1:3" x14ac:dyDescent="0.3">
      <c r="A57" s="14">
        <v>900</v>
      </c>
      <c r="B57" s="14">
        <v>100</v>
      </c>
      <c r="C57" s="14">
        <v>1</v>
      </c>
    </row>
    <row r="58" spans="1:3" x14ac:dyDescent="0.3">
      <c r="A58" s="14">
        <v>1000</v>
      </c>
      <c r="B58" s="14">
        <v>100</v>
      </c>
      <c r="C58" s="14">
        <v>1</v>
      </c>
    </row>
    <row r="59" spans="1:3" x14ac:dyDescent="0.3">
      <c r="A59" s="14">
        <v>1200</v>
      </c>
      <c r="B59" s="14">
        <v>100</v>
      </c>
      <c r="C59" s="14">
        <v>2</v>
      </c>
    </row>
    <row r="60" spans="1:3" x14ac:dyDescent="0.3">
      <c r="A60" s="12"/>
      <c r="B60" s="12"/>
      <c r="C60" s="12"/>
    </row>
    <row r="61" spans="1:3" x14ac:dyDescent="0.3">
      <c r="A61" s="14">
        <v>600</v>
      </c>
      <c r="B61" s="14">
        <v>150</v>
      </c>
      <c r="C61" s="14">
        <v>1</v>
      </c>
    </row>
    <row r="62" spans="1:3" x14ac:dyDescent="0.3">
      <c r="A62" s="14">
        <v>700</v>
      </c>
      <c r="B62" s="14">
        <v>150</v>
      </c>
      <c r="C62" s="14">
        <v>1</v>
      </c>
    </row>
    <row r="63" spans="1:3" x14ac:dyDescent="0.3">
      <c r="A63" s="14">
        <v>800</v>
      </c>
      <c r="B63" s="14">
        <v>150</v>
      </c>
      <c r="C63" s="14">
        <v>1</v>
      </c>
    </row>
    <row r="64" spans="1:3" x14ac:dyDescent="0.3">
      <c r="A64" s="14">
        <v>900</v>
      </c>
      <c r="B64" s="14">
        <v>150</v>
      </c>
      <c r="C64" s="14">
        <v>1</v>
      </c>
    </row>
    <row r="65" spans="1:3" x14ac:dyDescent="0.3">
      <c r="A65" s="14">
        <v>1000</v>
      </c>
      <c r="B65" s="14">
        <v>150</v>
      </c>
      <c r="C65" s="14">
        <v>1</v>
      </c>
    </row>
    <row r="66" spans="1:3" x14ac:dyDescent="0.3">
      <c r="A66" s="14">
        <v>1200</v>
      </c>
      <c r="B66" s="14">
        <v>150</v>
      </c>
      <c r="C66" s="14">
        <v>2</v>
      </c>
    </row>
    <row r="67" spans="1:3" x14ac:dyDescent="0.3">
      <c r="A67" s="12"/>
      <c r="B67" s="12"/>
      <c r="C67" s="12"/>
    </row>
    <row r="68" spans="1:3" x14ac:dyDescent="0.3">
      <c r="A68" s="14">
        <v>600</v>
      </c>
      <c r="B68" s="14">
        <v>200</v>
      </c>
      <c r="C68" s="14">
        <v>1</v>
      </c>
    </row>
    <row r="69" spans="1:3" x14ac:dyDescent="0.3">
      <c r="A69" s="14">
        <v>700</v>
      </c>
      <c r="B69" s="14">
        <v>200</v>
      </c>
      <c r="C69" s="14">
        <v>1</v>
      </c>
    </row>
    <row r="70" spans="1:3" x14ac:dyDescent="0.3">
      <c r="A70" s="14">
        <v>800</v>
      </c>
      <c r="B70" s="14">
        <v>200</v>
      </c>
      <c r="C70" s="14">
        <v>1</v>
      </c>
    </row>
    <row r="71" spans="1:3" x14ac:dyDescent="0.3">
      <c r="A71" s="14">
        <v>900</v>
      </c>
      <c r="B71" s="14">
        <v>200</v>
      </c>
      <c r="C71" s="14">
        <v>1</v>
      </c>
    </row>
    <row r="72" spans="1:3" x14ac:dyDescent="0.3">
      <c r="A72" s="14">
        <v>1000</v>
      </c>
      <c r="B72" s="14">
        <v>200</v>
      </c>
      <c r="C72" s="14">
        <v>1</v>
      </c>
    </row>
    <row r="73" spans="1:3" x14ac:dyDescent="0.3">
      <c r="A73" s="14">
        <v>1200</v>
      </c>
      <c r="B73" s="14">
        <v>200</v>
      </c>
      <c r="C73" s="14">
        <v>2</v>
      </c>
    </row>
    <row r="74" spans="1:3" x14ac:dyDescent="0.3">
      <c r="A74" s="12"/>
      <c r="B74" s="12"/>
      <c r="C74" s="12"/>
    </row>
    <row r="75" spans="1:3" x14ac:dyDescent="0.3">
      <c r="A75" s="14">
        <v>600</v>
      </c>
      <c r="B75" s="14">
        <v>300</v>
      </c>
      <c r="C75" s="14">
        <v>1</v>
      </c>
    </row>
    <row r="76" spans="1:3" x14ac:dyDescent="0.3">
      <c r="A76" s="14">
        <v>700</v>
      </c>
      <c r="B76" s="14">
        <v>300</v>
      </c>
      <c r="C76" s="14">
        <v>1</v>
      </c>
    </row>
    <row r="77" spans="1:3" x14ac:dyDescent="0.3">
      <c r="A77" s="14">
        <v>800</v>
      </c>
      <c r="B77" s="14">
        <v>300</v>
      </c>
      <c r="C77" s="14">
        <v>1</v>
      </c>
    </row>
    <row r="78" spans="1:3" x14ac:dyDescent="0.3">
      <c r="A78" s="14">
        <v>900</v>
      </c>
      <c r="B78" s="14">
        <v>300</v>
      </c>
      <c r="C78" s="14">
        <v>1</v>
      </c>
    </row>
    <row r="79" spans="1:3" x14ac:dyDescent="0.3">
      <c r="A79" s="14">
        <v>1000</v>
      </c>
      <c r="B79" s="14">
        <v>300</v>
      </c>
      <c r="C79" s="14">
        <v>1</v>
      </c>
    </row>
    <row r="80" spans="1:3" x14ac:dyDescent="0.3">
      <c r="A80" s="14">
        <v>1200</v>
      </c>
      <c r="B80" s="14">
        <v>300</v>
      </c>
      <c r="C80" s="14">
        <v>2</v>
      </c>
    </row>
    <row r="81" spans="1:3" x14ac:dyDescent="0.3">
      <c r="A81" s="12"/>
      <c r="B81" s="12"/>
      <c r="C81" s="12"/>
    </row>
    <row r="82" spans="1:3" x14ac:dyDescent="0.3">
      <c r="A82" s="14">
        <v>600</v>
      </c>
      <c r="B82" s="14">
        <v>400</v>
      </c>
      <c r="C82" s="14">
        <v>1</v>
      </c>
    </row>
    <row r="83" spans="1:3" x14ac:dyDescent="0.3">
      <c r="A83" s="14">
        <v>700</v>
      </c>
      <c r="B83" s="14">
        <v>400</v>
      </c>
      <c r="C83" s="14">
        <v>1</v>
      </c>
    </row>
    <row r="84" spans="1:3" x14ac:dyDescent="0.3">
      <c r="A84" s="14">
        <v>800</v>
      </c>
      <c r="B84" s="14">
        <v>400</v>
      </c>
      <c r="C84" s="14">
        <v>1</v>
      </c>
    </row>
    <row r="85" spans="1:3" x14ac:dyDescent="0.3">
      <c r="A85" s="14">
        <v>900</v>
      </c>
      <c r="B85" s="14">
        <v>400</v>
      </c>
      <c r="C85" s="14">
        <v>1</v>
      </c>
    </row>
    <row r="86" spans="1:3" x14ac:dyDescent="0.3">
      <c r="A86" s="14">
        <v>1000</v>
      </c>
      <c r="B86" s="14">
        <v>400</v>
      </c>
      <c r="C86" s="14">
        <v>1</v>
      </c>
    </row>
    <row r="87" spans="1:3" x14ac:dyDescent="0.3">
      <c r="A87" s="14">
        <v>1200</v>
      </c>
      <c r="B87" s="14">
        <v>400</v>
      </c>
      <c r="C87" s="14">
        <v>2</v>
      </c>
    </row>
    <row r="88" spans="1:3" x14ac:dyDescent="0.3">
      <c r="A88" s="12"/>
      <c r="B88" s="12"/>
      <c r="C88" s="12"/>
    </row>
    <row r="89" spans="1:3" x14ac:dyDescent="0.3">
      <c r="A89" s="14">
        <v>600</v>
      </c>
      <c r="B89" s="14">
        <v>500</v>
      </c>
      <c r="C89" s="14">
        <v>1</v>
      </c>
    </row>
    <row r="90" spans="1:3" x14ac:dyDescent="0.3">
      <c r="A90" s="14">
        <v>700</v>
      </c>
      <c r="B90" s="14">
        <v>500</v>
      </c>
      <c r="C90" s="14">
        <v>1</v>
      </c>
    </row>
    <row r="91" spans="1:3" x14ac:dyDescent="0.3">
      <c r="A91" s="14">
        <v>800</v>
      </c>
      <c r="B91" s="14">
        <v>500</v>
      </c>
      <c r="C91" s="14">
        <v>1</v>
      </c>
    </row>
    <row r="92" spans="1:3" x14ac:dyDescent="0.3">
      <c r="A92" s="14">
        <v>900</v>
      </c>
      <c r="B92" s="14">
        <v>500</v>
      </c>
      <c r="C92" s="14">
        <v>1</v>
      </c>
    </row>
    <row r="93" spans="1:3" x14ac:dyDescent="0.3">
      <c r="A93" s="14">
        <v>1000</v>
      </c>
      <c r="B93" s="14">
        <v>500</v>
      </c>
      <c r="C93" s="14">
        <v>1</v>
      </c>
    </row>
    <row r="94" spans="1:3" x14ac:dyDescent="0.3">
      <c r="A94" s="14">
        <v>1200</v>
      </c>
      <c r="B94" s="14">
        <v>500</v>
      </c>
      <c r="C94" s="14">
        <v>2</v>
      </c>
    </row>
    <row r="110" spans="1:5" ht="18" x14ac:dyDescent="0.35">
      <c r="A110" s="1" t="s">
        <v>22</v>
      </c>
      <c r="B110" s="1"/>
      <c r="C110" s="5"/>
    </row>
    <row r="112" spans="1:5" x14ac:dyDescent="0.3">
      <c r="A112" s="3" t="s">
        <v>23</v>
      </c>
      <c r="B112" s="3" t="s">
        <v>24</v>
      </c>
      <c r="C112" s="20" t="s">
        <v>25</v>
      </c>
      <c r="D112" s="3" t="s">
        <v>133</v>
      </c>
      <c r="E112" s="151" t="s">
        <v>2105</v>
      </c>
    </row>
    <row r="113" spans="1:5" ht="21" x14ac:dyDescent="0.4">
      <c r="A113" s="6">
        <v>200</v>
      </c>
      <c r="B113" s="6">
        <v>40</v>
      </c>
      <c r="C113" s="21">
        <v>1</v>
      </c>
      <c r="D113" s="4">
        <v>2</v>
      </c>
    </row>
    <row r="114" spans="1:5" ht="21" x14ac:dyDescent="0.4">
      <c r="A114" s="6">
        <v>200</v>
      </c>
      <c r="B114" s="6">
        <v>50</v>
      </c>
      <c r="C114" s="21">
        <v>2</v>
      </c>
      <c r="D114" s="4">
        <v>2</v>
      </c>
      <c r="E114" s="137">
        <v>1</v>
      </c>
    </row>
    <row r="115" spans="1:5" ht="21" x14ac:dyDescent="0.4">
      <c r="A115" s="6">
        <v>200</v>
      </c>
      <c r="B115" s="6">
        <v>60</v>
      </c>
      <c r="C115" s="21">
        <v>3</v>
      </c>
      <c r="D115" s="4">
        <v>2</v>
      </c>
      <c r="E115" s="137">
        <v>1</v>
      </c>
    </row>
    <row r="116" spans="1:5" ht="21" x14ac:dyDescent="0.4">
      <c r="A116" s="6">
        <v>200</v>
      </c>
      <c r="B116" s="6">
        <v>65</v>
      </c>
      <c r="C116" s="21">
        <v>3</v>
      </c>
      <c r="D116" s="4">
        <v>2</v>
      </c>
    </row>
    <row r="117" spans="1:5" ht="21" x14ac:dyDescent="0.4">
      <c r="A117" s="6">
        <v>200</v>
      </c>
      <c r="B117" s="6">
        <v>75</v>
      </c>
      <c r="C117" s="21">
        <v>4</v>
      </c>
      <c r="D117" s="4">
        <v>2</v>
      </c>
    </row>
    <row r="118" spans="1:5" ht="21" x14ac:dyDescent="0.4">
      <c r="A118" s="6">
        <v>200</v>
      </c>
      <c r="B118" s="6">
        <v>85</v>
      </c>
      <c r="C118" s="21">
        <v>5</v>
      </c>
      <c r="D118" s="4">
        <v>2</v>
      </c>
    </row>
    <row r="119" spans="1:5" ht="21" x14ac:dyDescent="0.4">
      <c r="A119" s="6">
        <v>200</v>
      </c>
      <c r="B119" s="6">
        <v>90</v>
      </c>
      <c r="C119" s="21">
        <v>5</v>
      </c>
      <c r="D119" s="4">
        <v>2</v>
      </c>
    </row>
    <row r="120" spans="1:5" ht="21" x14ac:dyDescent="0.4">
      <c r="A120" s="6">
        <v>200</v>
      </c>
      <c r="B120" s="6">
        <v>100</v>
      </c>
      <c r="C120" s="21">
        <v>6</v>
      </c>
      <c r="D120" s="4">
        <v>2</v>
      </c>
      <c r="E120" s="137">
        <v>5</v>
      </c>
    </row>
    <row r="121" spans="1:5" ht="21" x14ac:dyDescent="0.4">
      <c r="A121" s="6">
        <v>200</v>
      </c>
      <c r="B121" s="6">
        <v>120</v>
      </c>
      <c r="C121" s="21">
        <v>7</v>
      </c>
      <c r="D121" s="4">
        <v>2</v>
      </c>
    </row>
    <row r="122" spans="1:5" ht="21" x14ac:dyDescent="0.4">
      <c r="A122" s="6">
        <v>200</v>
      </c>
      <c r="B122" s="6">
        <v>130</v>
      </c>
      <c r="C122" s="21">
        <v>8</v>
      </c>
      <c r="D122" s="4">
        <v>2</v>
      </c>
    </row>
    <row r="123" spans="1:5" ht="21" x14ac:dyDescent="0.4">
      <c r="A123" s="6">
        <v>200</v>
      </c>
      <c r="B123" s="6">
        <v>135</v>
      </c>
      <c r="C123" s="21">
        <v>9</v>
      </c>
      <c r="D123" s="4">
        <v>2</v>
      </c>
    </row>
    <row r="124" spans="1:5" ht="21" x14ac:dyDescent="0.4">
      <c r="A124" s="6">
        <v>200</v>
      </c>
      <c r="B124" s="6">
        <v>150</v>
      </c>
      <c r="C124" s="21">
        <v>10</v>
      </c>
      <c r="D124" s="4">
        <v>2</v>
      </c>
      <c r="E124" s="137">
        <v>8</v>
      </c>
    </row>
    <row r="125" spans="1:5" ht="21" x14ac:dyDescent="0.4">
      <c r="A125" s="6">
        <v>200</v>
      </c>
      <c r="B125" s="6">
        <v>200</v>
      </c>
      <c r="C125" s="21">
        <v>14</v>
      </c>
      <c r="D125" s="4">
        <v>2</v>
      </c>
      <c r="E125" s="137">
        <v>11</v>
      </c>
    </row>
    <row r="126" spans="1:5" ht="21" x14ac:dyDescent="0.4">
      <c r="A126" s="16"/>
      <c r="B126" s="16"/>
      <c r="C126" s="22"/>
      <c r="D126" s="23"/>
    </row>
    <row r="127" spans="1:5" ht="21" x14ac:dyDescent="0.4">
      <c r="A127" s="6">
        <v>300</v>
      </c>
      <c r="B127" s="6">
        <v>250</v>
      </c>
      <c r="C127" s="21">
        <v>17</v>
      </c>
      <c r="D127" s="4">
        <v>2</v>
      </c>
    </row>
    <row r="128" spans="1:5" ht="21" x14ac:dyDescent="0.4">
      <c r="A128" s="6">
        <v>300</v>
      </c>
      <c r="B128" s="6">
        <v>300</v>
      </c>
      <c r="C128" s="21">
        <v>21</v>
      </c>
      <c r="D128" s="4">
        <v>2</v>
      </c>
      <c r="E128" s="138">
        <v>18</v>
      </c>
    </row>
    <row r="129" spans="1:5" ht="21" x14ac:dyDescent="0.4">
      <c r="A129" s="6">
        <v>400</v>
      </c>
      <c r="B129" s="6">
        <v>350</v>
      </c>
      <c r="C129" s="21">
        <v>26</v>
      </c>
      <c r="D129" s="4">
        <v>2</v>
      </c>
      <c r="E129" s="138">
        <v>21</v>
      </c>
    </row>
    <row r="130" spans="1:5" ht="21" x14ac:dyDescent="0.4">
      <c r="A130" s="16"/>
      <c r="B130" s="16"/>
      <c r="C130" s="22"/>
      <c r="D130" s="23"/>
    </row>
    <row r="131" spans="1:5" ht="21" x14ac:dyDescent="0.4">
      <c r="A131" s="6">
        <v>400</v>
      </c>
      <c r="B131" s="6">
        <v>400</v>
      </c>
      <c r="C131" s="21">
        <v>29</v>
      </c>
      <c r="D131" s="4">
        <v>2</v>
      </c>
      <c r="E131" s="137">
        <v>25</v>
      </c>
    </row>
    <row r="132" spans="1:5" ht="21" x14ac:dyDescent="0.4">
      <c r="A132" s="6"/>
      <c r="B132" s="6">
        <v>430</v>
      </c>
      <c r="C132" s="21"/>
      <c r="D132" s="4"/>
      <c r="E132" s="150"/>
    </row>
    <row r="133" spans="1:5" ht="21" x14ac:dyDescent="0.4">
      <c r="A133" s="6"/>
      <c r="B133" s="6">
        <v>450</v>
      </c>
      <c r="C133" s="21"/>
      <c r="D133" s="4"/>
      <c r="E133" s="150"/>
    </row>
    <row r="134" spans="1:5" ht="21" x14ac:dyDescent="0.4">
      <c r="A134" s="6"/>
      <c r="B134" s="6">
        <v>500</v>
      </c>
      <c r="C134" s="21"/>
      <c r="D134" s="4"/>
      <c r="E134" s="150"/>
    </row>
    <row r="135" spans="1:5" ht="21" x14ac:dyDescent="0.4">
      <c r="A135" s="6"/>
      <c r="B135" s="6">
        <v>570</v>
      </c>
      <c r="C135" s="21"/>
      <c r="D135" s="4"/>
      <c r="E135" s="150"/>
    </row>
    <row r="136" spans="1:5" ht="21" x14ac:dyDescent="0.4">
      <c r="A136" s="6"/>
      <c r="B136" s="6">
        <v>600</v>
      </c>
      <c r="C136" s="21"/>
      <c r="D136" s="4"/>
      <c r="E136" s="150"/>
    </row>
    <row r="137" spans="1:5" ht="21" x14ac:dyDescent="0.4">
      <c r="A137" s="6">
        <v>400</v>
      </c>
      <c r="B137" s="6">
        <v>40</v>
      </c>
      <c r="C137" s="21">
        <v>1</v>
      </c>
      <c r="D137" s="4">
        <v>2</v>
      </c>
    </row>
    <row r="138" spans="1:5" ht="21" x14ac:dyDescent="0.4">
      <c r="A138" s="6">
        <v>400</v>
      </c>
      <c r="B138" s="6">
        <v>50</v>
      </c>
      <c r="C138" s="21">
        <v>2</v>
      </c>
      <c r="D138" s="4">
        <v>2</v>
      </c>
    </row>
    <row r="139" spans="1:5" ht="21" x14ac:dyDescent="0.4">
      <c r="A139" s="6">
        <v>400</v>
      </c>
      <c r="B139" s="6">
        <v>60</v>
      </c>
      <c r="C139" s="21">
        <v>3</v>
      </c>
      <c r="D139" s="4">
        <v>2</v>
      </c>
    </row>
    <row r="140" spans="1:5" ht="21" x14ac:dyDescent="0.4">
      <c r="A140" s="6">
        <v>400</v>
      </c>
      <c r="B140" s="6">
        <v>75</v>
      </c>
      <c r="C140" s="21">
        <v>4</v>
      </c>
      <c r="D140" s="4">
        <v>2</v>
      </c>
    </row>
    <row r="141" spans="1:5" ht="21" x14ac:dyDescent="0.4">
      <c r="A141" s="6">
        <v>400</v>
      </c>
      <c r="B141" s="6">
        <v>85</v>
      </c>
      <c r="C141" s="21">
        <v>5</v>
      </c>
      <c r="D141" s="4">
        <v>2</v>
      </c>
    </row>
    <row r="142" spans="1:5" ht="21" x14ac:dyDescent="0.4">
      <c r="A142" s="6">
        <v>400</v>
      </c>
      <c r="B142" s="6">
        <v>90</v>
      </c>
      <c r="C142" s="21">
        <v>5</v>
      </c>
      <c r="D142" s="4">
        <v>2</v>
      </c>
    </row>
    <row r="143" spans="1:5" ht="21" x14ac:dyDescent="0.4">
      <c r="A143" s="6">
        <v>400</v>
      </c>
      <c r="B143" s="6">
        <v>100</v>
      </c>
      <c r="C143" s="21">
        <v>6</v>
      </c>
      <c r="D143" s="4">
        <v>2</v>
      </c>
    </row>
    <row r="144" spans="1:5" ht="21" x14ac:dyDescent="0.4">
      <c r="A144" s="6">
        <v>400</v>
      </c>
      <c r="B144" s="6">
        <v>120</v>
      </c>
      <c r="C144" s="21">
        <v>8</v>
      </c>
      <c r="D144" s="4">
        <v>2</v>
      </c>
    </row>
    <row r="145" spans="1:4" ht="21" x14ac:dyDescent="0.4">
      <c r="A145" s="6">
        <v>400</v>
      </c>
      <c r="B145" s="6">
        <v>130</v>
      </c>
      <c r="C145" s="21">
        <v>8</v>
      </c>
      <c r="D145" s="4">
        <v>2</v>
      </c>
    </row>
    <row r="146" spans="1:4" ht="21" x14ac:dyDescent="0.4">
      <c r="A146" s="6">
        <v>400</v>
      </c>
      <c r="B146" s="6">
        <v>135</v>
      </c>
      <c r="C146" s="21">
        <v>9</v>
      </c>
      <c r="D146" s="4">
        <v>2</v>
      </c>
    </row>
    <row r="147" spans="1:4" ht="21" x14ac:dyDescent="0.4">
      <c r="A147" s="6">
        <v>400</v>
      </c>
      <c r="B147" s="6">
        <v>150</v>
      </c>
      <c r="C147" s="21">
        <v>10</v>
      </c>
      <c r="D147" s="4">
        <v>2</v>
      </c>
    </row>
    <row r="148" spans="1:4" ht="21" x14ac:dyDescent="0.4">
      <c r="A148" s="6">
        <v>400</v>
      </c>
      <c r="B148" s="6">
        <v>200</v>
      </c>
      <c r="C148" s="21">
        <v>14</v>
      </c>
      <c r="D148" s="4">
        <v>2</v>
      </c>
    </row>
    <row r="149" spans="1:4" ht="21" x14ac:dyDescent="0.4">
      <c r="A149" s="6">
        <v>400</v>
      </c>
      <c r="B149" s="6">
        <v>250</v>
      </c>
      <c r="C149" s="21">
        <v>17</v>
      </c>
      <c r="D149" s="4">
        <v>2</v>
      </c>
    </row>
    <row r="150" spans="1:4" ht="21" x14ac:dyDescent="0.4">
      <c r="A150" s="6">
        <v>400</v>
      </c>
      <c r="B150" s="6">
        <v>300</v>
      </c>
      <c r="C150" s="21">
        <v>21</v>
      </c>
      <c r="D150" s="4">
        <v>2</v>
      </c>
    </row>
    <row r="151" spans="1:4" ht="21" x14ac:dyDescent="0.4">
      <c r="A151" s="6">
        <v>400</v>
      </c>
      <c r="B151" s="6">
        <v>400</v>
      </c>
      <c r="C151" s="21">
        <v>29</v>
      </c>
      <c r="D151" s="4">
        <v>2</v>
      </c>
    </row>
    <row r="152" spans="1:4" ht="21" x14ac:dyDescent="0.4">
      <c r="A152" s="17"/>
      <c r="B152" s="16"/>
      <c r="C152" s="22"/>
      <c r="D152" s="23"/>
    </row>
    <row r="153" spans="1:4" ht="21" x14ac:dyDescent="0.4">
      <c r="A153" s="6">
        <v>500</v>
      </c>
      <c r="B153" s="6">
        <v>40</v>
      </c>
      <c r="C153" s="21">
        <v>1</v>
      </c>
      <c r="D153" s="4">
        <v>2</v>
      </c>
    </row>
    <row r="154" spans="1:4" ht="21" x14ac:dyDescent="0.4">
      <c r="A154" s="6">
        <v>500</v>
      </c>
      <c r="B154" s="6">
        <v>50</v>
      </c>
      <c r="C154" s="21">
        <v>2</v>
      </c>
      <c r="D154" s="4">
        <v>2</v>
      </c>
    </row>
    <row r="155" spans="1:4" ht="21" x14ac:dyDescent="0.4">
      <c r="A155" s="6">
        <v>500</v>
      </c>
      <c r="B155" s="6">
        <v>60</v>
      </c>
      <c r="C155" s="21">
        <v>3</v>
      </c>
      <c r="D155" s="4">
        <v>2</v>
      </c>
    </row>
    <row r="156" spans="1:4" ht="21" x14ac:dyDescent="0.4">
      <c r="A156" s="6">
        <v>500</v>
      </c>
      <c r="B156" s="6">
        <v>75</v>
      </c>
      <c r="C156" s="21">
        <v>4</v>
      </c>
      <c r="D156" s="4">
        <v>2</v>
      </c>
    </row>
    <row r="157" spans="1:4" ht="21" x14ac:dyDescent="0.4">
      <c r="A157" s="6">
        <v>500</v>
      </c>
      <c r="B157" s="6">
        <v>85</v>
      </c>
      <c r="C157" s="21">
        <v>5</v>
      </c>
      <c r="D157" s="4">
        <v>2</v>
      </c>
    </row>
    <row r="158" spans="1:4" ht="21" x14ac:dyDescent="0.4">
      <c r="A158" s="6">
        <v>500</v>
      </c>
      <c r="B158" s="6">
        <v>90</v>
      </c>
      <c r="C158" s="21">
        <v>5</v>
      </c>
      <c r="D158" s="4">
        <v>2</v>
      </c>
    </row>
    <row r="159" spans="1:4" ht="21" x14ac:dyDescent="0.4">
      <c r="A159" s="6">
        <v>500</v>
      </c>
      <c r="B159" s="6">
        <v>100</v>
      </c>
      <c r="C159" s="21">
        <v>6</v>
      </c>
      <c r="D159" s="4">
        <v>2</v>
      </c>
    </row>
    <row r="160" spans="1:4" ht="21" x14ac:dyDescent="0.4">
      <c r="A160" s="6">
        <v>500</v>
      </c>
      <c r="B160" s="6">
        <v>120</v>
      </c>
      <c r="C160" s="21">
        <v>8</v>
      </c>
      <c r="D160" s="4">
        <v>2</v>
      </c>
    </row>
    <row r="161" spans="1:4" ht="21" x14ac:dyDescent="0.4">
      <c r="A161" s="6">
        <v>500</v>
      </c>
      <c r="B161" s="6">
        <v>130</v>
      </c>
      <c r="C161" s="21">
        <v>8</v>
      </c>
      <c r="D161" s="4">
        <v>2</v>
      </c>
    </row>
    <row r="162" spans="1:4" ht="21" x14ac:dyDescent="0.4">
      <c r="A162" s="6">
        <v>500</v>
      </c>
      <c r="B162" s="6">
        <v>135</v>
      </c>
      <c r="C162" s="21">
        <v>9</v>
      </c>
      <c r="D162" s="4">
        <v>2</v>
      </c>
    </row>
    <row r="163" spans="1:4" ht="21" x14ac:dyDescent="0.4">
      <c r="A163" s="6">
        <v>500</v>
      </c>
      <c r="B163" s="6">
        <v>150</v>
      </c>
      <c r="C163" s="21">
        <v>10</v>
      </c>
      <c r="D163" s="4">
        <v>2</v>
      </c>
    </row>
    <row r="164" spans="1:4" ht="21" x14ac:dyDescent="0.4">
      <c r="A164" s="6">
        <v>500</v>
      </c>
      <c r="B164" s="6">
        <v>200</v>
      </c>
      <c r="C164" s="21">
        <v>14</v>
      </c>
      <c r="D164" s="4">
        <v>2</v>
      </c>
    </row>
    <row r="165" spans="1:4" ht="21" x14ac:dyDescent="0.4">
      <c r="A165" s="6">
        <v>500</v>
      </c>
      <c r="B165" s="6">
        <v>250</v>
      </c>
      <c r="C165" s="21">
        <v>17</v>
      </c>
      <c r="D165" s="4">
        <v>2</v>
      </c>
    </row>
    <row r="166" spans="1:4" ht="21" x14ac:dyDescent="0.4">
      <c r="A166" s="6">
        <v>500</v>
      </c>
      <c r="B166" s="6">
        <v>300</v>
      </c>
      <c r="C166" s="21">
        <v>21</v>
      </c>
      <c r="D166" s="4">
        <v>2</v>
      </c>
    </row>
    <row r="167" spans="1:4" ht="21" x14ac:dyDescent="0.4">
      <c r="A167" s="6">
        <v>500</v>
      </c>
      <c r="B167" s="6">
        <v>400</v>
      </c>
      <c r="C167" s="21">
        <v>29</v>
      </c>
      <c r="D167" s="4">
        <v>3</v>
      </c>
    </row>
    <row r="168" spans="1:4" ht="21" x14ac:dyDescent="0.4">
      <c r="A168" s="17"/>
      <c r="B168" s="18"/>
      <c r="C168" s="18"/>
      <c r="D168" s="23"/>
    </row>
    <row r="169" spans="1:4" ht="21" x14ac:dyDescent="0.4">
      <c r="A169" s="6">
        <v>600</v>
      </c>
      <c r="B169" s="6">
        <v>40</v>
      </c>
      <c r="C169" s="21">
        <v>1</v>
      </c>
      <c r="D169" s="4">
        <v>2</v>
      </c>
    </row>
    <row r="170" spans="1:4" ht="21" x14ac:dyDescent="0.4">
      <c r="A170" s="6">
        <v>600</v>
      </c>
      <c r="B170" s="6">
        <v>50</v>
      </c>
      <c r="C170" s="21">
        <v>2</v>
      </c>
      <c r="D170" s="4">
        <v>2</v>
      </c>
    </row>
    <row r="171" spans="1:4" ht="21" x14ac:dyDescent="0.4">
      <c r="A171" s="6">
        <v>600</v>
      </c>
      <c r="B171" s="6">
        <v>60</v>
      </c>
      <c r="C171" s="21">
        <v>3</v>
      </c>
      <c r="D171" s="4">
        <v>2</v>
      </c>
    </row>
    <row r="172" spans="1:4" ht="21" x14ac:dyDescent="0.4">
      <c r="A172" s="6">
        <v>600</v>
      </c>
      <c r="B172" s="6">
        <v>75</v>
      </c>
      <c r="C172" s="21">
        <v>4</v>
      </c>
      <c r="D172" s="4">
        <v>2</v>
      </c>
    </row>
    <row r="173" spans="1:4" ht="21" x14ac:dyDescent="0.4">
      <c r="A173" s="6">
        <v>600</v>
      </c>
      <c r="B173" s="6">
        <v>85</v>
      </c>
      <c r="C173" s="21">
        <v>5</v>
      </c>
      <c r="D173" s="4">
        <v>2</v>
      </c>
    </row>
    <row r="174" spans="1:4" ht="21" x14ac:dyDescent="0.4">
      <c r="A174" s="6">
        <v>600</v>
      </c>
      <c r="B174" s="6">
        <v>90</v>
      </c>
      <c r="C174" s="21">
        <v>5</v>
      </c>
      <c r="D174" s="4">
        <v>2</v>
      </c>
    </row>
    <row r="175" spans="1:4" ht="21" x14ac:dyDescent="0.4">
      <c r="A175" s="6">
        <v>600</v>
      </c>
      <c r="B175" s="6">
        <v>100</v>
      </c>
      <c r="C175" s="21">
        <v>6</v>
      </c>
      <c r="D175" s="4">
        <v>2</v>
      </c>
    </row>
    <row r="176" spans="1:4" ht="21" x14ac:dyDescent="0.4">
      <c r="A176" s="6">
        <v>600</v>
      </c>
      <c r="B176" s="6">
        <v>120</v>
      </c>
      <c r="C176" s="21">
        <v>8</v>
      </c>
      <c r="D176" s="4">
        <v>2</v>
      </c>
    </row>
    <row r="177" spans="1:4" ht="21" x14ac:dyDescent="0.4">
      <c r="A177" s="6">
        <v>600</v>
      </c>
      <c r="B177" s="6">
        <v>130</v>
      </c>
      <c r="C177" s="21">
        <v>8</v>
      </c>
      <c r="D177" s="4">
        <v>2</v>
      </c>
    </row>
    <row r="178" spans="1:4" ht="21" x14ac:dyDescent="0.4">
      <c r="A178" s="6">
        <v>600</v>
      </c>
      <c r="B178" s="6">
        <v>135</v>
      </c>
      <c r="C178" s="21">
        <v>9</v>
      </c>
      <c r="D178" s="4">
        <v>2</v>
      </c>
    </row>
    <row r="179" spans="1:4" ht="21" x14ac:dyDescent="0.4">
      <c r="A179" s="6">
        <v>600</v>
      </c>
      <c r="B179" s="6">
        <v>150</v>
      </c>
      <c r="C179" s="21">
        <v>10</v>
      </c>
      <c r="D179" s="4">
        <v>2</v>
      </c>
    </row>
    <row r="180" spans="1:4" ht="21" x14ac:dyDescent="0.4">
      <c r="A180" s="6">
        <v>600</v>
      </c>
      <c r="B180" s="6">
        <v>200</v>
      </c>
      <c r="C180" s="21">
        <v>14</v>
      </c>
      <c r="D180" s="4">
        <v>3</v>
      </c>
    </row>
    <row r="181" spans="1:4" ht="21" x14ac:dyDescent="0.4">
      <c r="A181" s="6">
        <v>600</v>
      </c>
      <c r="B181" s="6">
        <v>250</v>
      </c>
      <c r="C181" s="21">
        <v>17</v>
      </c>
      <c r="D181" s="4">
        <v>3</v>
      </c>
    </row>
    <row r="182" spans="1:4" ht="21" x14ac:dyDescent="0.4">
      <c r="A182" s="6">
        <v>600</v>
      </c>
      <c r="B182" s="6">
        <v>300</v>
      </c>
      <c r="C182" s="21">
        <v>21</v>
      </c>
      <c r="D182" s="4">
        <v>3</v>
      </c>
    </row>
    <row r="183" spans="1:4" ht="21" x14ac:dyDescent="0.4">
      <c r="A183" s="6">
        <v>600</v>
      </c>
      <c r="B183" s="6">
        <v>400</v>
      </c>
      <c r="C183" s="21">
        <v>29</v>
      </c>
      <c r="D183" s="4">
        <v>3</v>
      </c>
    </row>
    <row r="184" spans="1:4" x14ac:dyDescent="0.3">
      <c r="A184" s="19"/>
      <c r="B184" s="19"/>
      <c r="C184" s="19"/>
      <c r="D184" s="23"/>
    </row>
    <row r="185" spans="1:4" ht="21" x14ac:dyDescent="0.4">
      <c r="A185" s="6">
        <v>700</v>
      </c>
      <c r="B185" s="6">
        <v>40</v>
      </c>
      <c r="C185" s="21">
        <v>1</v>
      </c>
      <c r="D185" s="4">
        <v>3</v>
      </c>
    </row>
    <row r="186" spans="1:4" ht="21" x14ac:dyDescent="0.4">
      <c r="A186" s="6">
        <v>700</v>
      </c>
      <c r="B186" s="6">
        <v>50</v>
      </c>
      <c r="C186" s="21">
        <v>2</v>
      </c>
      <c r="D186" s="4">
        <v>3</v>
      </c>
    </row>
    <row r="187" spans="1:4" ht="21" x14ac:dyDescent="0.4">
      <c r="A187" s="6">
        <v>700</v>
      </c>
      <c r="B187" s="6">
        <v>60</v>
      </c>
      <c r="C187" s="21">
        <v>3</v>
      </c>
      <c r="D187" s="4">
        <v>3</v>
      </c>
    </row>
    <row r="188" spans="1:4" ht="21" x14ac:dyDescent="0.4">
      <c r="A188" s="6">
        <v>700</v>
      </c>
      <c r="B188" s="6">
        <v>75</v>
      </c>
      <c r="C188" s="21">
        <v>4</v>
      </c>
      <c r="D188" s="4">
        <v>3</v>
      </c>
    </row>
    <row r="189" spans="1:4" ht="21" x14ac:dyDescent="0.4">
      <c r="A189" s="6">
        <v>700</v>
      </c>
      <c r="B189" s="6">
        <v>85</v>
      </c>
      <c r="C189" s="21">
        <v>5</v>
      </c>
      <c r="D189" s="4">
        <v>3</v>
      </c>
    </row>
    <row r="190" spans="1:4" ht="21" x14ac:dyDescent="0.4">
      <c r="A190" s="6">
        <v>700</v>
      </c>
      <c r="B190" s="6">
        <v>90</v>
      </c>
      <c r="C190" s="21">
        <v>5</v>
      </c>
      <c r="D190" s="4">
        <v>3</v>
      </c>
    </row>
    <row r="191" spans="1:4" ht="21" x14ac:dyDescent="0.4">
      <c r="A191" s="6">
        <v>700</v>
      </c>
      <c r="B191" s="6">
        <v>100</v>
      </c>
      <c r="C191" s="21">
        <v>6</v>
      </c>
      <c r="D191" s="4">
        <v>3</v>
      </c>
    </row>
    <row r="192" spans="1:4" ht="21" x14ac:dyDescent="0.4">
      <c r="A192" s="6">
        <v>700</v>
      </c>
      <c r="B192" s="6">
        <v>120</v>
      </c>
      <c r="C192" s="21">
        <v>8</v>
      </c>
      <c r="D192" s="4">
        <v>3</v>
      </c>
    </row>
    <row r="193" spans="1:4" ht="21" x14ac:dyDescent="0.4">
      <c r="A193" s="6">
        <v>700</v>
      </c>
      <c r="B193" s="6">
        <v>130</v>
      </c>
      <c r="C193" s="21">
        <v>8</v>
      </c>
      <c r="D193" s="4">
        <v>3</v>
      </c>
    </row>
    <row r="194" spans="1:4" ht="21" x14ac:dyDescent="0.4">
      <c r="A194" s="6">
        <v>700</v>
      </c>
      <c r="B194" s="6">
        <v>135</v>
      </c>
      <c r="C194" s="21">
        <v>9</v>
      </c>
      <c r="D194" s="4">
        <v>3</v>
      </c>
    </row>
    <row r="195" spans="1:4" ht="21" x14ac:dyDescent="0.4">
      <c r="A195" s="6">
        <v>700</v>
      </c>
      <c r="B195" s="6">
        <v>150</v>
      </c>
      <c r="C195" s="21">
        <v>10</v>
      </c>
      <c r="D195" s="4">
        <v>3</v>
      </c>
    </row>
    <row r="196" spans="1:4" ht="21" x14ac:dyDescent="0.4">
      <c r="A196" s="6">
        <v>700</v>
      </c>
      <c r="B196" s="6">
        <v>200</v>
      </c>
      <c r="C196" s="21">
        <v>14</v>
      </c>
      <c r="D196" s="4">
        <v>3</v>
      </c>
    </row>
    <row r="197" spans="1:4" ht="21" x14ac:dyDescent="0.4">
      <c r="A197" s="6">
        <v>700</v>
      </c>
      <c r="B197" s="6">
        <v>250</v>
      </c>
      <c r="C197" s="21">
        <v>17</v>
      </c>
      <c r="D197" s="4">
        <v>3</v>
      </c>
    </row>
    <row r="198" spans="1:4" ht="21" x14ac:dyDescent="0.4">
      <c r="A198" s="6">
        <v>700</v>
      </c>
      <c r="B198" s="6">
        <v>300</v>
      </c>
      <c r="C198" s="21">
        <v>21</v>
      </c>
      <c r="D198" s="4">
        <v>3</v>
      </c>
    </row>
    <row r="199" spans="1:4" ht="21" x14ac:dyDescent="0.4">
      <c r="A199" s="6">
        <v>700</v>
      </c>
      <c r="B199" s="6">
        <v>400</v>
      </c>
      <c r="C199" s="21">
        <v>29</v>
      </c>
      <c r="D199" s="4">
        <v>3</v>
      </c>
    </row>
    <row r="200" spans="1:4" x14ac:dyDescent="0.3">
      <c r="A200" s="19"/>
      <c r="B200" s="19"/>
      <c r="C200" s="19"/>
      <c r="D200" s="23"/>
    </row>
    <row r="201" spans="1:4" ht="21" x14ac:dyDescent="0.4">
      <c r="A201" s="6">
        <v>800</v>
      </c>
      <c r="B201" s="6">
        <v>40</v>
      </c>
      <c r="C201" s="21">
        <v>1</v>
      </c>
      <c r="D201" s="4">
        <v>3</v>
      </c>
    </row>
    <row r="202" spans="1:4" ht="21" x14ac:dyDescent="0.4">
      <c r="A202" s="6">
        <v>800</v>
      </c>
      <c r="B202" s="6">
        <v>50</v>
      </c>
      <c r="C202" s="21">
        <v>2</v>
      </c>
      <c r="D202" s="4">
        <v>3</v>
      </c>
    </row>
    <row r="203" spans="1:4" ht="21" x14ac:dyDescent="0.4">
      <c r="A203" s="6">
        <v>800</v>
      </c>
      <c r="B203" s="6">
        <v>60</v>
      </c>
      <c r="C203" s="21">
        <v>3</v>
      </c>
      <c r="D203" s="4">
        <v>3</v>
      </c>
    </row>
    <row r="204" spans="1:4" ht="21" x14ac:dyDescent="0.4">
      <c r="A204" s="6">
        <v>800</v>
      </c>
      <c r="B204" s="6">
        <v>75</v>
      </c>
      <c r="C204" s="21">
        <v>4</v>
      </c>
      <c r="D204" s="4">
        <v>3</v>
      </c>
    </row>
    <row r="205" spans="1:4" ht="21" x14ac:dyDescent="0.4">
      <c r="A205" s="6">
        <v>800</v>
      </c>
      <c r="B205" s="6">
        <v>85</v>
      </c>
      <c r="C205" s="21">
        <v>5</v>
      </c>
      <c r="D205" s="4">
        <v>3</v>
      </c>
    </row>
    <row r="206" spans="1:4" ht="21" x14ac:dyDescent="0.4">
      <c r="A206" s="6">
        <v>800</v>
      </c>
      <c r="B206" s="6">
        <v>90</v>
      </c>
      <c r="C206" s="21">
        <v>5</v>
      </c>
      <c r="D206" s="4">
        <v>3</v>
      </c>
    </row>
    <row r="207" spans="1:4" ht="21" x14ac:dyDescent="0.4">
      <c r="A207" s="6">
        <v>800</v>
      </c>
      <c r="B207" s="6">
        <v>100</v>
      </c>
      <c r="C207" s="21">
        <v>6</v>
      </c>
      <c r="D207" s="4">
        <v>3</v>
      </c>
    </row>
    <row r="208" spans="1:4" ht="21" x14ac:dyDescent="0.4">
      <c r="A208" s="6">
        <v>800</v>
      </c>
      <c r="B208" s="6">
        <v>120</v>
      </c>
      <c r="C208" s="21">
        <v>8</v>
      </c>
      <c r="D208" s="4">
        <v>3</v>
      </c>
    </row>
    <row r="209" spans="1:4" ht="21" x14ac:dyDescent="0.4">
      <c r="A209" s="6">
        <v>800</v>
      </c>
      <c r="B209" s="6">
        <v>130</v>
      </c>
      <c r="C209" s="21">
        <v>8</v>
      </c>
      <c r="D209" s="4">
        <v>3</v>
      </c>
    </row>
    <row r="210" spans="1:4" ht="21" x14ac:dyDescent="0.4">
      <c r="A210" s="6">
        <v>800</v>
      </c>
      <c r="B210" s="6">
        <v>135</v>
      </c>
      <c r="C210" s="21">
        <v>9</v>
      </c>
      <c r="D210" s="4">
        <v>3</v>
      </c>
    </row>
    <row r="211" spans="1:4" ht="21" x14ac:dyDescent="0.4">
      <c r="A211" s="6">
        <v>800</v>
      </c>
      <c r="B211" s="6">
        <v>150</v>
      </c>
      <c r="C211" s="21">
        <v>10</v>
      </c>
      <c r="D211" s="4">
        <v>3</v>
      </c>
    </row>
    <row r="212" spans="1:4" ht="21" x14ac:dyDescent="0.4">
      <c r="A212" s="6">
        <v>800</v>
      </c>
      <c r="B212" s="6">
        <v>200</v>
      </c>
      <c r="C212" s="21">
        <v>14</v>
      </c>
      <c r="D212" s="4">
        <v>3</v>
      </c>
    </row>
    <row r="213" spans="1:4" ht="21" x14ac:dyDescent="0.4">
      <c r="A213" s="6">
        <v>800</v>
      </c>
      <c r="B213" s="6">
        <v>250</v>
      </c>
      <c r="C213" s="21">
        <v>17</v>
      </c>
      <c r="D213" s="4">
        <v>3</v>
      </c>
    </row>
    <row r="214" spans="1:4" ht="21" x14ac:dyDescent="0.4">
      <c r="A214" s="6">
        <v>800</v>
      </c>
      <c r="B214" s="6">
        <v>300</v>
      </c>
      <c r="C214" s="21">
        <v>21</v>
      </c>
      <c r="D214" s="4">
        <v>3</v>
      </c>
    </row>
    <row r="215" spans="1:4" ht="21" x14ac:dyDescent="0.4">
      <c r="A215" s="6">
        <v>800</v>
      </c>
      <c r="B215" s="6">
        <v>400</v>
      </c>
      <c r="C215" s="21">
        <v>29</v>
      </c>
      <c r="D215" s="4">
        <v>3</v>
      </c>
    </row>
    <row r="216" spans="1:4" x14ac:dyDescent="0.3">
      <c r="A216" s="19"/>
      <c r="B216" s="19"/>
      <c r="C216" s="19"/>
      <c r="D216" s="23"/>
    </row>
    <row r="217" spans="1:4" ht="21" x14ac:dyDescent="0.4">
      <c r="A217" s="6">
        <v>900</v>
      </c>
      <c r="B217" s="6">
        <v>40</v>
      </c>
      <c r="C217" s="21">
        <v>1</v>
      </c>
      <c r="D217" s="4">
        <v>3</v>
      </c>
    </row>
    <row r="218" spans="1:4" ht="21" x14ac:dyDescent="0.4">
      <c r="A218" s="6">
        <v>900</v>
      </c>
      <c r="B218" s="6">
        <v>50</v>
      </c>
      <c r="C218" s="21">
        <v>2</v>
      </c>
      <c r="D218" s="4">
        <v>3</v>
      </c>
    </row>
    <row r="219" spans="1:4" ht="21" x14ac:dyDescent="0.4">
      <c r="A219" s="6">
        <v>900</v>
      </c>
      <c r="B219" s="6">
        <v>60</v>
      </c>
      <c r="C219" s="21">
        <v>3</v>
      </c>
      <c r="D219" s="4">
        <v>3</v>
      </c>
    </row>
    <row r="220" spans="1:4" ht="21" x14ac:dyDescent="0.4">
      <c r="A220" s="6">
        <v>900</v>
      </c>
      <c r="B220" s="6">
        <v>75</v>
      </c>
      <c r="C220" s="21">
        <v>4</v>
      </c>
      <c r="D220" s="4">
        <v>3</v>
      </c>
    </row>
    <row r="221" spans="1:4" ht="21" x14ac:dyDescent="0.4">
      <c r="A221" s="6">
        <v>900</v>
      </c>
      <c r="B221" s="6">
        <v>85</v>
      </c>
      <c r="C221" s="21">
        <v>5</v>
      </c>
      <c r="D221" s="4">
        <v>3</v>
      </c>
    </row>
    <row r="222" spans="1:4" ht="21" x14ac:dyDescent="0.4">
      <c r="A222" s="6">
        <v>900</v>
      </c>
      <c r="B222" s="6">
        <v>90</v>
      </c>
      <c r="C222" s="21">
        <v>5</v>
      </c>
      <c r="D222" s="4">
        <v>3</v>
      </c>
    </row>
    <row r="223" spans="1:4" ht="21" x14ac:dyDescent="0.4">
      <c r="A223" s="6">
        <v>900</v>
      </c>
      <c r="B223" s="6">
        <v>100</v>
      </c>
      <c r="C223" s="21">
        <v>6</v>
      </c>
      <c r="D223" s="4">
        <v>3</v>
      </c>
    </row>
    <row r="224" spans="1:4" ht="21" x14ac:dyDescent="0.4">
      <c r="A224" s="6">
        <v>900</v>
      </c>
      <c r="B224" s="6">
        <v>120</v>
      </c>
      <c r="C224" s="21">
        <v>8</v>
      </c>
      <c r="D224" s="4">
        <v>3</v>
      </c>
    </row>
    <row r="225" spans="1:4" ht="21" x14ac:dyDescent="0.4">
      <c r="A225" s="6">
        <v>900</v>
      </c>
      <c r="B225" s="6">
        <v>130</v>
      </c>
      <c r="C225" s="21">
        <v>8</v>
      </c>
      <c r="D225" s="4">
        <v>3</v>
      </c>
    </row>
    <row r="226" spans="1:4" ht="21" x14ac:dyDescent="0.4">
      <c r="A226" s="6">
        <v>900</v>
      </c>
      <c r="B226" s="6">
        <v>135</v>
      </c>
      <c r="C226" s="21">
        <v>9</v>
      </c>
      <c r="D226" s="4">
        <v>3</v>
      </c>
    </row>
    <row r="227" spans="1:4" ht="21" x14ac:dyDescent="0.4">
      <c r="A227" s="6">
        <v>900</v>
      </c>
      <c r="B227" s="6">
        <v>150</v>
      </c>
      <c r="C227" s="21">
        <v>10</v>
      </c>
      <c r="D227" s="4">
        <v>3</v>
      </c>
    </row>
    <row r="228" spans="1:4" ht="21" x14ac:dyDescent="0.4">
      <c r="A228" s="6">
        <v>900</v>
      </c>
      <c r="B228" s="6">
        <v>200</v>
      </c>
      <c r="C228" s="21">
        <v>14</v>
      </c>
      <c r="D228" s="4">
        <v>3</v>
      </c>
    </row>
    <row r="229" spans="1:4" ht="21" x14ac:dyDescent="0.4">
      <c r="A229" s="6">
        <v>900</v>
      </c>
      <c r="B229" s="6">
        <v>250</v>
      </c>
      <c r="C229" s="21">
        <v>17</v>
      </c>
      <c r="D229" s="4">
        <v>3</v>
      </c>
    </row>
    <row r="230" spans="1:4" ht="21" x14ac:dyDescent="0.4">
      <c r="A230" s="6">
        <v>900</v>
      </c>
      <c r="B230" s="6">
        <v>300</v>
      </c>
      <c r="C230" s="21">
        <v>21</v>
      </c>
      <c r="D230" s="4">
        <v>3</v>
      </c>
    </row>
    <row r="231" spans="1:4" ht="21" x14ac:dyDescent="0.4">
      <c r="A231" s="6">
        <v>900</v>
      </c>
      <c r="B231" s="6">
        <v>400</v>
      </c>
      <c r="C231" s="21">
        <v>29</v>
      </c>
      <c r="D231" s="4">
        <v>4</v>
      </c>
    </row>
    <row r="232" spans="1:4" x14ac:dyDescent="0.3">
      <c r="A232" s="19"/>
      <c r="B232" s="19"/>
      <c r="C232" s="19"/>
      <c r="D232" s="23"/>
    </row>
    <row r="233" spans="1:4" ht="21" x14ac:dyDescent="0.4">
      <c r="A233" s="6">
        <v>1000</v>
      </c>
      <c r="B233" s="6">
        <v>40</v>
      </c>
      <c r="C233" s="21">
        <v>1</v>
      </c>
      <c r="D233" s="4">
        <v>3</v>
      </c>
    </row>
    <row r="234" spans="1:4" ht="21" x14ac:dyDescent="0.4">
      <c r="A234" s="6">
        <v>1000</v>
      </c>
      <c r="B234" s="6">
        <v>50</v>
      </c>
      <c r="C234" s="21">
        <v>2</v>
      </c>
      <c r="D234" s="4">
        <v>3</v>
      </c>
    </row>
    <row r="235" spans="1:4" ht="21" x14ac:dyDescent="0.4">
      <c r="A235" s="6">
        <v>1000</v>
      </c>
      <c r="B235" s="6">
        <v>60</v>
      </c>
      <c r="C235" s="21">
        <v>3</v>
      </c>
      <c r="D235" s="4">
        <v>3</v>
      </c>
    </row>
    <row r="236" spans="1:4" ht="21" x14ac:dyDescent="0.4">
      <c r="A236" s="6">
        <v>1000</v>
      </c>
      <c r="B236" s="6">
        <v>75</v>
      </c>
      <c r="C236" s="21">
        <v>4</v>
      </c>
      <c r="D236" s="4">
        <v>3</v>
      </c>
    </row>
    <row r="237" spans="1:4" ht="21" x14ac:dyDescent="0.4">
      <c r="A237" s="6">
        <v>1000</v>
      </c>
      <c r="B237" s="6">
        <v>85</v>
      </c>
      <c r="C237" s="21">
        <v>5</v>
      </c>
      <c r="D237" s="4">
        <v>3</v>
      </c>
    </row>
    <row r="238" spans="1:4" ht="21" x14ac:dyDescent="0.4">
      <c r="A238" s="6">
        <v>1000</v>
      </c>
      <c r="B238" s="6">
        <v>90</v>
      </c>
      <c r="C238" s="21">
        <v>5</v>
      </c>
      <c r="D238" s="4">
        <v>3</v>
      </c>
    </row>
    <row r="239" spans="1:4" ht="21" x14ac:dyDescent="0.4">
      <c r="A239" s="6">
        <v>1000</v>
      </c>
      <c r="B239" s="6">
        <v>100</v>
      </c>
      <c r="C239" s="21">
        <v>6</v>
      </c>
      <c r="D239" s="4">
        <v>3</v>
      </c>
    </row>
    <row r="240" spans="1:4" ht="21" x14ac:dyDescent="0.4">
      <c r="A240" s="6">
        <v>1000</v>
      </c>
      <c r="B240" s="6">
        <v>120</v>
      </c>
      <c r="C240" s="21">
        <v>8</v>
      </c>
      <c r="D240" s="4">
        <v>3</v>
      </c>
    </row>
    <row r="241" spans="1:4" ht="21" x14ac:dyDescent="0.4">
      <c r="A241" s="6">
        <v>1000</v>
      </c>
      <c r="B241" s="6">
        <v>130</v>
      </c>
      <c r="C241" s="21">
        <v>8</v>
      </c>
      <c r="D241" s="4">
        <v>3</v>
      </c>
    </row>
    <row r="242" spans="1:4" ht="21" x14ac:dyDescent="0.4">
      <c r="A242" s="6">
        <v>1000</v>
      </c>
      <c r="B242" s="6">
        <v>135</v>
      </c>
      <c r="C242" s="21">
        <v>9</v>
      </c>
      <c r="D242" s="4">
        <v>3</v>
      </c>
    </row>
    <row r="243" spans="1:4" ht="21" x14ac:dyDescent="0.4">
      <c r="A243" s="6">
        <v>1000</v>
      </c>
      <c r="B243" s="6">
        <v>150</v>
      </c>
      <c r="C243" s="21">
        <v>10</v>
      </c>
      <c r="D243" s="4">
        <v>3</v>
      </c>
    </row>
    <row r="244" spans="1:4" ht="21" x14ac:dyDescent="0.4">
      <c r="A244" s="6">
        <v>1000</v>
      </c>
      <c r="B244" s="6">
        <v>200</v>
      </c>
      <c r="C244" s="21">
        <v>14</v>
      </c>
      <c r="D244" s="4">
        <v>3</v>
      </c>
    </row>
    <row r="245" spans="1:4" ht="21" x14ac:dyDescent="0.4">
      <c r="A245" s="6">
        <v>1000</v>
      </c>
      <c r="B245" s="6">
        <v>250</v>
      </c>
      <c r="C245" s="21">
        <v>17</v>
      </c>
      <c r="D245" s="4">
        <v>4</v>
      </c>
    </row>
    <row r="246" spans="1:4" ht="21" x14ac:dyDescent="0.4">
      <c r="A246" s="6">
        <v>1000</v>
      </c>
      <c r="B246" s="6">
        <v>300</v>
      </c>
      <c r="C246" s="21">
        <v>21</v>
      </c>
      <c r="D246" s="4">
        <v>4</v>
      </c>
    </row>
    <row r="247" spans="1:4" ht="21" x14ac:dyDescent="0.4">
      <c r="A247" s="6">
        <v>1000</v>
      </c>
      <c r="B247" s="6">
        <v>400</v>
      </c>
      <c r="C247" s="21">
        <v>29</v>
      </c>
      <c r="D247" s="4">
        <v>4</v>
      </c>
    </row>
    <row r="248" spans="1:4" x14ac:dyDescent="0.3">
      <c r="A248" s="19"/>
      <c r="B248" s="19"/>
      <c r="C248" s="19"/>
      <c r="D248" s="23"/>
    </row>
    <row r="249" spans="1:4" ht="21" x14ac:dyDescent="0.4">
      <c r="A249" s="6">
        <v>1200</v>
      </c>
      <c r="B249" s="6">
        <v>40</v>
      </c>
      <c r="C249" s="21">
        <v>1</v>
      </c>
      <c r="D249" s="4">
        <v>4</v>
      </c>
    </row>
    <row r="250" spans="1:4" ht="21" x14ac:dyDescent="0.4">
      <c r="A250" s="6">
        <v>1200</v>
      </c>
      <c r="B250" s="6">
        <v>50</v>
      </c>
      <c r="C250" s="21">
        <v>2</v>
      </c>
      <c r="D250" s="4">
        <v>4</v>
      </c>
    </row>
    <row r="251" spans="1:4" ht="21" x14ac:dyDescent="0.4">
      <c r="A251" s="6">
        <v>1200</v>
      </c>
      <c r="B251" s="6">
        <v>60</v>
      </c>
      <c r="C251" s="21">
        <v>3</v>
      </c>
      <c r="D251" s="4">
        <v>4</v>
      </c>
    </row>
    <row r="252" spans="1:4" ht="21" x14ac:dyDescent="0.4">
      <c r="A252" s="6">
        <v>1200</v>
      </c>
      <c r="B252" s="6">
        <v>75</v>
      </c>
      <c r="C252" s="21">
        <v>4</v>
      </c>
      <c r="D252" s="4">
        <v>4</v>
      </c>
    </row>
    <row r="253" spans="1:4" ht="21" x14ac:dyDescent="0.4">
      <c r="A253" s="6">
        <v>1200</v>
      </c>
      <c r="B253" s="6">
        <v>85</v>
      </c>
      <c r="C253" s="21">
        <v>5</v>
      </c>
      <c r="D253" s="4">
        <v>4</v>
      </c>
    </row>
    <row r="254" spans="1:4" ht="21" x14ac:dyDescent="0.4">
      <c r="A254" s="6">
        <v>1200</v>
      </c>
      <c r="B254" s="6">
        <v>90</v>
      </c>
      <c r="C254" s="21">
        <v>5</v>
      </c>
      <c r="D254" s="4">
        <v>4</v>
      </c>
    </row>
    <row r="255" spans="1:4" ht="21" x14ac:dyDescent="0.4">
      <c r="A255" s="6">
        <v>1200</v>
      </c>
      <c r="B255" s="6">
        <v>100</v>
      </c>
      <c r="C255" s="21">
        <v>6</v>
      </c>
      <c r="D255" s="4">
        <v>4</v>
      </c>
    </row>
    <row r="256" spans="1:4" ht="21" x14ac:dyDescent="0.4">
      <c r="A256" s="6">
        <v>1200</v>
      </c>
      <c r="B256" s="6">
        <v>120</v>
      </c>
      <c r="C256" s="21">
        <v>8</v>
      </c>
      <c r="D256" s="4">
        <v>4</v>
      </c>
    </row>
    <row r="257" spans="1:4" ht="21" x14ac:dyDescent="0.4">
      <c r="A257" s="6">
        <v>1200</v>
      </c>
      <c r="B257" s="6">
        <v>130</v>
      </c>
      <c r="C257" s="21">
        <v>8</v>
      </c>
      <c r="D257" s="4">
        <v>4</v>
      </c>
    </row>
    <row r="258" spans="1:4" ht="21" x14ac:dyDescent="0.4">
      <c r="A258" s="6">
        <v>1200</v>
      </c>
      <c r="B258" s="6">
        <v>135</v>
      </c>
      <c r="C258" s="21">
        <v>9</v>
      </c>
      <c r="D258" s="4">
        <v>4</v>
      </c>
    </row>
    <row r="259" spans="1:4" ht="21" x14ac:dyDescent="0.4">
      <c r="A259" s="6">
        <v>1200</v>
      </c>
      <c r="B259" s="6">
        <v>150</v>
      </c>
      <c r="C259" s="21">
        <v>10</v>
      </c>
      <c r="D259" s="4">
        <v>4</v>
      </c>
    </row>
    <row r="260" spans="1:4" ht="21" x14ac:dyDescent="0.4">
      <c r="A260" s="6">
        <v>1200</v>
      </c>
      <c r="B260" s="6">
        <v>200</v>
      </c>
      <c r="C260" s="21">
        <v>14</v>
      </c>
      <c r="D260" s="4">
        <v>4</v>
      </c>
    </row>
    <row r="261" spans="1:4" ht="21" x14ac:dyDescent="0.4">
      <c r="A261" s="6">
        <v>1200</v>
      </c>
      <c r="B261" s="6">
        <v>250</v>
      </c>
      <c r="C261" s="21">
        <v>17</v>
      </c>
      <c r="D261" s="4">
        <v>4</v>
      </c>
    </row>
    <row r="262" spans="1:4" ht="21" x14ac:dyDescent="0.4">
      <c r="A262" s="6">
        <v>1200</v>
      </c>
      <c r="B262" s="6">
        <v>300</v>
      </c>
      <c r="C262" s="21">
        <v>21</v>
      </c>
      <c r="D262" s="4">
        <v>4</v>
      </c>
    </row>
    <row r="263" spans="1:4" ht="21" x14ac:dyDescent="0.4">
      <c r="A263" s="6">
        <v>1200</v>
      </c>
      <c r="B263" s="6">
        <v>400</v>
      </c>
      <c r="C263" s="21">
        <v>29</v>
      </c>
      <c r="D263" s="4">
        <v>4</v>
      </c>
    </row>
  </sheetData>
  <pageMargins left="0.31496062992125984" right="0.31496062992125984" top="0.19685039370078741" bottom="0.15748031496062992" header="0.31496062992125984" footer="0.31496062992125984"/>
  <pageSetup paperSize="9" scale="95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W10835"/>
  <sheetViews>
    <sheetView topLeftCell="A139" workbookViewId="0">
      <selection activeCell="A145" sqref="A145:C148"/>
    </sheetView>
  </sheetViews>
  <sheetFormatPr baseColWidth="10" defaultRowHeight="14.4" x14ac:dyDescent="0.3"/>
  <cols>
    <col min="1" max="1" width="16.6640625" customWidth="1"/>
    <col min="2" max="2" width="14.109375" customWidth="1"/>
    <col min="3" max="3" width="16.88671875" customWidth="1"/>
    <col min="4" max="4" width="17.6640625" customWidth="1"/>
    <col min="5" max="5" width="17.44140625" customWidth="1"/>
    <col min="6" max="6" width="10.88671875" customWidth="1"/>
    <col min="7" max="7" width="13" customWidth="1"/>
    <col min="8" max="8" width="9" customWidth="1"/>
    <col min="9" max="9" width="15.88671875" customWidth="1"/>
    <col min="10" max="10" width="15.33203125" customWidth="1"/>
    <col min="13" max="13" width="13.44140625" customWidth="1"/>
    <col min="19" max="19" width="15.109375" customWidth="1"/>
  </cols>
  <sheetData>
    <row r="1" spans="1:23" ht="28.8" x14ac:dyDescent="0.55000000000000004">
      <c r="A1" s="82" t="s">
        <v>603</v>
      </c>
      <c r="B1" s="82"/>
      <c r="C1" s="82"/>
      <c r="D1" s="82"/>
    </row>
    <row r="3" spans="1:23" ht="21" x14ac:dyDescent="0.4">
      <c r="A3" s="40" t="s">
        <v>632</v>
      </c>
      <c r="B3" s="40"/>
      <c r="C3" s="40"/>
      <c r="G3" s="40" t="s">
        <v>629</v>
      </c>
      <c r="H3" s="40"/>
      <c r="I3" s="40"/>
      <c r="N3" s="40" t="s">
        <v>631</v>
      </c>
      <c r="O3" s="40"/>
      <c r="P3" s="40"/>
      <c r="S3" s="40" t="s">
        <v>630</v>
      </c>
      <c r="T3" s="40"/>
      <c r="U3" s="40"/>
    </row>
    <row r="5" spans="1:23" ht="18" x14ac:dyDescent="0.35">
      <c r="A5" s="5"/>
      <c r="B5" s="5"/>
      <c r="C5" s="7" t="s">
        <v>28</v>
      </c>
      <c r="D5" s="7" t="s">
        <v>29</v>
      </c>
      <c r="E5" s="7" t="s">
        <v>30</v>
      </c>
      <c r="G5" s="5"/>
      <c r="H5" s="5"/>
      <c r="I5" s="7" t="s">
        <v>28</v>
      </c>
      <c r="J5" s="7" t="s">
        <v>29</v>
      </c>
      <c r="K5" s="7" t="s">
        <v>30</v>
      </c>
      <c r="M5" s="5"/>
      <c r="N5" s="5"/>
      <c r="O5" s="7" t="s">
        <v>28</v>
      </c>
      <c r="P5" s="7" t="s">
        <v>29</v>
      </c>
      <c r="Q5" s="7" t="s">
        <v>30</v>
      </c>
      <c r="S5" s="5"/>
      <c r="T5" s="5"/>
      <c r="U5" s="7" t="s">
        <v>28</v>
      </c>
      <c r="V5" s="7" t="s">
        <v>29</v>
      </c>
      <c r="W5" s="7" t="s">
        <v>30</v>
      </c>
    </row>
    <row r="6" spans="1:23" ht="18" x14ac:dyDescent="0.35">
      <c r="A6" s="5" t="s">
        <v>123</v>
      </c>
      <c r="B6" s="50" t="s">
        <v>32</v>
      </c>
      <c r="C6" s="7">
        <v>3.226</v>
      </c>
      <c r="D6" s="7">
        <v>30.29</v>
      </c>
      <c r="E6" s="85">
        <f t="shared" ref="E6:E12" si="0">C6*D6</f>
        <v>97.71553999999999</v>
      </c>
      <c r="G6" s="5" t="s">
        <v>421</v>
      </c>
      <c r="H6" s="50" t="s">
        <v>32</v>
      </c>
      <c r="I6" s="7">
        <v>3.226</v>
      </c>
      <c r="J6" s="7">
        <v>30.29</v>
      </c>
      <c r="K6" s="85">
        <f t="shared" ref="K6:K12" si="1">I6*J6</f>
        <v>97.71553999999999</v>
      </c>
      <c r="M6" s="5" t="s">
        <v>48</v>
      </c>
      <c r="N6" s="50" t="s">
        <v>32</v>
      </c>
      <c r="O6" s="7">
        <v>2.5659999999999998</v>
      </c>
      <c r="P6" s="7">
        <v>30.29</v>
      </c>
      <c r="Q6" s="85">
        <f t="shared" ref="Q6:Q12" si="2">O6*P6</f>
        <v>77.724139999999991</v>
      </c>
      <c r="S6" s="5" t="s">
        <v>38</v>
      </c>
      <c r="T6" s="50" t="s">
        <v>32</v>
      </c>
      <c r="U6" s="7">
        <v>0.97799999999999998</v>
      </c>
      <c r="V6" s="7">
        <v>30.29</v>
      </c>
      <c r="W6" s="85">
        <f t="shared" ref="W6:W12" si="3">U6*V6</f>
        <v>29.623619999999999</v>
      </c>
    </row>
    <row r="7" spans="1:23" ht="18" x14ac:dyDescent="0.35">
      <c r="A7" s="5" t="s">
        <v>168</v>
      </c>
      <c r="B7" s="50" t="s">
        <v>33</v>
      </c>
      <c r="C7" s="7">
        <v>31.581</v>
      </c>
      <c r="D7" s="7">
        <v>16</v>
      </c>
      <c r="E7" s="85">
        <f t="shared" si="0"/>
        <v>505.29599999999999</v>
      </c>
      <c r="G7" s="5" t="s">
        <v>285</v>
      </c>
      <c r="H7" s="50" t="s">
        <v>33</v>
      </c>
      <c r="I7" s="7">
        <v>65.34</v>
      </c>
      <c r="J7" s="7">
        <v>16</v>
      </c>
      <c r="K7" s="85">
        <f t="shared" si="1"/>
        <v>1045.44</v>
      </c>
      <c r="M7" s="5" t="s">
        <v>63</v>
      </c>
      <c r="N7" s="50" t="s">
        <v>33</v>
      </c>
      <c r="O7" s="7">
        <v>6.5339999999999998</v>
      </c>
      <c r="P7" s="7">
        <v>16</v>
      </c>
      <c r="Q7" s="85">
        <f t="shared" si="2"/>
        <v>104.544</v>
      </c>
      <c r="S7" s="5" t="s">
        <v>39</v>
      </c>
      <c r="T7" s="50" t="s">
        <v>33</v>
      </c>
      <c r="U7" s="7">
        <v>1.218</v>
      </c>
      <c r="V7" s="7">
        <v>16</v>
      </c>
      <c r="W7" s="85">
        <f t="shared" si="3"/>
        <v>19.488</v>
      </c>
    </row>
    <row r="8" spans="1:23" ht="18" x14ac:dyDescent="0.35">
      <c r="A8" s="5" t="s">
        <v>595</v>
      </c>
      <c r="B8" s="50" t="s">
        <v>137</v>
      </c>
      <c r="C8" s="7">
        <v>1</v>
      </c>
      <c r="D8" s="7">
        <v>17.190000000000001</v>
      </c>
      <c r="E8" s="85">
        <f t="shared" si="0"/>
        <v>17.190000000000001</v>
      </c>
      <c r="G8" s="5" t="s">
        <v>604</v>
      </c>
      <c r="H8" s="50" t="s">
        <v>137</v>
      </c>
      <c r="I8" s="7">
        <v>1</v>
      </c>
      <c r="J8" s="7">
        <v>17.190000000000001</v>
      </c>
      <c r="K8" s="85">
        <f t="shared" si="1"/>
        <v>17.190000000000001</v>
      </c>
      <c r="M8" s="5" t="s">
        <v>621</v>
      </c>
      <c r="N8" s="50" t="s">
        <v>137</v>
      </c>
      <c r="O8" s="7">
        <v>0.65</v>
      </c>
      <c r="P8" s="7">
        <v>17.190000000000001</v>
      </c>
      <c r="Q8" s="85">
        <f t="shared" si="2"/>
        <v>11.173500000000001</v>
      </c>
      <c r="S8" s="5" t="s">
        <v>619</v>
      </c>
      <c r="T8" s="50" t="s">
        <v>137</v>
      </c>
      <c r="U8" s="7">
        <v>0.21</v>
      </c>
      <c r="V8" s="7">
        <v>17.190000000000001</v>
      </c>
      <c r="W8" s="85">
        <f t="shared" si="3"/>
        <v>3.6099000000000001</v>
      </c>
    </row>
    <row r="9" spans="1:23" ht="18" x14ac:dyDescent="0.35">
      <c r="A9" s="5"/>
      <c r="B9" s="50" t="s">
        <v>35</v>
      </c>
      <c r="C9" s="7">
        <v>4</v>
      </c>
      <c r="D9" s="7">
        <v>2.89</v>
      </c>
      <c r="E9" s="85">
        <f t="shared" si="0"/>
        <v>11.56</v>
      </c>
      <c r="G9" s="5"/>
      <c r="H9" s="50" t="s">
        <v>35</v>
      </c>
      <c r="I9" s="7">
        <v>4</v>
      </c>
      <c r="J9" s="7">
        <v>2.89</v>
      </c>
      <c r="K9" s="85">
        <f t="shared" si="1"/>
        <v>11.56</v>
      </c>
      <c r="M9" s="5"/>
      <c r="N9" s="50" t="s">
        <v>35</v>
      </c>
      <c r="O9" s="7">
        <v>4</v>
      </c>
      <c r="P9" s="7">
        <v>2.89</v>
      </c>
      <c r="Q9" s="85">
        <f t="shared" si="2"/>
        <v>11.56</v>
      </c>
      <c r="S9" s="5"/>
      <c r="T9" s="50" t="s">
        <v>35</v>
      </c>
      <c r="U9" s="7">
        <v>4</v>
      </c>
      <c r="V9" s="7">
        <v>2.89</v>
      </c>
      <c r="W9" s="85">
        <f t="shared" si="3"/>
        <v>11.56</v>
      </c>
    </row>
    <row r="10" spans="1:23" ht="18" x14ac:dyDescent="0.35">
      <c r="A10" s="5"/>
      <c r="B10" s="50" t="s">
        <v>36</v>
      </c>
      <c r="C10" s="7">
        <v>4</v>
      </c>
      <c r="D10" s="7">
        <v>0.6</v>
      </c>
      <c r="E10" s="85">
        <f t="shared" si="0"/>
        <v>2.4</v>
      </c>
      <c r="G10" s="5"/>
      <c r="H10" s="50" t="s">
        <v>36</v>
      </c>
      <c r="I10" s="7">
        <v>4</v>
      </c>
      <c r="J10" s="7">
        <v>0.6</v>
      </c>
      <c r="K10" s="85">
        <f t="shared" si="1"/>
        <v>2.4</v>
      </c>
      <c r="M10" s="5"/>
      <c r="N10" s="50" t="s">
        <v>36</v>
      </c>
      <c r="O10" s="7">
        <v>4</v>
      </c>
      <c r="P10" s="7">
        <v>0.6</v>
      </c>
      <c r="Q10" s="85">
        <f t="shared" si="2"/>
        <v>2.4</v>
      </c>
      <c r="S10" s="5"/>
      <c r="T10" s="50" t="s">
        <v>36</v>
      </c>
      <c r="U10" s="7">
        <v>4</v>
      </c>
      <c r="V10" s="7">
        <v>0.6</v>
      </c>
      <c r="W10" s="85">
        <f t="shared" si="3"/>
        <v>2.4</v>
      </c>
    </row>
    <row r="11" spans="1:23" ht="18" x14ac:dyDescent="0.35">
      <c r="A11" s="5"/>
      <c r="B11" s="50"/>
      <c r="C11" s="87"/>
      <c r="D11" s="88">
        <v>887</v>
      </c>
      <c r="E11" s="85">
        <f>SUM(E6:E10)</f>
        <v>634.16153999999995</v>
      </c>
      <c r="G11" s="5"/>
      <c r="H11" s="50"/>
      <c r="I11" s="87"/>
      <c r="J11" s="88"/>
      <c r="K11" s="85"/>
      <c r="M11" s="5"/>
      <c r="N11" s="50"/>
      <c r="O11" s="87"/>
      <c r="P11" s="88"/>
      <c r="Q11" s="85"/>
      <c r="S11" s="5"/>
      <c r="T11" s="50"/>
      <c r="U11" s="87"/>
      <c r="V11" s="88"/>
      <c r="W11" s="85"/>
    </row>
    <row r="12" spans="1:23" ht="18" x14ac:dyDescent="0.35">
      <c r="A12" s="5"/>
      <c r="B12" s="50" t="s">
        <v>37</v>
      </c>
      <c r="C12" s="54">
        <v>2</v>
      </c>
      <c r="D12" s="86">
        <v>200</v>
      </c>
      <c r="E12" s="85">
        <f t="shared" si="0"/>
        <v>400</v>
      </c>
      <c r="G12" s="5"/>
      <c r="H12" s="50" t="s">
        <v>37</v>
      </c>
      <c r="I12" s="54">
        <v>6</v>
      </c>
      <c r="J12" s="86">
        <v>200</v>
      </c>
      <c r="K12" s="85">
        <f t="shared" si="1"/>
        <v>1200</v>
      </c>
      <c r="M12" s="5"/>
      <c r="N12" s="50" t="s">
        <v>37</v>
      </c>
      <c r="O12" s="54">
        <v>0.5</v>
      </c>
      <c r="P12" s="86">
        <v>200</v>
      </c>
      <c r="Q12" s="85">
        <f t="shared" si="2"/>
        <v>100</v>
      </c>
      <c r="S12" s="5"/>
      <c r="T12" s="50" t="s">
        <v>37</v>
      </c>
      <c r="U12" s="54">
        <v>0.33</v>
      </c>
      <c r="V12" s="86">
        <v>101.32</v>
      </c>
      <c r="W12" s="85">
        <f t="shared" si="3"/>
        <v>33.435600000000001</v>
      </c>
    </row>
    <row r="13" spans="1:23" ht="18" x14ac:dyDescent="0.35">
      <c r="A13" s="5"/>
      <c r="B13" s="5"/>
      <c r="C13" s="54"/>
      <c r="D13" s="54"/>
      <c r="E13" s="85">
        <f>E12+D11</f>
        <v>1287</v>
      </c>
      <c r="G13" s="5"/>
      <c r="H13" s="5"/>
      <c r="I13" s="54"/>
      <c r="J13" s="54"/>
      <c r="K13" s="85">
        <f>SUM(K6:K12)</f>
        <v>2374.3055400000003</v>
      </c>
      <c r="M13" s="5"/>
      <c r="N13" s="5"/>
      <c r="O13" s="54"/>
      <c r="P13" s="54"/>
      <c r="Q13" s="85">
        <f>SUM(Q6:Q12)</f>
        <v>307.40163999999999</v>
      </c>
      <c r="S13" s="5"/>
      <c r="T13" s="5"/>
      <c r="U13" s="54"/>
      <c r="V13" s="54"/>
      <c r="W13" s="85">
        <f>SUM(W6:W12)</f>
        <v>100.11712</v>
      </c>
    </row>
    <row r="14" spans="1:23" ht="18" x14ac:dyDescent="0.35">
      <c r="A14" s="5"/>
      <c r="B14" s="5"/>
      <c r="C14" s="54"/>
      <c r="D14" s="54"/>
      <c r="E14" s="94"/>
      <c r="G14" s="5"/>
      <c r="H14" s="5"/>
      <c r="I14" s="54"/>
      <c r="J14" s="54"/>
      <c r="K14" s="94"/>
      <c r="M14" s="5"/>
      <c r="N14" s="5"/>
      <c r="O14" s="54"/>
      <c r="P14" s="54"/>
      <c r="Q14" s="94"/>
      <c r="S14" s="5"/>
      <c r="T14" s="5"/>
      <c r="U14" s="54"/>
      <c r="V14" s="54"/>
      <c r="W14" s="94"/>
    </row>
    <row r="15" spans="1:23" ht="18" x14ac:dyDescent="0.35">
      <c r="A15" s="5"/>
      <c r="B15" s="5"/>
      <c r="C15" s="7" t="s">
        <v>28</v>
      </c>
      <c r="D15" s="7" t="s">
        <v>29</v>
      </c>
      <c r="E15" s="7" t="s">
        <v>30</v>
      </c>
      <c r="G15" s="5"/>
      <c r="H15" s="5"/>
      <c r="I15" s="54"/>
      <c r="J15" s="54"/>
      <c r="K15" s="94"/>
      <c r="M15" s="5"/>
      <c r="N15" s="5"/>
      <c r="O15" s="54"/>
      <c r="P15" s="54"/>
      <c r="Q15" s="94"/>
      <c r="S15" s="5"/>
      <c r="T15" s="5"/>
      <c r="U15" s="54"/>
      <c r="V15" s="54"/>
      <c r="W15" s="94"/>
    </row>
    <row r="16" spans="1:23" ht="18" x14ac:dyDescent="0.35">
      <c r="A16" s="5" t="s">
        <v>292</v>
      </c>
      <c r="B16" s="50" t="s">
        <v>32</v>
      </c>
      <c r="C16" s="7">
        <v>3.226</v>
      </c>
      <c r="D16" s="7">
        <v>30.29</v>
      </c>
      <c r="E16" s="85">
        <f>C16*D16</f>
        <v>97.71553999999999</v>
      </c>
      <c r="G16" s="5"/>
      <c r="H16" s="5"/>
      <c r="I16" s="54"/>
      <c r="J16" s="54"/>
      <c r="K16" s="94"/>
      <c r="M16" s="5"/>
      <c r="N16" s="5"/>
      <c r="O16" s="54"/>
      <c r="P16" s="54"/>
      <c r="Q16" s="94"/>
      <c r="S16" s="5"/>
      <c r="T16" s="5"/>
      <c r="U16" s="54"/>
      <c r="V16" s="54"/>
      <c r="W16" s="94"/>
    </row>
    <row r="17" spans="1:23" ht="18" x14ac:dyDescent="0.35">
      <c r="A17" s="5" t="s">
        <v>168</v>
      </c>
      <c r="B17" s="50" t="s">
        <v>33</v>
      </c>
      <c r="C17" s="7">
        <v>31.581</v>
      </c>
      <c r="D17" s="7">
        <v>16</v>
      </c>
      <c r="E17" s="85">
        <f>C17*D17</f>
        <v>505.29599999999999</v>
      </c>
      <c r="G17" s="5"/>
      <c r="H17" s="5"/>
      <c r="I17" s="54"/>
      <c r="J17" s="54"/>
      <c r="K17" s="94"/>
      <c r="M17" s="5"/>
      <c r="N17" s="5"/>
      <c r="O17" s="54"/>
      <c r="P17" s="54"/>
      <c r="Q17" s="94"/>
      <c r="S17" s="5"/>
      <c r="T17" s="5"/>
      <c r="U17" s="54"/>
      <c r="V17" s="54"/>
      <c r="W17" s="94"/>
    </row>
    <row r="18" spans="1:23" ht="18" x14ac:dyDescent="0.35">
      <c r="A18" s="5" t="s">
        <v>595</v>
      </c>
      <c r="B18" s="50" t="s">
        <v>137</v>
      </c>
      <c r="C18" s="7">
        <v>1</v>
      </c>
      <c r="D18" s="7">
        <v>17.190000000000001</v>
      </c>
      <c r="E18" s="85">
        <f>C18*D18</f>
        <v>17.190000000000001</v>
      </c>
      <c r="G18" s="5"/>
      <c r="H18" s="5"/>
      <c r="I18" s="54"/>
      <c r="J18" s="54"/>
      <c r="K18" s="94"/>
      <c r="M18" s="5"/>
      <c r="N18" s="5"/>
      <c r="O18" s="54"/>
      <c r="P18" s="54"/>
      <c r="Q18" s="94"/>
      <c r="S18" s="5"/>
      <c r="T18" s="5"/>
      <c r="U18" s="54"/>
      <c r="V18" s="54"/>
      <c r="W18" s="94"/>
    </row>
    <row r="19" spans="1:23" ht="18" x14ac:dyDescent="0.35">
      <c r="A19" s="5"/>
      <c r="B19" s="50" t="s">
        <v>35</v>
      </c>
      <c r="C19" s="7">
        <v>4</v>
      </c>
      <c r="D19" s="7">
        <v>2.89</v>
      </c>
      <c r="E19" s="85">
        <f>C19*D19</f>
        <v>11.56</v>
      </c>
      <c r="G19" s="5"/>
      <c r="H19" s="5"/>
      <c r="I19" s="54"/>
      <c r="J19" s="54"/>
      <c r="K19" s="94"/>
      <c r="M19" s="5"/>
      <c r="N19" s="5"/>
      <c r="O19" s="54"/>
      <c r="P19" s="54"/>
      <c r="Q19" s="94"/>
      <c r="S19" s="5"/>
      <c r="T19" s="5"/>
      <c r="U19" s="54"/>
      <c r="V19" s="54"/>
      <c r="W19" s="94"/>
    </row>
    <row r="20" spans="1:23" ht="18" x14ac:dyDescent="0.35">
      <c r="A20" s="5"/>
      <c r="B20" s="50" t="s">
        <v>36</v>
      </c>
      <c r="C20" s="7">
        <v>4</v>
      </c>
      <c r="D20" s="7">
        <v>0.6</v>
      </c>
      <c r="E20" s="85">
        <f>C20*D20</f>
        <v>2.4</v>
      </c>
      <c r="G20" s="5"/>
      <c r="H20" s="5"/>
      <c r="I20" s="54"/>
      <c r="J20" s="54"/>
      <c r="K20" s="94"/>
      <c r="M20" s="5"/>
      <c r="N20" s="5"/>
      <c r="O20" s="54"/>
      <c r="P20" s="54"/>
      <c r="Q20" s="94"/>
      <c r="S20" s="5"/>
      <c r="T20" s="5"/>
      <c r="U20" s="54"/>
      <c r="V20" s="54"/>
      <c r="W20" s="94"/>
    </row>
    <row r="21" spans="1:23" ht="18" x14ac:dyDescent="0.35">
      <c r="A21" s="5"/>
      <c r="B21" s="50"/>
      <c r="C21" s="87"/>
      <c r="D21" s="88">
        <v>887</v>
      </c>
      <c r="E21" s="85">
        <f>SUM(E16:E20)</f>
        <v>634.16153999999995</v>
      </c>
      <c r="G21" s="5"/>
      <c r="H21" s="5"/>
      <c r="I21" s="54"/>
      <c r="J21" s="54"/>
      <c r="K21" s="94"/>
      <c r="M21" s="5"/>
      <c r="N21" s="5"/>
      <c r="O21" s="54"/>
      <c r="P21" s="54"/>
      <c r="Q21" s="94"/>
      <c r="S21" s="5"/>
      <c r="T21" s="5"/>
      <c r="U21" s="54"/>
      <c r="V21" s="54"/>
      <c r="W21" s="94"/>
    </row>
    <row r="22" spans="1:23" ht="18" x14ac:dyDescent="0.35">
      <c r="A22" s="5"/>
      <c r="B22" s="50" t="s">
        <v>37</v>
      </c>
      <c r="C22" s="54">
        <v>2</v>
      </c>
      <c r="D22" s="86">
        <v>200</v>
      </c>
      <c r="E22" s="85">
        <f>C22*D22</f>
        <v>400</v>
      </c>
      <c r="G22" s="5"/>
      <c r="H22" s="5"/>
      <c r="I22" s="54"/>
      <c r="J22" s="54"/>
      <c r="K22" s="94"/>
      <c r="M22" s="5"/>
      <c r="N22" s="5"/>
      <c r="O22" s="54"/>
      <c r="P22" s="54"/>
      <c r="Q22" s="94"/>
      <c r="S22" s="5"/>
      <c r="T22" s="5"/>
      <c r="U22" s="54"/>
      <c r="V22" s="54"/>
      <c r="W22" s="94"/>
    </row>
    <row r="23" spans="1:23" ht="18" x14ac:dyDescent="0.35">
      <c r="A23" s="5"/>
      <c r="B23" s="5"/>
      <c r="C23" s="54"/>
      <c r="D23" s="54"/>
      <c r="E23" s="85">
        <f>E22+D21</f>
        <v>1287</v>
      </c>
      <c r="G23" s="5"/>
      <c r="H23" s="5"/>
      <c r="I23" s="54"/>
      <c r="J23" s="54"/>
      <c r="K23" s="94"/>
      <c r="M23" s="5"/>
      <c r="N23" s="5"/>
      <c r="O23" s="54"/>
      <c r="P23" s="54"/>
      <c r="Q23" s="94"/>
      <c r="S23" s="5"/>
      <c r="T23" s="5"/>
      <c r="U23" s="54"/>
      <c r="V23" s="54"/>
      <c r="W23" s="94"/>
    </row>
    <row r="24" spans="1:23" ht="18" x14ac:dyDescent="0.35">
      <c r="A24" s="5"/>
      <c r="B24" s="5"/>
      <c r="C24" s="54"/>
      <c r="D24" s="54"/>
      <c r="E24" s="94"/>
      <c r="G24" s="5"/>
      <c r="H24" s="5"/>
      <c r="I24" s="54"/>
      <c r="J24" s="54"/>
      <c r="K24" s="94"/>
      <c r="M24" s="5"/>
      <c r="N24" s="5"/>
      <c r="O24" s="54"/>
      <c r="P24" s="54"/>
      <c r="Q24" s="94"/>
      <c r="S24" s="5"/>
      <c r="T24" s="5"/>
      <c r="U24" s="54"/>
      <c r="V24" s="54"/>
      <c r="W24" s="94"/>
    </row>
    <row r="25" spans="1:23" ht="18" x14ac:dyDescent="0.35">
      <c r="A25" s="5"/>
      <c r="B25" s="5"/>
      <c r="C25" s="54"/>
      <c r="D25" s="54"/>
      <c r="E25" s="94"/>
      <c r="G25" s="5"/>
      <c r="H25" s="5"/>
      <c r="I25" s="54"/>
      <c r="J25" s="54"/>
      <c r="K25" s="94"/>
      <c r="M25" s="5"/>
      <c r="N25" s="5"/>
      <c r="O25" s="54"/>
      <c r="P25" s="54"/>
      <c r="Q25" s="94"/>
      <c r="S25" s="5"/>
      <c r="T25" s="5"/>
      <c r="U25" s="54"/>
      <c r="V25" s="54"/>
      <c r="W25" s="94"/>
    </row>
    <row r="26" spans="1:23" ht="18" x14ac:dyDescent="0.35">
      <c r="A26" s="5"/>
      <c r="B26" s="5"/>
      <c r="C26" s="54"/>
      <c r="D26" s="54"/>
      <c r="E26" s="94"/>
      <c r="G26" s="5"/>
      <c r="H26" s="5"/>
      <c r="I26" s="54"/>
      <c r="J26" s="54"/>
      <c r="K26" s="94"/>
      <c r="M26" s="5"/>
      <c r="N26" s="5"/>
      <c r="O26" s="54"/>
      <c r="P26" s="54"/>
      <c r="Q26" s="94"/>
      <c r="S26" s="5"/>
      <c r="T26" s="5"/>
      <c r="U26" s="54"/>
      <c r="V26" s="54"/>
      <c r="W26" s="94"/>
    </row>
    <row r="27" spans="1:23" ht="21" x14ac:dyDescent="0.4">
      <c r="A27" s="40" t="s">
        <v>634</v>
      </c>
      <c r="B27" s="40"/>
      <c r="C27" s="40"/>
      <c r="D27" s="12"/>
      <c r="E27" s="12"/>
      <c r="G27" s="40" t="s">
        <v>662</v>
      </c>
      <c r="H27" s="40"/>
    </row>
    <row r="28" spans="1:23" ht="18" x14ac:dyDescent="0.35">
      <c r="A28" s="5"/>
      <c r="B28" s="5"/>
      <c r="C28" s="7" t="s">
        <v>28</v>
      </c>
      <c r="D28" s="7" t="s">
        <v>29</v>
      </c>
      <c r="E28" s="7" t="s">
        <v>30</v>
      </c>
      <c r="G28" s="5"/>
      <c r="H28" s="5"/>
      <c r="I28" s="7" t="s">
        <v>28</v>
      </c>
      <c r="J28" s="7" t="s">
        <v>29</v>
      </c>
      <c r="K28" s="7" t="s">
        <v>30</v>
      </c>
    </row>
    <row r="29" spans="1:23" ht="18" x14ac:dyDescent="0.35">
      <c r="A29" s="5" t="s">
        <v>81</v>
      </c>
      <c r="B29" s="50" t="s">
        <v>32</v>
      </c>
      <c r="C29" s="7">
        <v>2.6579999999999999</v>
      </c>
      <c r="D29" s="7">
        <v>30.29</v>
      </c>
      <c r="E29" s="85">
        <f t="shared" ref="E29:E34" si="4">C29*D29</f>
        <v>80.510819999999995</v>
      </c>
      <c r="G29" s="5" t="s">
        <v>480</v>
      </c>
      <c r="H29" s="50" t="s">
        <v>32</v>
      </c>
      <c r="I29" s="7">
        <v>5.3879999999999999</v>
      </c>
      <c r="J29" s="7">
        <v>30.29</v>
      </c>
      <c r="K29" s="85">
        <f t="shared" ref="K29:K34" si="5">I29*J29</f>
        <v>163.20251999999999</v>
      </c>
    </row>
    <row r="30" spans="1:23" ht="18" x14ac:dyDescent="0.35">
      <c r="A30" s="5" t="s">
        <v>633</v>
      </c>
      <c r="B30" s="50" t="s">
        <v>33</v>
      </c>
      <c r="C30" s="7">
        <v>9.3550000000000004</v>
      </c>
      <c r="D30" s="7">
        <v>16</v>
      </c>
      <c r="E30" s="85">
        <f t="shared" si="4"/>
        <v>149.68</v>
      </c>
      <c r="G30" s="5" t="s">
        <v>63</v>
      </c>
      <c r="H30" s="50" t="s">
        <v>33</v>
      </c>
      <c r="I30" s="7">
        <v>15.057</v>
      </c>
      <c r="J30" s="7">
        <v>16</v>
      </c>
      <c r="K30" s="85">
        <f t="shared" si="5"/>
        <v>240.91200000000001</v>
      </c>
    </row>
    <row r="31" spans="1:23" ht="18" x14ac:dyDescent="0.35">
      <c r="A31" s="5" t="s">
        <v>595</v>
      </c>
      <c r="B31" s="50" t="s">
        <v>137</v>
      </c>
      <c r="C31" s="7">
        <v>1</v>
      </c>
      <c r="D31" s="7">
        <v>17.190000000000001</v>
      </c>
      <c r="E31" s="85">
        <f t="shared" si="4"/>
        <v>17.190000000000001</v>
      </c>
      <c r="G31" s="5" t="s">
        <v>663</v>
      </c>
      <c r="H31" s="50" t="s">
        <v>137</v>
      </c>
      <c r="I31" s="7">
        <v>0.84</v>
      </c>
      <c r="J31" s="7">
        <v>17.190000000000001</v>
      </c>
      <c r="K31" s="85">
        <f t="shared" si="5"/>
        <v>14.4396</v>
      </c>
    </row>
    <row r="32" spans="1:23" ht="18" x14ac:dyDescent="0.35">
      <c r="A32" s="5"/>
      <c r="B32" s="50" t="s">
        <v>35</v>
      </c>
      <c r="C32" s="7">
        <v>4</v>
      </c>
      <c r="D32" s="7">
        <v>2.89</v>
      </c>
      <c r="E32" s="85">
        <f t="shared" si="4"/>
        <v>11.56</v>
      </c>
      <c r="G32" s="5"/>
      <c r="H32" s="50" t="s">
        <v>35</v>
      </c>
      <c r="I32" s="7">
        <v>4</v>
      </c>
      <c r="J32" s="7">
        <v>2.89</v>
      </c>
      <c r="K32" s="85">
        <f t="shared" si="5"/>
        <v>11.56</v>
      </c>
    </row>
    <row r="33" spans="1:19" ht="18" x14ac:dyDescent="0.35">
      <c r="A33" s="5"/>
      <c r="B33" s="50" t="s">
        <v>36</v>
      </c>
      <c r="C33" s="7">
        <v>4</v>
      </c>
      <c r="D33" s="7">
        <v>0.6</v>
      </c>
      <c r="E33" s="85">
        <f t="shared" si="4"/>
        <v>2.4</v>
      </c>
      <c r="G33" s="5"/>
      <c r="H33" s="50" t="s">
        <v>36</v>
      </c>
      <c r="I33" s="7">
        <v>4</v>
      </c>
      <c r="J33" s="7">
        <v>0.6</v>
      </c>
      <c r="K33" s="85">
        <f t="shared" si="5"/>
        <v>2.4</v>
      </c>
    </row>
    <row r="34" spans="1:19" ht="18" x14ac:dyDescent="0.35">
      <c r="A34" s="5"/>
      <c r="B34" s="50" t="s">
        <v>37</v>
      </c>
      <c r="C34" s="54">
        <v>1.5</v>
      </c>
      <c r="D34" s="86">
        <v>200</v>
      </c>
      <c r="E34" s="85">
        <f t="shared" si="4"/>
        <v>300</v>
      </c>
      <c r="G34" s="5"/>
      <c r="H34" s="50" t="s">
        <v>37</v>
      </c>
      <c r="I34" s="54">
        <v>3</v>
      </c>
      <c r="J34" s="86">
        <v>200</v>
      </c>
      <c r="K34" s="85">
        <f t="shared" si="5"/>
        <v>600</v>
      </c>
    </row>
    <row r="35" spans="1:19" ht="18" x14ac:dyDescent="0.35">
      <c r="A35" s="5"/>
      <c r="B35" s="5"/>
      <c r="C35" s="54"/>
      <c r="D35" s="54"/>
      <c r="E35" s="85">
        <f>SUM(E29:E34)</f>
        <v>561.34081999999989</v>
      </c>
      <c r="G35" s="5"/>
      <c r="H35" s="5"/>
      <c r="I35" s="54"/>
      <c r="J35" s="54"/>
      <c r="K35" s="85">
        <f>SUM(K29:K34)</f>
        <v>1032.5141199999998</v>
      </c>
    </row>
    <row r="36" spans="1:19" x14ac:dyDescent="0.3">
      <c r="C36" s="12"/>
      <c r="D36" s="12"/>
      <c r="E36" s="12"/>
    </row>
    <row r="37" spans="1:19" ht="21" x14ac:dyDescent="0.4">
      <c r="A37" s="40" t="s">
        <v>671</v>
      </c>
      <c r="B37" s="40"/>
      <c r="C37" s="40"/>
      <c r="D37" s="12"/>
      <c r="E37" s="12"/>
    </row>
    <row r="38" spans="1:19" ht="18" x14ac:dyDescent="0.35">
      <c r="A38" s="5"/>
      <c r="B38" s="5"/>
      <c r="C38" s="7" t="s">
        <v>28</v>
      </c>
      <c r="D38" s="7" t="s">
        <v>29</v>
      </c>
      <c r="E38" s="7" t="s">
        <v>30</v>
      </c>
    </row>
    <row r="39" spans="1:19" ht="18" x14ac:dyDescent="0.35">
      <c r="A39" s="5" t="s">
        <v>255</v>
      </c>
      <c r="B39" s="50" t="s">
        <v>32</v>
      </c>
      <c r="C39" s="7">
        <v>3.1829999999999998</v>
      </c>
      <c r="D39" s="7">
        <v>30.29</v>
      </c>
      <c r="E39" s="85">
        <f t="shared" ref="E39:E44" si="6">C39*D39</f>
        <v>96.413069999999991</v>
      </c>
    </row>
    <row r="40" spans="1:19" ht="18" x14ac:dyDescent="0.35">
      <c r="A40" s="5" t="s">
        <v>218</v>
      </c>
      <c r="B40" s="50" t="s">
        <v>33</v>
      </c>
      <c r="C40" s="7">
        <v>21.241</v>
      </c>
      <c r="D40" s="7">
        <v>16</v>
      </c>
      <c r="E40" s="85">
        <f t="shared" si="6"/>
        <v>339.85599999999999</v>
      </c>
    </row>
    <row r="41" spans="1:19" ht="18" x14ac:dyDescent="0.35">
      <c r="A41" s="5" t="s">
        <v>672</v>
      </c>
      <c r="B41" s="50" t="s">
        <v>137</v>
      </c>
      <c r="C41" s="7">
        <v>1</v>
      </c>
      <c r="D41" s="7">
        <v>17.190000000000001</v>
      </c>
      <c r="E41" s="85">
        <f t="shared" si="6"/>
        <v>17.190000000000001</v>
      </c>
    </row>
    <row r="42" spans="1:19" ht="18" x14ac:dyDescent="0.35">
      <c r="A42" s="5"/>
      <c r="B42" s="50" t="s">
        <v>35</v>
      </c>
      <c r="C42" s="7">
        <v>4</v>
      </c>
      <c r="D42" s="7">
        <v>2.89</v>
      </c>
      <c r="E42" s="85">
        <f t="shared" si="6"/>
        <v>11.56</v>
      </c>
    </row>
    <row r="43" spans="1:19" ht="18" x14ac:dyDescent="0.35">
      <c r="A43" s="5"/>
      <c r="B43" s="50" t="s">
        <v>36</v>
      </c>
      <c r="C43" s="7">
        <v>4</v>
      </c>
      <c r="D43" s="7">
        <v>0.6</v>
      </c>
      <c r="E43" s="85">
        <f t="shared" si="6"/>
        <v>2.4</v>
      </c>
    </row>
    <row r="44" spans="1:19" ht="18" x14ac:dyDescent="0.35">
      <c r="A44" s="5"/>
      <c r="B44" s="50" t="s">
        <v>37</v>
      </c>
      <c r="C44" s="54">
        <v>2</v>
      </c>
      <c r="D44" s="86">
        <v>200</v>
      </c>
      <c r="E44" s="85">
        <f t="shared" si="6"/>
        <v>400</v>
      </c>
    </row>
    <row r="45" spans="1:19" ht="18" x14ac:dyDescent="0.35">
      <c r="A45" s="5"/>
      <c r="B45" s="5"/>
      <c r="C45" s="54"/>
      <c r="D45" s="54"/>
      <c r="E45" s="85">
        <f>SUM(E39:E44)</f>
        <v>867.41906999999992</v>
      </c>
    </row>
    <row r="46" spans="1:19" x14ac:dyDescent="0.3">
      <c r="C46" s="12"/>
      <c r="D46" s="12"/>
      <c r="E46" s="12"/>
    </row>
    <row r="47" spans="1:19" ht="21" x14ac:dyDescent="0.4">
      <c r="A47" s="40" t="s">
        <v>635</v>
      </c>
      <c r="B47" s="40"/>
      <c r="C47" s="40"/>
      <c r="D47" s="12"/>
      <c r="E47" s="12"/>
    </row>
    <row r="48" spans="1:19" ht="18" x14ac:dyDescent="0.35">
      <c r="A48" s="5"/>
      <c r="B48" s="5"/>
      <c r="C48" s="7" t="s">
        <v>28</v>
      </c>
      <c r="D48" s="7" t="s">
        <v>29</v>
      </c>
      <c r="E48" s="7" t="s">
        <v>30</v>
      </c>
      <c r="M48" t="s">
        <v>622</v>
      </c>
      <c r="S48" t="s">
        <v>622</v>
      </c>
    </row>
    <row r="49" spans="1:23" ht="18" x14ac:dyDescent="0.35">
      <c r="A49" s="5" t="s">
        <v>596</v>
      </c>
      <c r="B49" s="50" t="s">
        <v>32</v>
      </c>
      <c r="C49" s="7">
        <v>6.5259999999999998</v>
      </c>
      <c r="D49" s="7">
        <v>30.29</v>
      </c>
      <c r="E49" s="85">
        <f>C49*D49</f>
        <v>197.67254</v>
      </c>
      <c r="M49" s="5"/>
      <c r="N49" s="5"/>
      <c r="O49" s="7" t="s">
        <v>28</v>
      </c>
      <c r="P49" s="7" t="s">
        <v>29</v>
      </c>
      <c r="Q49" s="7" t="s">
        <v>30</v>
      </c>
      <c r="S49" s="5"/>
      <c r="T49" s="5"/>
      <c r="U49" s="7" t="s">
        <v>28</v>
      </c>
      <c r="V49" s="7" t="s">
        <v>29</v>
      </c>
      <c r="W49" s="7" t="s">
        <v>30</v>
      </c>
    </row>
    <row r="50" spans="1:23" ht="18" x14ac:dyDescent="0.35">
      <c r="A50" s="5" t="s">
        <v>168</v>
      </c>
      <c r="B50" s="50" t="s">
        <v>33</v>
      </c>
      <c r="C50" s="7">
        <v>79.430999999999997</v>
      </c>
      <c r="D50" s="7">
        <v>16</v>
      </c>
      <c r="E50" s="85">
        <f>C50*D50</f>
        <v>1270.896</v>
      </c>
      <c r="M50" s="5" t="s">
        <v>81</v>
      </c>
      <c r="N50" s="50" t="s">
        <v>32</v>
      </c>
      <c r="O50" s="7">
        <v>2.786</v>
      </c>
      <c r="P50" s="7">
        <v>30.29</v>
      </c>
      <c r="Q50" s="85">
        <f t="shared" ref="Q50:Q55" si="7">O50*P50</f>
        <v>84.38794</v>
      </c>
      <c r="S50" s="5" t="s">
        <v>341</v>
      </c>
      <c r="T50" s="50" t="s">
        <v>32</v>
      </c>
      <c r="U50" s="7">
        <v>3.0049999999999999</v>
      </c>
      <c r="V50" s="7">
        <v>30.29</v>
      </c>
      <c r="W50" s="85">
        <f t="shared" ref="W50:W55" si="8">U50*V50</f>
        <v>91.021449999999987</v>
      </c>
    </row>
    <row r="51" spans="1:23" ht="18" x14ac:dyDescent="0.35">
      <c r="A51" s="5" t="s">
        <v>597</v>
      </c>
      <c r="B51" s="50" t="s">
        <v>137</v>
      </c>
      <c r="C51" s="7">
        <v>1.6</v>
      </c>
      <c r="D51" s="7">
        <v>17.190000000000001</v>
      </c>
      <c r="E51" s="85">
        <f>C51*D51</f>
        <v>27.504000000000005</v>
      </c>
      <c r="G51" s="5"/>
      <c r="H51" s="5"/>
      <c r="I51" s="7" t="s">
        <v>28</v>
      </c>
      <c r="J51" s="7" t="s">
        <v>29</v>
      </c>
      <c r="K51" s="7" t="s">
        <v>30</v>
      </c>
      <c r="M51" s="5" t="s">
        <v>53</v>
      </c>
      <c r="N51" s="50" t="s">
        <v>33</v>
      </c>
      <c r="O51" s="7">
        <v>15.244999999999999</v>
      </c>
      <c r="P51" s="7">
        <v>16</v>
      </c>
      <c r="Q51" s="85">
        <f t="shared" si="7"/>
        <v>243.92</v>
      </c>
      <c r="S51" s="5" t="s">
        <v>624</v>
      </c>
      <c r="T51" s="50" t="s">
        <v>33</v>
      </c>
      <c r="U51" s="7">
        <v>32.152999999999999</v>
      </c>
      <c r="V51" s="7">
        <v>16</v>
      </c>
      <c r="W51" s="85">
        <f t="shared" si="8"/>
        <v>514.44799999999998</v>
      </c>
    </row>
    <row r="52" spans="1:23" ht="18" x14ac:dyDescent="0.35">
      <c r="A52" s="5"/>
      <c r="B52" s="50" t="s">
        <v>35</v>
      </c>
      <c r="C52" s="7">
        <v>4</v>
      </c>
      <c r="D52" s="7">
        <v>2.89</v>
      </c>
      <c r="E52" s="85">
        <f>C52*D52</f>
        <v>11.56</v>
      </c>
      <c r="G52" s="5" t="s">
        <v>596</v>
      </c>
      <c r="H52" s="50" t="s">
        <v>32</v>
      </c>
      <c r="I52" s="7">
        <v>6.5259999999999998</v>
      </c>
      <c r="J52" s="7">
        <v>30.29</v>
      </c>
      <c r="K52" s="85">
        <f>I52*J52</f>
        <v>197.67254</v>
      </c>
      <c r="M52" s="5" t="s">
        <v>621</v>
      </c>
      <c r="N52" s="50" t="s">
        <v>137</v>
      </c>
      <c r="O52" s="7">
        <v>0.84</v>
      </c>
      <c r="P52" s="7">
        <v>17.190000000000001</v>
      </c>
      <c r="Q52" s="85">
        <f t="shared" si="7"/>
        <v>14.4396</v>
      </c>
      <c r="S52" s="5" t="s">
        <v>595</v>
      </c>
      <c r="T52" s="50" t="s">
        <v>137</v>
      </c>
      <c r="U52" s="7">
        <v>1.5</v>
      </c>
      <c r="V52" s="7">
        <v>17.190000000000001</v>
      </c>
      <c r="W52" s="85">
        <f t="shared" si="8"/>
        <v>25.785000000000004</v>
      </c>
    </row>
    <row r="53" spans="1:23" ht="18" x14ac:dyDescent="0.35">
      <c r="A53" s="5"/>
      <c r="B53" s="50" t="s">
        <v>36</v>
      </c>
      <c r="C53" s="7">
        <v>4</v>
      </c>
      <c r="D53" s="7">
        <v>0.6</v>
      </c>
      <c r="E53" s="85">
        <f>C53*D53</f>
        <v>2.4</v>
      </c>
      <c r="G53" s="5" t="s">
        <v>168</v>
      </c>
      <c r="H53" s="50" t="s">
        <v>33</v>
      </c>
      <c r="I53" s="7">
        <v>79.430999999999997</v>
      </c>
      <c r="J53" s="7">
        <v>16</v>
      </c>
      <c r="K53" s="85">
        <f>I53*J53</f>
        <v>1270.896</v>
      </c>
      <c r="M53" s="5"/>
      <c r="N53" s="50" t="s">
        <v>35</v>
      </c>
      <c r="O53" s="7">
        <v>4</v>
      </c>
      <c r="P53" s="7">
        <v>2.89</v>
      </c>
      <c r="Q53" s="85">
        <f t="shared" si="7"/>
        <v>11.56</v>
      </c>
      <c r="S53" s="5"/>
      <c r="T53" s="50" t="s">
        <v>35</v>
      </c>
      <c r="U53" s="7">
        <v>4</v>
      </c>
      <c r="V53" s="7">
        <v>2.89</v>
      </c>
      <c r="W53" s="85">
        <f t="shared" si="8"/>
        <v>11.56</v>
      </c>
    </row>
    <row r="54" spans="1:23" ht="18" x14ac:dyDescent="0.35">
      <c r="A54" s="5"/>
      <c r="B54" s="50"/>
      <c r="C54" s="87"/>
      <c r="D54" s="88"/>
      <c r="E54" s="85">
        <f>SUM(E49:E53)</f>
        <v>1510.0325399999999</v>
      </c>
      <c r="G54" s="5" t="s">
        <v>597</v>
      </c>
      <c r="H54" s="50" t="s">
        <v>137</v>
      </c>
      <c r="I54" s="7">
        <v>1.6</v>
      </c>
      <c r="J54" s="7">
        <v>17.190000000000001</v>
      </c>
      <c r="K54" s="85">
        <f>I54*J54</f>
        <v>27.504000000000005</v>
      </c>
      <c r="M54" s="5"/>
      <c r="N54" s="50" t="s">
        <v>36</v>
      </c>
      <c r="O54" s="7">
        <v>4</v>
      </c>
      <c r="P54" s="7">
        <v>0.6</v>
      </c>
      <c r="Q54" s="85">
        <f t="shared" si="7"/>
        <v>2.4</v>
      </c>
      <c r="S54" s="5"/>
      <c r="T54" s="50" t="s">
        <v>36</v>
      </c>
      <c r="U54" s="7">
        <v>4</v>
      </c>
      <c r="V54" s="7">
        <v>0.6</v>
      </c>
      <c r="W54" s="85">
        <f t="shared" si="8"/>
        <v>2.4</v>
      </c>
    </row>
    <row r="55" spans="1:23" ht="18" x14ac:dyDescent="0.35">
      <c r="A55" s="5"/>
      <c r="B55" s="50" t="s">
        <v>37</v>
      </c>
      <c r="C55" s="54">
        <v>4</v>
      </c>
      <c r="D55" s="86">
        <v>101.32</v>
      </c>
      <c r="E55" s="85">
        <f>C55*D55</f>
        <v>405.28</v>
      </c>
      <c r="G55" s="5"/>
      <c r="H55" s="50" t="s">
        <v>35</v>
      </c>
      <c r="I55" s="7">
        <v>4</v>
      </c>
      <c r="J55" s="7">
        <v>2.89</v>
      </c>
      <c r="K55" s="85">
        <f>I55*J55</f>
        <v>11.56</v>
      </c>
      <c r="M55" s="5"/>
      <c r="N55" s="50" t="s">
        <v>37</v>
      </c>
      <c r="O55" s="54">
        <v>0.5</v>
      </c>
      <c r="P55" s="86">
        <v>101.32</v>
      </c>
      <c r="Q55" s="85">
        <f t="shared" si="7"/>
        <v>50.66</v>
      </c>
      <c r="S55" s="5"/>
      <c r="T55" s="50" t="s">
        <v>37</v>
      </c>
      <c r="U55" s="54">
        <v>1</v>
      </c>
      <c r="V55" s="86">
        <v>101.32</v>
      </c>
      <c r="W55" s="85">
        <f t="shared" si="8"/>
        <v>101.32</v>
      </c>
    </row>
    <row r="56" spans="1:23" ht="18" x14ac:dyDescent="0.35">
      <c r="A56" s="5"/>
      <c r="B56" s="5"/>
      <c r="C56" s="54"/>
      <c r="D56" s="54"/>
      <c r="E56" s="85">
        <f>SUM(E54:E55)</f>
        <v>1915.3125399999999</v>
      </c>
      <c r="G56" s="5"/>
      <c r="H56" s="50" t="s">
        <v>36</v>
      </c>
      <c r="I56" s="7">
        <v>4</v>
      </c>
      <c r="J56" s="7">
        <v>0.6</v>
      </c>
      <c r="K56" s="85">
        <f>I56*J56</f>
        <v>2.4</v>
      </c>
      <c r="M56" s="5"/>
      <c r="N56" s="5"/>
      <c r="O56" s="54"/>
      <c r="P56" s="54"/>
      <c r="Q56" s="85">
        <f>SUM(Q50:Q55)</f>
        <v>407.36753999999996</v>
      </c>
      <c r="S56" s="5"/>
      <c r="T56" s="5"/>
      <c r="U56" s="54"/>
      <c r="V56" s="54"/>
      <c r="W56" s="85">
        <f>SUM(W50:W55)</f>
        <v>746.53444999999988</v>
      </c>
    </row>
    <row r="57" spans="1:23" ht="18" x14ac:dyDescent="0.35">
      <c r="C57" s="12"/>
      <c r="D57" s="12"/>
      <c r="E57" s="83"/>
      <c r="G57" s="5"/>
      <c r="H57" s="50"/>
      <c r="I57" s="87"/>
      <c r="J57" s="88"/>
      <c r="K57" s="85">
        <f>SUM(K52:K56)</f>
        <v>1510.0325399999999</v>
      </c>
    </row>
    <row r="58" spans="1:23" ht="21" x14ac:dyDescent="0.4">
      <c r="A58" s="40" t="s">
        <v>598</v>
      </c>
      <c r="B58" s="40"/>
      <c r="C58" s="84"/>
      <c r="D58" s="12"/>
      <c r="E58" s="83"/>
      <c r="G58" s="5"/>
      <c r="H58" s="50" t="s">
        <v>37</v>
      </c>
      <c r="I58" s="54">
        <v>4</v>
      </c>
      <c r="J58" s="86">
        <v>101.32</v>
      </c>
      <c r="K58" s="85">
        <f>I58*J58</f>
        <v>405.28</v>
      </c>
      <c r="M58" t="s">
        <v>622</v>
      </c>
    </row>
    <row r="59" spans="1:23" ht="18" x14ac:dyDescent="0.35">
      <c r="C59" s="12"/>
      <c r="D59" s="12"/>
      <c r="E59" s="12"/>
      <c r="G59" s="5"/>
      <c r="H59" s="5"/>
      <c r="I59" s="54"/>
      <c r="J59" s="54"/>
      <c r="K59" s="85">
        <f>SUM(K57:K58)</f>
        <v>1915.3125399999999</v>
      </c>
      <c r="M59" s="5"/>
      <c r="N59" s="5"/>
      <c r="O59" s="7" t="s">
        <v>28</v>
      </c>
      <c r="P59" s="7" t="s">
        <v>29</v>
      </c>
      <c r="Q59" s="7" t="s">
        <v>30</v>
      </c>
    </row>
    <row r="60" spans="1:23" ht="18" x14ac:dyDescent="0.35">
      <c r="A60" s="5"/>
      <c r="B60" s="5"/>
      <c r="C60" s="7" t="s">
        <v>28</v>
      </c>
      <c r="D60" s="7" t="s">
        <v>29</v>
      </c>
      <c r="E60" s="7" t="s">
        <v>30</v>
      </c>
      <c r="M60" s="5" t="s">
        <v>41</v>
      </c>
      <c r="N60" s="50" t="s">
        <v>32</v>
      </c>
      <c r="O60" s="7">
        <v>1.4650000000000001</v>
      </c>
      <c r="P60" s="7">
        <v>30.29</v>
      </c>
      <c r="Q60" s="85">
        <f t="shared" ref="Q60:Q65" si="9">O60*P60</f>
        <v>44.374850000000002</v>
      </c>
    </row>
    <row r="61" spans="1:23" ht="18" x14ac:dyDescent="0.35">
      <c r="A61" s="5" t="s">
        <v>421</v>
      </c>
      <c r="B61" s="50" t="s">
        <v>32</v>
      </c>
      <c r="C61" s="7">
        <v>4.5449999999999999</v>
      </c>
      <c r="D61" s="7">
        <v>29.12</v>
      </c>
      <c r="E61" s="85">
        <f t="shared" ref="E61:E66" si="10">C61*D61</f>
        <v>132.35040000000001</v>
      </c>
      <c r="M61" s="5" t="s">
        <v>63</v>
      </c>
      <c r="N61" s="50" t="s">
        <v>33</v>
      </c>
      <c r="O61" s="7">
        <v>3.234</v>
      </c>
      <c r="P61" s="7">
        <v>10.86</v>
      </c>
      <c r="Q61" s="85">
        <f t="shared" si="9"/>
        <v>35.12124</v>
      </c>
    </row>
    <row r="62" spans="1:23" ht="18" x14ac:dyDescent="0.35">
      <c r="A62" s="5" t="s">
        <v>310</v>
      </c>
      <c r="B62" s="50" t="s">
        <v>33</v>
      </c>
      <c r="C62" s="7">
        <v>54.45</v>
      </c>
      <c r="D62" s="7">
        <v>14.94</v>
      </c>
      <c r="E62" s="85">
        <f t="shared" si="10"/>
        <v>813.48300000000006</v>
      </c>
      <c r="M62" s="5" t="s">
        <v>623</v>
      </c>
      <c r="N62" s="50" t="s">
        <v>137</v>
      </c>
      <c r="O62" s="7">
        <v>0.22</v>
      </c>
      <c r="P62" s="7">
        <v>17.190000000000001</v>
      </c>
      <c r="Q62" s="85">
        <f t="shared" si="9"/>
        <v>3.7818000000000005</v>
      </c>
    </row>
    <row r="63" spans="1:23" ht="18" x14ac:dyDescent="0.35">
      <c r="A63" s="5" t="s">
        <v>597</v>
      </c>
      <c r="B63" s="50" t="s">
        <v>88</v>
      </c>
      <c r="C63" s="7">
        <v>4</v>
      </c>
      <c r="D63" s="7">
        <v>2.2400000000000002</v>
      </c>
      <c r="E63" s="85">
        <f t="shared" si="10"/>
        <v>8.9600000000000009</v>
      </c>
      <c r="M63" s="5"/>
      <c r="N63" s="50" t="s">
        <v>35</v>
      </c>
      <c r="O63" s="7">
        <v>4</v>
      </c>
      <c r="P63" s="7">
        <v>2.89</v>
      </c>
      <c r="Q63" s="85">
        <f t="shared" si="9"/>
        <v>11.56</v>
      </c>
    </row>
    <row r="64" spans="1:23" ht="18" x14ac:dyDescent="0.35">
      <c r="A64" s="5"/>
      <c r="B64" s="50" t="s">
        <v>34</v>
      </c>
      <c r="C64" s="7">
        <v>2</v>
      </c>
      <c r="D64" s="7">
        <v>14.61</v>
      </c>
      <c r="E64" s="85">
        <f t="shared" si="10"/>
        <v>29.22</v>
      </c>
      <c r="M64" s="5"/>
      <c r="N64" s="50" t="s">
        <v>36</v>
      </c>
      <c r="O64" s="7">
        <v>4</v>
      </c>
      <c r="P64" s="7">
        <v>0.6</v>
      </c>
      <c r="Q64" s="85">
        <f t="shared" si="9"/>
        <v>2.4</v>
      </c>
    </row>
    <row r="65" spans="1:18" ht="18" x14ac:dyDescent="0.35">
      <c r="A65" s="5"/>
      <c r="B65" s="50" t="s">
        <v>35</v>
      </c>
      <c r="C65" s="7">
        <v>8</v>
      </c>
      <c r="D65" s="7">
        <v>2.89</v>
      </c>
      <c r="E65" s="85">
        <f t="shared" si="10"/>
        <v>23.12</v>
      </c>
      <c r="M65" s="5"/>
      <c r="N65" s="50" t="s">
        <v>37</v>
      </c>
      <c r="O65" s="54">
        <v>0.5</v>
      </c>
      <c r="P65" s="86">
        <v>101.32</v>
      </c>
      <c r="Q65" s="85">
        <f t="shared" si="9"/>
        <v>50.66</v>
      </c>
    </row>
    <row r="66" spans="1:18" ht="18" x14ac:dyDescent="0.35">
      <c r="A66" s="5"/>
      <c r="B66" s="50" t="s">
        <v>36</v>
      </c>
      <c r="C66" s="7">
        <v>4</v>
      </c>
      <c r="D66" s="7">
        <v>0.6</v>
      </c>
      <c r="E66" s="85">
        <f t="shared" si="10"/>
        <v>2.4</v>
      </c>
      <c r="M66" s="5"/>
      <c r="N66" s="5"/>
      <c r="O66" s="54"/>
      <c r="P66" s="54"/>
      <c r="Q66" s="85">
        <f>SUM(Q60:Q65)</f>
        <v>147.89789000000002</v>
      </c>
    </row>
    <row r="67" spans="1:18" ht="18" x14ac:dyDescent="0.35">
      <c r="A67" s="5"/>
      <c r="B67" s="5"/>
      <c r="C67" s="54"/>
      <c r="D67" s="54"/>
      <c r="E67" s="89">
        <f>SUM(E61:E66)</f>
        <v>1009.5334000000001</v>
      </c>
    </row>
    <row r="68" spans="1:18" ht="18" x14ac:dyDescent="0.35">
      <c r="A68" s="5"/>
      <c r="B68" s="50" t="s">
        <v>37</v>
      </c>
      <c r="C68" s="54">
        <v>1.5</v>
      </c>
      <c r="D68" s="54">
        <v>101.32</v>
      </c>
      <c r="E68" s="85">
        <f>C68*D68</f>
        <v>151.97999999999999</v>
      </c>
    </row>
    <row r="69" spans="1:18" ht="18" x14ac:dyDescent="0.35">
      <c r="A69" s="5"/>
      <c r="B69" s="5"/>
      <c r="C69" s="54"/>
      <c r="D69" s="54"/>
      <c r="E69" s="85">
        <f>SUM(E67:E68)</f>
        <v>1161.5134</v>
      </c>
    </row>
    <row r="70" spans="1:18" x14ac:dyDescent="0.3">
      <c r="C70" s="12"/>
      <c r="D70" s="12"/>
      <c r="E70" s="12" t="s">
        <v>612</v>
      </c>
    </row>
    <row r="71" spans="1:18" x14ac:dyDescent="0.3">
      <c r="C71" s="12"/>
      <c r="D71" s="12"/>
      <c r="E71" s="12">
        <v>1860</v>
      </c>
    </row>
    <row r="72" spans="1:18" ht="21" x14ac:dyDescent="0.4">
      <c r="A72" s="40" t="s">
        <v>599</v>
      </c>
      <c r="B72" s="40"/>
      <c r="C72" s="84"/>
      <c r="D72" s="12"/>
      <c r="E72" s="12"/>
      <c r="H72" s="40" t="s">
        <v>599</v>
      </c>
      <c r="I72" s="40"/>
      <c r="J72" s="84"/>
      <c r="K72" s="12"/>
      <c r="L72" s="12"/>
      <c r="N72" s="40" t="s">
        <v>599</v>
      </c>
      <c r="O72" s="40"/>
      <c r="P72" s="84"/>
      <c r="Q72" s="12"/>
      <c r="R72" s="12"/>
    </row>
    <row r="73" spans="1:18" x14ac:dyDescent="0.3">
      <c r="C73" s="12"/>
      <c r="D73" s="12"/>
      <c r="E73" s="12"/>
      <c r="J73" s="12"/>
      <c r="K73" s="12"/>
      <c r="L73" s="12"/>
      <c r="P73" s="12"/>
      <c r="Q73" s="12"/>
      <c r="R73" s="12"/>
    </row>
    <row r="74" spans="1:18" ht="18" x14ac:dyDescent="0.35">
      <c r="A74" s="5"/>
      <c r="B74" s="5"/>
      <c r="C74" s="7" t="s">
        <v>28</v>
      </c>
      <c r="D74" s="7" t="s">
        <v>29</v>
      </c>
      <c r="E74" s="7" t="s">
        <v>30</v>
      </c>
      <c r="H74" s="5"/>
      <c r="I74" s="5"/>
      <c r="J74" s="7" t="s">
        <v>28</v>
      </c>
      <c r="K74" s="7" t="s">
        <v>29</v>
      </c>
      <c r="L74" s="7" t="s">
        <v>30</v>
      </c>
      <c r="N74" s="5"/>
      <c r="O74" s="5"/>
      <c r="P74" s="7" t="s">
        <v>28</v>
      </c>
      <c r="Q74" s="7" t="s">
        <v>29</v>
      </c>
      <c r="R74" s="7" t="s">
        <v>30</v>
      </c>
    </row>
    <row r="75" spans="1:18" ht="18" x14ac:dyDescent="0.35">
      <c r="A75" s="5" t="s">
        <v>421</v>
      </c>
      <c r="B75" s="50" t="s">
        <v>32</v>
      </c>
      <c r="C75" s="7">
        <v>4.5449999999999999</v>
      </c>
      <c r="D75" s="7">
        <v>30.29</v>
      </c>
      <c r="E75" s="85">
        <f t="shared" ref="E75:E80" si="11">C75*D75</f>
        <v>137.66804999999999</v>
      </c>
      <c r="H75" s="5" t="s">
        <v>416</v>
      </c>
      <c r="I75" s="50" t="s">
        <v>32</v>
      </c>
      <c r="J75" s="7">
        <v>3.2250000000000001</v>
      </c>
      <c r="K75" s="7">
        <v>30.29</v>
      </c>
      <c r="L75" s="85">
        <f t="shared" ref="L75:L80" si="12">J75*K75</f>
        <v>97.685249999999996</v>
      </c>
      <c r="N75" s="5" t="s">
        <v>38</v>
      </c>
      <c r="O75" s="50" t="s">
        <v>32</v>
      </c>
      <c r="P75" s="7">
        <v>0.97899999999999998</v>
      </c>
      <c r="Q75" s="7">
        <v>30.29</v>
      </c>
      <c r="R75" s="85">
        <f t="shared" ref="R75:R80" si="13">P75*Q75</f>
        <v>29.65391</v>
      </c>
    </row>
    <row r="76" spans="1:18" ht="18" x14ac:dyDescent="0.35">
      <c r="A76" s="5" t="s">
        <v>600</v>
      </c>
      <c r="B76" s="50" t="s">
        <v>33</v>
      </c>
      <c r="C76" s="7">
        <v>54.45</v>
      </c>
      <c r="D76" s="7">
        <v>16.09</v>
      </c>
      <c r="E76" s="85">
        <f t="shared" si="11"/>
        <v>876.10050000000001</v>
      </c>
      <c r="H76" s="5" t="s">
        <v>126</v>
      </c>
      <c r="I76" s="50" t="s">
        <v>33</v>
      </c>
      <c r="J76" s="7">
        <v>24.055</v>
      </c>
      <c r="K76" s="7">
        <v>16.09</v>
      </c>
      <c r="L76" s="85">
        <f t="shared" si="12"/>
        <v>387.04494999999997</v>
      </c>
      <c r="N76" s="5" t="s">
        <v>356</v>
      </c>
      <c r="O76" s="50" t="s">
        <v>33</v>
      </c>
      <c r="P76" s="7">
        <v>1.218</v>
      </c>
      <c r="Q76" s="7">
        <v>16.09</v>
      </c>
      <c r="R76" s="85">
        <f t="shared" si="13"/>
        <v>19.597619999999999</v>
      </c>
    </row>
    <row r="77" spans="1:18" ht="18" x14ac:dyDescent="0.35">
      <c r="A77" s="5" t="s">
        <v>597</v>
      </c>
      <c r="B77" s="50" t="s">
        <v>88</v>
      </c>
      <c r="C77" s="7">
        <v>4</v>
      </c>
      <c r="D77" s="7">
        <v>2.2400000000000002</v>
      </c>
      <c r="E77" s="85">
        <f t="shared" si="11"/>
        <v>8.9600000000000009</v>
      </c>
      <c r="H77" s="5" t="s">
        <v>615</v>
      </c>
      <c r="I77" s="50" t="s">
        <v>88</v>
      </c>
      <c r="J77" s="7">
        <v>4</v>
      </c>
      <c r="K77" s="7">
        <v>2.2400000000000002</v>
      </c>
      <c r="L77" s="85">
        <f t="shared" si="12"/>
        <v>8.9600000000000009</v>
      </c>
      <c r="N77" s="5" t="s">
        <v>619</v>
      </c>
      <c r="O77" s="50" t="s">
        <v>43</v>
      </c>
      <c r="P77" s="7">
        <v>2</v>
      </c>
      <c r="Q77" s="7">
        <v>0.77</v>
      </c>
      <c r="R77" s="85">
        <f t="shared" si="13"/>
        <v>1.54</v>
      </c>
    </row>
    <row r="78" spans="1:18" ht="18" x14ac:dyDescent="0.35">
      <c r="A78" s="5"/>
      <c r="B78" s="50" t="s">
        <v>34</v>
      </c>
      <c r="C78" s="7">
        <v>2</v>
      </c>
      <c r="D78" s="7">
        <v>14.61</v>
      </c>
      <c r="E78" s="85">
        <f t="shared" si="11"/>
        <v>29.22</v>
      </c>
      <c r="H78" s="5"/>
      <c r="I78" s="50" t="s">
        <v>34</v>
      </c>
      <c r="J78" s="7">
        <v>2</v>
      </c>
      <c r="K78" s="7">
        <v>14.61</v>
      </c>
      <c r="L78" s="85">
        <f t="shared" si="12"/>
        <v>29.22</v>
      </c>
      <c r="N78" s="5"/>
      <c r="O78" s="50" t="s">
        <v>34</v>
      </c>
      <c r="P78" s="7"/>
      <c r="Q78" s="7">
        <v>14.61</v>
      </c>
      <c r="R78" s="85">
        <f t="shared" si="13"/>
        <v>0</v>
      </c>
    </row>
    <row r="79" spans="1:18" ht="18" x14ac:dyDescent="0.35">
      <c r="A79" s="5"/>
      <c r="B79" s="50" t="s">
        <v>35</v>
      </c>
      <c r="C79" s="7">
        <v>8</v>
      </c>
      <c r="D79" s="7">
        <v>2.89</v>
      </c>
      <c r="E79" s="85">
        <f t="shared" si="11"/>
        <v>23.12</v>
      </c>
      <c r="H79" s="5"/>
      <c r="I79" s="50" t="s">
        <v>35</v>
      </c>
      <c r="J79" s="7">
        <v>8</v>
      </c>
      <c r="K79" s="7">
        <v>2.89</v>
      </c>
      <c r="L79" s="85">
        <f t="shared" si="12"/>
        <v>23.12</v>
      </c>
      <c r="N79" s="5"/>
      <c r="O79" s="50" t="s">
        <v>35</v>
      </c>
      <c r="P79" s="7">
        <v>4</v>
      </c>
      <c r="Q79" s="7">
        <v>2.89</v>
      </c>
      <c r="R79" s="85">
        <f t="shared" si="13"/>
        <v>11.56</v>
      </c>
    </row>
    <row r="80" spans="1:18" ht="18" x14ac:dyDescent="0.35">
      <c r="A80" s="5"/>
      <c r="B80" s="50" t="s">
        <v>36</v>
      </c>
      <c r="C80" s="7">
        <v>4</v>
      </c>
      <c r="D80" s="7">
        <v>0.6</v>
      </c>
      <c r="E80" s="85">
        <f t="shared" si="11"/>
        <v>2.4</v>
      </c>
      <c r="H80" s="5"/>
      <c r="I80" s="50" t="s">
        <v>36</v>
      </c>
      <c r="J80" s="7">
        <v>4</v>
      </c>
      <c r="K80" s="7">
        <v>0.6</v>
      </c>
      <c r="L80" s="85">
        <f t="shared" si="12"/>
        <v>2.4</v>
      </c>
      <c r="N80" s="5"/>
      <c r="O80" s="50" t="s">
        <v>36</v>
      </c>
      <c r="P80" s="7">
        <v>4</v>
      </c>
      <c r="Q80" s="7">
        <v>0.6</v>
      </c>
      <c r="R80" s="85">
        <f t="shared" si="13"/>
        <v>2.4</v>
      </c>
    </row>
    <row r="81" spans="1:18" ht="18" x14ac:dyDescent="0.35">
      <c r="A81" s="5"/>
      <c r="B81" s="5"/>
      <c r="C81" s="54"/>
      <c r="D81" s="54"/>
      <c r="E81" s="89">
        <f>SUM(E75:E80)</f>
        <v>1077.4685500000001</v>
      </c>
      <c r="H81" s="5"/>
      <c r="I81" s="5"/>
      <c r="J81" s="54"/>
      <c r="K81" s="54"/>
      <c r="L81" s="89">
        <f>SUM(L75:L80)</f>
        <v>548.4301999999999</v>
      </c>
      <c r="N81" s="5"/>
      <c r="O81" s="5"/>
      <c r="P81" s="54"/>
      <c r="Q81" s="54"/>
      <c r="R81" s="89">
        <f>SUM(R75:R80)</f>
        <v>64.751530000000002</v>
      </c>
    </row>
    <row r="82" spans="1:18" ht="18" x14ac:dyDescent="0.35">
      <c r="A82" s="5"/>
      <c r="B82" s="50" t="s">
        <v>37</v>
      </c>
      <c r="C82" s="54">
        <v>1.5</v>
      </c>
      <c r="D82" s="54">
        <v>101.32</v>
      </c>
      <c r="E82" s="85">
        <f>C82*D82</f>
        <v>151.97999999999999</v>
      </c>
      <c r="H82" s="5"/>
      <c r="I82" s="50" t="s">
        <v>37</v>
      </c>
      <c r="J82" s="54">
        <v>1</v>
      </c>
      <c r="K82" s="54">
        <v>101.32</v>
      </c>
      <c r="L82" s="85">
        <f>J82*K82</f>
        <v>101.32</v>
      </c>
      <c r="N82" s="5"/>
      <c r="O82" s="50" t="s">
        <v>37</v>
      </c>
      <c r="P82" s="54">
        <v>0.25</v>
      </c>
      <c r="Q82" s="54">
        <v>101.32</v>
      </c>
      <c r="R82" s="85">
        <f>P82*Q82</f>
        <v>25.33</v>
      </c>
    </row>
    <row r="83" spans="1:18" ht="18" x14ac:dyDescent="0.35">
      <c r="A83" s="5"/>
      <c r="B83" s="5"/>
      <c r="C83" s="54"/>
      <c r="D83" s="54"/>
      <c r="E83" s="85">
        <f>SUM(E81:E82)</f>
        <v>1229.4485500000001</v>
      </c>
      <c r="H83" s="5"/>
      <c r="I83" s="5"/>
      <c r="J83" s="54"/>
      <c r="K83" s="54"/>
      <c r="L83" s="85">
        <f>SUM(L81:L82)</f>
        <v>649.75019999999995</v>
      </c>
      <c r="N83" s="5"/>
      <c r="O83" s="5"/>
      <c r="P83" s="54"/>
      <c r="Q83" s="54"/>
      <c r="R83" s="85">
        <f>SUM(R81:R82)</f>
        <v>90.081530000000001</v>
      </c>
    </row>
    <row r="84" spans="1:18" x14ac:dyDescent="0.3">
      <c r="C84" s="12"/>
      <c r="D84" s="12"/>
      <c r="E84" s="12" t="s">
        <v>612</v>
      </c>
      <c r="J84" s="12"/>
      <c r="K84" s="12"/>
      <c r="L84" s="12" t="s">
        <v>612</v>
      </c>
    </row>
    <row r="85" spans="1:18" x14ac:dyDescent="0.3">
      <c r="C85" s="12"/>
      <c r="D85" s="12"/>
      <c r="E85" s="12">
        <v>1970</v>
      </c>
      <c r="J85" s="12"/>
      <c r="K85" s="12"/>
      <c r="L85" s="12">
        <v>1038</v>
      </c>
    </row>
    <row r="86" spans="1:18" x14ac:dyDescent="0.3">
      <c r="C86" s="12"/>
      <c r="D86" s="12"/>
      <c r="E86" s="12"/>
      <c r="J86" s="12"/>
      <c r="K86" s="12"/>
      <c r="L86" s="12"/>
    </row>
    <row r="87" spans="1:18" ht="21" x14ac:dyDescent="0.4">
      <c r="A87" s="40" t="s">
        <v>599</v>
      </c>
      <c r="B87" s="40"/>
      <c r="C87" s="84"/>
      <c r="D87" s="12"/>
      <c r="E87" s="12"/>
      <c r="J87" s="12"/>
      <c r="K87" s="12"/>
      <c r="L87" s="12"/>
    </row>
    <row r="88" spans="1:18" x14ac:dyDescent="0.3">
      <c r="A88" t="s">
        <v>106</v>
      </c>
      <c r="C88" s="12"/>
      <c r="D88" s="12"/>
      <c r="E88" s="12"/>
      <c r="J88" s="12"/>
      <c r="K88" s="12"/>
      <c r="L88" s="12"/>
    </row>
    <row r="89" spans="1:18" ht="18" x14ac:dyDescent="0.35">
      <c r="A89" s="5"/>
      <c r="B89" s="5"/>
      <c r="C89" s="7" t="s">
        <v>28</v>
      </c>
      <c r="D89" s="7" t="s">
        <v>29</v>
      </c>
      <c r="E89" s="7" t="s">
        <v>30</v>
      </c>
      <c r="J89" s="12"/>
      <c r="K89" s="12"/>
      <c r="L89" s="12"/>
    </row>
    <row r="90" spans="1:18" ht="18" x14ac:dyDescent="0.35">
      <c r="A90" s="5" t="s">
        <v>106</v>
      </c>
      <c r="B90" s="50" t="s">
        <v>32</v>
      </c>
      <c r="C90" s="7">
        <v>2.238</v>
      </c>
      <c r="D90" s="7">
        <v>30.29</v>
      </c>
      <c r="E90" s="85">
        <f t="shared" ref="E90:E95" si="14">C90*D90</f>
        <v>67.789019999999994</v>
      </c>
      <c r="J90" s="12"/>
      <c r="K90" s="12"/>
      <c r="L90" s="12"/>
    </row>
    <row r="91" spans="1:18" ht="18" x14ac:dyDescent="0.35">
      <c r="A91" s="5" t="s">
        <v>53</v>
      </c>
      <c r="B91" s="50" t="s">
        <v>33</v>
      </c>
      <c r="C91" s="7">
        <v>10.143000000000001</v>
      </c>
      <c r="D91" s="7">
        <v>16.09</v>
      </c>
      <c r="E91" s="85">
        <f t="shared" si="14"/>
        <v>163.20087000000001</v>
      </c>
      <c r="J91" s="12"/>
      <c r="K91" s="12"/>
    </row>
    <row r="92" spans="1:18" ht="18" x14ac:dyDescent="0.35">
      <c r="A92" s="5" t="s">
        <v>675</v>
      </c>
      <c r="B92" s="50" t="s">
        <v>90</v>
      </c>
      <c r="C92" s="7">
        <v>2</v>
      </c>
      <c r="D92" s="7">
        <v>1.7</v>
      </c>
      <c r="E92" s="85">
        <f t="shared" si="14"/>
        <v>3.4</v>
      </c>
    </row>
    <row r="93" spans="1:18" ht="18" x14ac:dyDescent="0.35">
      <c r="A93" s="5"/>
      <c r="B93" s="50" t="s">
        <v>34</v>
      </c>
      <c r="C93" s="7">
        <v>0.315</v>
      </c>
      <c r="D93" s="7">
        <v>14.61</v>
      </c>
      <c r="E93" s="85">
        <f t="shared" si="14"/>
        <v>4.60215</v>
      </c>
    </row>
    <row r="94" spans="1:18" ht="21" x14ac:dyDescent="0.4">
      <c r="A94" s="5"/>
      <c r="B94" s="50" t="s">
        <v>35</v>
      </c>
      <c r="C94" s="7">
        <v>4</v>
      </c>
      <c r="D94" s="7">
        <v>2.89</v>
      </c>
      <c r="E94" s="85">
        <f t="shared" si="14"/>
        <v>11.56</v>
      </c>
      <c r="H94" s="40" t="s">
        <v>599</v>
      </c>
      <c r="I94" s="40"/>
      <c r="J94" s="84"/>
      <c r="K94" s="12"/>
      <c r="L94" s="12"/>
    </row>
    <row r="95" spans="1:18" ht="18" x14ac:dyDescent="0.35">
      <c r="A95" s="5"/>
      <c r="B95" s="50" t="s">
        <v>36</v>
      </c>
      <c r="C95" s="7">
        <v>4</v>
      </c>
      <c r="D95" s="7">
        <v>0.6</v>
      </c>
      <c r="E95" s="85">
        <f t="shared" si="14"/>
        <v>2.4</v>
      </c>
      <c r="J95" s="12"/>
      <c r="K95" s="12"/>
      <c r="L95" s="12"/>
    </row>
    <row r="96" spans="1:18" ht="18" x14ac:dyDescent="0.35">
      <c r="A96" s="5"/>
      <c r="B96" s="5"/>
      <c r="C96" s="54"/>
      <c r="D96" s="54"/>
      <c r="E96" s="89">
        <f>SUM(E90:E95)</f>
        <v>252.95204000000001</v>
      </c>
      <c r="H96" s="5"/>
      <c r="I96" s="5"/>
      <c r="J96" s="7" t="s">
        <v>28</v>
      </c>
      <c r="K96" s="7" t="s">
        <v>29</v>
      </c>
      <c r="L96" s="7" t="s">
        <v>30</v>
      </c>
    </row>
    <row r="97" spans="1:12" ht="18" x14ac:dyDescent="0.35">
      <c r="A97" s="5"/>
      <c r="B97" s="50" t="s">
        <v>37</v>
      </c>
      <c r="C97" s="54">
        <v>1</v>
      </c>
      <c r="D97" s="54">
        <v>131</v>
      </c>
      <c r="E97" s="85">
        <f>C97*D97</f>
        <v>131</v>
      </c>
      <c r="H97" s="5" t="s">
        <v>77</v>
      </c>
      <c r="I97" s="50" t="s">
        <v>32</v>
      </c>
      <c r="J97" s="7">
        <v>1.905</v>
      </c>
      <c r="K97" s="7">
        <v>30.29</v>
      </c>
      <c r="L97" s="85">
        <f t="shared" ref="L97:L102" si="15">J97*K97</f>
        <v>57.702449999999999</v>
      </c>
    </row>
    <row r="98" spans="1:12" ht="18" x14ac:dyDescent="0.35">
      <c r="A98" s="5"/>
      <c r="B98" s="5"/>
      <c r="C98" s="54"/>
      <c r="D98" s="54"/>
      <c r="E98" s="85">
        <f>SUM(E96:E97)</f>
        <v>383.95204000000001</v>
      </c>
      <c r="H98" s="5" t="s">
        <v>83</v>
      </c>
      <c r="I98" s="50" t="s">
        <v>33</v>
      </c>
      <c r="J98" s="7">
        <v>5.8410000000000002</v>
      </c>
      <c r="K98" s="7">
        <v>16.09</v>
      </c>
      <c r="L98" s="85">
        <f t="shared" si="15"/>
        <v>93.98169</v>
      </c>
    </row>
    <row r="99" spans="1:12" ht="18" x14ac:dyDescent="0.35">
      <c r="C99" s="12"/>
      <c r="D99" s="12"/>
      <c r="E99" s="12" t="s">
        <v>612</v>
      </c>
      <c r="H99" s="5" t="s">
        <v>616</v>
      </c>
      <c r="I99" s="50" t="s">
        <v>97</v>
      </c>
      <c r="J99" s="7">
        <v>2</v>
      </c>
      <c r="K99" s="7">
        <v>1.08</v>
      </c>
      <c r="L99" s="85">
        <f t="shared" si="15"/>
        <v>2.16</v>
      </c>
    </row>
    <row r="100" spans="1:12" ht="18" x14ac:dyDescent="0.35">
      <c r="C100" s="12"/>
      <c r="D100" s="12"/>
      <c r="E100" s="12">
        <v>1970</v>
      </c>
      <c r="H100" s="5"/>
      <c r="I100" s="50" t="s">
        <v>34</v>
      </c>
      <c r="J100" s="7">
        <v>0.22</v>
      </c>
      <c r="K100" s="7">
        <v>14.61</v>
      </c>
      <c r="L100" s="85">
        <f t="shared" si="15"/>
        <v>3.2141999999999999</v>
      </c>
    </row>
    <row r="101" spans="1:12" ht="18" x14ac:dyDescent="0.35">
      <c r="A101" s="5" t="s">
        <v>421</v>
      </c>
      <c r="B101" s="50" t="s">
        <v>32</v>
      </c>
      <c r="C101" s="7">
        <v>4.5449999999999999</v>
      </c>
      <c r="D101" s="7">
        <v>29.24</v>
      </c>
      <c r="E101" s="85">
        <f t="shared" ref="E101:E108" si="16">C101*D101</f>
        <v>132.89579999999998</v>
      </c>
      <c r="H101" s="5"/>
      <c r="I101" s="50" t="s">
        <v>35</v>
      </c>
      <c r="J101" s="7">
        <v>4</v>
      </c>
      <c r="K101" s="7">
        <v>2.89</v>
      </c>
      <c r="L101" s="85">
        <f t="shared" si="15"/>
        <v>11.56</v>
      </c>
    </row>
    <row r="102" spans="1:12" ht="18" x14ac:dyDescent="0.35">
      <c r="A102" s="5" t="s">
        <v>310</v>
      </c>
      <c r="B102" s="50" t="s">
        <v>33</v>
      </c>
      <c r="C102" s="7">
        <v>54.45</v>
      </c>
      <c r="D102" s="7">
        <v>14.94</v>
      </c>
      <c r="E102" s="85">
        <f t="shared" si="16"/>
        <v>813.48300000000006</v>
      </c>
      <c r="H102" s="5"/>
      <c r="I102" s="50" t="s">
        <v>36</v>
      </c>
      <c r="J102" s="7">
        <v>4</v>
      </c>
      <c r="K102" s="7">
        <v>0.6</v>
      </c>
      <c r="L102" s="85">
        <f t="shared" si="15"/>
        <v>2.4</v>
      </c>
    </row>
    <row r="103" spans="1:12" ht="18" x14ac:dyDescent="0.35">
      <c r="A103" s="5" t="s">
        <v>377</v>
      </c>
      <c r="B103" s="50" t="s">
        <v>33</v>
      </c>
      <c r="C103" s="7">
        <v>54.45</v>
      </c>
      <c r="D103" s="7">
        <v>14.94</v>
      </c>
      <c r="E103" s="85">
        <f t="shared" si="16"/>
        <v>813.48300000000006</v>
      </c>
      <c r="H103" s="5"/>
      <c r="I103" s="5"/>
      <c r="J103" s="54"/>
      <c r="K103" s="54"/>
      <c r="L103" s="89">
        <f>SUM(L97:L102)</f>
        <v>171.01834000000002</v>
      </c>
    </row>
    <row r="104" spans="1:12" ht="18" x14ac:dyDescent="0.35">
      <c r="A104" s="5" t="s">
        <v>597</v>
      </c>
      <c r="B104" s="50" t="s">
        <v>88</v>
      </c>
      <c r="C104" s="7">
        <v>4</v>
      </c>
      <c r="D104" s="7">
        <v>2.2400000000000002</v>
      </c>
      <c r="E104" s="85">
        <f t="shared" si="16"/>
        <v>8.9600000000000009</v>
      </c>
      <c r="H104" s="5"/>
      <c r="I104" s="50" t="s">
        <v>37</v>
      </c>
      <c r="J104" s="54">
        <v>0.5</v>
      </c>
      <c r="K104" s="54">
        <v>101.32</v>
      </c>
      <c r="L104" s="85">
        <f>J104*K104</f>
        <v>50.66</v>
      </c>
    </row>
    <row r="105" spans="1:12" ht="18" x14ac:dyDescent="0.35">
      <c r="A105" s="5"/>
      <c r="B105" s="50" t="s">
        <v>88</v>
      </c>
      <c r="C105" s="88">
        <v>4</v>
      </c>
      <c r="D105" s="88">
        <v>2.2400000000000002</v>
      </c>
      <c r="E105" s="90">
        <f t="shared" si="16"/>
        <v>8.9600000000000009</v>
      </c>
      <c r="H105" s="5"/>
      <c r="I105" s="5"/>
      <c r="J105" s="54"/>
      <c r="K105" s="54"/>
      <c r="L105" s="85">
        <f>SUM(L103:L104)</f>
        <v>221.67834000000002</v>
      </c>
    </row>
    <row r="106" spans="1:12" ht="18" x14ac:dyDescent="0.35">
      <c r="A106" s="5"/>
      <c r="B106" s="50" t="s">
        <v>34</v>
      </c>
      <c r="C106" s="7">
        <v>2</v>
      </c>
      <c r="D106" s="7">
        <v>13.67</v>
      </c>
      <c r="E106" s="85">
        <f t="shared" si="16"/>
        <v>27.34</v>
      </c>
      <c r="J106" s="12"/>
      <c r="K106" s="12"/>
      <c r="L106" s="12"/>
    </row>
    <row r="107" spans="1:12" ht="18" x14ac:dyDescent="0.35">
      <c r="A107" s="5"/>
      <c r="B107" s="50" t="s">
        <v>35</v>
      </c>
      <c r="C107" s="7">
        <v>8</v>
      </c>
      <c r="D107" s="7">
        <v>2.89</v>
      </c>
      <c r="E107" s="85">
        <f t="shared" si="16"/>
        <v>23.12</v>
      </c>
      <c r="J107" s="12"/>
      <c r="K107" s="12"/>
      <c r="L107" s="12"/>
    </row>
    <row r="108" spans="1:12" ht="18" x14ac:dyDescent="0.35">
      <c r="A108" s="5"/>
      <c r="B108" s="50" t="s">
        <v>36</v>
      </c>
      <c r="C108" s="7">
        <v>4</v>
      </c>
      <c r="D108" s="7">
        <v>0.6</v>
      </c>
      <c r="E108" s="85">
        <f t="shared" si="16"/>
        <v>2.4</v>
      </c>
    </row>
    <row r="109" spans="1:12" ht="18" x14ac:dyDescent="0.35">
      <c r="A109" s="5"/>
      <c r="B109" s="5"/>
      <c r="C109" s="54"/>
      <c r="D109" s="54"/>
      <c r="E109" s="89">
        <f>SUM(E101:E108)</f>
        <v>1830.6418000000001</v>
      </c>
    </row>
    <row r="110" spans="1:12" ht="18" x14ac:dyDescent="0.35">
      <c r="A110" s="5"/>
      <c r="B110" s="50" t="s">
        <v>37</v>
      </c>
      <c r="C110" s="54">
        <v>3</v>
      </c>
      <c r="D110" s="54">
        <v>101.32</v>
      </c>
      <c r="E110" s="85">
        <f>C110*D110</f>
        <v>303.95999999999998</v>
      </c>
    </row>
    <row r="111" spans="1:12" ht="18" x14ac:dyDescent="0.35">
      <c r="A111" s="5"/>
      <c r="B111" s="5"/>
      <c r="C111" s="54"/>
      <c r="D111" s="54"/>
      <c r="E111" s="85">
        <f>SUM(E109:E110)</f>
        <v>2134.6017999999999</v>
      </c>
    </row>
    <row r="112" spans="1:12" x14ac:dyDescent="0.3">
      <c r="C112" s="12"/>
      <c r="D112" s="12"/>
      <c r="E112" s="12" t="s">
        <v>612</v>
      </c>
    </row>
    <row r="113" spans="1:11" x14ac:dyDescent="0.3">
      <c r="C113" s="12"/>
      <c r="D113" s="12"/>
      <c r="E113" s="12">
        <v>3424</v>
      </c>
    </row>
    <row r="114" spans="1:11" x14ac:dyDescent="0.3">
      <c r="C114" s="12"/>
      <c r="D114" s="12"/>
      <c r="E114" s="12"/>
    </row>
    <row r="115" spans="1:11" ht="21" x14ac:dyDescent="0.4">
      <c r="A115" s="40" t="s">
        <v>602</v>
      </c>
      <c r="B115" s="40"/>
      <c r="C115" s="84"/>
      <c r="D115" s="12"/>
      <c r="E115" s="12"/>
      <c r="G115" s="40" t="s">
        <v>602</v>
      </c>
      <c r="H115" s="40"/>
      <c r="I115" s="84"/>
      <c r="J115" s="12"/>
      <c r="K115" s="12"/>
    </row>
    <row r="116" spans="1:11" ht="21" x14ac:dyDescent="0.4">
      <c r="A116" s="40"/>
      <c r="B116" s="40"/>
      <c r="C116" s="84"/>
      <c r="D116" s="12"/>
      <c r="E116" s="12"/>
      <c r="G116" s="40"/>
      <c r="H116" s="40"/>
      <c r="I116" s="84"/>
      <c r="J116" s="12"/>
      <c r="K116" s="12"/>
    </row>
    <row r="117" spans="1:11" ht="18" x14ac:dyDescent="0.35">
      <c r="A117" s="5"/>
      <c r="B117" s="5"/>
      <c r="C117" s="7" t="s">
        <v>28</v>
      </c>
      <c r="D117" s="7" t="s">
        <v>29</v>
      </c>
      <c r="E117" s="7" t="s">
        <v>30</v>
      </c>
      <c r="G117" s="5"/>
      <c r="H117" s="5"/>
      <c r="I117" s="7" t="s">
        <v>28</v>
      </c>
      <c r="J117" s="7" t="s">
        <v>29</v>
      </c>
      <c r="K117" s="7" t="s">
        <v>30</v>
      </c>
    </row>
    <row r="118" spans="1:11" ht="18" x14ac:dyDescent="0.35">
      <c r="A118" s="5" t="s">
        <v>421</v>
      </c>
      <c r="B118" s="50" t="s">
        <v>32</v>
      </c>
      <c r="C118" s="7">
        <v>4.5449999999999999</v>
      </c>
      <c r="D118" s="7">
        <v>42.29</v>
      </c>
      <c r="E118" s="85">
        <f t="shared" ref="E118:E125" si="17">C118*D118</f>
        <v>192.20804999999999</v>
      </c>
      <c r="G118" s="5" t="s">
        <v>48</v>
      </c>
      <c r="H118" s="50" t="s">
        <v>32</v>
      </c>
      <c r="I118" s="7">
        <v>2.4500000000000002</v>
      </c>
      <c r="J118" s="7">
        <v>42.29</v>
      </c>
      <c r="K118" s="85">
        <f t="shared" ref="K118:K125" si="18">I118*J118</f>
        <v>103.6105</v>
      </c>
    </row>
    <row r="119" spans="1:11" ht="18" x14ac:dyDescent="0.35">
      <c r="A119" s="5" t="s">
        <v>310</v>
      </c>
      <c r="B119" s="50" t="s">
        <v>33</v>
      </c>
      <c r="C119" s="7">
        <v>54.45</v>
      </c>
      <c r="D119" s="7">
        <v>16.09</v>
      </c>
      <c r="E119" s="85">
        <f t="shared" si="17"/>
        <v>876.10050000000001</v>
      </c>
      <c r="G119" s="5" t="s">
        <v>39</v>
      </c>
      <c r="H119" s="50" t="s">
        <v>33</v>
      </c>
      <c r="I119" s="7">
        <v>4.1580000000000004</v>
      </c>
      <c r="J119" s="7">
        <v>16.09</v>
      </c>
      <c r="K119" s="85">
        <f t="shared" si="18"/>
        <v>66.90222</v>
      </c>
    </row>
    <row r="120" spans="1:11" ht="18" x14ac:dyDescent="0.35">
      <c r="A120" s="5" t="s">
        <v>377</v>
      </c>
      <c r="B120" s="50" t="s">
        <v>33</v>
      </c>
      <c r="C120" s="7">
        <v>54.45</v>
      </c>
      <c r="D120" s="7">
        <v>16.09</v>
      </c>
      <c r="E120" s="85">
        <f t="shared" si="17"/>
        <v>876.10050000000001</v>
      </c>
      <c r="G120" s="5" t="s">
        <v>377</v>
      </c>
      <c r="H120" s="50" t="s">
        <v>33</v>
      </c>
      <c r="I120" s="7">
        <v>4.7249999999999996</v>
      </c>
      <c r="J120" s="7">
        <v>16.09</v>
      </c>
      <c r="K120" s="85">
        <f t="shared" si="18"/>
        <v>76.02525</v>
      </c>
    </row>
    <row r="121" spans="1:11" ht="18" x14ac:dyDescent="0.35">
      <c r="A121" s="5" t="s">
        <v>597</v>
      </c>
      <c r="B121" s="50" t="s">
        <v>88</v>
      </c>
      <c r="C121" s="7">
        <v>4</v>
      </c>
      <c r="D121" s="7">
        <v>2.2400000000000002</v>
      </c>
      <c r="E121" s="85">
        <f t="shared" si="17"/>
        <v>8.9600000000000009</v>
      </c>
      <c r="G121" s="5" t="s">
        <v>621</v>
      </c>
      <c r="H121" s="50" t="s">
        <v>43</v>
      </c>
      <c r="I121" s="7">
        <v>2</v>
      </c>
      <c r="J121" s="7">
        <v>1.1499999999999999</v>
      </c>
      <c r="K121" s="85">
        <f t="shared" si="18"/>
        <v>2.2999999999999998</v>
      </c>
    </row>
    <row r="122" spans="1:11" ht="18" x14ac:dyDescent="0.35">
      <c r="A122" s="5"/>
      <c r="B122" s="50" t="s">
        <v>88</v>
      </c>
      <c r="C122" s="88">
        <v>4</v>
      </c>
      <c r="D122" s="88">
        <v>2.2400000000000002</v>
      </c>
      <c r="E122" s="90">
        <f t="shared" si="17"/>
        <v>8.9600000000000009</v>
      </c>
      <c r="G122" s="5"/>
      <c r="H122" s="50" t="s">
        <v>94</v>
      </c>
      <c r="I122" s="88">
        <v>4</v>
      </c>
      <c r="J122" s="88">
        <v>2.2400000000000002</v>
      </c>
      <c r="K122" s="90">
        <f t="shared" si="18"/>
        <v>8.9600000000000009</v>
      </c>
    </row>
    <row r="123" spans="1:11" ht="18" x14ac:dyDescent="0.35">
      <c r="A123" s="5"/>
      <c r="B123" s="50" t="s">
        <v>34</v>
      </c>
      <c r="C123" s="7">
        <v>2</v>
      </c>
      <c r="D123" s="7">
        <v>13.67</v>
      </c>
      <c r="E123" s="85">
        <f t="shared" si="17"/>
        <v>27.34</v>
      </c>
      <c r="G123" s="5"/>
      <c r="H123" s="50" t="s">
        <v>34</v>
      </c>
      <c r="I123" s="7">
        <v>0.5</v>
      </c>
      <c r="J123" s="7">
        <v>13.67</v>
      </c>
      <c r="K123" s="85">
        <f t="shared" si="18"/>
        <v>6.835</v>
      </c>
    </row>
    <row r="124" spans="1:11" ht="18" x14ac:dyDescent="0.35">
      <c r="A124" s="5"/>
      <c r="B124" s="50" t="s">
        <v>35</v>
      </c>
      <c r="C124" s="7">
        <v>8</v>
      </c>
      <c r="D124" s="7">
        <v>2.89</v>
      </c>
      <c r="E124" s="85">
        <f t="shared" si="17"/>
        <v>23.12</v>
      </c>
      <c r="G124" s="5"/>
      <c r="H124" s="50" t="s">
        <v>35</v>
      </c>
      <c r="I124" s="7">
        <v>4</v>
      </c>
      <c r="J124" s="7">
        <v>2.89</v>
      </c>
      <c r="K124" s="85">
        <f t="shared" si="18"/>
        <v>11.56</v>
      </c>
    </row>
    <row r="125" spans="1:11" ht="18" x14ac:dyDescent="0.35">
      <c r="A125" s="5"/>
      <c r="B125" s="50" t="s">
        <v>36</v>
      </c>
      <c r="C125" s="7">
        <v>4</v>
      </c>
      <c r="D125" s="7">
        <v>0.6</v>
      </c>
      <c r="E125" s="85">
        <f t="shared" si="17"/>
        <v>2.4</v>
      </c>
      <c r="G125" s="5"/>
      <c r="H125" s="50" t="s">
        <v>36</v>
      </c>
      <c r="I125" s="7">
        <v>4</v>
      </c>
      <c r="J125" s="7">
        <v>0.6</v>
      </c>
      <c r="K125" s="85">
        <f t="shared" si="18"/>
        <v>2.4</v>
      </c>
    </row>
    <row r="126" spans="1:11" ht="18" x14ac:dyDescent="0.35">
      <c r="A126" s="5"/>
      <c r="B126" s="5"/>
      <c r="C126" s="54"/>
      <c r="D126" s="54"/>
      <c r="E126" s="89">
        <f>SUM(E118:E125)</f>
        <v>2015.18905</v>
      </c>
      <c r="G126" s="5"/>
      <c r="H126" s="5"/>
      <c r="I126" s="54"/>
      <c r="J126" s="54"/>
      <c r="K126" s="89">
        <f>SUM(K118:K125)</f>
        <v>278.59296999999998</v>
      </c>
    </row>
    <row r="127" spans="1:11" ht="18" x14ac:dyDescent="0.35">
      <c r="A127" s="5"/>
      <c r="B127" s="50" t="s">
        <v>37</v>
      </c>
      <c r="C127" s="54">
        <v>3</v>
      </c>
      <c r="D127" s="54">
        <v>101.32</v>
      </c>
      <c r="E127" s="85">
        <f>C127*D127</f>
        <v>303.95999999999998</v>
      </c>
      <c r="G127" s="5"/>
      <c r="H127" s="50" t="s">
        <v>37</v>
      </c>
      <c r="I127" s="54">
        <v>1</v>
      </c>
      <c r="J127" s="54">
        <v>101.32</v>
      </c>
      <c r="K127" s="85">
        <f>I127*J127</f>
        <v>101.32</v>
      </c>
    </row>
    <row r="128" spans="1:11" ht="18" x14ac:dyDescent="0.35">
      <c r="A128" s="5"/>
      <c r="B128" s="5"/>
      <c r="C128" s="54"/>
      <c r="D128" s="54"/>
      <c r="E128" s="85">
        <f>SUM(E126:E127)</f>
        <v>2319.14905</v>
      </c>
      <c r="G128" s="5"/>
      <c r="H128" s="5"/>
      <c r="I128" s="54"/>
      <c r="J128" s="54"/>
      <c r="K128" s="85">
        <f>SUM(K126:K127)</f>
        <v>379.91296999999997</v>
      </c>
    </row>
    <row r="130" spans="1:5" x14ac:dyDescent="0.3">
      <c r="E130" s="12" t="s">
        <v>612</v>
      </c>
    </row>
    <row r="131" spans="1:5" x14ac:dyDescent="0.3">
      <c r="E131" s="12">
        <v>3715</v>
      </c>
    </row>
    <row r="133" spans="1:5" x14ac:dyDescent="0.3">
      <c r="A133" t="s">
        <v>620</v>
      </c>
    </row>
    <row r="145" spans="1:5" x14ac:dyDescent="0.3">
      <c r="A145" t="s">
        <v>605</v>
      </c>
    </row>
    <row r="146" spans="1:5" x14ac:dyDescent="0.3">
      <c r="A146" t="s">
        <v>606</v>
      </c>
      <c r="B146">
        <v>2700</v>
      </c>
      <c r="C146" t="s">
        <v>607</v>
      </c>
    </row>
    <row r="147" spans="1:5" x14ac:dyDescent="0.3">
      <c r="A147" t="s">
        <v>608</v>
      </c>
      <c r="B147">
        <v>3000</v>
      </c>
      <c r="C147" t="s">
        <v>607</v>
      </c>
    </row>
    <row r="148" spans="1:5" x14ac:dyDescent="0.3">
      <c r="A148" t="s">
        <v>455</v>
      </c>
      <c r="B148">
        <v>1800</v>
      </c>
      <c r="C148" t="s">
        <v>607</v>
      </c>
    </row>
    <row r="151" spans="1:5" ht="21" x14ac:dyDescent="0.4">
      <c r="A151" s="40" t="s">
        <v>599</v>
      </c>
      <c r="B151" s="40"/>
      <c r="C151" s="84"/>
      <c r="D151" s="12"/>
      <c r="E151" s="12"/>
    </row>
    <row r="152" spans="1:5" x14ac:dyDescent="0.3">
      <c r="C152" s="12"/>
      <c r="D152" s="12"/>
      <c r="E152" s="12"/>
    </row>
    <row r="153" spans="1:5" ht="18" x14ac:dyDescent="0.35">
      <c r="A153" s="5"/>
      <c r="B153" s="5"/>
      <c r="C153" s="7" t="s">
        <v>28</v>
      </c>
      <c r="D153" s="7" t="s">
        <v>29</v>
      </c>
      <c r="E153" s="7" t="s">
        <v>30</v>
      </c>
    </row>
    <row r="154" spans="1:5" ht="18" x14ac:dyDescent="0.35">
      <c r="A154" s="5" t="s">
        <v>647</v>
      </c>
      <c r="B154" s="50" t="s">
        <v>32</v>
      </c>
      <c r="C154" s="7">
        <v>2.6760000000000002</v>
      </c>
      <c r="D154" s="7">
        <v>30.29</v>
      </c>
      <c r="E154" s="85">
        <f t="shared" ref="E154:E159" si="19">C154*D154</f>
        <v>81.056039999999996</v>
      </c>
    </row>
    <row r="155" spans="1:5" ht="18" x14ac:dyDescent="0.35">
      <c r="A155" s="5" t="s">
        <v>648</v>
      </c>
      <c r="B155" s="50" t="s">
        <v>33</v>
      </c>
      <c r="C155" s="7">
        <v>14.930999999999999</v>
      </c>
      <c r="D155" s="7">
        <v>16.09</v>
      </c>
      <c r="E155" s="85">
        <f t="shared" si="19"/>
        <v>240.23978999999997</v>
      </c>
    </row>
    <row r="156" spans="1:5" ht="18" x14ac:dyDescent="0.35">
      <c r="A156" s="5" t="s">
        <v>649</v>
      </c>
      <c r="B156" s="50" t="s">
        <v>650</v>
      </c>
      <c r="C156" s="7">
        <v>2</v>
      </c>
      <c r="D156" s="7">
        <v>1.81</v>
      </c>
      <c r="E156" s="85">
        <f t="shared" si="19"/>
        <v>3.62</v>
      </c>
    </row>
    <row r="157" spans="1:5" ht="18" x14ac:dyDescent="0.35">
      <c r="A157" s="5"/>
      <c r="B157" s="50" t="s">
        <v>34</v>
      </c>
      <c r="C157" s="7">
        <v>0.73499999999999999</v>
      </c>
      <c r="D157" s="7">
        <v>14.61</v>
      </c>
      <c r="E157" s="85">
        <f t="shared" si="19"/>
        <v>10.738349999999999</v>
      </c>
    </row>
    <row r="158" spans="1:5" ht="18" x14ac:dyDescent="0.35">
      <c r="A158" s="5"/>
      <c r="B158" s="50" t="s">
        <v>35</v>
      </c>
      <c r="C158" s="7">
        <v>4</v>
      </c>
      <c r="D158" s="7">
        <v>2.89</v>
      </c>
      <c r="E158" s="85">
        <f t="shared" si="19"/>
        <v>11.56</v>
      </c>
    </row>
    <row r="159" spans="1:5" ht="18" x14ac:dyDescent="0.35">
      <c r="A159" s="5"/>
      <c r="B159" s="50" t="s">
        <v>36</v>
      </c>
      <c r="C159" s="7">
        <v>4</v>
      </c>
      <c r="D159" s="7">
        <v>0.6</v>
      </c>
      <c r="E159" s="85">
        <f t="shared" si="19"/>
        <v>2.4</v>
      </c>
    </row>
    <row r="160" spans="1:5" ht="18" x14ac:dyDescent="0.35">
      <c r="A160" s="5"/>
      <c r="B160" s="5"/>
      <c r="C160" s="54"/>
      <c r="D160" s="54"/>
      <c r="E160" s="89">
        <f>SUM(E154:E159)</f>
        <v>349.61417999999998</v>
      </c>
    </row>
    <row r="161" spans="1:5" ht="18" x14ac:dyDescent="0.35">
      <c r="A161" s="5"/>
      <c r="B161" s="50" t="s">
        <v>37</v>
      </c>
      <c r="C161" s="54">
        <v>1</v>
      </c>
      <c r="D161" s="54">
        <v>101.32</v>
      </c>
      <c r="E161" s="85">
        <f>C161*D161</f>
        <v>101.32</v>
      </c>
    </row>
    <row r="162" spans="1:5" ht="18" x14ac:dyDescent="0.35">
      <c r="A162" s="5"/>
      <c r="B162" s="5"/>
      <c r="C162" s="54"/>
      <c r="D162" s="54"/>
      <c r="E162" s="85">
        <f>SUM(E160:E161)</f>
        <v>450.93417999999997</v>
      </c>
    </row>
    <row r="165" spans="1:5" ht="21" x14ac:dyDescent="0.4">
      <c r="A165" s="40" t="s">
        <v>602</v>
      </c>
      <c r="B165" s="40"/>
      <c r="C165" s="84"/>
      <c r="D165" s="12"/>
      <c r="E165" s="12"/>
    </row>
    <row r="166" spans="1:5" ht="21" x14ac:dyDescent="0.4">
      <c r="A166" s="40"/>
      <c r="B166" s="40"/>
      <c r="C166" s="84"/>
      <c r="D166" s="12"/>
      <c r="E166" s="12"/>
    </row>
    <row r="167" spans="1:5" ht="18" x14ac:dyDescent="0.35">
      <c r="A167" s="5"/>
      <c r="B167" s="5"/>
      <c r="C167" s="7" t="s">
        <v>28</v>
      </c>
      <c r="D167" s="7" t="s">
        <v>29</v>
      </c>
      <c r="E167" s="7" t="s">
        <v>30</v>
      </c>
    </row>
    <row r="168" spans="1:5" ht="18" x14ac:dyDescent="0.35">
      <c r="A168" s="5" t="s">
        <v>647</v>
      </c>
      <c r="B168" s="50" t="s">
        <v>32</v>
      </c>
      <c r="C168" s="7">
        <v>2.6760000000000002</v>
      </c>
      <c r="D168" s="7">
        <v>42.29</v>
      </c>
      <c r="E168" s="85">
        <f t="shared" ref="E168:E175" si="20">C168*D168</f>
        <v>113.16804</v>
      </c>
    </row>
    <row r="169" spans="1:5" ht="18" x14ac:dyDescent="0.35">
      <c r="A169" s="5" t="s">
        <v>651</v>
      </c>
      <c r="B169" s="50" t="s">
        <v>33</v>
      </c>
      <c r="C169" s="7">
        <v>14.930999999999999</v>
      </c>
      <c r="D169" s="7">
        <v>16.09</v>
      </c>
      <c r="E169" s="85">
        <f t="shared" si="20"/>
        <v>240.23978999999997</v>
      </c>
    </row>
    <row r="170" spans="1:5" ht="18" x14ac:dyDescent="0.35">
      <c r="A170" s="5" t="s">
        <v>397</v>
      </c>
      <c r="B170" s="50" t="s">
        <v>33</v>
      </c>
      <c r="C170" s="7">
        <v>14.28</v>
      </c>
      <c r="D170" s="7">
        <v>16.09</v>
      </c>
      <c r="E170" s="85">
        <f t="shared" si="20"/>
        <v>229.76519999999999</v>
      </c>
    </row>
    <row r="171" spans="1:5" ht="18" x14ac:dyDescent="0.35">
      <c r="A171" s="5" t="s">
        <v>649</v>
      </c>
      <c r="B171" s="50" t="s">
        <v>650</v>
      </c>
      <c r="C171" s="7">
        <v>2</v>
      </c>
      <c r="D171" s="7">
        <v>1.81</v>
      </c>
      <c r="E171" s="85">
        <f t="shared" si="20"/>
        <v>3.62</v>
      </c>
    </row>
    <row r="172" spans="1:5" ht="18" x14ac:dyDescent="0.35">
      <c r="A172" s="5"/>
      <c r="B172" s="50" t="s">
        <v>88</v>
      </c>
      <c r="C172" s="88">
        <v>2</v>
      </c>
      <c r="D172" s="88">
        <v>1.81</v>
      </c>
      <c r="E172" s="90">
        <f t="shared" si="20"/>
        <v>3.62</v>
      </c>
    </row>
    <row r="173" spans="1:5" ht="18" x14ac:dyDescent="0.35">
      <c r="A173" s="5"/>
      <c r="B173" s="50" t="s">
        <v>34</v>
      </c>
      <c r="C173" s="7">
        <v>0.73499999999999999</v>
      </c>
      <c r="D173" s="7">
        <v>13.67</v>
      </c>
      <c r="E173" s="85">
        <f t="shared" si="20"/>
        <v>10.04745</v>
      </c>
    </row>
    <row r="174" spans="1:5" ht="18" x14ac:dyDescent="0.35">
      <c r="A174" s="5"/>
      <c r="B174" s="50" t="s">
        <v>35</v>
      </c>
      <c r="C174" s="7">
        <v>4</v>
      </c>
      <c r="D174" s="7">
        <v>2.89</v>
      </c>
      <c r="E174" s="85">
        <f t="shared" si="20"/>
        <v>11.56</v>
      </c>
    </row>
    <row r="175" spans="1:5" ht="18" x14ac:dyDescent="0.35">
      <c r="A175" s="5"/>
      <c r="B175" s="50" t="s">
        <v>36</v>
      </c>
      <c r="C175" s="7">
        <v>4</v>
      </c>
      <c r="D175" s="7">
        <v>0.6</v>
      </c>
      <c r="E175" s="85">
        <f t="shared" si="20"/>
        <v>2.4</v>
      </c>
    </row>
    <row r="176" spans="1:5" ht="18" x14ac:dyDescent="0.35">
      <c r="A176" s="5"/>
      <c r="B176" s="5"/>
      <c r="C176" s="54"/>
      <c r="D176" s="54"/>
      <c r="E176" s="89">
        <f>SUM(E168:E175)</f>
        <v>614.42047999999988</v>
      </c>
    </row>
    <row r="177" spans="1:5" ht="18" x14ac:dyDescent="0.35">
      <c r="A177" s="5"/>
      <c r="B177" s="50" t="s">
        <v>37</v>
      </c>
      <c r="C177" s="54">
        <v>2</v>
      </c>
      <c r="D177" s="54">
        <v>101.32</v>
      </c>
      <c r="E177" s="85">
        <f>C177*D177</f>
        <v>202.64</v>
      </c>
    </row>
    <row r="178" spans="1:5" ht="18" x14ac:dyDescent="0.35">
      <c r="A178" s="5"/>
      <c r="B178" s="5"/>
      <c r="C178" s="54"/>
      <c r="D178" s="54"/>
      <c r="E178" s="85">
        <f>SUM(E176:E177)</f>
        <v>817.06047999999987</v>
      </c>
    </row>
    <row r="181" spans="1:5" ht="21" x14ac:dyDescent="0.4">
      <c r="A181" s="40" t="s">
        <v>599</v>
      </c>
      <c r="B181" s="40"/>
      <c r="C181" s="84"/>
      <c r="D181" s="12"/>
      <c r="E181" s="12"/>
    </row>
    <row r="182" spans="1:5" x14ac:dyDescent="0.3">
      <c r="C182" s="12"/>
      <c r="D182" s="12"/>
      <c r="E182" s="12"/>
    </row>
    <row r="183" spans="1:5" ht="18" x14ac:dyDescent="0.35">
      <c r="A183" s="5"/>
      <c r="B183" s="5"/>
      <c r="C183" s="7" t="s">
        <v>28</v>
      </c>
      <c r="D183" s="7" t="s">
        <v>29</v>
      </c>
      <c r="E183" s="7" t="s">
        <v>30</v>
      </c>
    </row>
    <row r="184" spans="1:5" ht="18" x14ac:dyDescent="0.35">
      <c r="A184" s="5" t="s">
        <v>660</v>
      </c>
      <c r="B184" s="50" t="s">
        <v>32</v>
      </c>
      <c r="C184" s="7">
        <v>4.2370000000000001</v>
      </c>
      <c r="D184" s="7">
        <v>30.29</v>
      </c>
      <c r="E184" s="85">
        <f t="shared" ref="E184:E189" si="21">C184*D184</f>
        <v>128.33873</v>
      </c>
    </row>
    <row r="185" spans="1:5" ht="18" x14ac:dyDescent="0.35">
      <c r="A185" s="5" t="s">
        <v>661</v>
      </c>
      <c r="B185" s="50" t="s">
        <v>33</v>
      </c>
      <c r="C185" s="7">
        <v>44.625</v>
      </c>
      <c r="D185" s="7">
        <v>16.09</v>
      </c>
      <c r="E185" s="85">
        <f t="shared" si="21"/>
        <v>718.01625000000001</v>
      </c>
    </row>
    <row r="186" spans="1:5" ht="18" x14ac:dyDescent="0.35">
      <c r="A186" s="5"/>
      <c r="B186" s="50" t="s">
        <v>88</v>
      </c>
      <c r="C186" s="7">
        <v>4</v>
      </c>
      <c r="D186" s="7">
        <v>2.2400000000000002</v>
      </c>
      <c r="E186" s="85">
        <f t="shared" si="21"/>
        <v>8.9600000000000009</v>
      </c>
    </row>
    <row r="187" spans="1:5" ht="18" x14ac:dyDescent="0.35">
      <c r="A187" s="5"/>
      <c r="B187" s="50" t="s">
        <v>34</v>
      </c>
      <c r="C187" s="7">
        <v>2</v>
      </c>
      <c r="D187" s="7">
        <v>14.61</v>
      </c>
      <c r="E187" s="85">
        <f t="shared" si="21"/>
        <v>29.22</v>
      </c>
    </row>
    <row r="188" spans="1:5" ht="18" x14ac:dyDescent="0.35">
      <c r="A188" s="5"/>
      <c r="B188" s="50" t="s">
        <v>35</v>
      </c>
      <c r="C188" s="7">
        <v>4</v>
      </c>
      <c r="D188" s="7">
        <v>2.89</v>
      </c>
      <c r="E188" s="85">
        <f t="shared" si="21"/>
        <v>11.56</v>
      </c>
    </row>
    <row r="189" spans="1:5" ht="18" x14ac:dyDescent="0.35">
      <c r="A189" s="5"/>
      <c r="B189" s="50" t="s">
        <v>36</v>
      </c>
      <c r="C189" s="7">
        <v>4</v>
      </c>
      <c r="D189" s="7">
        <v>0.6</v>
      </c>
      <c r="E189" s="85">
        <f t="shared" si="21"/>
        <v>2.4</v>
      </c>
    </row>
    <row r="190" spans="1:5" ht="18" x14ac:dyDescent="0.35">
      <c r="A190" s="5"/>
      <c r="B190" s="5"/>
      <c r="C190" s="54"/>
      <c r="D190" s="54"/>
      <c r="E190" s="89">
        <f>SUM(E184:E189)</f>
        <v>898.49498000000006</v>
      </c>
    </row>
    <row r="191" spans="1:5" ht="18" x14ac:dyDescent="0.35">
      <c r="A191" s="5"/>
      <c r="B191" s="50" t="s">
        <v>37</v>
      </c>
      <c r="C191" s="54">
        <v>2</v>
      </c>
      <c r="D191" s="54">
        <v>101.32</v>
      </c>
      <c r="E191" s="85">
        <f>C191*D191</f>
        <v>202.64</v>
      </c>
    </row>
    <row r="192" spans="1:5" ht="18" x14ac:dyDescent="0.35">
      <c r="A192" s="5"/>
      <c r="B192" s="5"/>
      <c r="C192" s="54"/>
      <c r="D192" s="54"/>
      <c r="E192" s="85">
        <f>SUM(E190:E191)</f>
        <v>1101.13498</v>
      </c>
    </row>
    <row r="195" spans="1:5" ht="21" x14ac:dyDescent="0.4">
      <c r="A195" s="40" t="s">
        <v>666</v>
      </c>
      <c r="B195" s="40"/>
      <c r="C195" s="40"/>
    </row>
    <row r="197" spans="1:5" ht="18" x14ac:dyDescent="0.35">
      <c r="A197" s="5"/>
      <c r="B197" s="5"/>
      <c r="C197" s="7" t="s">
        <v>28</v>
      </c>
      <c r="D197" s="7" t="s">
        <v>29</v>
      </c>
      <c r="E197" s="7" t="s">
        <v>30</v>
      </c>
    </row>
    <row r="198" spans="1:5" ht="18" x14ac:dyDescent="0.35">
      <c r="A198" s="5" t="s">
        <v>667</v>
      </c>
      <c r="B198" s="50" t="s">
        <v>32</v>
      </c>
      <c r="C198" s="7">
        <v>1.6930000000000001</v>
      </c>
      <c r="D198" s="7">
        <v>30.29</v>
      </c>
      <c r="E198" s="85">
        <f t="shared" ref="E198:E203" si="22">C198*D198</f>
        <v>51.280970000000003</v>
      </c>
    </row>
    <row r="199" spans="1:5" ht="18" x14ac:dyDescent="0.35">
      <c r="A199" s="5" t="s">
        <v>212</v>
      </c>
      <c r="B199" s="50" t="s">
        <v>33</v>
      </c>
      <c r="C199" s="7">
        <v>6.09</v>
      </c>
      <c r="D199" s="7">
        <v>16</v>
      </c>
      <c r="E199" s="85">
        <f t="shared" si="22"/>
        <v>97.44</v>
      </c>
    </row>
    <row r="200" spans="1:5" ht="18" x14ac:dyDescent="0.35">
      <c r="A200" s="5" t="s">
        <v>668</v>
      </c>
      <c r="B200" s="50" t="s">
        <v>137</v>
      </c>
      <c r="C200" s="7">
        <v>0.315</v>
      </c>
      <c r="D200" s="7">
        <v>17.190000000000001</v>
      </c>
      <c r="E200" s="85">
        <f t="shared" si="22"/>
        <v>5.4148500000000004</v>
      </c>
    </row>
    <row r="201" spans="1:5" ht="18" x14ac:dyDescent="0.35">
      <c r="A201" s="5"/>
      <c r="B201" s="50" t="s">
        <v>35</v>
      </c>
      <c r="C201" s="7">
        <v>4</v>
      </c>
      <c r="D201" s="7">
        <v>2.89</v>
      </c>
      <c r="E201" s="85">
        <f t="shared" si="22"/>
        <v>11.56</v>
      </c>
    </row>
    <row r="202" spans="1:5" ht="18" x14ac:dyDescent="0.35">
      <c r="A202" s="5"/>
      <c r="B202" s="50" t="s">
        <v>36</v>
      </c>
      <c r="C202" s="7">
        <v>4</v>
      </c>
      <c r="D202" s="7">
        <v>0.6</v>
      </c>
      <c r="E202" s="85">
        <f t="shared" si="22"/>
        <v>2.4</v>
      </c>
    </row>
    <row r="203" spans="1:5" ht="18" x14ac:dyDescent="0.35">
      <c r="A203" s="5"/>
      <c r="B203" s="50" t="s">
        <v>37</v>
      </c>
      <c r="C203" s="54">
        <v>0.5</v>
      </c>
      <c r="D203" s="86">
        <v>101.32</v>
      </c>
      <c r="E203" s="85">
        <f t="shared" si="22"/>
        <v>50.66</v>
      </c>
    </row>
    <row r="204" spans="1:5" ht="18" x14ac:dyDescent="0.35">
      <c r="A204" s="5"/>
      <c r="B204" s="5"/>
      <c r="C204" s="54"/>
      <c r="D204" s="54"/>
      <c r="E204" s="85">
        <f>SUM(E198:E203)</f>
        <v>218.75582</v>
      </c>
    </row>
    <row r="208" spans="1:5" ht="21" x14ac:dyDescent="0.4">
      <c r="A208" s="40" t="s">
        <v>669</v>
      </c>
      <c r="B208" s="40"/>
      <c r="C208" s="40"/>
      <c r="D208" s="12"/>
      <c r="E208" s="12"/>
    </row>
    <row r="209" spans="1:11" ht="18" x14ac:dyDescent="0.35">
      <c r="A209" s="5"/>
      <c r="B209" s="5"/>
      <c r="C209" s="7" t="s">
        <v>28</v>
      </c>
      <c r="D209" s="7" t="s">
        <v>29</v>
      </c>
      <c r="E209" s="7" t="s">
        <v>30</v>
      </c>
    </row>
    <row r="210" spans="1:11" ht="18" x14ac:dyDescent="0.35">
      <c r="A210" s="5" t="s">
        <v>68</v>
      </c>
      <c r="B210" s="50" t="s">
        <v>32</v>
      </c>
      <c r="C210" s="7">
        <v>1.9239999999999999</v>
      </c>
      <c r="D210" s="7">
        <v>30.29</v>
      </c>
      <c r="E210" s="85">
        <f t="shared" ref="E210:E215" si="23">C210*D210</f>
        <v>58.277959999999993</v>
      </c>
    </row>
    <row r="211" spans="1:11" ht="18" x14ac:dyDescent="0.35">
      <c r="A211" s="5" t="s">
        <v>212</v>
      </c>
      <c r="B211" s="50" t="s">
        <v>33</v>
      </c>
      <c r="C211" s="7">
        <v>7.2450000000000001</v>
      </c>
      <c r="D211" s="7">
        <v>16</v>
      </c>
      <c r="E211" s="85">
        <f t="shared" si="23"/>
        <v>115.92</v>
      </c>
    </row>
    <row r="212" spans="1:11" ht="18" x14ac:dyDescent="0.35">
      <c r="A212" s="5" t="s">
        <v>670</v>
      </c>
      <c r="B212" s="50" t="s">
        <v>137</v>
      </c>
      <c r="C212" s="7">
        <v>0.33</v>
      </c>
      <c r="D212" s="7">
        <v>17.190000000000001</v>
      </c>
      <c r="E212" s="85">
        <f t="shared" si="23"/>
        <v>5.6727000000000007</v>
      </c>
    </row>
    <row r="213" spans="1:11" ht="18" x14ac:dyDescent="0.35">
      <c r="A213" s="5"/>
      <c r="B213" s="50" t="s">
        <v>35</v>
      </c>
      <c r="C213" s="7">
        <v>4</v>
      </c>
      <c r="D213" s="7">
        <v>2.89</v>
      </c>
      <c r="E213" s="85">
        <f t="shared" si="23"/>
        <v>11.56</v>
      </c>
    </row>
    <row r="214" spans="1:11" ht="18" x14ac:dyDescent="0.35">
      <c r="A214" s="5"/>
      <c r="B214" s="50" t="s">
        <v>36</v>
      </c>
      <c r="C214" s="7">
        <v>4</v>
      </c>
      <c r="D214" s="7">
        <v>0.6</v>
      </c>
      <c r="E214" s="85">
        <f t="shared" si="23"/>
        <v>2.4</v>
      </c>
    </row>
    <row r="215" spans="1:11" ht="18" x14ac:dyDescent="0.35">
      <c r="A215" s="5"/>
      <c r="B215" s="50" t="s">
        <v>37</v>
      </c>
      <c r="C215" s="54">
        <v>1</v>
      </c>
      <c r="D215" s="86">
        <v>101.32</v>
      </c>
      <c r="E215" s="85">
        <f t="shared" si="23"/>
        <v>101.32</v>
      </c>
    </row>
    <row r="216" spans="1:11" ht="18" x14ac:dyDescent="0.35">
      <c r="A216" s="5"/>
      <c r="B216" s="5"/>
      <c r="C216" s="54"/>
      <c r="D216" s="54"/>
      <c r="E216" s="85">
        <f>SUM(E210:E215)</f>
        <v>295.15066000000002</v>
      </c>
    </row>
    <row r="221" spans="1:11" ht="21" x14ac:dyDescent="0.4">
      <c r="A221" s="40" t="s">
        <v>599</v>
      </c>
      <c r="B221" s="40"/>
      <c r="C221" s="84"/>
      <c r="D221" s="12"/>
      <c r="E221" s="12"/>
      <c r="G221" s="40" t="s">
        <v>599</v>
      </c>
      <c r="H221" s="40"/>
      <c r="I221" s="84"/>
      <c r="J221" s="12"/>
      <c r="K221" s="12"/>
    </row>
    <row r="222" spans="1:11" x14ac:dyDescent="0.3">
      <c r="C222" s="12"/>
      <c r="D222" s="12"/>
      <c r="E222" s="12"/>
      <c r="I222" s="12"/>
      <c r="J222" s="12"/>
      <c r="K222" s="12"/>
    </row>
    <row r="223" spans="1:11" ht="18" x14ac:dyDescent="0.35">
      <c r="A223" s="5"/>
      <c r="B223" s="5"/>
      <c r="C223" s="7" t="s">
        <v>28</v>
      </c>
      <c r="D223" s="7" t="s">
        <v>29</v>
      </c>
      <c r="E223" s="7" t="s">
        <v>30</v>
      </c>
      <c r="G223" s="5"/>
      <c r="H223" s="5"/>
      <c r="I223" s="7" t="s">
        <v>28</v>
      </c>
      <c r="J223" s="7" t="s">
        <v>29</v>
      </c>
      <c r="K223" s="7" t="s">
        <v>30</v>
      </c>
    </row>
    <row r="224" spans="1:11" ht="18" x14ac:dyDescent="0.35">
      <c r="A224" s="5" t="s">
        <v>244</v>
      </c>
      <c r="B224" s="50" t="s">
        <v>32</v>
      </c>
      <c r="C224" s="7">
        <v>2.7639999999999998</v>
      </c>
      <c r="D224" s="7">
        <v>30.29</v>
      </c>
      <c r="E224" s="85">
        <f t="shared" ref="E224:E229" si="24">C224*D224</f>
        <v>83.721559999999997</v>
      </c>
      <c r="G224" s="5" t="s">
        <v>694</v>
      </c>
      <c r="H224" s="50" t="s">
        <v>32</v>
      </c>
      <c r="I224" s="7">
        <v>3.0779999999999998</v>
      </c>
      <c r="J224" s="7">
        <v>30.29</v>
      </c>
      <c r="K224" s="85">
        <f t="shared" ref="K224:K229" si="25">I224*J224</f>
        <v>93.232619999999997</v>
      </c>
    </row>
    <row r="225" spans="1:11" ht="18" x14ac:dyDescent="0.35">
      <c r="A225" s="5" t="s">
        <v>678</v>
      </c>
      <c r="B225" s="50" t="s">
        <v>33</v>
      </c>
      <c r="C225" s="7">
        <v>11.435</v>
      </c>
      <c r="D225" s="7">
        <v>16.09</v>
      </c>
      <c r="E225" s="85">
        <f t="shared" si="24"/>
        <v>183.98915</v>
      </c>
      <c r="G225" s="5" t="s">
        <v>126</v>
      </c>
      <c r="H225" s="50" t="s">
        <v>33</v>
      </c>
      <c r="I225" s="7">
        <v>24.055</v>
      </c>
      <c r="J225" s="7">
        <v>16.09</v>
      </c>
      <c r="K225" s="85">
        <f t="shared" si="25"/>
        <v>387.04494999999997</v>
      </c>
    </row>
    <row r="226" spans="1:11" ht="18" x14ac:dyDescent="0.35">
      <c r="A226" s="5"/>
      <c r="B226" s="50" t="s">
        <v>485</v>
      </c>
      <c r="C226" s="7">
        <v>2</v>
      </c>
      <c r="D226" s="7">
        <v>1.48</v>
      </c>
      <c r="E226" s="85">
        <f t="shared" si="24"/>
        <v>2.96</v>
      </c>
      <c r="G226" s="5">
        <v>0.46600000000000003</v>
      </c>
      <c r="H226" s="50" t="s">
        <v>695</v>
      </c>
      <c r="I226" s="7">
        <v>2</v>
      </c>
      <c r="J226" s="7">
        <v>3.66</v>
      </c>
      <c r="K226" s="85">
        <f t="shared" si="25"/>
        <v>7.32</v>
      </c>
    </row>
    <row r="227" spans="1:11" ht="18" x14ac:dyDescent="0.35">
      <c r="A227" s="5"/>
      <c r="B227" s="50" t="s">
        <v>34</v>
      </c>
      <c r="C227" s="7">
        <v>0.3</v>
      </c>
      <c r="D227" s="7">
        <v>14.61</v>
      </c>
      <c r="E227" s="85">
        <f t="shared" si="24"/>
        <v>4.383</v>
      </c>
      <c r="G227" s="5"/>
      <c r="H227" s="50" t="s">
        <v>34</v>
      </c>
      <c r="I227" s="7">
        <v>0.63</v>
      </c>
      <c r="J227" s="7">
        <v>14.61</v>
      </c>
      <c r="K227" s="85">
        <f t="shared" si="25"/>
        <v>9.2042999999999999</v>
      </c>
    </row>
    <row r="228" spans="1:11" ht="18" x14ac:dyDescent="0.35">
      <c r="A228" s="5"/>
      <c r="B228" s="50" t="s">
        <v>35</v>
      </c>
      <c r="C228" s="7">
        <v>4</v>
      </c>
      <c r="D228" s="7">
        <v>2.89</v>
      </c>
      <c r="E228" s="85">
        <f t="shared" si="24"/>
        <v>11.56</v>
      </c>
      <c r="G228" s="5"/>
      <c r="H228" s="50" t="s">
        <v>35</v>
      </c>
      <c r="I228" s="7">
        <v>4</v>
      </c>
      <c r="J228" s="7">
        <v>2.89</v>
      </c>
      <c r="K228" s="85">
        <f t="shared" si="25"/>
        <v>11.56</v>
      </c>
    </row>
    <row r="229" spans="1:11" ht="18" x14ac:dyDescent="0.35">
      <c r="A229" s="5"/>
      <c r="B229" s="50" t="s">
        <v>36</v>
      </c>
      <c r="C229" s="7">
        <v>4</v>
      </c>
      <c r="D229" s="7">
        <v>0.6</v>
      </c>
      <c r="E229" s="85">
        <f t="shared" si="24"/>
        <v>2.4</v>
      </c>
      <c r="G229" s="5"/>
      <c r="H229" s="50" t="s">
        <v>36</v>
      </c>
      <c r="I229" s="7">
        <v>4</v>
      </c>
      <c r="J229" s="7">
        <v>0.6</v>
      </c>
      <c r="K229" s="85">
        <f t="shared" si="25"/>
        <v>2.4</v>
      </c>
    </row>
    <row r="230" spans="1:11" ht="18" x14ac:dyDescent="0.35">
      <c r="A230" s="5"/>
      <c r="B230" s="5"/>
      <c r="C230" s="54"/>
      <c r="D230" s="54"/>
      <c r="E230" s="89">
        <f>SUM(E224:E229)</f>
        <v>289.01370999999995</v>
      </c>
      <c r="G230" s="5"/>
      <c r="H230" s="5"/>
      <c r="I230" s="54"/>
      <c r="J230" s="54"/>
      <c r="K230" s="89">
        <f>SUM(K224:K229)</f>
        <v>510.76186999999993</v>
      </c>
    </row>
    <row r="231" spans="1:11" ht="18" x14ac:dyDescent="0.35">
      <c r="A231" s="5"/>
      <c r="B231" s="50" t="s">
        <v>37</v>
      </c>
      <c r="C231" s="54">
        <v>1</v>
      </c>
      <c r="D231" s="54">
        <v>101</v>
      </c>
      <c r="E231" s="85">
        <f>C231*D231</f>
        <v>101</v>
      </c>
      <c r="G231" s="5"/>
      <c r="H231" s="50" t="s">
        <v>37</v>
      </c>
      <c r="I231" s="54">
        <v>1</v>
      </c>
      <c r="J231" s="54">
        <v>131</v>
      </c>
      <c r="K231" s="85">
        <f>I231*J231</f>
        <v>131</v>
      </c>
    </row>
    <row r="232" spans="1:11" ht="18" x14ac:dyDescent="0.35">
      <c r="A232" s="5"/>
      <c r="B232" s="5"/>
      <c r="C232" s="54"/>
      <c r="D232" s="54"/>
      <c r="E232" s="85">
        <f>SUM(E230:E231)</f>
        <v>390.01370999999995</v>
      </c>
      <c r="G232" s="5"/>
      <c r="H232" s="5"/>
      <c r="I232" s="54"/>
      <c r="J232" s="54"/>
      <c r="K232" s="85">
        <f>SUM(K230:K231)</f>
        <v>641.76186999999993</v>
      </c>
    </row>
    <row r="235" spans="1:11" ht="21" x14ac:dyDescent="0.4">
      <c r="A235" s="40" t="s">
        <v>599</v>
      </c>
      <c r="B235" s="40"/>
      <c r="C235" s="84"/>
      <c r="D235" s="12"/>
      <c r="E235" s="12"/>
    </row>
    <row r="236" spans="1:11" x14ac:dyDescent="0.3">
      <c r="C236" s="12"/>
      <c r="D236" s="12"/>
      <c r="E236" s="12"/>
    </row>
    <row r="237" spans="1:11" ht="18" x14ac:dyDescent="0.35">
      <c r="A237" s="5"/>
      <c r="B237" s="5"/>
      <c r="C237" s="7" t="s">
        <v>28</v>
      </c>
      <c r="D237" s="7" t="s">
        <v>29</v>
      </c>
      <c r="E237" s="7" t="s">
        <v>30</v>
      </c>
    </row>
    <row r="238" spans="1:11" ht="18" x14ac:dyDescent="0.35">
      <c r="A238" s="5" t="s">
        <v>41</v>
      </c>
      <c r="B238" s="50" t="s">
        <v>32</v>
      </c>
      <c r="C238" s="7">
        <v>1.3979999999999999</v>
      </c>
      <c r="D238" s="7">
        <v>30.29</v>
      </c>
      <c r="E238" s="85">
        <f t="shared" ref="E238:E243" si="26">C238*D238</f>
        <v>42.345419999999997</v>
      </c>
    </row>
    <row r="239" spans="1:11" ht="18" x14ac:dyDescent="0.35">
      <c r="A239" s="5" t="s">
        <v>356</v>
      </c>
      <c r="B239" s="50" t="s">
        <v>33</v>
      </c>
      <c r="C239" s="7">
        <v>2.0579999999999998</v>
      </c>
      <c r="D239" s="7">
        <v>16.09</v>
      </c>
      <c r="E239" s="85">
        <f t="shared" si="26"/>
        <v>33.113219999999998</v>
      </c>
    </row>
    <row r="240" spans="1:11" ht="18" x14ac:dyDescent="0.35">
      <c r="A240" s="5" t="s">
        <v>623</v>
      </c>
      <c r="B240" s="50" t="s">
        <v>43</v>
      </c>
      <c r="C240" s="7">
        <v>2</v>
      </c>
      <c r="D240" s="7">
        <v>1.1499999999999999</v>
      </c>
      <c r="E240" s="85">
        <f t="shared" si="26"/>
        <v>2.2999999999999998</v>
      </c>
    </row>
    <row r="241" spans="1:5" ht="18" x14ac:dyDescent="0.35">
      <c r="A241" s="5"/>
      <c r="B241" s="50" t="s">
        <v>34</v>
      </c>
      <c r="C241" s="7"/>
      <c r="D241" s="7">
        <v>14.61</v>
      </c>
      <c r="E241" s="85">
        <f t="shared" si="26"/>
        <v>0</v>
      </c>
    </row>
    <row r="242" spans="1:5" ht="18" x14ac:dyDescent="0.35">
      <c r="A242" s="5"/>
      <c r="B242" s="50" t="s">
        <v>35</v>
      </c>
      <c r="C242" s="7">
        <v>4</v>
      </c>
      <c r="D242" s="7">
        <v>2.89</v>
      </c>
      <c r="E242" s="85">
        <f t="shared" si="26"/>
        <v>11.56</v>
      </c>
    </row>
    <row r="243" spans="1:5" ht="18" x14ac:dyDescent="0.35">
      <c r="A243" s="5"/>
      <c r="B243" s="50" t="s">
        <v>36</v>
      </c>
      <c r="C243" s="7">
        <v>4</v>
      </c>
      <c r="D243" s="7">
        <v>0.6</v>
      </c>
      <c r="E243" s="85">
        <f t="shared" si="26"/>
        <v>2.4</v>
      </c>
    </row>
    <row r="244" spans="1:5" ht="18" x14ac:dyDescent="0.35">
      <c r="A244" s="5"/>
      <c r="B244" s="5"/>
      <c r="C244" s="54"/>
      <c r="D244" s="54"/>
      <c r="E244" s="89">
        <f>SUM(E238:E243)</f>
        <v>91.718640000000008</v>
      </c>
    </row>
    <row r="245" spans="1:5" ht="18" x14ac:dyDescent="0.35">
      <c r="A245" s="5"/>
      <c r="B245" s="50" t="s">
        <v>37</v>
      </c>
      <c r="C245" s="54">
        <v>0.5</v>
      </c>
      <c r="D245" s="54">
        <v>101.32</v>
      </c>
      <c r="E245" s="85">
        <f>C245*D245</f>
        <v>50.66</v>
      </c>
    </row>
    <row r="246" spans="1:5" ht="18" x14ac:dyDescent="0.35">
      <c r="A246" s="5"/>
      <c r="B246" s="5"/>
      <c r="C246" s="54"/>
      <c r="D246" s="54"/>
      <c r="E246" s="85">
        <f>SUM(E244:E245)</f>
        <v>142.37864000000002</v>
      </c>
    </row>
    <row r="247" spans="1:5" x14ac:dyDescent="0.3">
      <c r="C247" s="12"/>
      <c r="D247" s="12"/>
      <c r="E247" s="12"/>
    </row>
    <row r="249" spans="1:5" ht="21" x14ac:dyDescent="0.4">
      <c r="A249" s="40" t="s">
        <v>599</v>
      </c>
      <c r="B249" s="40"/>
      <c r="C249" s="84"/>
      <c r="D249" s="12"/>
      <c r="E249" s="12"/>
    </row>
    <row r="250" spans="1:5" x14ac:dyDescent="0.3">
      <c r="C250" s="12"/>
      <c r="D250" s="12"/>
      <c r="E250" s="12"/>
    </row>
    <row r="251" spans="1:5" ht="18" x14ac:dyDescent="0.35">
      <c r="A251" s="5"/>
      <c r="B251" s="5"/>
      <c r="C251" s="7" t="s">
        <v>28</v>
      </c>
      <c r="D251" s="7" t="s">
        <v>29</v>
      </c>
      <c r="E251" s="7" t="s">
        <v>30</v>
      </c>
    </row>
    <row r="252" spans="1:5" ht="18" x14ac:dyDescent="0.35">
      <c r="A252" s="5" t="s">
        <v>46</v>
      </c>
      <c r="B252" s="50" t="s">
        <v>32</v>
      </c>
      <c r="C252" s="7">
        <v>2.028</v>
      </c>
      <c r="D252" s="7">
        <v>30.29</v>
      </c>
      <c r="E252" s="85">
        <f t="shared" ref="E252:E257" si="27">C252*D252</f>
        <v>61.42812</v>
      </c>
    </row>
    <row r="253" spans="1:5" ht="18" x14ac:dyDescent="0.35">
      <c r="A253" s="5" t="s">
        <v>356</v>
      </c>
      <c r="B253" s="50" t="s">
        <v>33</v>
      </c>
      <c r="C253" s="7">
        <v>3.3180000000000001</v>
      </c>
      <c r="D253" s="7">
        <v>16.09</v>
      </c>
      <c r="E253" s="85">
        <f t="shared" si="27"/>
        <v>53.386620000000001</v>
      </c>
    </row>
    <row r="254" spans="1:5" ht="18" x14ac:dyDescent="0.35">
      <c r="A254" s="5" t="s">
        <v>623</v>
      </c>
      <c r="B254" s="50" t="s">
        <v>43</v>
      </c>
      <c r="C254" s="7">
        <v>2</v>
      </c>
      <c r="D254" s="7">
        <v>1.1499999999999999</v>
      </c>
      <c r="E254" s="85">
        <f t="shared" si="27"/>
        <v>2.2999999999999998</v>
      </c>
    </row>
    <row r="255" spans="1:5" ht="18" x14ac:dyDescent="0.35">
      <c r="A255" s="5"/>
      <c r="B255" s="50" t="s">
        <v>34</v>
      </c>
      <c r="C255" s="7"/>
      <c r="D255" s="7">
        <v>14.61</v>
      </c>
      <c r="E255" s="85">
        <f t="shared" si="27"/>
        <v>0</v>
      </c>
    </row>
    <row r="256" spans="1:5" ht="18" x14ac:dyDescent="0.35">
      <c r="A256" s="5"/>
      <c r="B256" s="50" t="s">
        <v>35</v>
      </c>
      <c r="C256" s="7">
        <v>4</v>
      </c>
      <c r="D256" s="7">
        <v>2.89</v>
      </c>
      <c r="E256" s="85">
        <f t="shared" si="27"/>
        <v>11.56</v>
      </c>
    </row>
    <row r="257" spans="1:5" ht="18" x14ac:dyDescent="0.35">
      <c r="A257" s="5"/>
      <c r="B257" s="50" t="s">
        <v>36</v>
      </c>
      <c r="C257" s="7">
        <v>4</v>
      </c>
      <c r="D257" s="7">
        <v>0.6</v>
      </c>
      <c r="E257" s="85">
        <f t="shared" si="27"/>
        <v>2.4</v>
      </c>
    </row>
    <row r="258" spans="1:5" ht="18" x14ac:dyDescent="0.35">
      <c r="A258" s="5"/>
      <c r="B258" s="5"/>
      <c r="C258" s="54"/>
      <c r="D258" s="54"/>
      <c r="E258" s="89">
        <f>SUM(E252:E257)</f>
        <v>131.07473999999999</v>
      </c>
    </row>
    <row r="259" spans="1:5" ht="18" x14ac:dyDescent="0.35">
      <c r="A259" s="5"/>
      <c r="B259" s="50" t="s">
        <v>37</v>
      </c>
      <c r="C259" s="54">
        <v>0.5</v>
      </c>
      <c r="D259" s="54">
        <v>101.32</v>
      </c>
      <c r="E259" s="85">
        <f>C259*D259</f>
        <v>50.66</v>
      </c>
    </row>
    <row r="260" spans="1:5" ht="18" x14ac:dyDescent="0.35">
      <c r="A260" s="5"/>
      <c r="B260" s="5"/>
      <c r="C260" s="54"/>
      <c r="D260" s="54"/>
      <c r="E260" s="85">
        <f>SUM(E258:E259)</f>
        <v>181.73473999999999</v>
      </c>
    </row>
    <row r="263" spans="1:5" ht="21" x14ac:dyDescent="0.4">
      <c r="A263" s="40" t="s">
        <v>679</v>
      </c>
      <c r="B263" s="40"/>
      <c r="C263" s="40"/>
    </row>
    <row r="265" spans="1:5" ht="18" x14ac:dyDescent="0.35">
      <c r="A265" s="5"/>
      <c r="B265" s="5"/>
      <c r="C265" s="7" t="s">
        <v>28</v>
      </c>
      <c r="D265" s="7" t="s">
        <v>29</v>
      </c>
      <c r="E265" s="7" t="s">
        <v>30</v>
      </c>
    </row>
    <row r="266" spans="1:5" ht="18" x14ac:dyDescent="0.35">
      <c r="A266" s="5" t="s">
        <v>119</v>
      </c>
      <c r="B266" s="50" t="s">
        <v>32</v>
      </c>
      <c r="C266" s="7">
        <v>2.238</v>
      </c>
      <c r="D266" s="7">
        <v>30.29</v>
      </c>
      <c r="E266" s="85">
        <f t="shared" ref="E266:E271" si="28">C266*D266</f>
        <v>67.789019999999994</v>
      </c>
    </row>
    <row r="267" spans="1:5" ht="18" x14ac:dyDescent="0.35">
      <c r="A267" s="5" t="s">
        <v>168</v>
      </c>
      <c r="B267" s="50" t="s">
        <v>33</v>
      </c>
      <c r="C267" s="7">
        <v>17.965</v>
      </c>
      <c r="D267" s="7">
        <v>16</v>
      </c>
      <c r="E267" s="85">
        <f t="shared" si="28"/>
        <v>287.44</v>
      </c>
    </row>
    <row r="268" spans="1:5" ht="18" x14ac:dyDescent="0.35">
      <c r="A268" s="5" t="s">
        <v>431</v>
      </c>
      <c r="B268" s="50" t="s">
        <v>137</v>
      </c>
      <c r="C268" s="7">
        <v>1</v>
      </c>
      <c r="D268" s="7">
        <v>17.190000000000001</v>
      </c>
      <c r="E268" s="85">
        <f t="shared" si="28"/>
        <v>17.190000000000001</v>
      </c>
    </row>
    <row r="269" spans="1:5" ht="18" x14ac:dyDescent="0.35">
      <c r="A269" s="5"/>
      <c r="B269" s="50" t="s">
        <v>35</v>
      </c>
      <c r="C269" s="7">
        <v>4</v>
      </c>
      <c r="D269" s="7">
        <v>2.89</v>
      </c>
      <c r="E269" s="85">
        <f t="shared" si="28"/>
        <v>11.56</v>
      </c>
    </row>
    <row r="270" spans="1:5" ht="18" x14ac:dyDescent="0.35">
      <c r="A270" s="5"/>
      <c r="B270" s="50" t="s">
        <v>36</v>
      </c>
      <c r="C270" s="7">
        <v>4</v>
      </c>
      <c r="D270" s="7">
        <v>0.6</v>
      </c>
      <c r="E270" s="85">
        <f t="shared" si="28"/>
        <v>2.4</v>
      </c>
    </row>
    <row r="271" spans="1:5" ht="18" x14ac:dyDescent="0.35">
      <c r="A271" s="5"/>
      <c r="B271" s="50" t="s">
        <v>37</v>
      </c>
      <c r="C271" s="54">
        <v>1</v>
      </c>
      <c r="D271" s="86">
        <v>131</v>
      </c>
      <c r="E271" s="85">
        <f t="shared" si="28"/>
        <v>131</v>
      </c>
    </row>
    <row r="272" spans="1:5" ht="18" x14ac:dyDescent="0.35">
      <c r="A272" s="5"/>
      <c r="B272" s="5"/>
      <c r="C272" s="54"/>
      <c r="D272" s="54"/>
      <c r="E272" s="85">
        <f>SUM(E266:E271)</f>
        <v>517.37901999999997</v>
      </c>
    </row>
    <row r="275" spans="1:5" ht="21" x14ac:dyDescent="0.4">
      <c r="A275" s="40" t="s">
        <v>679</v>
      </c>
      <c r="B275" s="40"/>
      <c r="C275" s="40"/>
    </row>
    <row r="277" spans="1:5" ht="18" x14ac:dyDescent="0.35">
      <c r="A277" s="5"/>
      <c r="B277" s="5"/>
      <c r="C277" s="7" t="s">
        <v>28</v>
      </c>
      <c r="D277" s="7" t="s">
        <v>29</v>
      </c>
      <c r="E277" s="7" t="s">
        <v>30</v>
      </c>
    </row>
    <row r="278" spans="1:5" ht="18" x14ac:dyDescent="0.35">
      <c r="A278" s="5" t="s">
        <v>341</v>
      </c>
      <c r="B278" s="50" t="s">
        <v>32</v>
      </c>
      <c r="C278" s="7">
        <v>2.8679999999999999</v>
      </c>
      <c r="D278" s="7">
        <v>30.29</v>
      </c>
      <c r="E278" s="85">
        <f t="shared" ref="E278:E283" si="29">C278*D278</f>
        <v>86.871719999999996</v>
      </c>
    </row>
    <row r="279" spans="1:5" ht="18" x14ac:dyDescent="0.35">
      <c r="A279" s="5" t="s">
        <v>624</v>
      </c>
      <c r="B279" s="50" t="s">
        <v>33</v>
      </c>
      <c r="C279" s="7">
        <v>30.690999999999999</v>
      </c>
      <c r="D279" s="7">
        <v>16</v>
      </c>
      <c r="E279" s="85">
        <f t="shared" si="29"/>
        <v>491.05599999999998</v>
      </c>
    </row>
    <row r="280" spans="1:5" ht="18" x14ac:dyDescent="0.35">
      <c r="A280" s="5" t="s">
        <v>595</v>
      </c>
      <c r="B280" s="50" t="s">
        <v>137</v>
      </c>
      <c r="C280" s="7">
        <v>1</v>
      </c>
      <c r="D280" s="7">
        <v>17.190000000000001</v>
      </c>
      <c r="E280" s="85">
        <f t="shared" si="29"/>
        <v>17.190000000000001</v>
      </c>
    </row>
    <row r="281" spans="1:5" ht="18" x14ac:dyDescent="0.35">
      <c r="A281" s="5"/>
      <c r="B281" s="50" t="s">
        <v>35</v>
      </c>
      <c r="C281" s="7">
        <v>4</v>
      </c>
      <c r="D281" s="7">
        <v>2.89</v>
      </c>
      <c r="E281" s="85">
        <f t="shared" si="29"/>
        <v>11.56</v>
      </c>
    </row>
    <row r="282" spans="1:5" ht="18" x14ac:dyDescent="0.35">
      <c r="A282" s="5"/>
      <c r="B282" s="50" t="s">
        <v>36</v>
      </c>
      <c r="C282" s="7">
        <v>4</v>
      </c>
      <c r="D282" s="7">
        <v>0.6</v>
      </c>
      <c r="E282" s="85">
        <f t="shared" si="29"/>
        <v>2.4</v>
      </c>
    </row>
    <row r="283" spans="1:5" ht="18" x14ac:dyDescent="0.35">
      <c r="A283" s="5"/>
      <c r="B283" s="50" t="s">
        <v>37</v>
      </c>
      <c r="C283" s="54">
        <v>1</v>
      </c>
      <c r="D283" s="86">
        <v>101.32</v>
      </c>
      <c r="E283" s="85">
        <f t="shared" si="29"/>
        <v>101.32</v>
      </c>
    </row>
    <row r="284" spans="1:5" ht="18" x14ac:dyDescent="0.35">
      <c r="A284" s="5"/>
      <c r="B284" s="5"/>
      <c r="C284" s="54"/>
      <c r="D284" s="54"/>
      <c r="E284" s="85">
        <f>SUM(E278:E283)</f>
        <v>710.39771999999994</v>
      </c>
    </row>
    <row r="286" spans="1:5" ht="21" x14ac:dyDescent="0.4">
      <c r="A286" s="40" t="s">
        <v>679</v>
      </c>
      <c r="B286" s="40"/>
      <c r="C286" s="40"/>
    </row>
    <row r="288" spans="1:5" ht="18" x14ac:dyDescent="0.35">
      <c r="A288" s="5"/>
      <c r="B288" s="5"/>
      <c r="C288" s="7" t="s">
        <v>28</v>
      </c>
      <c r="D288" s="7" t="s">
        <v>29</v>
      </c>
      <c r="E288" s="7" t="s">
        <v>30</v>
      </c>
    </row>
    <row r="289" spans="1:11" ht="18" x14ac:dyDescent="0.35">
      <c r="A289" s="5" t="s">
        <v>291</v>
      </c>
      <c r="B289" s="50" t="s">
        <v>32</v>
      </c>
      <c r="C289" s="7">
        <v>2.6579999999999999</v>
      </c>
      <c r="D289" s="7">
        <v>30.29</v>
      </c>
      <c r="E289" s="85">
        <f t="shared" ref="E289:E294" si="30">C289*D289</f>
        <v>80.510819999999995</v>
      </c>
    </row>
    <row r="290" spans="1:11" ht="18" x14ac:dyDescent="0.35">
      <c r="A290" s="5" t="s">
        <v>680</v>
      </c>
      <c r="B290" s="50" t="s">
        <v>33</v>
      </c>
      <c r="C290" s="7">
        <v>26.018999999999998</v>
      </c>
      <c r="D290" s="7">
        <v>16</v>
      </c>
      <c r="E290" s="85">
        <f t="shared" si="30"/>
        <v>416.30399999999997</v>
      </c>
    </row>
    <row r="291" spans="1:11" ht="18" x14ac:dyDescent="0.35">
      <c r="A291" s="5" t="s">
        <v>681</v>
      </c>
      <c r="B291" s="50" t="s">
        <v>137</v>
      </c>
      <c r="C291" s="7">
        <v>1.2</v>
      </c>
      <c r="D291" s="7">
        <v>17.190000000000001</v>
      </c>
      <c r="E291" s="85">
        <f t="shared" si="30"/>
        <v>20.628</v>
      </c>
    </row>
    <row r="292" spans="1:11" ht="18" x14ac:dyDescent="0.35">
      <c r="A292" s="5"/>
      <c r="B292" s="50" t="s">
        <v>35</v>
      </c>
      <c r="C292" s="7">
        <v>4</v>
      </c>
      <c r="D292" s="7">
        <v>2.89</v>
      </c>
      <c r="E292" s="85">
        <f t="shared" si="30"/>
        <v>11.56</v>
      </c>
    </row>
    <row r="293" spans="1:11" ht="18" x14ac:dyDescent="0.35">
      <c r="A293" s="5"/>
      <c r="B293" s="50" t="s">
        <v>36</v>
      </c>
      <c r="C293" s="7">
        <v>4</v>
      </c>
      <c r="D293" s="7">
        <v>0.6</v>
      </c>
      <c r="E293" s="85">
        <f t="shared" si="30"/>
        <v>2.4</v>
      </c>
    </row>
    <row r="294" spans="1:11" ht="18" x14ac:dyDescent="0.35">
      <c r="A294" s="5"/>
      <c r="B294" s="50" t="s">
        <v>37</v>
      </c>
      <c r="C294" s="54">
        <v>1.5</v>
      </c>
      <c r="D294" s="86">
        <v>101.32</v>
      </c>
      <c r="E294" s="85">
        <f t="shared" si="30"/>
        <v>151.97999999999999</v>
      </c>
    </row>
    <row r="295" spans="1:11" ht="18" x14ac:dyDescent="0.35">
      <c r="A295" s="5"/>
      <c r="B295" s="5"/>
      <c r="C295" s="54"/>
      <c r="D295" s="54"/>
      <c r="E295" s="85">
        <f>SUM(E289:E294)</f>
        <v>683.38281999999992</v>
      </c>
    </row>
    <row r="297" spans="1:11" ht="21" x14ac:dyDescent="0.4">
      <c r="A297" s="40" t="s">
        <v>692</v>
      </c>
      <c r="B297" s="40"/>
      <c r="C297" s="40"/>
      <c r="G297" s="40" t="s">
        <v>693</v>
      </c>
      <c r="H297" s="40"/>
      <c r="I297" s="40"/>
    </row>
    <row r="299" spans="1:11" ht="18" x14ac:dyDescent="0.35">
      <c r="A299" s="5"/>
      <c r="B299" s="5"/>
      <c r="C299" s="7" t="s">
        <v>28</v>
      </c>
      <c r="D299" s="7" t="s">
        <v>29</v>
      </c>
      <c r="E299" s="7" t="s">
        <v>30</v>
      </c>
      <c r="G299" s="5"/>
      <c r="H299" s="5"/>
      <c r="I299" s="7" t="s">
        <v>28</v>
      </c>
      <c r="J299" s="7" t="s">
        <v>29</v>
      </c>
      <c r="K299" s="7" t="s">
        <v>30</v>
      </c>
    </row>
    <row r="300" spans="1:11" ht="18" x14ac:dyDescent="0.35">
      <c r="A300" s="5" t="s">
        <v>237</v>
      </c>
      <c r="B300" s="50" t="s">
        <v>32</v>
      </c>
      <c r="C300" s="7">
        <v>2.3959999999999999</v>
      </c>
      <c r="D300" s="7">
        <v>30.29</v>
      </c>
      <c r="E300" s="85">
        <f t="shared" ref="E300:E305" si="31">C300*D300</f>
        <v>72.574839999999995</v>
      </c>
      <c r="G300" s="5" t="s">
        <v>417</v>
      </c>
      <c r="H300" s="50" t="s">
        <v>32</v>
      </c>
      <c r="I300" s="7">
        <v>2.448</v>
      </c>
      <c r="J300" s="7">
        <v>30.29</v>
      </c>
      <c r="K300" s="85">
        <f t="shared" ref="K300:K305" si="32">I300*J300</f>
        <v>74.149919999999995</v>
      </c>
    </row>
    <row r="301" spans="1:11" ht="18" x14ac:dyDescent="0.35">
      <c r="A301" s="5" t="s">
        <v>39</v>
      </c>
      <c r="B301" s="50" t="s">
        <v>33</v>
      </c>
      <c r="C301" s="7">
        <v>4.1580000000000004</v>
      </c>
      <c r="D301" s="7">
        <v>16</v>
      </c>
      <c r="E301" s="85">
        <f t="shared" si="31"/>
        <v>66.528000000000006</v>
      </c>
      <c r="G301" s="5" t="s">
        <v>624</v>
      </c>
      <c r="H301" s="50" t="s">
        <v>33</v>
      </c>
      <c r="I301" s="7">
        <v>22.920999999999999</v>
      </c>
      <c r="J301" s="7">
        <v>16</v>
      </c>
      <c r="K301" s="85">
        <f t="shared" si="32"/>
        <v>366.73599999999999</v>
      </c>
    </row>
    <row r="302" spans="1:11" ht="18" x14ac:dyDescent="0.35">
      <c r="A302" s="5" t="s">
        <v>682</v>
      </c>
      <c r="B302" s="50" t="s">
        <v>137</v>
      </c>
      <c r="C302" s="7">
        <v>0.3</v>
      </c>
      <c r="D302" s="7">
        <v>17.190000000000001</v>
      </c>
      <c r="E302" s="85">
        <f t="shared" si="31"/>
        <v>5.157</v>
      </c>
      <c r="G302" s="5" t="s">
        <v>672</v>
      </c>
      <c r="H302" s="50" t="s">
        <v>137</v>
      </c>
      <c r="I302" s="7">
        <v>0.3</v>
      </c>
      <c r="J302" s="7">
        <v>17.190000000000001</v>
      </c>
      <c r="K302" s="85">
        <f t="shared" si="32"/>
        <v>5.157</v>
      </c>
    </row>
    <row r="303" spans="1:11" ht="18" x14ac:dyDescent="0.35">
      <c r="A303" s="5"/>
      <c r="B303" s="50" t="s">
        <v>35</v>
      </c>
      <c r="C303" s="7">
        <v>4</v>
      </c>
      <c r="D303" s="7">
        <v>2.89</v>
      </c>
      <c r="E303" s="85">
        <f t="shared" si="31"/>
        <v>11.56</v>
      </c>
      <c r="G303" s="5"/>
      <c r="H303" s="50" t="s">
        <v>35</v>
      </c>
      <c r="I303" s="7">
        <v>4</v>
      </c>
      <c r="J303" s="7">
        <v>2.89</v>
      </c>
      <c r="K303" s="85">
        <f t="shared" si="32"/>
        <v>11.56</v>
      </c>
    </row>
    <row r="304" spans="1:11" ht="18" x14ac:dyDescent="0.35">
      <c r="A304" s="5"/>
      <c r="B304" s="50" t="s">
        <v>36</v>
      </c>
      <c r="C304" s="7">
        <v>4</v>
      </c>
      <c r="D304" s="7">
        <v>0.6</v>
      </c>
      <c r="E304" s="85">
        <f t="shared" si="31"/>
        <v>2.4</v>
      </c>
      <c r="G304" s="5"/>
      <c r="H304" s="50" t="s">
        <v>36</v>
      </c>
      <c r="I304" s="7">
        <v>4</v>
      </c>
      <c r="J304" s="7">
        <v>0.6</v>
      </c>
      <c r="K304" s="85">
        <f t="shared" si="32"/>
        <v>2.4</v>
      </c>
    </row>
    <row r="305" spans="1:12" ht="18" x14ac:dyDescent="0.35">
      <c r="A305" s="5"/>
      <c r="B305" s="50" t="s">
        <v>37</v>
      </c>
      <c r="C305" s="54">
        <v>0.5</v>
      </c>
      <c r="D305" s="86">
        <v>101.32</v>
      </c>
      <c r="E305" s="85">
        <f t="shared" si="31"/>
        <v>50.66</v>
      </c>
      <c r="G305" s="5"/>
      <c r="H305" s="50" t="s">
        <v>37</v>
      </c>
      <c r="I305" s="54">
        <v>2</v>
      </c>
      <c r="J305" s="86">
        <v>131</v>
      </c>
      <c r="K305" s="85">
        <f t="shared" si="32"/>
        <v>262</v>
      </c>
    </row>
    <row r="306" spans="1:12" ht="18" x14ac:dyDescent="0.35">
      <c r="A306" s="5"/>
      <c r="B306" s="5"/>
      <c r="C306" s="54"/>
      <c r="D306" s="54"/>
      <c r="E306" s="85">
        <f>SUM(E300:E305)</f>
        <v>208.87984000000003</v>
      </c>
      <c r="G306" s="5"/>
      <c r="H306" s="5"/>
      <c r="I306" s="54"/>
      <c r="J306" s="54"/>
      <c r="K306" s="85">
        <f>SUM(K300:K305)</f>
        <v>722.0029199999999</v>
      </c>
    </row>
    <row r="309" spans="1:12" ht="21" x14ac:dyDescent="0.4">
      <c r="A309" s="40" t="s">
        <v>598</v>
      </c>
      <c r="B309" s="40"/>
      <c r="C309" s="84"/>
      <c r="D309" s="12"/>
      <c r="E309" s="83"/>
      <c r="H309" s="40"/>
      <c r="I309" s="40"/>
      <c r="J309" s="84"/>
      <c r="K309" s="12"/>
      <c r="L309" s="83"/>
    </row>
    <row r="310" spans="1:12" x14ac:dyDescent="0.3">
      <c r="C310" s="12"/>
      <c r="D310" s="12"/>
      <c r="E310" s="12"/>
      <c r="J310" s="12"/>
      <c r="K310" s="12"/>
      <c r="L310" s="12"/>
    </row>
    <row r="311" spans="1:12" ht="18" x14ac:dyDescent="0.35">
      <c r="A311" s="5"/>
      <c r="B311" s="5"/>
      <c r="C311" s="7" t="s">
        <v>28</v>
      </c>
      <c r="D311" s="7" t="s">
        <v>29</v>
      </c>
      <c r="E311" s="7" t="s">
        <v>30</v>
      </c>
      <c r="H311" s="5"/>
      <c r="I311" s="5"/>
      <c r="J311" s="7"/>
      <c r="K311" s="7"/>
      <c r="L311" s="7"/>
    </row>
    <row r="312" spans="1:12" ht="18" x14ac:dyDescent="0.35">
      <c r="A312" s="5" t="s">
        <v>683</v>
      </c>
      <c r="B312" s="50" t="s">
        <v>32</v>
      </c>
      <c r="C312" s="7">
        <v>5.3879999999999999</v>
      </c>
      <c r="D312" s="7">
        <v>29.12</v>
      </c>
      <c r="E312" s="85">
        <f t="shared" ref="E312:E317" si="33">C312*D312</f>
        <v>156.89856</v>
      </c>
      <c r="H312" s="5"/>
      <c r="I312" s="50"/>
      <c r="J312" s="7"/>
      <c r="K312" s="7"/>
      <c r="L312" s="85"/>
    </row>
    <row r="313" spans="1:12" ht="18" x14ac:dyDescent="0.35">
      <c r="A313" s="5" t="s">
        <v>684</v>
      </c>
      <c r="B313" s="50" t="s">
        <v>33</v>
      </c>
      <c r="C313" s="7">
        <v>75.989999999999995</v>
      </c>
      <c r="D313" s="7">
        <v>14.94</v>
      </c>
      <c r="E313" s="85">
        <f t="shared" si="33"/>
        <v>1135.2905999999998</v>
      </c>
      <c r="H313" s="5"/>
      <c r="I313" s="50"/>
      <c r="J313" s="7"/>
      <c r="K313" s="7"/>
      <c r="L313" s="85"/>
    </row>
    <row r="314" spans="1:12" ht="18" x14ac:dyDescent="0.35">
      <c r="A314" s="5" t="s">
        <v>685</v>
      </c>
      <c r="B314" s="50" t="s">
        <v>88</v>
      </c>
      <c r="C314" s="7">
        <v>2</v>
      </c>
      <c r="D314" s="7">
        <v>4.05</v>
      </c>
      <c r="E314" s="85">
        <f t="shared" si="33"/>
        <v>8.1</v>
      </c>
      <c r="H314" s="5"/>
      <c r="I314" s="50"/>
      <c r="J314" s="7"/>
      <c r="K314" s="7"/>
      <c r="L314" s="85"/>
    </row>
    <row r="315" spans="1:12" ht="18" x14ac:dyDescent="0.35">
      <c r="A315" s="5"/>
      <c r="B315" s="50" t="s">
        <v>34</v>
      </c>
      <c r="C315" s="7">
        <v>3</v>
      </c>
      <c r="D315" s="7">
        <v>14.61</v>
      </c>
      <c r="E315" s="85">
        <f t="shared" si="33"/>
        <v>43.83</v>
      </c>
      <c r="H315" s="5"/>
      <c r="I315" s="50"/>
      <c r="J315" s="7"/>
      <c r="K315" s="7"/>
      <c r="L315" s="85"/>
    </row>
    <row r="316" spans="1:12" ht="18" x14ac:dyDescent="0.35">
      <c r="A316" s="5"/>
      <c r="B316" s="50" t="s">
        <v>35</v>
      </c>
      <c r="C316" s="7">
        <v>8</v>
      </c>
      <c r="D316" s="7">
        <v>2.89</v>
      </c>
      <c r="E316" s="85">
        <f t="shared" si="33"/>
        <v>23.12</v>
      </c>
      <c r="H316" s="5"/>
      <c r="I316" s="50"/>
      <c r="J316" s="7"/>
      <c r="K316" s="7"/>
      <c r="L316" s="85"/>
    </row>
    <row r="317" spans="1:12" ht="18" x14ac:dyDescent="0.35">
      <c r="A317" s="5"/>
      <c r="B317" s="50" t="s">
        <v>36</v>
      </c>
      <c r="C317" s="7">
        <v>4</v>
      </c>
      <c r="D317" s="7">
        <v>0.6</v>
      </c>
      <c r="E317" s="85">
        <f t="shared" si="33"/>
        <v>2.4</v>
      </c>
      <c r="H317" s="5"/>
      <c r="I317" s="50"/>
      <c r="J317" s="7"/>
      <c r="K317" s="7"/>
      <c r="L317" s="85"/>
    </row>
    <row r="318" spans="1:12" ht="18" x14ac:dyDescent="0.35">
      <c r="A318" s="5"/>
      <c r="B318" s="5"/>
      <c r="C318" s="54"/>
      <c r="D318" s="54"/>
      <c r="E318" s="89">
        <f>SUM(E312:E317)</f>
        <v>1369.6391599999997</v>
      </c>
      <c r="H318" s="5"/>
      <c r="I318" s="5"/>
      <c r="J318" s="54"/>
      <c r="K318" s="54"/>
      <c r="L318" s="89"/>
    </row>
    <row r="319" spans="1:12" ht="18" x14ac:dyDescent="0.35">
      <c r="A319" s="5"/>
      <c r="B319" s="50" t="s">
        <v>37</v>
      </c>
      <c r="C319" s="54">
        <v>3</v>
      </c>
      <c r="D319" s="54">
        <v>131</v>
      </c>
      <c r="E319" s="85">
        <f>C319*D319</f>
        <v>393</v>
      </c>
      <c r="H319" s="5"/>
      <c r="I319" s="50"/>
      <c r="J319" s="54"/>
      <c r="K319" s="54"/>
      <c r="L319" s="85"/>
    </row>
    <row r="320" spans="1:12" ht="18" x14ac:dyDescent="0.35">
      <c r="A320" s="5"/>
      <c r="B320" s="5"/>
      <c r="C320" s="54"/>
      <c r="D320" s="54"/>
      <c r="E320" s="85">
        <f>SUM(E318:E319)</f>
        <v>1762.6391599999997</v>
      </c>
      <c r="H320" s="5"/>
      <c r="I320" s="5"/>
      <c r="J320" s="54"/>
      <c r="K320" s="54"/>
      <c r="L320" s="85"/>
    </row>
    <row r="321" spans="1:5" x14ac:dyDescent="0.3">
      <c r="C321" s="12"/>
      <c r="D321" s="12"/>
      <c r="E321" s="12"/>
    </row>
    <row r="322" spans="1:5" ht="21" x14ac:dyDescent="0.4">
      <c r="A322" s="40" t="s">
        <v>602</v>
      </c>
      <c r="B322" s="40"/>
      <c r="C322" s="84"/>
      <c r="D322" s="12"/>
      <c r="E322" s="12"/>
    </row>
    <row r="323" spans="1:5" ht="21" x14ac:dyDescent="0.4">
      <c r="A323" s="40"/>
      <c r="B323" s="40"/>
      <c r="C323" s="84"/>
      <c r="D323" s="12"/>
      <c r="E323" s="12"/>
    </row>
    <row r="324" spans="1:5" ht="18" x14ac:dyDescent="0.35">
      <c r="A324" s="5"/>
      <c r="B324" s="5"/>
      <c r="C324" s="7" t="s">
        <v>28</v>
      </c>
      <c r="D324" s="7" t="s">
        <v>29</v>
      </c>
      <c r="E324" s="7" t="s">
        <v>30</v>
      </c>
    </row>
    <row r="325" spans="1:5" ht="18" x14ac:dyDescent="0.35">
      <c r="A325" s="5" t="s">
        <v>683</v>
      </c>
      <c r="B325" s="50" t="s">
        <v>32</v>
      </c>
      <c r="C325" s="7">
        <v>5.3879999999999999</v>
      </c>
      <c r="D325" s="7">
        <v>42.29</v>
      </c>
      <c r="E325" s="85">
        <f t="shared" ref="E325:E332" si="34">C325*D325</f>
        <v>227.85852</v>
      </c>
    </row>
    <row r="326" spans="1:5" ht="18" x14ac:dyDescent="0.35">
      <c r="A326" s="5" t="s">
        <v>686</v>
      </c>
      <c r="B326" s="50" t="s">
        <v>33</v>
      </c>
      <c r="C326" s="7">
        <v>75.998999999999995</v>
      </c>
      <c r="D326" s="7">
        <v>16.09</v>
      </c>
      <c r="E326" s="85">
        <f t="shared" si="34"/>
        <v>1222.8239099999998</v>
      </c>
    </row>
    <row r="327" spans="1:5" ht="18" x14ac:dyDescent="0.35">
      <c r="A327" s="5" t="s">
        <v>687</v>
      </c>
      <c r="B327" s="50" t="s">
        <v>33</v>
      </c>
      <c r="C327" s="7">
        <v>75.012</v>
      </c>
      <c r="D327" s="7">
        <v>16.09</v>
      </c>
      <c r="E327" s="85">
        <f t="shared" si="34"/>
        <v>1206.94308</v>
      </c>
    </row>
    <row r="328" spans="1:5" ht="18" x14ac:dyDescent="0.35">
      <c r="A328" s="5" t="s">
        <v>685</v>
      </c>
      <c r="B328" s="50" t="s">
        <v>88</v>
      </c>
      <c r="C328" s="7">
        <v>4</v>
      </c>
      <c r="D328" s="7">
        <v>2.2400000000000002</v>
      </c>
      <c r="E328" s="85">
        <f t="shared" si="34"/>
        <v>8.9600000000000009</v>
      </c>
    </row>
    <row r="329" spans="1:5" ht="18" x14ac:dyDescent="0.35">
      <c r="A329" s="5"/>
      <c r="B329" s="50" t="s">
        <v>88</v>
      </c>
      <c r="C329" s="88">
        <v>8</v>
      </c>
      <c r="D329" s="88">
        <v>2.2400000000000002</v>
      </c>
      <c r="E329" s="90">
        <f t="shared" si="34"/>
        <v>17.920000000000002</v>
      </c>
    </row>
    <row r="330" spans="1:5" ht="18" x14ac:dyDescent="0.35">
      <c r="A330" s="5"/>
      <c r="B330" s="50" t="s">
        <v>34</v>
      </c>
      <c r="C330" s="7">
        <v>3</v>
      </c>
      <c r="D330" s="7">
        <v>13.67</v>
      </c>
      <c r="E330" s="85">
        <f t="shared" si="34"/>
        <v>41.01</v>
      </c>
    </row>
    <row r="331" spans="1:5" ht="18" x14ac:dyDescent="0.35">
      <c r="A331" s="5"/>
      <c r="B331" s="50" t="s">
        <v>35</v>
      </c>
      <c r="C331" s="7">
        <v>8</v>
      </c>
      <c r="D331" s="7">
        <v>2.89</v>
      </c>
      <c r="E331" s="85">
        <f t="shared" si="34"/>
        <v>23.12</v>
      </c>
    </row>
    <row r="332" spans="1:5" ht="18" x14ac:dyDescent="0.35">
      <c r="A332" s="5"/>
      <c r="B332" s="50" t="s">
        <v>36</v>
      </c>
      <c r="C332" s="7">
        <v>4</v>
      </c>
      <c r="D332" s="7">
        <v>0.6</v>
      </c>
      <c r="E332" s="85">
        <f t="shared" si="34"/>
        <v>2.4</v>
      </c>
    </row>
    <row r="333" spans="1:5" ht="18" x14ac:dyDescent="0.35">
      <c r="A333" s="5"/>
      <c r="B333" s="5"/>
      <c r="C333" s="54"/>
      <c r="D333" s="54"/>
      <c r="E333" s="89">
        <f>SUM(E325:E332)</f>
        <v>2751.0355100000002</v>
      </c>
    </row>
    <row r="334" spans="1:5" ht="18" x14ac:dyDescent="0.35">
      <c r="A334" s="5"/>
      <c r="B334" s="50" t="s">
        <v>37</v>
      </c>
      <c r="C334" s="54">
        <v>8</v>
      </c>
      <c r="D334" s="54">
        <v>101.32</v>
      </c>
      <c r="E334" s="85">
        <f>C334*D334</f>
        <v>810.56</v>
      </c>
    </row>
    <row r="336" spans="1:5" x14ac:dyDescent="0.3">
      <c r="E336" s="9">
        <f>SUM(E333:E334)</f>
        <v>3561.5955100000001</v>
      </c>
    </row>
    <row r="339" spans="1:5" ht="21" x14ac:dyDescent="0.4">
      <c r="A339" s="40" t="s">
        <v>602</v>
      </c>
      <c r="B339" s="40"/>
      <c r="C339" s="84"/>
      <c r="D339" s="12"/>
      <c r="E339" s="12"/>
    </row>
    <row r="340" spans="1:5" ht="21" x14ac:dyDescent="0.4">
      <c r="A340" s="40"/>
      <c r="B340" s="40"/>
      <c r="C340" s="84"/>
      <c r="D340" s="12"/>
      <c r="E340" s="12"/>
    </row>
    <row r="341" spans="1:5" ht="18" x14ac:dyDescent="0.35">
      <c r="A341" s="5"/>
      <c r="B341" s="5"/>
      <c r="C341" s="7" t="s">
        <v>28</v>
      </c>
      <c r="D341" s="7" t="s">
        <v>29</v>
      </c>
      <c r="E341" s="7" t="s">
        <v>30</v>
      </c>
    </row>
    <row r="342" spans="1:5" ht="18" x14ac:dyDescent="0.35">
      <c r="A342" s="5" t="s">
        <v>44</v>
      </c>
      <c r="B342" s="50" t="s">
        <v>32</v>
      </c>
      <c r="C342" s="7">
        <v>1.6080000000000001</v>
      </c>
      <c r="D342" s="7">
        <v>42.29</v>
      </c>
      <c r="E342" s="85">
        <f t="shared" ref="E342:E349" si="35">C342*D342</f>
        <v>68.002319999999997</v>
      </c>
    </row>
    <row r="343" spans="1:5" ht="18" x14ac:dyDescent="0.35">
      <c r="A343" s="5" t="s">
        <v>39</v>
      </c>
      <c r="B343" s="50" t="s">
        <v>33</v>
      </c>
      <c r="C343" s="7">
        <v>2.4780000000000002</v>
      </c>
      <c r="D343" s="7">
        <v>16.09</v>
      </c>
      <c r="E343" s="85">
        <f t="shared" si="35"/>
        <v>39.871020000000001</v>
      </c>
    </row>
    <row r="344" spans="1:5" ht="18" x14ac:dyDescent="0.35">
      <c r="A344" s="5" t="s">
        <v>168</v>
      </c>
      <c r="B344" s="50" t="s">
        <v>33</v>
      </c>
      <c r="C344" s="7">
        <v>2.74</v>
      </c>
      <c r="D344" s="7">
        <v>16.09</v>
      </c>
      <c r="E344" s="85">
        <f t="shared" si="35"/>
        <v>44.086600000000004</v>
      </c>
    </row>
    <row r="345" spans="1:5" ht="18" x14ac:dyDescent="0.35">
      <c r="A345" s="5" t="s">
        <v>696</v>
      </c>
      <c r="B345" s="50" t="s">
        <v>43</v>
      </c>
      <c r="C345" s="7">
        <v>2</v>
      </c>
      <c r="D345" s="7">
        <v>1.24</v>
      </c>
      <c r="E345" s="85">
        <f t="shared" si="35"/>
        <v>2.48</v>
      </c>
    </row>
    <row r="346" spans="1:5" ht="18" x14ac:dyDescent="0.35">
      <c r="A346" s="5"/>
      <c r="B346" s="50" t="s">
        <v>89</v>
      </c>
      <c r="C346" s="88">
        <v>2</v>
      </c>
      <c r="D346" s="88">
        <v>3.48</v>
      </c>
      <c r="E346" s="90">
        <f t="shared" si="35"/>
        <v>6.96</v>
      </c>
    </row>
    <row r="347" spans="1:5" ht="18" x14ac:dyDescent="0.35">
      <c r="A347" s="5"/>
      <c r="B347" s="50" t="s">
        <v>34</v>
      </c>
      <c r="C347" s="7">
        <v>0.1</v>
      </c>
      <c r="D347" s="7">
        <v>13.67</v>
      </c>
      <c r="E347" s="85">
        <f t="shared" si="35"/>
        <v>1.367</v>
      </c>
    </row>
    <row r="348" spans="1:5" ht="18" x14ac:dyDescent="0.35">
      <c r="A348" s="5"/>
      <c r="B348" s="50" t="s">
        <v>35</v>
      </c>
      <c r="C348" s="7">
        <v>4</v>
      </c>
      <c r="D348" s="7">
        <v>2.89</v>
      </c>
      <c r="E348" s="85">
        <f t="shared" si="35"/>
        <v>11.56</v>
      </c>
    </row>
    <row r="349" spans="1:5" ht="18" x14ac:dyDescent="0.35">
      <c r="A349" s="5"/>
      <c r="B349" s="50" t="s">
        <v>36</v>
      </c>
      <c r="C349" s="7">
        <v>4</v>
      </c>
      <c r="D349" s="7">
        <v>0.6</v>
      </c>
      <c r="E349" s="85">
        <f t="shared" si="35"/>
        <v>2.4</v>
      </c>
    </row>
    <row r="350" spans="1:5" ht="18" x14ac:dyDescent="0.35">
      <c r="A350" s="5"/>
      <c r="B350" s="5"/>
      <c r="C350" s="54"/>
      <c r="D350" s="54"/>
      <c r="E350" s="89">
        <f>SUM(E342:E349)</f>
        <v>176.72694000000001</v>
      </c>
    </row>
    <row r="351" spans="1:5" ht="18" x14ac:dyDescent="0.35">
      <c r="A351" s="5"/>
      <c r="B351" s="50" t="s">
        <v>37</v>
      </c>
      <c r="C351" s="54">
        <v>0.5</v>
      </c>
      <c r="D351" s="54">
        <v>101.32</v>
      </c>
      <c r="E351" s="85">
        <f>C351*D351</f>
        <v>50.66</v>
      </c>
    </row>
    <row r="352" spans="1:5" ht="18" x14ac:dyDescent="0.35">
      <c r="A352" s="5"/>
      <c r="B352" s="5"/>
      <c r="C352" s="54"/>
      <c r="D352" s="54"/>
      <c r="E352" s="85">
        <f>SUM(E350:E351)</f>
        <v>227.38694000000001</v>
      </c>
    </row>
    <row r="355" spans="1:23" ht="21" x14ac:dyDescent="0.4">
      <c r="A355" s="40" t="s">
        <v>598</v>
      </c>
      <c r="B355" s="40"/>
      <c r="C355" s="84"/>
      <c r="D355" s="12"/>
      <c r="E355" s="83"/>
    </row>
    <row r="356" spans="1:23" x14ac:dyDescent="0.3">
      <c r="C356" s="12"/>
      <c r="D356" s="12"/>
      <c r="E356" s="12"/>
    </row>
    <row r="357" spans="1:23" ht="18" x14ac:dyDescent="0.35">
      <c r="A357" s="5"/>
      <c r="B357" s="5"/>
      <c r="C357" s="7" t="s">
        <v>28</v>
      </c>
      <c r="D357" s="7" t="s">
        <v>29</v>
      </c>
      <c r="E357" s="7" t="s">
        <v>30</v>
      </c>
    </row>
    <row r="358" spans="1:23" ht="18" x14ac:dyDescent="0.35">
      <c r="A358" s="5" t="s">
        <v>71</v>
      </c>
      <c r="B358" s="50" t="s">
        <v>32</v>
      </c>
      <c r="C358" s="7">
        <v>4.5449999999999999</v>
      </c>
      <c r="D358" s="7">
        <v>29.12</v>
      </c>
      <c r="E358" s="85">
        <f t="shared" ref="E358:E363" si="36">C358*D358</f>
        <v>132.35040000000001</v>
      </c>
    </row>
    <row r="359" spans="1:23" ht="18" x14ac:dyDescent="0.35">
      <c r="A359" s="5" t="s">
        <v>63</v>
      </c>
      <c r="B359" s="50" t="s">
        <v>33</v>
      </c>
      <c r="C359" s="7">
        <v>54.45</v>
      </c>
      <c r="D359" s="7">
        <v>14.94</v>
      </c>
      <c r="E359" s="85">
        <f t="shared" si="36"/>
        <v>813.48300000000006</v>
      </c>
    </row>
    <row r="360" spans="1:23" ht="18" x14ac:dyDescent="0.35">
      <c r="A360" s="5" t="s">
        <v>673</v>
      </c>
      <c r="B360" s="50" t="s">
        <v>88</v>
      </c>
      <c r="C360" s="7">
        <v>4</v>
      </c>
      <c r="D360" s="7">
        <v>2.2400000000000002</v>
      </c>
      <c r="E360" s="85">
        <f t="shared" si="36"/>
        <v>8.9600000000000009</v>
      </c>
    </row>
    <row r="361" spans="1:23" ht="18" x14ac:dyDescent="0.35">
      <c r="A361" s="5"/>
      <c r="B361" s="50" t="s">
        <v>34</v>
      </c>
      <c r="C361" s="7">
        <v>2</v>
      </c>
      <c r="D361" s="7">
        <v>14.61</v>
      </c>
      <c r="E361" s="85">
        <f t="shared" si="36"/>
        <v>29.22</v>
      </c>
    </row>
    <row r="362" spans="1:23" ht="18" x14ac:dyDescent="0.35">
      <c r="A362" s="5"/>
      <c r="B362" s="50" t="s">
        <v>35</v>
      </c>
      <c r="C362" s="7">
        <v>8</v>
      </c>
      <c r="D362" s="7">
        <v>2.89</v>
      </c>
      <c r="E362" s="85">
        <f t="shared" si="36"/>
        <v>23.12</v>
      </c>
    </row>
    <row r="363" spans="1:23" ht="18" x14ac:dyDescent="0.35">
      <c r="A363" s="5"/>
      <c r="B363" s="50" t="s">
        <v>36</v>
      </c>
      <c r="C363" s="7">
        <v>4</v>
      </c>
      <c r="D363" s="7">
        <v>0.6</v>
      </c>
      <c r="E363" s="85">
        <f t="shared" si="36"/>
        <v>2.4</v>
      </c>
    </row>
    <row r="364" spans="1:23" ht="18" x14ac:dyDescent="0.35">
      <c r="A364" s="5"/>
      <c r="B364" s="5"/>
      <c r="C364" s="54"/>
      <c r="D364" s="54"/>
      <c r="E364" s="89">
        <f>SUM(E358:E363)</f>
        <v>1009.5334000000001</v>
      </c>
    </row>
    <row r="365" spans="1:23" ht="18" x14ac:dyDescent="0.35">
      <c r="A365" s="5"/>
      <c r="B365" s="50" t="s">
        <v>37</v>
      </c>
      <c r="C365" s="54">
        <v>1.5</v>
      </c>
      <c r="D365" s="54">
        <v>101.32</v>
      </c>
      <c r="E365" s="85">
        <f>C365*D365</f>
        <v>151.97999999999999</v>
      </c>
    </row>
    <row r="366" spans="1:23" ht="18" x14ac:dyDescent="0.35">
      <c r="A366" s="5"/>
      <c r="B366" s="5"/>
      <c r="C366" s="54"/>
      <c r="D366" s="54"/>
      <c r="E366" s="85">
        <f>SUM(E364:E365)</f>
        <v>1161.5134</v>
      </c>
    </row>
    <row r="368" spans="1:23" ht="21" x14ac:dyDescent="0.4">
      <c r="A368" s="40" t="s">
        <v>702</v>
      </c>
      <c r="B368" s="40"/>
      <c r="C368" s="40"/>
      <c r="D368" s="12"/>
      <c r="E368" s="12"/>
      <c r="G368" s="40" t="s">
        <v>702</v>
      </c>
      <c r="H368" s="40"/>
      <c r="I368" s="40"/>
      <c r="J368" s="12"/>
      <c r="K368" s="12"/>
      <c r="M368" s="40" t="s">
        <v>709</v>
      </c>
      <c r="N368" s="40"/>
      <c r="O368" s="40"/>
      <c r="P368" s="12"/>
      <c r="Q368" s="12"/>
      <c r="S368" s="40" t="s">
        <v>711</v>
      </c>
      <c r="T368" s="40"/>
      <c r="U368" s="40"/>
      <c r="V368" s="12"/>
      <c r="W368" s="12"/>
    </row>
    <row r="369" spans="1:23" ht="18" x14ac:dyDescent="0.35">
      <c r="A369" s="5"/>
      <c r="B369" s="5"/>
      <c r="C369" s="7" t="s">
        <v>28</v>
      </c>
      <c r="D369" s="7" t="s">
        <v>29</v>
      </c>
      <c r="E369" s="7" t="s">
        <v>30</v>
      </c>
      <c r="G369" s="5"/>
      <c r="H369" s="5"/>
      <c r="I369" s="7" t="s">
        <v>28</v>
      </c>
      <c r="J369" s="7" t="s">
        <v>29</v>
      </c>
      <c r="K369" s="7" t="s">
        <v>30</v>
      </c>
      <c r="M369" s="5"/>
      <c r="N369" s="5"/>
      <c r="O369" s="7" t="s">
        <v>28</v>
      </c>
      <c r="P369" s="7" t="s">
        <v>29</v>
      </c>
      <c r="Q369" s="7" t="s">
        <v>30</v>
      </c>
      <c r="S369" s="5"/>
      <c r="T369" s="5"/>
      <c r="U369" s="7" t="s">
        <v>28</v>
      </c>
      <c r="V369" s="7" t="s">
        <v>29</v>
      </c>
      <c r="W369" s="7" t="s">
        <v>30</v>
      </c>
    </row>
    <row r="370" spans="1:23" ht="18" x14ac:dyDescent="0.35">
      <c r="A370" s="5" t="s">
        <v>75</v>
      </c>
      <c r="B370" s="50" t="s">
        <v>32</v>
      </c>
      <c r="C370" s="7">
        <v>1.399</v>
      </c>
      <c r="D370" s="7">
        <v>30.29</v>
      </c>
      <c r="E370" s="85">
        <f t="shared" ref="E370:E375" si="37">C370*D370</f>
        <v>42.375709999999998</v>
      </c>
      <c r="G370" s="5" t="s">
        <v>31</v>
      </c>
      <c r="H370" s="50" t="s">
        <v>32</v>
      </c>
      <c r="I370" s="7">
        <v>0.76900000000000002</v>
      </c>
      <c r="J370" s="7">
        <v>30.29</v>
      </c>
      <c r="K370" s="85">
        <f t="shared" ref="K370:K375" si="38">I370*J370</f>
        <v>23.293009999999999</v>
      </c>
      <c r="M370" s="5" t="s">
        <v>424</v>
      </c>
      <c r="N370" s="50" t="s">
        <v>32</v>
      </c>
      <c r="O370" s="7">
        <v>2.2389999999999999</v>
      </c>
      <c r="P370" s="7">
        <v>30.29</v>
      </c>
      <c r="Q370" s="85">
        <f t="shared" ref="Q370:Q375" si="39">O370*P370</f>
        <v>67.819310000000002</v>
      </c>
      <c r="S370" s="5" t="s">
        <v>710</v>
      </c>
      <c r="T370" s="50" t="s">
        <v>32</v>
      </c>
      <c r="U370" s="7">
        <v>3.5609999999999999</v>
      </c>
      <c r="V370" s="7">
        <v>30.29</v>
      </c>
      <c r="W370" s="85">
        <f t="shared" ref="W370:W375" si="40">U370*V370</f>
        <v>107.86269</v>
      </c>
    </row>
    <row r="371" spans="1:23" ht="18" x14ac:dyDescent="0.35">
      <c r="A371" s="5" t="s">
        <v>53</v>
      </c>
      <c r="B371" s="50" t="s">
        <v>33</v>
      </c>
      <c r="C371" s="7">
        <v>3.6850000000000001</v>
      </c>
      <c r="D371" s="7">
        <v>16</v>
      </c>
      <c r="E371" s="85">
        <f t="shared" si="37"/>
        <v>58.96</v>
      </c>
      <c r="G371" s="5" t="s">
        <v>63</v>
      </c>
      <c r="H371" s="50" t="s">
        <v>33</v>
      </c>
      <c r="I371" s="7">
        <v>1.1970000000000001</v>
      </c>
      <c r="J371" s="7">
        <v>16</v>
      </c>
      <c r="K371" s="85">
        <f t="shared" si="38"/>
        <v>19.152000000000001</v>
      </c>
      <c r="M371" s="5" t="s">
        <v>340</v>
      </c>
      <c r="N371" s="50" t="s">
        <v>33</v>
      </c>
      <c r="O371" s="7">
        <v>18.521999999999998</v>
      </c>
      <c r="P371" s="7">
        <v>16</v>
      </c>
      <c r="Q371" s="85">
        <f t="shared" si="39"/>
        <v>296.35199999999998</v>
      </c>
      <c r="S371" s="5" t="s">
        <v>712</v>
      </c>
      <c r="T371" s="50" t="s">
        <v>33</v>
      </c>
      <c r="U371" s="7">
        <v>38.734000000000002</v>
      </c>
      <c r="V371" s="7">
        <v>16</v>
      </c>
      <c r="W371" s="85">
        <f t="shared" si="40"/>
        <v>619.74400000000003</v>
      </c>
    </row>
    <row r="372" spans="1:23" ht="18" x14ac:dyDescent="0.35">
      <c r="A372" s="5" t="s">
        <v>703</v>
      </c>
      <c r="B372" s="50" t="s">
        <v>137</v>
      </c>
      <c r="C372" s="7">
        <v>0.5</v>
      </c>
      <c r="D372" s="7">
        <v>17.190000000000001</v>
      </c>
      <c r="E372" s="85">
        <f t="shared" si="37"/>
        <v>8.5950000000000006</v>
      </c>
      <c r="G372" s="5" t="s">
        <v>707</v>
      </c>
      <c r="H372" s="50" t="s">
        <v>137</v>
      </c>
      <c r="I372" s="7">
        <v>0.2</v>
      </c>
      <c r="J372" s="7">
        <v>17.190000000000001</v>
      </c>
      <c r="K372" s="85">
        <f t="shared" si="38"/>
        <v>3.4380000000000006</v>
      </c>
      <c r="M372" s="5" t="s">
        <v>708</v>
      </c>
      <c r="N372" s="50" t="s">
        <v>137</v>
      </c>
      <c r="O372" s="7">
        <v>1</v>
      </c>
      <c r="P372" s="7">
        <v>17.190000000000001</v>
      </c>
      <c r="Q372" s="85">
        <f t="shared" si="39"/>
        <v>17.190000000000001</v>
      </c>
      <c r="S372" s="5" t="s">
        <v>708</v>
      </c>
      <c r="T372" s="50" t="s">
        <v>137</v>
      </c>
      <c r="U372" s="7">
        <v>2.58</v>
      </c>
      <c r="V372" s="7">
        <v>17.190000000000001</v>
      </c>
      <c r="W372" s="85">
        <f t="shared" si="40"/>
        <v>44.350200000000008</v>
      </c>
    </row>
    <row r="373" spans="1:23" ht="18" x14ac:dyDescent="0.35">
      <c r="A373" s="5"/>
      <c r="B373" s="50" t="s">
        <v>35</v>
      </c>
      <c r="C373" s="7">
        <v>4</v>
      </c>
      <c r="D373" s="7">
        <v>2.89</v>
      </c>
      <c r="E373" s="85">
        <f t="shared" si="37"/>
        <v>11.56</v>
      </c>
      <c r="G373" s="5"/>
      <c r="H373" s="50" t="s">
        <v>35</v>
      </c>
      <c r="I373" s="7">
        <v>4</v>
      </c>
      <c r="J373" s="7">
        <v>2.89</v>
      </c>
      <c r="K373" s="85">
        <f t="shared" si="38"/>
        <v>11.56</v>
      </c>
      <c r="M373" s="5"/>
      <c r="N373" s="50" t="s">
        <v>35</v>
      </c>
      <c r="O373" s="7">
        <v>4</v>
      </c>
      <c r="P373" s="7">
        <v>2.89</v>
      </c>
      <c r="Q373" s="85">
        <f t="shared" si="39"/>
        <v>11.56</v>
      </c>
      <c r="S373" s="5"/>
      <c r="T373" s="50" t="s">
        <v>35</v>
      </c>
      <c r="U373" s="7">
        <v>4</v>
      </c>
      <c r="V373" s="7">
        <v>2.89</v>
      </c>
      <c r="W373" s="85">
        <f t="shared" si="40"/>
        <v>11.56</v>
      </c>
    </row>
    <row r="374" spans="1:23" ht="18" x14ac:dyDescent="0.35">
      <c r="A374" s="5"/>
      <c r="B374" s="50" t="s">
        <v>36</v>
      </c>
      <c r="C374" s="7">
        <v>4</v>
      </c>
      <c r="D374" s="7">
        <v>0.6</v>
      </c>
      <c r="E374" s="85">
        <f t="shared" si="37"/>
        <v>2.4</v>
      </c>
      <c r="G374" s="5"/>
      <c r="H374" s="50" t="s">
        <v>36</v>
      </c>
      <c r="I374" s="7">
        <v>4</v>
      </c>
      <c r="J374" s="7">
        <v>0.6</v>
      </c>
      <c r="K374" s="85">
        <f t="shared" si="38"/>
        <v>2.4</v>
      </c>
      <c r="M374" s="5"/>
      <c r="N374" s="50" t="s">
        <v>36</v>
      </c>
      <c r="O374" s="7">
        <v>4</v>
      </c>
      <c r="P374" s="7">
        <v>0.6</v>
      </c>
      <c r="Q374" s="85">
        <f t="shared" si="39"/>
        <v>2.4</v>
      </c>
      <c r="S374" s="5"/>
      <c r="T374" s="50" t="s">
        <v>36</v>
      </c>
      <c r="U374" s="7">
        <v>4</v>
      </c>
      <c r="V374" s="7">
        <v>0.6</v>
      </c>
      <c r="W374" s="85">
        <f t="shared" si="40"/>
        <v>2.4</v>
      </c>
    </row>
    <row r="375" spans="1:23" ht="18" x14ac:dyDescent="0.35">
      <c r="A375" s="5"/>
      <c r="B375" s="50" t="s">
        <v>37</v>
      </c>
      <c r="C375" s="54">
        <v>0.5</v>
      </c>
      <c r="D375" s="86">
        <v>131</v>
      </c>
      <c r="E375" s="85">
        <f t="shared" si="37"/>
        <v>65.5</v>
      </c>
      <c r="G375" s="5"/>
      <c r="H375" s="50" t="s">
        <v>37</v>
      </c>
      <c r="I375" s="54">
        <v>0.25</v>
      </c>
      <c r="J375" s="86">
        <v>131</v>
      </c>
      <c r="K375" s="85">
        <f t="shared" si="38"/>
        <v>32.75</v>
      </c>
      <c r="M375" s="5"/>
      <c r="N375" s="50" t="s">
        <v>37</v>
      </c>
      <c r="O375" s="54">
        <v>1</v>
      </c>
      <c r="P375" s="86">
        <v>131</v>
      </c>
      <c r="Q375" s="85">
        <f t="shared" si="39"/>
        <v>131</v>
      </c>
      <c r="S375" s="5"/>
      <c r="T375" s="50" t="s">
        <v>37</v>
      </c>
      <c r="U375" s="54">
        <v>3</v>
      </c>
      <c r="V375" s="86">
        <v>131</v>
      </c>
      <c r="W375" s="85">
        <f t="shared" si="40"/>
        <v>393</v>
      </c>
    </row>
    <row r="376" spans="1:23" ht="18" x14ac:dyDescent="0.35">
      <c r="A376" s="5"/>
      <c r="B376" s="5"/>
      <c r="C376" s="54"/>
      <c r="D376" s="54"/>
      <c r="E376" s="85">
        <f>SUM(E370:E375)</f>
        <v>189.39071000000001</v>
      </c>
      <c r="G376" s="5"/>
      <c r="H376" s="5"/>
      <c r="I376" s="54"/>
      <c r="J376" s="54"/>
      <c r="K376" s="85">
        <f>SUM(K370:K375)</f>
        <v>92.593009999999992</v>
      </c>
      <c r="M376" s="5"/>
      <c r="N376" s="5"/>
      <c r="O376" s="54"/>
      <c r="P376" s="54"/>
      <c r="Q376" s="85">
        <f>SUM(Q370:Q375)</f>
        <v>526.32130999999993</v>
      </c>
      <c r="S376" s="5"/>
      <c r="T376" s="5"/>
      <c r="U376" s="54"/>
      <c r="V376" s="54"/>
      <c r="W376" s="85">
        <f>SUM(W370:W375)</f>
        <v>1178.91689</v>
      </c>
    </row>
    <row r="379" spans="1:23" ht="21" x14ac:dyDescent="0.4">
      <c r="A379" s="40" t="s">
        <v>599</v>
      </c>
      <c r="B379" s="40"/>
      <c r="C379" s="84"/>
      <c r="D379" s="12"/>
      <c r="E379" s="12"/>
    </row>
    <row r="380" spans="1:23" x14ac:dyDescent="0.3">
      <c r="C380" s="12"/>
      <c r="D380" s="12"/>
      <c r="E380" s="12"/>
    </row>
    <row r="381" spans="1:23" ht="18" x14ac:dyDescent="0.35">
      <c r="A381" s="5"/>
      <c r="B381" s="5"/>
      <c r="C381" s="7" t="s">
        <v>28</v>
      </c>
      <c r="D381" s="7" t="s">
        <v>29</v>
      </c>
      <c r="E381" s="7" t="s">
        <v>30</v>
      </c>
    </row>
    <row r="382" spans="1:23" ht="18" x14ac:dyDescent="0.35">
      <c r="A382" s="5" t="s">
        <v>704</v>
      </c>
      <c r="B382" s="50" t="s">
        <v>32</v>
      </c>
      <c r="C382" s="7">
        <v>2.3860000000000001</v>
      </c>
      <c r="D382" s="7">
        <v>30.29</v>
      </c>
      <c r="E382" s="85">
        <f t="shared" ref="E382:E387" si="41">C382*D382</f>
        <v>72.271940000000001</v>
      </c>
    </row>
    <row r="383" spans="1:23" ht="18" x14ac:dyDescent="0.35">
      <c r="A383" s="5" t="s">
        <v>356</v>
      </c>
      <c r="B383" s="50" t="s">
        <v>33</v>
      </c>
      <c r="C383" s="7">
        <v>3.3180000000000001</v>
      </c>
      <c r="D383" s="7">
        <v>16.09</v>
      </c>
      <c r="E383" s="85">
        <f t="shared" si="41"/>
        <v>53.386620000000001</v>
      </c>
    </row>
    <row r="384" spans="1:23" ht="18" x14ac:dyDescent="0.35">
      <c r="A384" s="5" t="s">
        <v>705</v>
      </c>
      <c r="B384" s="50" t="s">
        <v>43</v>
      </c>
      <c r="C384" s="7">
        <v>2</v>
      </c>
      <c r="D384" s="7">
        <v>1.1499999999999999</v>
      </c>
      <c r="E384" s="85">
        <f t="shared" si="41"/>
        <v>2.2999999999999998</v>
      </c>
    </row>
    <row r="385" spans="1:5" ht="18" x14ac:dyDescent="0.35">
      <c r="A385" s="5"/>
      <c r="B385" s="50" t="s">
        <v>34</v>
      </c>
      <c r="C385" s="7"/>
      <c r="D385" s="7">
        <v>14.61</v>
      </c>
      <c r="E385" s="85">
        <f t="shared" si="41"/>
        <v>0</v>
      </c>
    </row>
    <row r="386" spans="1:5" ht="18" x14ac:dyDescent="0.35">
      <c r="A386" s="5"/>
      <c r="B386" s="50" t="s">
        <v>35</v>
      </c>
      <c r="C386" s="7">
        <v>4</v>
      </c>
      <c r="D386" s="7">
        <v>2.89</v>
      </c>
      <c r="E386" s="85">
        <f t="shared" si="41"/>
        <v>11.56</v>
      </c>
    </row>
    <row r="387" spans="1:5" ht="18" x14ac:dyDescent="0.35">
      <c r="A387" s="5"/>
      <c r="B387" s="50" t="s">
        <v>36</v>
      </c>
      <c r="C387" s="7">
        <v>4</v>
      </c>
      <c r="D387" s="7">
        <v>0.6</v>
      </c>
      <c r="E387" s="85">
        <f t="shared" si="41"/>
        <v>2.4</v>
      </c>
    </row>
    <row r="388" spans="1:5" ht="18" x14ac:dyDescent="0.35">
      <c r="A388" s="5"/>
      <c r="B388" s="5"/>
      <c r="C388" s="54"/>
      <c r="D388" s="54"/>
      <c r="E388" s="89">
        <f>SUM(E382:E387)</f>
        <v>141.91855999999999</v>
      </c>
    </row>
    <row r="389" spans="1:5" ht="18" x14ac:dyDescent="0.35">
      <c r="A389" s="5"/>
      <c r="B389" s="50" t="s">
        <v>37</v>
      </c>
      <c r="C389" s="54">
        <v>0.5</v>
      </c>
      <c r="D389" s="54">
        <v>131</v>
      </c>
      <c r="E389" s="85">
        <f>C389*D389</f>
        <v>65.5</v>
      </c>
    </row>
    <row r="390" spans="1:5" ht="18" x14ac:dyDescent="0.35">
      <c r="A390" s="5"/>
      <c r="B390" s="5"/>
      <c r="C390" s="54"/>
      <c r="D390" s="54"/>
      <c r="E390" s="85">
        <f>SUM(E388:E389)</f>
        <v>207.41855999999999</v>
      </c>
    </row>
    <row r="393" spans="1:5" ht="21" x14ac:dyDescent="0.4">
      <c r="A393" s="40" t="s">
        <v>599</v>
      </c>
      <c r="B393" s="40"/>
      <c r="C393" s="84"/>
    </row>
    <row r="394" spans="1:5" ht="18" x14ac:dyDescent="0.35">
      <c r="A394" s="5"/>
      <c r="B394" s="5"/>
      <c r="C394" s="7" t="s">
        <v>28</v>
      </c>
      <c r="D394" s="7" t="s">
        <v>29</v>
      </c>
      <c r="E394" s="7" t="s">
        <v>30</v>
      </c>
    </row>
    <row r="395" spans="1:5" ht="18" x14ac:dyDescent="0.35">
      <c r="A395" s="5" t="s">
        <v>234</v>
      </c>
      <c r="B395" s="50" t="s">
        <v>32</v>
      </c>
      <c r="C395" s="7">
        <v>2.3220000000000001</v>
      </c>
      <c r="D395" s="7">
        <v>30.29</v>
      </c>
      <c r="E395" s="85">
        <f t="shared" ref="E395:E400" si="42">C395*D395</f>
        <v>70.333380000000005</v>
      </c>
    </row>
    <row r="396" spans="1:5" ht="18" x14ac:dyDescent="0.35">
      <c r="A396" s="5" t="s">
        <v>706</v>
      </c>
      <c r="B396" s="50" t="s">
        <v>33</v>
      </c>
      <c r="C396" s="7">
        <v>2.08</v>
      </c>
      <c r="D396" s="7">
        <v>16.09</v>
      </c>
      <c r="E396" s="85">
        <f t="shared" si="42"/>
        <v>33.467199999999998</v>
      </c>
    </row>
    <row r="397" spans="1:5" ht="18" x14ac:dyDescent="0.35">
      <c r="A397" s="5" t="s">
        <v>677</v>
      </c>
      <c r="B397" s="50" t="s">
        <v>43</v>
      </c>
      <c r="C397" s="7">
        <v>2</v>
      </c>
      <c r="D397" s="7">
        <v>1.1499999999999999</v>
      </c>
      <c r="E397" s="85">
        <f t="shared" si="42"/>
        <v>2.2999999999999998</v>
      </c>
    </row>
    <row r="398" spans="1:5" ht="18" x14ac:dyDescent="0.35">
      <c r="A398" s="5"/>
      <c r="B398" s="50" t="s">
        <v>34</v>
      </c>
      <c r="C398" s="7"/>
      <c r="D398" s="7">
        <v>14.61</v>
      </c>
      <c r="E398" s="85">
        <f t="shared" si="42"/>
        <v>0</v>
      </c>
    </row>
    <row r="399" spans="1:5" ht="18" x14ac:dyDescent="0.35">
      <c r="A399" s="5"/>
      <c r="B399" s="50" t="s">
        <v>35</v>
      </c>
      <c r="C399" s="7">
        <v>4</v>
      </c>
      <c r="D399" s="7">
        <v>2.89</v>
      </c>
      <c r="E399" s="85">
        <f t="shared" si="42"/>
        <v>11.56</v>
      </c>
    </row>
    <row r="400" spans="1:5" ht="18" x14ac:dyDescent="0.35">
      <c r="A400" s="5"/>
      <c r="B400" s="50" t="s">
        <v>36</v>
      </c>
      <c r="C400" s="7">
        <v>4</v>
      </c>
      <c r="D400" s="7">
        <v>0.6</v>
      </c>
      <c r="E400" s="85">
        <f t="shared" si="42"/>
        <v>2.4</v>
      </c>
    </row>
    <row r="401" spans="1:5" ht="18" x14ac:dyDescent="0.35">
      <c r="A401" s="5"/>
      <c r="B401" s="5"/>
      <c r="C401" s="54"/>
      <c r="D401" s="54"/>
      <c r="E401" s="89">
        <f>SUM(E395:E400)</f>
        <v>120.06058</v>
      </c>
    </row>
    <row r="402" spans="1:5" ht="18" x14ac:dyDescent="0.35">
      <c r="A402" s="5"/>
      <c r="B402" s="50" t="s">
        <v>37</v>
      </c>
      <c r="C402" s="54">
        <v>0.5</v>
      </c>
      <c r="D402" s="54">
        <v>131</v>
      </c>
      <c r="E402" s="85">
        <f>C402*D402</f>
        <v>65.5</v>
      </c>
    </row>
    <row r="403" spans="1:5" ht="18" x14ac:dyDescent="0.35">
      <c r="A403" s="5"/>
      <c r="B403" s="5"/>
      <c r="C403" s="54"/>
      <c r="D403" s="54"/>
      <c r="E403" s="85">
        <f>SUM(E401:E402)</f>
        <v>185.56058000000002</v>
      </c>
    </row>
    <row r="405" spans="1:5" ht="21" x14ac:dyDescent="0.4">
      <c r="A405" s="40" t="s">
        <v>599</v>
      </c>
      <c r="B405" s="40"/>
      <c r="C405" s="84"/>
    </row>
    <row r="406" spans="1:5" ht="18" x14ac:dyDescent="0.35">
      <c r="A406" s="5"/>
      <c r="B406" s="5"/>
      <c r="C406" s="7" t="s">
        <v>28</v>
      </c>
      <c r="D406" s="7" t="s">
        <v>29</v>
      </c>
      <c r="E406" s="7" t="s">
        <v>30</v>
      </c>
    </row>
    <row r="407" spans="1:5" ht="18" x14ac:dyDescent="0.35">
      <c r="A407" s="5" t="s">
        <v>202</v>
      </c>
      <c r="B407" s="50" t="s">
        <v>32</v>
      </c>
      <c r="C407" s="7">
        <v>1.9019999999999999</v>
      </c>
      <c r="D407" s="7">
        <v>30.29</v>
      </c>
      <c r="E407" s="85">
        <f t="shared" ref="E407:E412" si="43">C407*D407</f>
        <v>57.611579999999996</v>
      </c>
    </row>
    <row r="408" spans="1:5" ht="18" x14ac:dyDescent="0.35">
      <c r="A408" s="5" t="s">
        <v>706</v>
      </c>
      <c r="B408" s="50" t="s">
        <v>33</v>
      </c>
      <c r="C408" s="7">
        <v>1.659</v>
      </c>
      <c r="D408" s="7">
        <v>16.09</v>
      </c>
      <c r="E408" s="85">
        <f t="shared" si="43"/>
        <v>26.69331</v>
      </c>
    </row>
    <row r="409" spans="1:5" ht="18" x14ac:dyDescent="0.35">
      <c r="A409" s="5" t="s">
        <v>677</v>
      </c>
      <c r="B409" s="50" t="s">
        <v>43</v>
      </c>
      <c r="C409" s="7">
        <v>2</v>
      </c>
      <c r="D409" s="7">
        <v>1.1499999999999999</v>
      </c>
      <c r="E409" s="85">
        <f t="shared" si="43"/>
        <v>2.2999999999999998</v>
      </c>
    </row>
    <row r="410" spans="1:5" ht="18" x14ac:dyDescent="0.35">
      <c r="A410" s="5"/>
      <c r="B410" s="50" t="s">
        <v>34</v>
      </c>
      <c r="C410" s="7"/>
      <c r="D410" s="7">
        <v>14.61</v>
      </c>
      <c r="E410" s="85">
        <f t="shared" si="43"/>
        <v>0</v>
      </c>
    </row>
    <row r="411" spans="1:5" ht="18" x14ac:dyDescent="0.35">
      <c r="A411" s="5"/>
      <c r="B411" s="50" t="s">
        <v>35</v>
      </c>
      <c r="C411" s="7">
        <v>4</v>
      </c>
      <c r="D411" s="7">
        <v>2.89</v>
      </c>
      <c r="E411" s="85">
        <f t="shared" si="43"/>
        <v>11.56</v>
      </c>
    </row>
    <row r="412" spans="1:5" ht="18" x14ac:dyDescent="0.35">
      <c r="A412" s="5"/>
      <c r="B412" s="50" t="s">
        <v>36</v>
      </c>
      <c r="C412" s="7">
        <v>4</v>
      </c>
      <c r="D412" s="7">
        <v>0.6</v>
      </c>
      <c r="E412" s="85">
        <f t="shared" si="43"/>
        <v>2.4</v>
      </c>
    </row>
    <row r="413" spans="1:5" ht="18" x14ac:dyDescent="0.35">
      <c r="A413" s="5"/>
      <c r="B413" s="5"/>
      <c r="C413" s="54"/>
      <c r="D413" s="54"/>
      <c r="E413" s="89">
        <f>SUM(E407:E412)</f>
        <v>100.56489000000001</v>
      </c>
    </row>
    <row r="414" spans="1:5" ht="18" x14ac:dyDescent="0.35">
      <c r="A414" s="5"/>
      <c r="B414" s="50" t="s">
        <v>37</v>
      </c>
      <c r="C414" s="54">
        <v>0.5</v>
      </c>
      <c r="D414" s="54">
        <v>131</v>
      </c>
      <c r="E414" s="85">
        <f>C414*D414</f>
        <v>65.5</v>
      </c>
    </row>
    <row r="415" spans="1:5" ht="18" x14ac:dyDescent="0.35">
      <c r="A415" s="5"/>
      <c r="B415" s="5"/>
      <c r="C415" s="54"/>
      <c r="D415" s="54"/>
      <c r="E415" s="85">
        <f>SUM(E413:E414)</f>
        <v>166.06488999999999</v>
      </c>
    </row>
    <row r="418" spans="1:5" ht="21" x14ac:dyDescent="0.4">
      <c r="A418" s="40" t="s">
        <v>602</v>
      </c>
      <c r="B418" s="40"/>
      <c r="C418" s="84"/>
      <c r="D418" s="12"/>
      <c r="E418" s="12"/>
    </row>
    <row r="419" spans="1:5" ht="21" x14ac:dyDescent="0.4">
      <c r="A419" s="40"/>
      <c r="B419" s="40"/>
      <c r="C419" s="84"/>
      <c r="D419" s="12"/>
      <c r="E419" s="12"/>
    </row>
    <row r="420" spans="1:5" ht="18" x14ac:dyDescent="0.35">
      <c r="A420" s="5"/>
      <c r="B420" s="5"/>
      <c r="C420" s="7" t="s">
        <v>28</v>
      </c>
      <c r="D420" s="7" t="s">
        <v>29</v>
      </c>
      <c r="E420" s="7" t="s">
        <v>30</v>
      </c>
    </row>
    <row r="421" spans="1:5" ht="18" x14ac:dyDescent="0.35">
      <c r="A421" s="5" t="s">
        <v>48</v>
      </c>
      <c r="B421" s="50" t="s">
        <v>32</v>
      </c>
      <c r="C421" s="7">
        <v>2.448</v>
      </c>
      <c r="D421" s="7">
        <v>42.29</v>
      </c>
      <c r="E421" s="85">
        <f t="shared" ref="E421:E428" si="44">C421*D421</f>
        <v>103.52592</v>
      </c>
    </row>
    <row r="422" spans="1:5" ht="18" x14ac:dyDescent="0.35">
      <c r="A422" s="5" t="s">
        <v>39</v>
      </c>
      <c r="B422" s="50" t="s">
        <v>33</v>
      </c>
      <c r="C422" s="7">
        <v>4.1580000000000004</v>
      </c>
      <c r="D422" s="7">
        <v>16.09</v>
      </c>
      <c r="E422" s="85">
        <f t="shared" si="44"/>
        <v>66.90222</v>
      </c>
    </row>
    <row r="423" spans="1:5" ht="18" x14ac:dyDescent="0.35">
      <c r="A423" s="5" t="s">
        <v>310</v>
      </c>
      <c r="B423" s="50" t="s">
        <v>33</v>
      </c>
      <c r="C423" s="7">
        <v>4.7249999999999996</v>
      </c>
      <c r="D423" s="7">
        <v>16.09</v>
      </c>
      <c r="E423" s="85">
        <f t="shared" si="44"/>
        <v>76.02525</v>
      </c>
    </row>
    <row r="424" spans="1:5" ht="18" x14ac:dyDescent="0.35">
      <c r="A424" s="5" t="s">
        <v>696</v>
      </c>
      <c r="B424" s="50" t="s">
        <v>94</v>
      </c>
      <c r="C424" s="7">
        <v>4</v>
      </c>
      <c r="D424" s="7">
        <v>2.2400000000000002</v>
      </c>
      <c r="E424" s="85">
        <f t="shared" si="44"/>
        <v>8.9600000000000009</v>
      </c>
    </row>
    <row r="425" spans="1:5" ht="18" x14ac:dyDescent="0.35">
      <c r="A425" s="5"/>
      <c r="B425" s="50" t="s">
        <v>43</v>
      </c>
      <c r="C425" s="88">
        <v>2</v>
      </c>
      <c r="D425" s="88">
        <v>1.1499999999999999</v>
      </c>
      <c r="E425" s="90">
        <f t="shared" si="44"/>
        <v>2.2999999999999998</v>
      </c>
    </row>
    <row r="426" spans="1:5" ht="18" x14ac:dyDescent="0.35">
      <c r="A426" s="5"/>
      <c r="B426" s="50" t="s">
        <v>34</v>
      </c>
      <c r="C426" s="7">
        <v>0.6</v>
      </c>
      <c r="D426" s="7">
        <v>13.67</v>
      </c>
      <c r="E426" s="85">
        <f t="shared" si="44"/>
        <v>8.202</v>
      </c>
    </row>
    <row r="427" spans="1:5" ht="18" x14ac:dyDescent="0.35">
      <c r="A427" s="5"/>
      <c r="B427" s="50" t="s">
        <v>35</v>
      </c>
      <c r="C427" s="7">
        <v>4</v>
      </c>
      <c r="D427" s="7">
        <v>2.89</v>
      </c>
      <c r="E427" s="85">
        <f t="shared" si="44"/>
        <v>11.56</v>
      </c>
    </row>
    <row r="428" spans="1:5" ht="18" x14ac:dyDescent="0.35">
      <c r="A428" s="5"/>
      <c r="B428" s="50" t="s">
        <v>36</v>
      </c>
      <c r="C428" s="7">
        <v>4</v>
      </c>
      <c r="D428" s="7">
        <v>0.6</v>
      </c>
      <c r="E428" s="85">
        <f t="shared" si="44"/>
        <v>2.4</v>
      </c>
    </row>
    <row r="429" spans="1:5" ht="18" x14ac:dyDescent="0.35">
      <c r="A429" s="5"/>
      <c r="B429" s="5"/>
      <c r="C429" s="54"/>
      <c r="D429" s="54"/>
      <c r="E429" s="89">
        <f>SUM(E421:E428)</f>
        <v>279.87538999999998</v>
      </c>
    </row>
    <row r="430" spans="1:5" ht="18" x14ac:dyDescent="0.35">
      <c r="A430" s="5"/>
      <c r="B430" s="50" t="s">
        <v>37</v>
      </c>
      <c r="C430" s="54">
        <v>0.5</v>
      </c>
      <c r="D430" s="54">
        <v>127</v>
      </c>
      <c r="E430" s="85">
        <f>C430*D430</f>
        <v>63.5</v>
      </c>
    </row>
    <row r="431" spans="1:5" ht="18" x14ac:dyDescent="0.35">
      <c r="A431" s="5"/>
      <c r="B431" s="5"/>
      <c r="C431" s="54"/>
      <c r="D431" s="54"/>
      <c r="E431" s="85">
        <f>SUM(E429:E430)</f>
        <v>343.37538999999998</v>
      </c>
    </row>
    <row r="434" spans="1:5" ht="21" x14ac:dyDescent="0.4">
      <c r="A434" s="40" t="s">
        <v>599</v>
      </c>
      <c r="B434" s="40"/>
      <c r="C434" s="84"/>
    </row>
    <row r="435" spans="1:5" ht="18" x14ac:dyDescent="0.35">
      <c r="A435" s="5"/>
      <c r="B435" s="5"/>
      <c r="C435" s="7" t="s">
        <v>28</v>
      </c>
      <c r="D435" s="7" t="s">
        <v>29</v>
      </c>
      <c r="E435" s="7" t="s">
        <v>30</v>
      </c>
    </row>
    <row r="436" spans="1:5" ht="18" x14ac:dyDescent="0.35">
      <c r="A436" s="5" t="s">
        <v>124</v>
      </c>
      <c r="B436" s="50" t="s">
        <v>32</v>
      </c>
      <c r="C436" s="7">
        <v>3.4980000000000002</v>
      </c>
      <c r="D436" s="7">
        <v>30.29</v>
      </c>
      <c r="E436" s="85">
        <f t="shared" ref="E436:E441" si="45">C436*D436</f>
        <v>105.95442</v>
      </c>
    </row>
    <row r="437" spans="1:5" ht="18" x14ac:dyDescent="0.35">
      <c r="A437" s="5" t="s">
        <v>112</v>
      </c>
      <c r="B437" s="50" t="s">
        <v>33</v>
      </c>
      <c r="C437" s="7">
        <v>23.74</v>
      </c>
      <c r="D437" s="7">
        <v>16.09</v>
      </c>
      <c r="E437" s="85">
        <f t="shared" si="45"/>
        <v>381.97659999999996</v>
      </c>
    </row>
    <row r="438" spans="1:5" ht="18" x14ac:dyDescent="0.35">
      <c r="A438" s="5" t="s">
        <v>615</v>
      </c>
      <c r="B438" s="50" t="s">
        <v>128</v>
      </c>
      <c r="C438" s="7">
        <v>2</v>
      </c>
      <c r="D438" s="7">
        <v>1.81</v>
      </c>
      <c r="E438" s="85">
        <f t="shared" si="45"/>
        <v>3.62</v>
      </c>
    </row>
    <row r="439" spans="1:5" ht="18" x14ac:dyDescent="0.35">
      <c r="A439" s="5"/>
      <c r="B439" s="50" t="s">
        <v>34</v>
      </c>
      <c r="C439" s="7">
        <v>1.3</v>
      </c>
      <c r="D439" s="7">
        <v>14.61</v>
      </c>
      <c r="E439" s="85">
        <f t="shared" si="45"/>
        <v>18.992999999999999</v>
      </c>
    </row>
    <row r="440" spans="1:5" ht="18" x14ac:dyDescent="0.35">
      <c r="A440" s="5"/>
      <c r="B440" s="50" t="s">
        <v>35</v>
      </c>
      <c r="C440" s="7">
        <v>4</v>
      </c>
      <c r="D440" s="7">
        <v>2.89</v>
      </c>
      <c r="E440" s="85">
        <f t="shared" si="45"/>
        <v>11.56</v>
      </c>
    </row>
    <row r="441" spans="1:5" ht="18" x14ac:dyDescent="0.35">
      <c r="A441" s="5"/>
      <c r="B441" s="50" t="s">
        <v>36</v>
      </c>
      <c r="C441" s="7">
        <v>4</v>
      </c>
      <c r="D441" s="7">
        <v>0.6</v>
      </c>
      <c r="E441" s="85">
        <f t="shared" si="45"/>
        <v>2.4</v>
      </c>
    </row>
    <row r="442" spans="1:5" ht="18" x14ac:dyDescent="0.35">
      <c r="A442" s="5"/>
      <c r="B442" s="5"/>
      <c r="C442" s="54"/>
      <c r="D442" s="54"/>
      <c r="E442" s="89">
        <f>SUM(E436:E441)</f>
        <v>524.50401999999997</v>
      </c>
    </row>
    <row r="443" spans="1:5" ht="18" x14ac:dyDescent="0.35">
      <c r="A443" s="5"/>
      <c r="B443" s="50" t="s">
        <v>37</v>
      </c>
      <c r="C443" s="54">
        <v>1</v>
      </c>
      <c r="D443" s="54">
        <v>131</v>
      </c>
      <c r="E443" s="85">
        <f>C443*D443</f>
        <v>131</v>
      </c>
    </row>
    <row r="444" spans="1:5" ht="18" x14ac:dyDescent="0.35">
      <c r="A444" s="5"/>
      <c r="B444" s="5"/>
      <c r="C444" s="54"/>
      <c r="D444" s="54"/>
      <c r="E444" s="85">
        <f>SUM(E442:E443)</f>
        <v>655.50401999999997</v>
      </c>
    </row>
    <row r="447" spans="1:5" ht="21" x14ac:dyDescent="0.4">
      <c r="A447" s="40" t="s">
        <v>602</v>
      </c>
      <c r="B447" s="40"/>
      <c r="C447" s="84"/>
      <c r="D447" s="12"/>
      <c r="E447" s="12"/>
    </row>
    <row r="448" spans="1:5" ht="21" x14ac:dyDescent="0.4">
      <c r="A448" s="40"/>
      <c r="B448" s="40"/>
      <c r="C448" s="84"/>
      <c r="D448" s="12"/>
      <c r="E448" s="12"/>
    </row>
    <row r="449" spans="1:5" ht="18" x14ac:dyDescent="0.35">
      <c r="A449" s="5"/>
      <c r="B449" s="5"/>
      <c r="C449" s="7" t="s">
        <v>28</v>
      </c>
      <c r="D449" s="7" t="s">
        <v>29</v>
      </c>
      <c r="E449" s="7" t="s">
        <v>30</v>
      </c>
    </row>
    <row r="450" spans="1:5" ht="18" x14ac:dyDescent="0.35">
      <c r="A450" s="5" t="s">
        <v>124</v>
      </c>
      <c r="B450" s="50" t="s">
        <v>32</v>
      </c>
      <c r="C450" s="7">
        <v>3.4980000000000002</v>
      </c>
      <c r="D450" s="7">
        <v>42.29</v>
      </c>
      <c r="E450" s="85">
        <f t="shared" ref="E450:E457" si="46">C450*D450</f>
        <v>147.93042</v>
      </c>
    </row>
    <row r="451" spans="1:5" ht="18" x14ac:dyDescent="0.35">
      <c r="A451" s="5" t="s">
        <v>117</v>
      </c>
      <c r="B451" s="50" t="s">
        <v>33</v>
      </c>
      <c r="C451" s="7">
        <v>23.74</v>
      </c>
      <c r="D451" s="7">
        <v>16.09</v>
      </c>
      <c r="E451" s="85">
        <f t="shared" si="46"/>
        <v>381.97659999999996</v>
      </c>
    </row>
    <row r="452" spans="1:5" ht="18" x14ac:dyDescent="0.35">
      <c r="A452" s="5" t="s">
        <v>285</v>
      </c>
      <c r="B452" s="50" t="s">
        <v>33</v>
      </c>
      <c r="C452" s="7">
        <v>24.57</v>
      </c>
      <c r="D452" s="7">
        <v>16.09</v>
      </c>
      <c r="E452" s="85">
        <f t="shared" si="46"/>
        <v>395.3313</v>
      </c>
    </row>
    <row r="453" spans="1:5" ht="18" x14ac:dyDescent="0.35">
      <c r="A453" s="5" t="s">
        <v>615</v>
      </c>
      <c r="B453" s="50" t="s">
        <v>128</v>
      </c>
      <c r="C453" s="7">
        <v>2</v>
      </c>
      <c r="D453" s="7">
        <v>1.81</v>
      </c>
      <c r="E453" s="85">
        <f t="shared" si="46"/>
        <v>3.62</v>
      </c>
    </row>
    <row r="454" spans="1:5" ht="18" x14ac:dyDescent="0.35">
      <c r="A454" s="5"/>
      <c r="B454" s="50" t="s">
        <v>95</v>
      </c>
      <c r="C454" s="88">
        <v>4</v>
      </c>
      <c r="D454" s="88">
        <v>3.29</v>
      </c>
      <c r="E454" s="90">
        <f t="shared" si="46"/>
        <v>13.16</v>
      </c>
    </row>
    <row r="455" spans="1:5" ht="18" x14ac:dyDescent="0.35">
      <c r="A455" s="5"/>
      <c r="B455" s="50" t="s">
        <v>34</v>
      </c>
      <c r="C455" s="7">
        <v>1.68</v>
      </c>
      <c r="D455" s="7">
        <v>13.67</v>
      </c>
      <c r="E455" s="85">
        <f t="shared" si="46"/>
        <v>22.965599999999998</v>
      </c>
    </row>
    <row r="456" spans="1:5" ht="18" x14ac:dyDescent="0.35">
      <c r="A456" s="5"/>
      <c r="B456" s="50" t="s">
        <v>35</v>
      </c>
      <c r="C456" s="7">
        <v>4</v>
      </c>
      <c r="D456" s="7">
        <v>2.89</v>
      </c>
      <c r="E456" s="85">
        <f t="shared" si="46"/>
        <v>11.56</v>
      </c>
    </row>
    <row r="457" spans="1:5" ht="18" x14ac:dyDescent="0.35">
      <c r="A457" s="5"/>
      <c r="B457" s="50" t="s">
        <v>36</v>
      </c>
      <c r="C457" s="7">
        <v>4</v>
      </c>
      <c r="D457" s="7">
        <v>0.6</v>
      </c>
      <c r="E457" s="85">
        <f t="shared" si="46"/>
        <v>2.4</v>
      </c>
    </row>
    <row r="458" spans="1:5" ht="18" x14ac:dyDescent="0.35">
      <c r="A458" s="5"/>
      <c r="B458" s="5"/>
      <c r="C458" s="54"/>
      <c r="D458" s="54"/>
      <c r="E458" s="89">
        <f>SUM(E450:E457)</f>
        <v>978.94391999999982</v>
      </c>
    </row>
    <row r="459" spans="1:5" ht="18" x14ac:dyDescent="0.35">
      <c r="A459" s="5"/>
      <c r="B459" s="50" t="s">
        <v>37</v>
      </c>
      <c r="C459" s="54">
        <v>1.5</v>
      </c>
      <c r="D459" s="54">
        <v>127</v>
      </c>
      <c r="E459" s="85">
        <f>C459*D459</f>
        <v>190.5</v>
      </c>
    </row>
    <row r="460" spans="1:5" ht="18" x14ac:dyDescent="0.35">
      <c r="A460" s="5"/>
      <c r="B460" s="5"/>
      <c r="C460" s="54"/>
      <c r="D460" s="54"/>
      <c r="E460" s="85">
        <f>SUM(E458:E459)</f>
        <v>1169.4439199999997</v>
      </c>
    </row>
    <row r="463" spans="1:5" ht="21" x14ac:dyDescent="0.4">
      <c r="A463" s="40" t="s">
        <v>713</v>
      </c>
      <c r="B463" s="40"/>
      <c r="C463" s="84"/>
      <c r="D463" s="12"/>
      <c r="E463" s="12"/>
    </row>
    <row r="464" spans="1:5" ht="21" x14ac:dyDescent="0.4">
      <c r="A464" s="40"/>
      <c r="B464" s="40"/>
      <c r="C464" s="84"/>
      <c r="D464" s="12"/>
      <c r="E464" s="12"/>
    </row>
    <row r="465" spans="1:5" ht="18" x14ac:dyDescent="0.35">
      <c r="A465" s="5"/>
      <c r="B465" s="5"/>
      <c r="C465" s="7" t="s">
        <v>28</v>
      </c>
      <c r="D465" s="7" t="s">
        <v>29</v>
      </c>
      <c r="E465" s="7" t="s">
        <v>30</v>
      </c>
    </row>
    <row r="466" spans="1:5" ht="18" x14ac:dyDescent="0.35">
      <c r="A466" s="5" t="s">
        <v>311</v>
      </c>
      <c r="B466" s="50" t="s">
        <v>32</v>
      </c>
      <c r="C466" s="7">
        <v>2.028</v>
      </c>
      <c r="D466" s="7">
        <v>42.29</v>
      </c>
      <c r="E466" s="85">
        <f t="shared" ref="E466:E473" si="47">C466*D466</f>
        <v>85.764120000000005</v>
      </c>
    </row>
    <row r="467" spans="1:5" ht="18" x14ac:dyDescent="0.35">
      <c r="A467" s="5" t="s">
        <v>411</v>
      </c>
      <c r="B467" s="50" t="s">
        <v>33</v>
      </c>
      <c r="C467" s="7">
        <v>10.164</v>
      </c>
      <c r="D467" s="7">
        <v>16.09</v>
      </c>
      <c r="E467" s="85">
        <f t="shared" si="47"/>
        <v>163.53876</v>
      </c>
    </row>
    <row r="468" spans="1:5" ht="18" x14ac:dyDescent="0.35">
      <c r="A468" s="5" t="s">
        <v>714</v>
      </c>
      <c r="B468" s="50" t="s">
        <v>33</v>
      </c>
      <c r="C468" s="7">
        <v>10.164</v>
      </c>
      <c r="D468" s="7">
        <v>16.09</v>
      </c>
      <c r="E468" s="85">
        <f t="shared" si="47"/>
        <v>163.53876</v>
      </c>
    </row>
    <row r="469" spans="1:5" ht="18" x14ac:dyDescent="0.35">
      <c r="A469" s="5" t="s">
        <v>589</v>
      </c>
      <c r="B469" s="50" t="s">
        <v>715</v>
      </c>
      <c r="C469" s="7">
        <v>2</v>
      </c>
      <c r="D469" s="7">
        <v>2.2400000000000002</v>
      </c>
      <c r="E469" s="85">
        <f t="shared" si="47"/>
        <v>4.4800000000000004</v>
      </c>
    </row>
    <row r="470" spans="1:5" ht="18" x14ac:dyDescent="0.35">
      <c r="A470" s="5"/>
      <c r="B470" s="50" t="s">
        <v>715</v>
      </c>
      <c r="C470" s="88">
        <v>2</v>
      </c>
      <c r="D470" s="88">
        <v>2.2400000000000002</v>
      </c>
      <c r="E470" s="90">
        <f t="shared" si="47"/>
        <v>4.4800000000000004</v>
      </c>
    </row>
    <row r="471" spans="1:5" ht="18" x14ac:dyDescent="0.35">
      <c r="A471" s="5"/>
      <c r="B471" s="50" t="s">
        <v>34</v>
      </c>
      <c r="C471" s="7">
        <v>0.5</v>
      </c>
      <c r="D471" s="7">
        <v>13.67</v>
      </c>
      <c r="E471" s="85">
        <f t="shared" si="47"/>
        <v>6.835</v>
      </c>
    </row>
    <row r="472" spans="1:5" ht="18" x14ac:dyDescent="0.35">
      <c r="A472" s="5"/>
      <c r="B472" s="50" t="s">
        <v>35</v>
      </c>
      <c r="C472" s="7">
        <v>4</v>
      </c>
      <c r="D472" s="7">
        <v>2.89</v>
      </c>
      <c r="E472" s="85">
        <f t="shared" si="47"/>
        <v>11.56</v>
      </c>
    </row>
    <row r="473" spans="1:5" ht="18" x14ac:dyDescent="0.35">
      <c r="A473" s="5"/>
      <c r="B473" s="50" t="s">
        <v>36</v>
      </c>
      <c r="C473" s="7">
        <v>4</v>
      </c>
      <c r="D473" s="7">
        <v>0.6</v>
      </c>
      <c r="E473" s="85">
        <f t="shared" si="47"/>
        <v>2.4</v>
      </c>
    </row>
    <row r="474" spans="1:5" ht="18" x14ac:dyDescent="0.35">
      <c r="A474" s="5"/>
      <c r="B474" s="5"/>
      <c r="C474" s="54"/>
      <c r="D474" s="54"/>
      <c r="E474" s="89">
        <f>SUM(E466:E473)</f>
        <v>442.59663999999998</v>
      </c>
    </row>
    <row r="475" spans="1:5" ht="18" x14ac:dyDescent="0.35">
      <c r="A475" s="5"/>
      <c r="B475" s="50" t="s">
        <v>37</v>
      </c>
      <c r="C475" s="54">
        <v>1</v>
      </c>
      <c r="D475" s="54">
        <v>131</v>
      </c>
      <c r="E475" s="85">
        <f>C475*D475</f>
        <v>131</v>
      </c>
    </row>
    <row r="477" spans="1:5" ht="18" x14ac:dyDescent="0.35">
      <c r="E477" s="85">
        <v>573</v>
      </c>
    </row>
    <row r="479" spans="1:5" x14ac:dyDescent="0.3">
      <c r="E479">
        <v>745</v>
      </c>
    </row>
    <row r="480" spans="1:5" ht="21" x14ac:dyDescent="0.4">
      <c r="A480" s="40" t="s">
        <v>599</v>
      </c>
      <c r="B480" s="40"/>
      <c r="C480" s="84"/>
    </row>
    <row r="481" spans="1:5" ht="18" x14ac:dyDescent="0.35">
      <c r="A481" s="5"/>
      <c r="B481" s="5"/>
      <c r="C481" s="7" t="s">
        <v>28</v>
      </c>
      <c r="D481" s="7" t="s">
        <v>29</v>
      </c>
      <c r="E481" s="7" t="s">
        <v>30</v>
      </c>
    </row>
    <row r="482" spans="1:5" ht="18" x14ac:dyDescent="0.35">
      <c r="A482" s="5" t="s">
        <v>311</v>
      </c>
      <c r="B482" s="50" t="s">
        <v>32</v>
      </c>
      <c r="C482" s="7">
        <v>2.028</v>
      </c>
      <c r="D482" s="7">
        <v>30.29</v>
      </c>
      <c r="E482" s="85">
        <f t="shared" ref="E482:E487" si="48">C482*D482</f>
        <v>61.42812</v>
      </c>
    </row>
    <row r="483" spans="1:5" ht="18" x14ac:dyDescent="0.35">
      <c r="A483" s="5" t="s">
        <v>721</v>
      </c>
      <c r="B483" s="50" t="s">
        <v>33</v>
      </c>
      <c r="C483" s="7">
        <v>10.164</v>
      </c>
      <c r="D483" s="7">
        <v>16.09</v>
      </c>
      <c r="E483" s="85">
        <f t="shared" si="48"/>
        <v>163.53876</v>
      </c>
    </row>
    <row r="484" spans="1:5" ht="18" x14ac:dyDescent="0.35">
      <c r="A484" s="5" t="s">
        <v>589</v>
      </c>
      <c r="B484" s="50" t="s">
        <v>715</v>
      </c>
      <c r="C484" s="7">
        <v>2</v>
      </c>
      <c r="D484" s="7">
        <v>2.2400000000000002</v>
      </c>
      <c r="E484" s="85">
        <f t="shared" si="48"/>
        <v>4.4800000000000004</v>
      </c>
    </row>
    <row r="485" spans="1:5" ht="18" x14ac:dyDescent="0.35">
      <c r="A485" s="5"/>
      <c r="B485" s="50" t="s">
        <v>34</v>
      </c>
      <c r="C485" s="7">
        <v>0.5</v>
      </c>
      <c r="D485" s="7">
        <v>14.61</v>
      </c>
      <c r="E485" s="85">
        <f t="shared" si="48"/>
        <v>7.3049999999999997</v>
      </c>
    </row>
    <row r="486" spans="1:5" ht="18" x14ac:dyDescent="0.35">
      <c r="A486" s="5"/>
      <c r="B486" s="50" t="s">
        <v>35</v>
      </c>
      <c r="C486" s="7">
        <v>4</v>
      </c>
      <c r="D486" s="7">
        <v>2.89</v>
      </c>
      <c r="E486" s="85">
        <f t="shared" si="48"/>
        <v>11.56</v>
      </c>
    </row>
    <row r="487" spans="1:5" ht="18" x14ac:dyDescent="0.35">
      <c r="A487" s="5"/>
      <c r="B487" s="50" t="s">
        <v>36</v>
      </c>
      <c r="C487" s="7">
        <v>4</v>
      </c>
      <c r="D487" s="7">
        <v>0.6</v>
      </c>
      <c r="E487" s="85">
        <f t="shared" si="48"/>
        <v>2.4</v>
      </c>
    </row>
    <row r="488" spans="1:5" ht="18" x14ac:dyDescent="0.35">
      <c r="A488" s="5"/>
      <c r="B488" s="5"/>
      <c r="C488" s="54"/>
      <c r="D488" s="54"/>
      <c r="E488" s="89">
        <f>SUM(E482:E487)</f>
        <v>250.71188000000001</v>
      </c>
    </row>
    <row r="489" spans="1:5" ht="18" x14ac:dyDescent="0.35">
      <c r="A489" s="5"/>
      <c r="B489" s="50" t="s">
        <v>37</v>
      </c>
      <c r="C489" s="54">
        <v>1</v>
      </c>
      <c r="D489" s="54">
        <v>131</v>
      </c>
      <c r="E489" s="85">
        <f>C489*D489</f>
        <v>131</v>
      </c>
    </row>
    <row r="490" spans="1:5" ht="18" x14ac:dyDescent="0.35">
      <c r="A490" s="5"/>
      <c r="B490" s="5"/>
      <c r="C490" s="54"/>
      <c r="D490" s="54"/>
      <c r="E490" s="85">
        <f>SUM(E488:E489)</f>
        <v>381.71188000000001</v>
      </c>
    </row>
    <row r="493" spans="1:5" ht="21" x14ac:dyDescent="0.4">
      <c r="A493" s="40" t="s">
        <v>598</v>
      </c>
      <c r="B493" s="40"/>
      <c r="C493" s="84"/>
      <c r="D493" s="12"/>
      <c r="E493" s="83"/>
    </row>
    <row r="494" spans="1:5" x14ac:dyDescent="0.3">
      <c r="C494" s="12"/>
      <c r="D494" s="12"/>
      <c r="E494" s="12"/>
    </row>
    <row r="495" spans="1:5" ht="18" x14ac:dyDescent="0.35">
      <c r="A495" s="5"/>
      <c r="B495" s="5"/>
      <c r="C495" s="7" t="s">
        <v>28</v>
      </c>
      <c r="D495" s="7" t="s">
        <v>29</v>
      </c>
      <c r="E495" s="7" t="s">
        <v>30</v>
      </c>
    </row>
    <row r="496" spans="1:5" ht="18" x14ac:dyDescent="0.35">
      <c r="A496" s="5" t="s">
        <v>343</v>
      </c>
      <c r="B496" s="50" t="s">
        <v>32</v>
      </c>
      <c r="C496" s="7">
        <v>3.2879999999999998</v>
      </c>
      <c r="D496" s="7">
        <v>29.12</v>
      </c>
      <c r="E496" s="85">
        <f t="shared" ref="E496:E501" si="49">C496*D496</f>
        <v>95.746560000000002</v>
      </c>
    </row>
    <row r="497" spans="1:5" ht="18" x14ac:dyDescent="0.35">
      <c r="A497" s="5" t="s">
        <v>345</v>
      </c>
      <c r="B497" s="50" t="s">
        <v>33</v>
      </c>
      <c r="C497" s="7">
        <v>29.032</v>
      </c>
      <c r="D497" s="7">
        <v>14.94</v>
      </c>
      <c r="E497" s="85">
        <f t="shared" si="49"/>
        <v>433.73807999999997</v>
      </c>
    </row>
    <row r="498" spans="1:5" ht="18" x14ac:dyDescent="0.35">
      <c r="A498" s="5" t="s">
        <v>586</v>
      </c>
      <c r="B498" s="50" t="s">
        <v>91</v>
      </c>
      <c r="C498" s="7">
        <v>2</v>
      </c>
      <c r="D498" s="7">
        <v>3.97</v>
      </c>
      <c r="E498" s="85">
        <f t="shared" si="49"/>
        <v>7.94</v>
      </c>
    </row>
    <row r="499" spans="1:5" ht="18" x14ac:dyDescent="0.35">
      <c r="A499" s="5"/>
      <c r="B499" s="50" t="s">
        <v>34</v>
      </c>
      <c r="C499" s="7">
        <v>1.47</v>
      </c>
      <c r="D499" s="7">
        <v>14.61</v>
      </c>
      <c r="E499" s="85">
        <f t="shared" si="49"/>
        <v>21.476699999999997</v>
      </c>
    </row>
    <row r="500" spans="1:5" ht="18" x14ac:dyDescent="0.35">
      <c r="A500" s="5"/>
      <c r="B500" s="50" t="s">
        <v>35</v>
      </c>
      <c r="C500" s="7">
        <v>8</v>
      </c>
      <c r="D500" s="7">
        <v>2.89</v>
      </c>
      <c r="E500" s="85">
        <f t="shared" si="49"/>
        <v>23.12</v>
      </c>
    </row>
    <row r="501" spans="1:5" ht="18" x14ac:dyDescent="0.35">
      <c r="A501" s="5"/>
      <c r="B501" s="50" t="s">
        <v>36</v>
      </c>
      <c r="C501" s="7">
        <v>4</v>
      </c>
      <c r="D501" s="7">
        <v>0.6</v>
      </c>
      <c r="E501" s="85">
        <f t="shared" si="49"/>
        <v>2.4</v>
      </c>
    </row>
    <row r="502" spans="1:5" ht="18" x14ac:dyDescent="0.35">
      <c r="A502" s="5"/>
      <c r="B502" s="5"/>
      <c r="C502" s="54"/>
      <c r="D502" s="54"/>
      <c r="E502" s="89">
        <f>SUM(E496:E501)</f>
        <v>584.4213400000001</v>
      </c>
    </row>
    <row r="503" spans="1:5" ht="18" x14ac:dyDescent="0.35">
      <c r="A503" s="5"/>
      <c r="B503" s="50" t="s">
        <v>37</v>
      </c>
      <c r="C503" s="54">
        <v>1.5</v>
      </c>
      <c r="D503" s="54">
        <v>131</v>
      </c>
      <c r="E503" s="85">
        <f>C503*D503</f>
        <v>196.5</v>
      </c>
    </row>
    <row r="504" spans="1:5" ht="18" x14ac:dyDescent="0.35">
      <c r="A504" s="5"/>
      <c r="B504" s="5"/>
      <c r="C504" s="54"/>
      <c r="D504" s="54"/>
      <c r="E504" s="85">
        <f>SUM(E502:E503)</f>
        <v>780.9213400000001</v>
      </c>
    </row>
    <row r="506" spans="1:5" ht="21" x14ac:dyDescent="0.4">
      <c r="A506" s="40" t="s">
        <v>722</v>
      </c>
      <c r="B506" s="40"/>
      <c r="C506" s="40"/>
      <c r="D506" s="12"/>
      <c r="E506" s="12"/>
    </row>
    <row r="507" spans="1:5" ht="18" x14ac:dyDescent="0.35">
      <c r="A507" s="5"/>
      <c r="B507" s="5"/>
      <c r="C507" s="7" t="s">
        <v>28</v>
      </c>
      <c r="D507" s="7" t="s">
        <v>29</v>
      </c>
      <c r="E507" s="7" t="s">
        <v>30</v>
      </c>
    </row>
    <row r="508" spans="1:5" ht="18" x14ac:dyDescent="0.35">
      <c r="A508" s="5" t="s">
        <v>723</v>
      </c>
      <c r="B508" s="50" t="s">
        <v>32</v>
      </c>
      <c r="C508" s="7">
        <v>0.78900000000000003</v>
      </c>
      <c r="D508" s="7">
        <v>30.29</v>
      </c>
      <c r="E508" s="85">
        <f>C508*D508</f>
        <v>23.898810000000001</v>
      </c>
    </row>
    <row r="509" spans="1:5" ht="18" x14ac:dyDescent="0.35">
      <c r="A509" s="5" t="s">
        <v>724</v>
      </c>
      <c r="B509" s="50" t="s">
        <v>33</v>
      </c>
      <c r="C509" s="7">
        <v>0.75600000000000001</v>
      </c>
      <c r="D509" s="7">
        <v>16</v>
      </c>
      <c r="E509" s="85">
        <f>C509*D509</f>
        <v>12.096</v>
      </c>
    </row>
    <row r="510" spans="1:5" ht="18" x14ac:dyDescent="0.35">
      <c r="A510" s="5" t="s">
        <v>703</v>
      </c>
      <c r="B510" s="50" t="s">
        <v>137</v>
      </c>
      <c r="C510" s="7">
        <v>0.15</v>
      </c>
      <c r="D510" s="7">
        <v>17.190000000000001</v>
      </c>
      <c r="E510" s="85">
        <f>C510*D510</f>
        <v>2.5785</v>
      </c>
    </row>
    <row r="511" spans="1:5" ht="18" x14ac:dyDescent="0.35">
      <c r="A511" s="5"/>
      <c r="B511" s="50" t="s">
        <v>35</v>
      </c>
      <c r="C511" s="7">
        <v>4</v>
      </c>
      <c r="D511" s="7">
        <v>2.89</v>
      </c>
      <c r="E511" s="85">
        <f>C511*D511</f>
        <v>11.56</v>
      </c>
    </row>
    <row r="512" spans="1:5" ht="18" x14ac:dyDescent="0.35">
      <c r="A512" s="5"/>
      <c r="B512" s="50" t="s">
        <v>36</v>
      </c>
      <c r="C512" s="7">
        <v>4</v>
      </c>
      <c r="D512" s="7">
        <v>0.6</v>
      </c>
      <c r="E512" s="85">
        <f>C512*D512</f>
        <v>2.4</v>
      </c>
    </row>
    <row r="513" spans="1:5" ht="18" x14ac:dyDescent="0.35">
      <c r="A513" s="5"/>
      <c r="B513" s="50" t="s">
        <v>37</v>
      </c>
      <c r="C513" s="54">
        <v>0.5</v>
      </c>
      <c r="D513" s="86">
        <v>131</v>
      </c>
      <c r="E513" s="85">
        <v>25</v>
      </c>
    </row>
    <row r="514" spans="1:5" ht="18" x14ac:dyDescent="0.35">
      <c r="A514" s="5"/>
      <c r="B514" s="5"/>
      <c r="C514" s="54"/>
      <c r="D514" s="54"/>
      <c r="E514" s="85">
        <f>SUM(E508:E513)</f>
        <v>77.53331</v>
      </c>
    </row>
    <row r="517" spans="1:5" ht="21" x14ac:dyDescent="0.4">
      <c r="A517" s="40" t="s">
        <v>713</v>
      </c>
      <c r="B517" s="40"/>
      <c r="C517" s="84"/>
      <c r="D517" s="12"/>
      <c r="E517" s="12"/>
    </row>
    <row r="518" spans="1:5" ht="21" x14ac:dyDescent="0.4">
      <c r="A518" s="40"/>
      <c r="B518" s="40"/>
      <c r="C518" s="84"/>
      <c r="D518" s="12"/>
      <c r="E518" s="12"/>
    </row>
    <row r="519" spans="1:5" ht="18" x14ac:dyDescent="0.35">
      <c r="A519" s="5"/>
      <c r="B519" s="5"/>
      <c r="C519" s="7" t="s">
        <v>28</v>
      </c>
      <c r="D519" s="7" t="s">
        <v>29</v>
      </c>
      <c r="E519" s="7" t="s">
        <v>30</v>
      </c>
    </row>
    <row r="520" spans="1:5" ht="18" x14ac:dyDescent="0.35">
      <c r="A520" s="5" t="s">
        <v>49</v>
      </c>
      <c r="B520" s="50" t="s">
        <v>32</v>
      </c>
      <c r="C520" s="7">
        <v>2.8679999999999999</v>
      </c>
      <c r="D520" s="7">
        <v>42.29</v>
      </c>
      <c r="E520" s="85">
        <f t="shared" ref="E520:E527" si="50">C520*D520</f>
        <v>121.28771999999999</v>
      </c>
    </row>
    <row r="521" spans="1:5" ht="18" x14ac:dyDescent="0.35">
      <c r="A521" s="5" t="s">
        <v>725</v>
      </c>
      <c r="B521" s="50" t="s">
        <v>33</v>
      </c>
      <c r="C521" s="7">
        <v>4.9980000000000002</v>
      </c>
      <c r="D521" s="7">
        <v>16.09</v>
      </c>
      <c r="E521" s="85">
        <f t="shared" si="50"/>
        <v>80.417820000000006</v>
      </c>
    </row>
    <row r="522" spans="1:5" ht="18" x14ac:dyDescent="0.35">
      <c r="A522" s="5" t="s">
        <v>519</v>
      </c>
      <c r="B522" s="50" t="s">
        <v>33</v>
      </c>
      <c r="C522" s="7">
        <v>5.67</v>
      </c>
      <c r="D522" s="7">
        <v>16.09</v>
      </c>
      <c r="E522" s="85">
        <f t="shared" si="50"/>
        <v>91.2303</v>
      </c>
    </row>
    <row r="523" spans="1:5" ht="18" x14ac:dyDescent="0.35">
      <c r="A523" s="5" t="s">
        <v>616</v>
      </c>
      <c r="B523" s="50" t="s">
        <v>43</v>
      </c>
      <c r="C523" s="7">
        <v>2</v>
      </c>
      <c r="D523" s="7">
        <v>1.24</v>
      </c>
      <c r="E523" s="85">
        <f t="shared" si="50"/>
        <v>2.48</v>
      </c>
    </row>
    <row r="524" spans="1:5" ht="18" x14ac:dyDescent="0.35">
      <c r="A524" s="5"/>
      <c r="B524" s="50" t="s">
        <v>89</v>
      </c>
      <c r="C524" s="88">
        <v>4</v>
      </c>
      <c r="D524" s="88">
        <v>3.48</v>
      </c>
      <c r="E524" s="90">
        <f t="shared" si="50"/>
        <v>13.92</v>
      </c>
    </row>
    <row r="525" spans="1:5" ht="18" x14ac:dyDescent="0.35">
      <c r="A525" s="5"/>
      <c r="B525" s="50" t="s">
        <v>34</v>
      </c>
      <c r="C525" s="7">
        <v>0.5</v>
      </c>
      <c r="D525" s="7">
        <v>13.67</v>
      </c>
      <c r="E525" s="85">
        <f t="shared" si="50"/>
        <v>6.835</v>
      </c>
    </row>
    <row r="526" spans="1:5" ht="18" x14ac:dyDescent="0.35">
      <c r="A526" s="5"/>
      <c r="B526" s="50" t="s">
        <v>35</v>
      </c>
      <c r="C526" s="7">
        <v>4</v>
      </c>
      <c r="D526" s="7">
        <v>2.89</v>
      </c>
      <c r="E526" s="85">
        <f t="shared" si="50"/>
        <v>11.56</v>
      </c>
    </row>
    <row r="527" spans="1:5" ht="18" x14ac:dyDescent="0.35">
      <c r="A527" s="5"/>
      <c r="B527" s="50" t="s">
        <v>36</v>
      </c>
      <c r="C527" s="7">
        <v>4</v>
      </c>
      <c r="D527" s="7">
        <v>0.6</v>
      </c>
      <c r="E527" s="85">
        <f t="shared" si="50"/>
        <v>2.4</v>
      </c>
    </row>
    <row r="528" spans="1:5" ht="18" x14ac:dyDescent="0.35">
      <c r="A528" s="5"/>
      <c r="B528" s="5"/>
      <c r="C528" s="54"/>
      <c r="D528" s="54"/>
      <c r="E528" s="89">
        <f>SUM(E520:E527)</f>
        <v>330.13083999999998</v>
      </c>
    </row>
    <row r="529" spans="1:5" ht="18" x14ac:dyDescent="0.35">
      <c r="A529" s="5"/>
      <c r="B529" s="50" t="s">
        <v>37</v>
      </c>
      <c r="C529" s="54">
        <v>1</v>
      </c>
      <c r="D529" s="54">
        <v>131</v>
      </c>
      <c r="E529" s="85">
        <f>C529*D529</f>
        <v>131</v>
      </c>
    </row>
    <row r="531" spans="1:5" ht="18" x14ac:dyDescent="0.35">
      <c r="E531" s="85">
        <f>SUM(E528:E529)</f>
        <v>461.13083999999998</v>
      </c>
    </row>
    <row r="534" spans="1:5" ht="21" x14ac:dyDescent="0.4">
      <c r="A534" s="40" t="s">
        <v>599</v>
      </c>
      <c r="B534" s="40"/>
      <c r="C534" s="84"/>
    </row>
    <row r="535" spans="1:5" ht="18" x14ac:dyDescent="0.35">
      <c r="A535" s="5" t="s">
        <v>727</v>
      </c>
      <c r="B535" s="5"/>
      <c r="C535" s="7" t="s">
        <v>28</v>
      </c>
      <c r="D535" s="7" t="s">
        <v>29</v>
      </c>
      <c r="E535" s="7" t="s">
        <v>30</v>
      </c>
    </row>
    <row r="536" spans="1:5" ht="18" x14ac:dyDescent="0.35">
      <c r="A536" s="5" t="s">
        <v>726</v>
      </c>
      <c r="B536" s="50" t="s">
        <v>32</v>
      </c>
      <c r="C536" s="7">
        <v>3.8879999999999999</v>
      </c>
      <c r="D536" s="7">
        <v>30.29</v>
      </c>
      <c r="E536" s="85">
        <f t="shared" ref="E536:E541" si="51">C536*D536</f>
        <v>117.76751999999999</v>
      </c>
    </row>
    <row r="537" spans="1:5" ht="18" x14ac:dyDescent="0.35">
      <c r="A537" s="5" t="s">
        <v>706</v>
      </c>
      <c r="B537" s="50" t="s">
        <v>33</v>
      </c>
      <c r="C537" s="7">
        <v>3.5489999999999999</v>
      </c>
      <c r="D537" s="7">
        <v>16.09</v>
      </c>
      <c r="E537" s="85">
        <f t="shared" si="51"/>
        <v>57.103409999999997</v>
      </c>
    </row>
    <row r="538" spans="1:5" ht="18" x14ac:dyDescent="0.35">
      <c r="A538" s="5" t="s">
        <v>728</v>
      </c>
      <c r="B538" s="50" t="s">
        <v>43</v>
      </c>
      <c r="C538" s="7">
        <v>2</v>
      </c>
      <c r="D538" s="7">
        <v>1.1499999999999999</v>
      </c>
      <c r="E538" s="85">
        <f t="shared" si="51"/>
        <v>2.2999999999999998</v>
      </c>
    </row>
    <row r="539" spans="1:5" ht="18" x14ac:dyDescent="0.35">
      <c r="A539" s="5"/>
      <c r="B539" s="50" t="s">
        <v>34</v>
      </c>
      <c r="C539" s="7">
        <v>0.35</v>
      </c>
      <c r="D539" s="7">
        <v>14.61</v>
      </c>
      <c r="E539" s="85">
        <f t="shared" si="51"/>
        <v>5.1134999999999993</v>
      </c>
    </row>
    <row r="540" spans="1:5" ht="18" x14ac:dyDescent="0.35">
      <c r="A540" s="5"/>
      <c r="B540" s="50" t="s">
        <v>35</v>
      </c>
      <c r="C540" s="7">
        <v>4</v>
      </c>
      <c r="D540" s="7">
        <v>2.89</v>
      </c>
      <c r="E540" s="85">
        <f t="shared" si="51"/>
        <v>11.56</v>
      </c>
    </row>
    <row r="541" spans="1:5" ht="18" x14ac:dyDescent="0.35">
      <c r="A541" s="5"/>
      <c r="B541" s="50" t="s">
        <v>36</v>
      </c>
      <c r="C541" s="7">
        <v>4</v>
      </c>
      <c r="D541" s="7">
        <v>0.6</v>
      </c>
      <c r="E541" s="85">
        <f t="shared" si="51"/>
        <v>2.4</v>
      </c>
    </row>
    <row r="542" spans="1:5" ht="18" x14ac:dyDescent="0.35">
      <c r="A542" s="5"/>
      <c r="B542" s="5"/>
      <c r="C542" s="54"/>
      <c r="D542" s="54"/>
      <c r="E542" s="89">
        <f>SUM(E536:E541)</f>
        <v>196.24442999999999</v>
      </c>
    </row>
    <row r="543" spans="1:5" ht="18" x14ac:dyDescent="0.35">
      <c r="A543" s="5"/>
      <c r="B543" s="50" t="s">
        <v>37</v>
      </c>
      <c r="C543" s="54">
        <v>0.5</v>
      </c>
      <c r="D543" s="54">
        <v>131</v>
      </c>
      <c r="E543" s="85">
        <v>60</v>
      </c>
    </row>
    <row r="544" spans="1:5" ht="18" x14ac:dyDescent="0.35">
      <c r="A544" s="5"/>
      <c r="B544" s="5"/>
      <c r="C544" s="54"/>
      <c r="D544" s="54"/>
      <c r="E544" s="85">
        <f>SUM(E542:E543)</f>
        <v>256.24442999999997</v>
      </c>
    </row>
    <row r="547" spans="1:5" ht="21" x14ac:dyDescent="0.4">
      <c r="A547" s="40" t="s">
        <v>599</v>
      </c>
      <c r="B547" s="40"/>
      <c r="C547" s="84"/>
    </row>
    <row r="548" spans="1:5" ht="18" x14ac:dyDescent="0.35">
      <c r="A548" s="5" t="s">
        <v>49</v>
      </c>
      <c r="B548" s="5"/>
      <c r="C548" s="7" t="s">
        <v>28</v>
      </c>
      <c r="D548" s="7" t="s">
        <v>29</v>
      </c>
      <c r="E548" s="7" t="s">
        <v>30</v>
      </c>
    </row>
    <row r="549" spans="1:5" ht="18" x14ac:dyDescent="0.35">
      <c r="A549" s="5" t="s">
        <v>49</v>
      </c>
      <c r="B549" s="50" t="s">
        <v>32</v>
      </c>
      <c r="C549" s="7">
        <v>2.8679999999999999</v>
      </c>
      <c r="D549" s="7">
        <v>30.29</v>
      </c>
      <c r="E549" s="85">
        <f t="shared" ref="E549:E554" si="52">C549*D549</f>
        <v>86.871719999999996</v>
      </c>
    </row>
    <row r="550" spans="1:5" ht="18" x14ac:dyDescent="0.35">
      <c r="A550" s="5" t="s">
        <v>356</v>
      </c>
      <c r="B550" s="50" t="s">
        <v>33</v>
      </c>
      <c r="C550" s="7">
        <v>4.9980000000000002</v>
      </c>
      <c r="D550" s="7">
        <v>16.09</v>
      </c>
      <c r="E550" s="85">
        <f t="shared" si="52"/>
        <v>80.417820000000006</v>
      </c>
    </row>
    <row r="551" spans="1:5" ht="18" x14ac:dyDescent="0.35">
      <c r="A551" s="5" t="s">
        <v>729</v>
      </c>
      <c r="B551" s="50" t="s">
        <v>43</v>
      </c>
      <c r="C551" s="7">
        <v>2</v>
      </c>
      <c r="D551" s="7">
        <v>1.1499999999999999</v>
      </c>
      <c r="E551" s="85">
        <f t="shared" si="52"/>
        <v>2.2999999999999998</v>
      </c>
    </row>
    <row r="552" spans="1:5" ht="18" x14ac:dyDescent="0.35">
      <c r="A552" s="5"/>
      <c r="B552" s="50" t="s">
        <v>34</v>
      </c>
      <c r="C552" s="7">
        <v>0.5</v>
      </c>
      <c r="D552" s="7">
        <v>14.61</v>
      </c>
      <c r="E552" s="85">
        <f t="shared" si="52"/>
        <v>7.3049999999999997</v>
      </c>
    </row>
    <row r="553" spans="1:5" ht="18" x14ac:dyDescent="0.35">
      <c r="A553" s="5"/>
      <c r="B553" s="50" t="s">
        <v>35</v>
      </c>
      <c r="C553" s="7">
        <v>4</v>
      </c>
      <c r="D553" s="7">
        <v>2.89</v>
      </c>
      <c r="E553" s="85">
        <f t="shared" si="52"/>
        <v>11.56</v>
      </c>
    </row>
    <row r="554" spans="1:5" ht="18" x14ac:dyDescent="0.35">
      <c r="A554" s="5"/>
      <c r="B554" s="50" t="s">
        <v>36</v>
      </c>
      <c r="C554" s="7">
        <v>4</v>
      </c>
      <c r="D554" s="7">
        <v>0.6</v>
      </c>
      <c r="E554" s="85">
        <f t="shared" si="52"/>
        <v>2.4</v>
      </c>
    </row>
    <row r="555" spans="1:5" ht="18" x14ac:dyDescent="0.35">
      <c r="A555" s="5"/>
      <c r="B555" s="5"/>
      <c r="C555" s="54"/>
      <c r="D555" s="54"/>
      <c r="E555" s="89">
        <f>SUM(E549:E554)</f>
        <v>190.85454000000001</v>
      </c>
    </row>
    <row r="556" spans="1:5" ht="18" x14ac:dyDescent="0.35">
      <c r="A556" s="5"/>
      <c r="B556" s="50" t="s">
        <v>37</v>
      </c>
      <c r="C556" s="54">
        <v>1</v>
      </c>
      <c r="D556" s="54">
        <v>131</v>
      </c>
      <c r="E556" s="85">
        <f>C556*D556</f>
        <v>131</v>
      </c>
    </row>
    <row r="557" spans="1:5" ht="18" x14ac:dyDescent="0.35">
      <c r="A557" s="5"/>
      <c r="B557" s="5"/>
      <c r="C557" s="54"/>
      <c r="D557" s="54"/>
      <c r="E557" s="85">
        <f>SUM(E555:E556)</f>
        <v>321.85454000000004</v>
      </c>
    </row>
    <row r="560" spans="1:5" ht="21" x14ac:dyDescent="0.4">
      <c r="A560" s="40" t="s">
        <v>731</v>
      </c>
      <c r="B560" s="40"/>
      <c r="C560" s="40"/>
      <c r="D560" s="12"/>
      <c r="E560" s="12"/>
    </row>
    <row r="561" spans="1:5" ht="18" x14ac:dyDescent="0.35">
      <c r="A561" s="5"/>
      <c r="B561" s="5"/>
      <c r="C561" s="7" t="s">
        <v>28</v>
      </c>
      <c r="D561" s="7" t="s">
        <v>29</v>
      </c>
      <c r="E561" s="7" t="s">
        <v>30</v>
      </c>
    </row>
    <row r="562" spans="1:5" ht="18" x14ac:dyDescent="0.35">
      <c r="A562" s="5" t="s">
        <v>730</v>
      </c>
      <c r="B562" s="50" t="s">
        <v>32</v>
      </c>
      <c r="C562" s="7">
        <v>3.919</v>
      </c>
      <c r="D562" s="7">
        <v>30.29</v>
      </c>
      <c r="E562" s="85">
        <f t="shared" ref="E562:E567" si="53">C562*D562</f>
        <v>118.70650999999999</v>
      </c>
    </row>
    <row r="563" spans="1:5" ht="18" x14ac:dyDescent="0.35">
      <c r="A563" s="5" t="s">
        <v>63</v>
      </c>
      <c r="B563" s="50" t="s">
        <v>33</v>
      </c>
      <c r="C563" s="7">
        <v>10.647</v>
      </c>
      <c r="D563" s="7">
        <v>16</v>
      </c>
      <c r="E563" s="85">
        <f t="shared" si="53"/>
        <v>170.352</v>
      </c>
    </row>
    <row r="564" spans="1:5" ht="18" x14ac:dyDescent="0.35">
      <c r="A564" s="5" t="s">
        <v>733</v>
      </c>
      <c r="B564" s="50" t="s">
        <v>137</v>
      </c>
      <c r="C564" s="7">
        <v>0.55000000000000004</v>
      </c>
      <c r="D564" s="7">
        <v>17.190000000000001</v>
      </c>
      <c r="E564" s="85">
        <f t="shared" si="53"/>
        <v>9.4545000000000012</v>
      </c>
    </row>
    <row r="565" spans="1:5" ht="18" x14ac:dyDescent="0.35">
      <c r="A565" s="5"/>
      <c r="B565" s="50" t="s">
        <v>35</v>
      </c>
      <c r="C565" s="7">
        <v>4</v>
      </c>
      <c r="D565" s="7">
        <v>2.89</v>
      </c>
      <c r="E565" s="85">
        <f t="shared" si="53"/>
        <v>11.56</v>
      </c>
    </row>
    <row r="566" spans="1:5" ht="18" x14ac:dyDescent="0.35">
      <c r="A566" s="5"/>
      <c r="B566" s="50" t="s">
        <v>36</v>
      </c>
      <c r="C566" s="7">
        <v>4</v>
      </c>
      <c r="D566" s="7">
        <v>0.6</v>
      </c>
      <c r="E566" s="85">
        <f t="shared" si="53"/>
        <v>2.4</v>
      </c>
    </row>
    <row r="567" spans="1:5" ht="18" x14ac:dyDescent="0.35">
      <c r="A567" s="5"/>
      <c r="B567" s="50" t="s">
        <v>37</v>
      </c>
      <c r="C567" s="54">
        <v>1</v>
      </c>
      <c r="D567" s="86">
        <v>131</v>
      </c>
      <c r="E567" s="85">
        <f t="shared" si="53"/>
        <v>131</v>
      </c>
    </row>
    <row r="568" spans="1:5" ht="18" x14ac:dyDescent="0.35">
      <c r="A568" s="5"/>
      <c r="B568" s="5"/>
      <c r="C568" s="54"/>
      <c r="D568" s="54"/>
      <c r="E568" s="85">
        <f>SUM(E562:E567)</f>
        <v>443.47300999999999</v>
      </c>
    </row>
    <row r="571" spans="1:5" ht="21" x14ac:dyDescent="0.4">
      <c r="A571" s="40" t="s">
        <v>732</v>
      </c>
      <c r="B571" s="40"/>
      <c r="C571" s="40"/>
      <c r="D571" s="12"/>
      <c r="E571" s="12"/>
    </row>
    <row r="572" spans="1:5" ht="18" x14ac:dyDescent="0.35">
      <c r="A572" s="5"/>
      <c r="B572" s="5"/>
      <c r="C572" s="7" t="s">
        <v>28</v>
      </c>
      <c r="D572" s="7" t="s">
        <v>29</v>
      </c>
      <c r="E572" s="7" t="s">
        <v>30</v>
      </c>
    </row>
    <row r="573" spans="1:5" ht="18" x14ac:dyDescent="0.35">
      <c r="A573" s="5" t="s">
        <v>352</v>
      </c>
      <c r="B573" s="50" t="s">
        <v>32</v>
      </c>
      <c r="C573" s="7">
        <v>3.4990000000000001</v>
      </c>
      <c r="D573" s="7">
        <v>30.29</v>
      </c>
      <c r="E573" s="85">
        <f t="shared" ref="E573:E578" si="54">C573*D573</f>
        <v>105.98471000000001</v>
      </c>
    </row>
    <row r="574" spans="1:5" ht="18" x14ac:dyDescent="0.35">
      <c r="A574" s="5" t="s">
        <v>63</v>
      </c>
      <c r="B574" s="50" t="s">
        <v>33</v>
      </c>
      <c r="C574" s="7">
        <v>9.3870000000000005</v>
      </c>
      <c r="D574" s="7">
        <v>16</v>
      </c>
      <c r="E574" s="85">
        <f t="shared" si="54"/>
        <v>150.19200000000001</v>
      </c>
    </row>
    <row r="575" spans="1:5" ht="18" x14ac:dyDescent="0.35">
      <c r="A575" s="5" t="s">
        <v>734</v>
      </c>
      <c r="B575" s="50" t="s">
        <v>137</v>
      </c>
      <c r="C575" s="7">
        <v>0.55000000000000004</v>
      </c>
      <c r="D575" s="7">
        <v>17.190000000000001</v>
      </c>
      <c r="E575" s="85">
        <f t="shared" si="54"/>
        <v>9.4545000000000012</v>
      </c>
    </row>
    <row r="576" spans="1:5" ht="18" x14ac:dyDescent="0.35">
      <c r="A576" s="5"/>
      <c r="B576" s="50" t="s">
        <v>35</v>
      </c>
      <c r="C576" s="7">
        <v>4</v>
      </c>
      <c r="D576" s="7">
        <v>2.89</v>
      </c>
      <c r="E576" s="85">
        <f t="shared" si="54"/>
        <v>11.56</v>
      </c>
    </row>
    <row r="577" spans="1:5" ht="18" x14ac:dyDescent="0.35">
      <c r="A577" s="5"/>
      <c r="B577" s="50" t="s">
        <v>36</v>
      </c>
      <c r="C577" s="7">
        <v>4</v>
      </c>
      <c r="D577" s="7">
        <v>0.6</v>
      </c>
      <c r="E577" s="85">
        <f t="shared" si="54"/>
        <v>2.4</v>
      </c>
    </row>
    <row r="578" spans="1:5" ht="18" x14ac:dyDescent="0.35">
      <c r="A578" s="5"/>
      <c r="B578" s="50" t="s">
        <v>37</v>
      </c>
      <c r="C578" s="54">
        <v>1</v>
      </c>
      <c r="D578" s="86">
        <v>131</v>
      </c>
      <c r="E578" s="85">
        <f t="shared" si="54"/>
        <v>131</v>
      </c>
    </row>
    <row r="579" spans="1:5" ht="18" x14ac:dyDescent="0.35">
      <c r="A579" s="5"/>
      <c r="B579" s="5"/>
      <c r="C579" s="54"/>
      <c r="D579" s="54"/>
      <c r="E579" s="85">
        <f>SUM(E573:E578)</f>
        <v>410.59120999999999</v>
      </c>
    </row>
    <row r="582" spans="1:5" ht="21" x14ac:dyDescent="0.4">
      <c r="A582" s="40" t="s">
        <v>598</v>
      </c>
      <c r="B582" s="40"/>
      <c r="C582" s="84"/>
      <c r="D582" s="12"/>
      <c r="E582" s="83"/>
    </row>
    <row r="583" spans="1:5" x14ac:dyDescent="0.3">
      <c r="C583" s="12"/>
      <c r="D583" s="12"/>
      <c r="E583" s="12"/>
    </row>
    <row r="584" spans="1:5" ht="18" x14ac:dyDescent="0.35">
      <c r="A584" s="5"/>
      <c r="B584" s="5"/>
      <c r="C584" s="7" t="s">
        <v>28</v>
      </c>
      <c r="D584" s="7" t="s">
        <v>29</v>
      </c>
      <c r="E584" s="7" t="s">
        <v>30</v>
      </c>
    </row>
    <row r="585" spans="1:5" ht="18" x14ac:dyDescent="0.35">
      <c r="A585" s="5" t="s">
        <v>172</v>
      </c>
      <c r="B585" s="50" t="s">
        <v>32</v>
      </c>
      <c r="C585" s="7">
        <v>1.3460000000000001</v>
      </c>
      <c r="D585" s="7">
        <v>29.12</v>
      </c>
      <c r="E585" s="85">
        <f t="shared" ref="E585:E590" si="55">C585*D585</f>
        <v>39.195520000000002</v>
      </c>
    </row>
    <row r="586" spans="1:5" ht="18" x14ac:dyDescent="0.35">
      <c r="A586" s="5" t="s">
        <v>261</v>
      </c>
      <c r="B586" s="50" t="s">
        <v>33</v>
      </c>
      <c r="C586" s="7">
        <v>1.5429999999999999</v>
      </c>
      <c r="D586" s="7">
        <v>14.94</v>
      </c>
      <c r="E586" s="85">
        <f t="shared" si="55"/>
        <v>23.052419999999998</v>
      </c>
    </row>
    <row r="587" spans="1:5" ht="18" x14ac:dyDescent="0.35">
      <c r="A587" s="5" t="s">
        <v>677</v>
      </c>
      <c r="B587" s="50" t="s">
        <v>43</v>
      </c>
      <c r="C587" s="7">
        <v>2</v>
      </c>
      <c r="D587" s="7">
        <v>1.1499999999999999</v>
      </c>
      <c r="E587" s="85">
        <f t="shared" si="55"/>
        <v>2.2999999999999998</v>
      </c>
    </row>
    <row r="588" spans="1:5" ht="18" x14ac:dyDescent="0.35">
      <c r="A588" s="5"/>
      <c r="B588" s="50" t="s">
        <v>34</v>
      </c>
      <c r="C588" s="7"/>
      <c r="D588" s="7">
        <v>14.61</v>
      </c>
      <c r="E588" s="85">
        <f t="shared" si="55"/>
        <v>0</v>
      </c>
    </row>
    <row r="589" spans="1:5" ht="18" x14ac:dyDescent="0.35">
      <c r="A589" s="5"/>
      <c r="B589" s="50" t="s">
        <v>35</v>
      </c>
      <c r="C589" s="7">
        <v>4</v>
      </c>
      <c r="D589" s="7">
        <v>2.89</v>
      </c>
      <c r="E589" s="85">
        <f t="shared" si="55"/>
        <v>11.56</v>
      </c>
    </row>
    <row r="590" spans="1:5" ht="18" x14ac:dyDescent="0.35">
      <c r="A590" s="5"/>
      <c r="B590" s="50" t="s">
        <v>36</v>
      </c>
      <c r="C590" s="7">
        <v>4</v>
      </c>
      <c r="D590" s="7">
        <v>0.6</v>
      </c>
      <c r="E590" s="85">
        <f t="shared" si="55"/>
        <v>2.4</v>
      </c>
    </row>
    <row r="591" spans="1:5" ht="18" x14ac:dyDescent="0.35">
      <c r="A591" s="5"/>
      <c r="B591" s="5"/>
      <c r="C591" s="54"/>
      <c r="D591" s="54"/>
      <c r="E591" s="89">
        <f>SUM(E585:E590)</f>
        <v>78.507940000000005</v>
      </c>
    </row>
    <row r="592" spans="1:5" ht="18" x14ac:dyDescent="0.35">
      <c r="A592" s="5"/>
      <c r="B592" s="50" t="s">
        <v>37</v>
      </c>
      <c r="C592" s="54">
        <v>0.2</v>
      </c>
      <c r="D592" s="54">
        <v>100</v>
      </c>
      <c r="E592" s="85">
        <f>C592*D592</f>
        <v>20</v>
      </c>
    </row>
    <row r="593" spans="1:5" ht="18" x14ac:dyDescent="0.35">
      <c r="A593" s="5"/>
      <c r="B593" s="5"/>
      <c r="C593" s="54"/>
      <c r="D593" s="54"/>
      <c r="E593" s="85">
        <f>SUM(E591:E592)</f>
        <v>98.507940000000005</v>
      </c>
    </row>
    <row r="596" spans="1:5" ht="21" x14ac:dyDescent="0.4">
      <c r="A596" s="40" t="s">
        <v>735</v>
      </c>
      <c r="B596" s="40"/>
      <c r="C596" s="40"/>
      <c r="D596" s="12"/>
      <c r="E596" s="12"/>
    </row>
    <row r="597" spans="1:5" ht="18" x14ac:dyDescent="0.35">
      <c r="A597" s="5"/>
      <c r="B597" s="5"/>
      <c r="C597" s="7" t="s">
        <v>28</v>
      </c>
      <c r="D597" s="7" t="s">
        <v>29</v>
      </c>
      <c r="E597" s="7" t="s">
        <v>30</v>
      </c>
    </row>
    <row r="598" spans="1:5" ht="18" x14ac:dyDescent="0.35">
      <c r="A598" s="5" t="s">
        <v>736</v>
      </c>
      <c r="B598" s="50" t="s">
        <v>32</v>
      </c>
      <c r="C598" s="7">
        <v>1.714</v>
      </c>
      <c r="D598" s="7">
        <v>30.44</v>
      </c>
      <c r="E598" s="85">
        <f t="shared" ref="E598:E603" si="56">C598*D598</f>
        <v>52.174160000000001</v>
      </c>
    </row>
    <row r="599" spans="1:5" ht="18" x14ac:dyDescent="0.35">
      <c r="A599" s="5" t="s">
        <v>229</v>
      </c>
      <c r="B599" s="50" t="s">
        <v>33</v>
      </c>
      <c r="C599" s="7">
        <v>5.1239999999999997</v>
      </c>
      <c r="D599" s="7">
        <v>17.059999999999999</v>
      </c>
      <c r="E599" s="85">
        <f t="shared" si="56"/>
        <v>87.41543999999999</v>
      </c>
    </row>
    <row r="600" spans="1:5" ht="18" x14ac:dyDescent="0.35">
      <c r="A600" s="5" t="s">
        <v>674</v>
      </c>
      <c r="B600" s="50" t="s">
        <v>137</v>
      </c>
      <c r="C600" s="7">
        <v>0.28000000000000003</v>
      </c>
      <c r="D600" s="7">
        <v>17.190000000000001</v>
      </c>
      <c r="E600" s="85">
        <f t="shared" si="56"/>
        <v>4.813200000000001</v>
      </c>
    </row>
    <row r="601" spans="1:5" ht="18" x14ac:dyDescent="0.35">
      <c r="A601" s="5"/>
      <c r="B601" s="50" t="s">
        <v>35</v>
      </c>
      <c r="C601" s="7">
        <v>4</v>
      </c>
      <c r="D601" s="7">
        <v>2.91</v>
      </c>
      <c r="E601" s="85">
        <f t="shared" si="56"/>
        <v>11.64</v>
      </c>
    </row>
    <row r="602" spans="1:5" ht="18" x14ac:dyDescent="0.35">
      <c r="A602" s="5"/>
      <c r="B602" s="50" t="s">
        <v>36</v>
      </c>
      <c r="C602" s="7">
        <v>4</v>
      </c>
      <c r="D602" s="7">
        <v>0.61</v>
      </c>
      <c r="E602" s="85">
        <f t="shared" si="56"/>
        <v>2.44</v>
      </c>
    </row>
    <row r="603" spans="1:5" ht="18" x14ac:dyDescent="0.35">
      <c r="A603" s="5"/>
      <c r="B603" s="50" t="s">
        <v>37</v>
      </c>
      <c r="C603" s="54">
        <v>0.5</v>
      </c>
      <c r="D603" s="86">
        <v>85</v>
      </c>
      <c r="E603" s="85">
        <f t="shared" si="56"/>
        <v>42.5</v>
      </c>
    </row>
    <row r="604" spans="1:5" ht="18" x14ac:dyDescent="0.35">
      <c r="A604" s="5"/>
      <c r="B604" s="5"/>
      <c r="C604" s="54"/>
      <c r="D604" s="54"/>
      <c r="E604" s="85">
        <f>SUM(E598:E603)</f>
        <v>200.9828</v>
      </c>
    </row>
    <row r="607" spans="1:5" ht="21" x14ac:dyDescent="0.4">
      <c r="A607" s="40" t="s">
        <v>602</v>
      </c>
      <c r="B607" s="40"/>
      <c r="C607" s="84"/>
      <c r="D607" s="12"/>
      <c r="E607" s="12"/>
    </row>
    <row r="608" spans="1:5" ht="21" x14ac:dyDescent="0.4">
      <c r="A608" s="40"/>
      <c r="B608" s="40"/>
      <c r="C608" s="84"/>
      <c r="D608" s="12"/>
      <c r="E608" s="12"/>
    </row>
    <row r="609" spans="1:5" ht="18" x14ac:dyDescent="0.35">
      <c r="A609" s="5"/>
      <c r="B609" s="5"/>
      <c r="C609" s="7" t="s">
        <v>28</v>
      </c>
      <c r="D609" s="7" t="s">
        <v>29</v>
      </c>
      <c r="E609" s="7" t="s">
        <v>30</v>
      </c>
    </row>
    <row r="610" spans="1:5" ht="18" x14ac:dyDescent="0.35">
      <c r="A610" s="5" t="s">
        <v>46</v>
      </c>
      <c r="B610" s="50" t="s">
        <v>32</v>
      </c>
      <c r="C610" s="7">
        <v>2.028</v>
      </c>
      <c r="D610" s="7">
        <v>45.07</v>
      </c>
      <c r="E610" s="85">
        <f t="shared" ref="E610:E617" si="57">C610*D610</f>
        <v>91.401960000000003</v>
      </c>
    </row>
    <row r="611" spans="1:5" ht="18" x14ac:dyDescent="0.35">
      <c r="A611" s="5" t="s">
        <v>39</v>
      </c>
      <c r="B611" s="50" t="s">
        <v>33</v>
      </c>
      <c r="C611" s="7">
        <v>3.476</v>
      </c>
      <c r="D611" s="7">
        <v>16.170000000000002</v>
      </c>
      <c r="E611" s="85">
        <f t="shared" si="57"/>
        <v>56.206920000000004</v>
      </c>
    </row>
    <row r="612" spans="1:5" ht="18" x14ac:dyDescent="0.35">
      <c r="A612" s="5" t="s">
        <v>346</v>
      </c>
      <c r="B612" s="50" t="s">
        <v>33</v>
      </c>
      <c r="C612" s="7">
        <v>3.78</v>
      </c>
      <c r="D612" s="7">
        <v>16.170000000000002</v>
      </c>
      <c r="E612" s="85">
        <f t="shared" si="57"/>
        <v>61.122600000000006</v>
      </c>
    </row>
    <row r="613" spans="1:5" ht="18" x14ac:dyDescent="0.35">
      <c r="A613" s="5" t="s">
        <v>674</v>
      </c>
      <c r="B613" s="50" t="s">
        <v>359</v>
      </c>
      <c r="C613" s="7">
        <v>4</v>
      </c>
      <c r="D613" s="7">
        <v>1.81</v>
      </c>
      <c r="E613" s="85">
        <f t="shared" si="57"/>
        <v>7.24</v>
      </c>
    </row>
    <row r="614" spans="1:5" ht="18" x14ac:dyDescent="0.35">
      <c r="A614" s="5"/>
      <c r="B614" s="50" t="s">
        <v>43</v>
      </c>
      <c r="C614" s="88">
        <v>4</v>
      </c>
      <c r="D614" s="88">
        <v>1.1499999999999999</v>
      </c>
      <c r="E614" s="90">
        <f t="shared" si="57"/>
        <v>4.5999999999999996</v>
      </c>
    </row>
    <row r="615" spans="1:5" ht="18" x14ac:dyDescent="0.35">
      <c r="A615" s="5"/>
      <c r="B615" s="50" t="s">
        <v>34</v>
      </c>
      <c r="C615" s="7">
        <v>0.11</v>
      </c>
      <c r="D615" s="7">
        <v>13.67</v>
      </c>
      <c r="E615" s="85">
        <f t="shared" si="57"/>
        <v>1.5037</v>
      </c>
    </row>
    <row r="616" spans="1:5" ht="18" x14ac:dyDescent="0.35">
      <c r="A616" s="5"/>
      <c r="B616" s="50" t="s">
        <v>35</v>
      </c>
      <c r="C616" s="7">
        <v>4</v>
      </c>
      <c r="D616" s="7">
        <v>2.89</v>
      </c>
      <c r="E616" s="85">
        <f t="shared" si="57"/>
        <v>11.56</v>
      </c>
    </row>
    <row r="617" spans="1:5" ht="18" x14ac:dyDescent="0.35">
      <c r="A617" s="5"/>
      <c r="B617" s="50" t="s">
        <v>36</v>
      </c>
      <c r="C617" s="7">
        <v>4</v>
      </c>
      <c r="D617" s="7">
        <v>0.6</v>
      </c>
      <c r="E617" s="85">
        <f t="shared" si="57"/>
        <v>2.4</v>
      </c>
    </row>
    <row r="618" spans="1:5" ht="18" x14ac:dyDescent="0.35">
      <c r="A618" s="5"/>
      <c r="B618" s="5"/>
      <c r="C618" s="54"/>
      <c r="D618" s="54"/>
      <c r="E618" s="89">
        <f>SUM(E610:E617)</f>
        <v>236.03518000000003</v>
      </c>
    </row>
    <row r="619" spans="1:5" ht="18" x14ac:dyDescent="0.35">
      <c r="A619" s="5"/>
      <c r="B619" s="50" t="s">
        <v>37</v>
      </c>
      <c r="C619" s="54">
        <v>1</v>
      </c>
      <c r="D619" s="54">
        <v>127</v>
      </c>
      <c r="E619" s="85">
        <f>C619*D619</f>
        <v>127</v>
      </c>
    </row>
    <row r="620" spans="1:5" ht="18" x14ac:dyDescent="0.35">
      <c r="A620" s="5"/>
      <c r="B620" s="5"/>
      <c r="C620" s="54"/>
      <c r="D620" s="54"/>
      <c r="E620" s="85">
        <f>SUM(E618:E619)</f>
        <v>363.03518000000003</v>
      </c>
    </row>
    <row r="623" spans="1:5" ht="21" x14ac:dyDescent="0.4">
      <c r="A623" s="40" t="s">
        <v>602</v>
      </c>
      <c r="B623" s="40"/>
      <c r="C623" s="84"/>
      <c r="D623" s="12"/>
      <c r="E623" s="12"/>
    </row>
    <row r="624" spans="1:5" ht="21" x14ac:dyDescent="0.4">
      <c r="A624" s="40"/>
      <c r="B624" s="40"/>
      <c r="C624" s="84"/>
      <c r="D624" s="12"/>
      <c r="E624" s="12"/>
    </row>
    <row r="625" spans="1:5" ht="18" x14ac:dyDescent="0.35">
      <c r="A625" s="5"/>
      <c r="B625" s="5"/>
      <c r="C625" s="7" t="s">
        <v>28</v>
      </c>
      <c r="D625" s="7" t="s">
        <v>29</v>
      </c>
      <c r="E625" s="7" t="s">
        <v>30</v>
      </c>
    </row>
    <row r="626" spans="1:5" ht="18" x14ac:dyDescent="0.35">
      <c r="A626" s="5" t="s">
        <v>44</v>
      </c>
      <c r="B626" s="50" t="s">
        <v>32</v>
      </c>
      <c r="C626" s="7">
        <v>1.6850000000000001</v>
      </c>
      <c r="D626" s="7">
        <v>45.07</v>
      </c>
      <c r="E626" s="85">
        <f t="shared" ref="E626:E633" si="58">C626*D626</f>
        <v>75.942949999999996</v>
      </c>
    </row>
    <row r="627" spans="1:5" ht="18" x14ac:dyDescent="0.35">
      <c r="A627" s="5" t="s">
        <v>39</v>
      </c>
      <c r="B627" s="50" t="s">
        <v>33</v>
      </c>
      <c r="C627" s="7">
        <v>2.5960000000000001</v>
      </c>
      <c r="D627" s="7">
        <v>16.170000000000002</v>
      </c>
      <c r="E627" s="85">
        <f t="shared" si="58"/>
        <v>41.977320000000006</v>
      </c>
    </row>
    <row r="628" spans="1:5" ht="18" x14ac:dyDescent="0.35">
      <c r="A628" s="5" t="s">
        <v>168</v>
      </c>
      <c r="B628" s="50" t="s">
        <v>33</v>
      </c>
      <c r="C628" s="7">
        <v>2.74</v>
      </c>
      <c r="D628" s="7">
        <v>16.170000000000002</v>
      </c>
      <c r="E628" s="85">
        <f t="shared" si="58"/>
        <v>44.305800000000005</v>
      </c>
    </row>
    <row r="629" spans="1:5" ht="18" x14ac:dyDescent="0.35">
      <c r="A629" s="5" t="s">
        <v>696</v>
      </c>
      <c r="B629" s="50" t="s">
        <v>89</v>
      </c>
      <c r="C629" s="7">
        <v>4</v>
      </c>
      <c r="D629" s="7">
        <v>3.39</v>
      </c>
      <c r="E629" s="85">
        <f t="shared" si="58"/>
        <v>13.56</v>
      </c>
    </row>
    <row r="630" spans="1:5" ht="18" x14ac:dyDescent="0.35">
      <c r="A630" s="5"/>
      <c r="B630" s="50" t="s">
        <v>43</v>
      </c>
      <c r="C630" s="88">
        <v>4</v>
      </c>
      <c r="D630" s="88">
        <v>1.1499999999999999</v>
      </c>
      <c r="E630" s="90">
        <f t="shared" si="58"/>
        <v>4.5999999999999996</v>
      </c>
    </row>
    <row r="631" spans="1:5" ht="18" x14ac:dyDescent="0.35">
      <c r="A631" s="5"/>
      <c r="B631" s="50" t="s">
        <v>34</v>
      </c>
      <c r="C631" s="7">
        <v>0.11</v>
      </c>
      <c r="D631" s="7">
        <v>13.67</v>
      </c>
      <c r="E631" s="85">
        <f t="shared" si="58"/>
        <v>1.5037</v>
      </c>
    </row>
    <row r="632" spans="1:5" ht="18" x14ac:dyDescent="0.35">
      <c r="A632" s="5"/>
      <c r="B632" s="50" t="s">
        <v>35</v>
      </c>
      <c r="C632" s="7">
        <v>4</v>
      </c>
      <c r="D632" s="7">
        <v>2.89</v>
      </c>
      <c r="E632" s="85">
        <f t="shared" si="58"/>
        <v>11.56</v>
      </c>
    </row>
    <row r="633" spans="1:5" ht="18" x14ac:dyDescent="0.35">
      <c r="A633" s="5"/>
      <c r="B633" s="50" t="s">
        <v>36</v>
      </c>
      <c r="C633" s="7">
        <v>4</v>
      </c>
      <c r="D633" s="7">
        <v>0.6</v>
      </c>
      <c r="E633" s="85">
        <f t="shared" si="58"/>
        <v>2.4</v>
      </c>
    </row>
    <row r="634" spans="1:5" ht="18" x14ac:dyDescent="0.35">
      <c r="A634" s="5"/>
      <c r="B634" s="5"/>
      <c r="C634" s="54"/>
      <c r="D634" s="54"/>
      <c r="E634" s="89">
        <f>SUM(E626:E633)</f>
        <v>195.84977000000001</v>
      </c>
    </row>
    <row r="635" spans="1:5" ht="18" x14ac:dyDescent="0.35">
      <c r="A635" s="5"/>
      <c r="B635" s="50" t="s">
        <v>37</v>
      </c>
      <c r="C635" s="54">
        <v>1</v>
      </c>
      <c r="D635" s="54">
        <v>127</v>
      </c>
      <c r="E635" s="85">
        <f>C635*D635</f>
        <v>127</v>
      </c>
    </row>
    <row r="636" spans="1:5" ht="18" x14ac:dyDescent="0.35">
      <c r="A636" s="5"/>
      <c r="B636" s="5"/>
      <c r="C636" s="54"/>
      <c r="D636" s="54"/>
      <c r="E636" s="85">
        <f>SUM(E634:E635)</f>
        <v>322.84977000000003</v>
      </c>
    </row>
    <row r="639" spans="1:5" ht="21" x14ac:dyDescent="0.4">
      <c r="A639" s="40" t="s">
        <v>599</v>
      </c>
      <c r="B639" s="40"/>
      <c r="C639" s="84"/>
    </row>
    <row r="640" spans="1:5" ht="18" x14ac:dyDescent="0.35">
      <c r="A640" s="5"/>
      <c r="B640" s="5"/>
      <c r="C640" s="7" t="s">
        <v>28</v>
      </c>
      <c r="D640" s="7" t="s">
        <v>29</v>
      </c>
      <c r="E640" s="7" t="s">
        <v>30</v>
      </c>
    </row>
    <row r="641" spans="1:5" ht="18" x14ac:dyDescent="0.35">
      <c r="A641" s="5" t="s">
        <v>48</v>
      </c>
      <c r="B641" s="50" t="s">
        <v>32</v>
      </c>
      <c r="C641" s="7">
        <v>2.4489999999999998</v>
      </c>
      <c r="D641" s="7">
        <v>30.44</v>
      </c>
      <c r="E641" s="85">
        <f t="shared" ref="E641:E646" si="59">C641*D641</f>
        <v>74.547560000000004</v>
      </c>
    </row>
    <row r="642" spans="1:5" ht="18" x14ac:dyDescent="0.35">
      <c r="A642" s="5" t="s">
        <v>356</v>
      </c>
      <c r="B642" s="50" t="s">
        <v>33</v>
      </c>
      <c r="C642" s="7">
        <v>4.1580000000000004</v>
      </c>
      <c r="D642" s="7">
        <v>16.170000000000002</v>
      </c>
      <c r="E642" s="85">
        <f t="shared" si="59"/>
        <v>67.234860000000012</v>
      </c>
    </row>
    <row r="643" spans="1:5" ht="18" x14ac:dyDescent="0.35">
      <c r="A643" s="5" t="s">
        <v>746</v>
      </c>
      <c r="B643" s="50" t="s">
        <v>43</v>
      </c>
      <c r="C643" s="7">
        <v>2</v>
      </c>
      <c r="D643" s="7">
        <v>1.1499999999999999</v>
      </c>
      <c r="E643" s="85">
        <f t="shared" si="59"/>
        <v>2.2999999999999998</v>
      </c>
    </row>
    <row r="644" spans="1:5" ht="18" x14ac:dyDescent="0.35">
      <c r="A644" s="5"/>
      <c r="B644" s="50" t="s">
        <v>34</v>
      </c>
      <c r="C644" s="7">
        <v>0.3</v>
      </c>
      <c r="D644" s="7">
        <v>14.61</v>
      </c>
      <c r="E644" s="85">
        <f t="shared" si="59"/>
        <v>4.383</v>
      </c>
    </row>
    <row r="645" spans="1:5" ht="18" x14ac:dyDescent="0.35">
      <c r="A645" s="5"/>
      <c r="B645" s="50" t="s">
        <v>35</v>
      </c>
      <c r="C645" s="7">
        <v>4</v>
      </c>
      <c r="D645" s="7">
        <v>2.89</v>
      </c>
      <c r="E645" s="85">
        <f t="shared" si="59"/>
        <v>11.56</v>
      </c>
    </row>
    <row r="646" spans="1:5" ht="18" x14ac:dyDescent="0.35">
      <c r="A646" s="5"/>
      <c r="B646" s="50" t="s">
        <v>36</v>
      </c>
      <c r="C646" s="7">
        <v>4</v>
      </c>
      <c r="D646" s="7">
        <v>0.6</v>
      </c>
      <c r="E646" s="85">
        <f t="shared" si="59"/>
        <v>2.4</v>
      </c>
    </row>
    <row r="647" spans="1:5" ht="18" x14ac:dyDescent="0.35">
      <c r="A647" s="5"/>
      <c r="B647" s="5"/>
      <c r="C647" s="54"/>
      <c r="D647" s="54"/>
      <c r="E647" s="89">
        <f>SUM(E641:E646)</f>
        <v>162.42542000000003</v>
      </c>
    </row>
    <row r="648" spans="1:5" ht="18" x14ac:dyDescent="0.35">
      <c r="A648" s="5"/>
      <c r="B648" s="50" t="s">
        <v>37</v>
      </c>
      <c r="C648" s="54">
        <v>1</v>
      </c>
      <c r="D648" s="54">
        <v>127</v>
      </c>
      <c r="E648" s="85">
        <f>C648*D648</f>
        <v>127</v>
      </c>
    </row>
    <row r="649" spans="1:5" ht="18" x14ac:dyDescent="0.35">
      <c r="A649" s="5"/>
      <c r="B649" s="5"/>
      <c r="C649" s="54"/>
      <c r="D649" s="54"/>
      <c r="E649" s="85">
        <f>SUM(E647:E648)</f>
        <v>289.42542000000003</v>
      </c>
    </row>
    <row r="652" spans="1:5" ht="21" x14ac:dyDescent="0.4">
      <c r="A652" s="40" t="s">
        <v>599</v>
      </c>
      <c r="B652" s="40"/>
      <c r="C652" s="84"/>
    </row>
    <row r="653" spans="1:5" ht="18" x14ac:dyDescent="0.35">
      <c r="A653" s="5"/>
      <c r="B653" s="5"/>
      <c r="C653" s="7" t="s">
        <v>28</v>
      </c>
      <c r="D653" s="7" t="s">
        <v>29</v>
      </c>
      <c r="E653" s="7" t="s">
        <v>30</v>
      </c>
    </row>
    <row r="654" spans="1:5" ht="18" x14ac:dyDescent="0.35">
      <c r="A654" s="5" t="s">
        <v>46</v>
      </c>
      <c r="B654" s="50" t="s">
        <v>32</v>
      </c>
      <c r="C654" s="7">
        <v>2.028</v>
      </c>
      <c r="D654" s="7">
        <v>30.44</v>
      </c>
      <c r="E654" s="85">
        <f t="shared" ref="E654:E659" si="60">C654*D654</f>
        <v>61.732320000000001</v>
      </c>
    </row>
    <row r="655" spans="1:5" ht="18" x14ac:dyDescent="0.35">
      <c r="A655" s="5" t="s">
        <v>356</v>
      </c>
      <c r="B655" s="50" t="s">
        <v>33</v>
      </c>
      <c r="C655" s="7">
        <v>3.3180000000000001</v>
      </c>
      <c r="D655" s="7">
        <v>16.170000000000002</v>
      </c>
      <c r="E655" s="85">
        <f t="shared" si="60"/>
        <v>53.652060000000006</v>
      </c>
    </row>
    <row r="656" spans="1:5" ht="18" x14ac:dyDescent="0.35">
      <c r="A656" s="5" t="s">
        <v>747</v>
      </c>
      <c r="B656" s="50" t="s">
        <v>43</v>
      </c>
      <c r="C656" s="7">
        <v>2</v>
      </c>
      <c r="D656" s="7">
        <v>1.1499999999999999</v>
      </c>
      <c r="E656" s="85">
        <f t="shared" si="60"/>
        <v>2.2999999999999998</v>
      </c>
    </row>
    <row r="657" spans="1:5" ht="18" x14ac:dyDescent="0.35">
      <c r="A657" s="5"/>
      <c r="B657" s="50" t="s">
        <v>34</v>
      </c>
      <c r="C657" s="7">
        <v>0.2</v>
      </c>
      <c r="D657" s="7">
        <v>14.61</v>
      </c>
      <c r="E657" s="85">
        <f t="shared" si="60"/>
        <v>2.9220000000000002</v>
      </c>
    </row>
    <row r="658" spans="1:5" ht="18" x14ac:dyDescent="0.35">
      <c r="A658" s="5"/>
      <c r="B658" s="50" t="s">
        <v>35</v>
      </c>
      <c r="C658" s="7">
        <v>4</v>
      </c>
      <c r="D658" s="7">
        <v>2.89</v>
      </c>
      <c r="E658" s="85">
        <f t="shared" si="60"/>
        <v>11.56</v>
      </c>
    </row>
    <row r="659" spans="1:5" ht="18" x14ac:dyDescent="0.35">
      <c r="A659" s="5"/>
      <c r="B659" s="50" t="s">
        <v>36</v>
      </c>
      <c r="C659" s="7">
        <v>4</v>
      </c>
      <c r="D659" s="7">
        <v>0.6</v>
      </c>
      <c r="E659" s="85">
        <f t="shared" si="60"/>
        <v>2.4</v>
      </c>
    </row>
    <row r="660" spans="1:5" ht="18" x14ac:dyDescent="0.35">
      <c r="A660" s="5"/>
      <c r="B660" s="5"/>
      <c r="C660" s="54"/>
      <c r="D660" s="54"/>
      <c r="E660" s="89">
        <f>SUM(E654:E659)</f>
        <v>134.56638000000001</v>
      </c>
    </row>
    <row r="661" spans="1:5" ht="18" x14ac:dyDescent="0.35">
      <c r="A661" s="5"/>
      <c r="B661" s="50" t="s">
        <v>37</v>
      </c>
      <c r="C661" s="54">
        <v>1</v>
      </c>
      <c r="D661" s="54">
        <v>127</v>
      </c>
      <c r="E661" s="85">
        <f>C661*D661</f>
        <v>127</v>
      </c>
    </row>
    <row r="662" spans="1:5" ht="18" x14ac:dyDescent="0.35">
      <c r="A662" s="5"/>
      <c r="B662" s="5"/>
      <c r="C662" s="54"/>
      <c r="D662" s="54"/>
      <c r="E662" s="85">
        <f>SUM(E660:E661)</f>
        <v>261.56637999999998</v>
      </c>
    </row>
    <row r="665" spans="1:5" ht="21" x14ac:dyDescent="0.4">
      <c r="A665" s="40" t="s">
        <v>598</v>
      </c>
      <c r="B665" s="40"/>
      <c r="C665" s="84"/>
      <c r="D665" s="12"/>
      <c r="E665" s="83"/>
    </row>
    <row r="666" spans="1:5" x14ac:dyDescent="0.3">
      <c r="C666" s="12"/>
      <c r="D666" s="12"/>
      <c r="E666" s="12"/>
    </row>
    <row r="667" spans="1:5" ht="18" x14ac:dyDescent="0.35">
      <c r="A667" s="5"/>
      <c r="B667" s="5"/>
      <c r="C667" s="7" t="s">
        <v>28</v>
      </c>
      <c r="D667" s="7" t="s">
        <v>29</v>
      </c>
      <c r="E667" s="7" t="s">
        <v>30</v>
      </c>
    </row>
    <row r="668" spans="1:5" ht="18" x14ac:dyDescent="0.35">
      <c r="A668" s="5" t="s">
        <v>66</v>
      </c>
      <c r="B668" s="50" t="s">
        <v>32</v>
      </c>
      <c r="C668" s="7">
        <v>1.5029999999999999</v>
      </c>
      <c r="D668" s="7">
        <v>29.12</v>
      </c>
      <c r="E668" s="85">
        <f t="shared" ref="E668:E673" si="61">C668*D668</f>
        <v>43.767359999999996</v>
      </c>
    </row>
    <row r="669" spans="1:5" ht="18" x14ac:dyDescent="0.35">
      <c r="A669" s="5" t="s">
        <v>63</v>
      </c>
      <c r="B669" s="50" t="s">
        <v>33</v>
      </c>
      <c r="C669" s="7">
        <v>3.0870000000000002</v>
      </c>
      <c r="D669" s="7">
        <v>14.94</v>
      </c>
      <c r="E669" s="85">
        <f t="shared" si="61"/>
        <v>46.119779999999999</v>
      </c>
    </row>
    <row r="670" spans="1:5" ht="18" x14ac:dyDescent="0.35">
      <c r="A670" s="5" t="s">
        <v>674</v>
      </c>
      <c r="B670" s="50" t="s">
        <v>96</v>
      </c>
      <c r="C670" s="7">
        <v>2</v>
      </c>
      <c r="D670" s="7">
        <v>1.6</v>
      </c>
      <c r="E670" s="85">
        <f t="shared" si="61"/>
        <v>3.2</v>
      </c>
    </row>
    <row r="671" spans="1:5" ht="18" x14ac:dyDescent="0.35">
      <c r="A671" s="5"/>
      <c r="B671" s="50" t="s">
        <v>34</v>
      </c>
      <c r="C671" s="7"/>
      <c r="D671" s="7">
        <v>14.61</v>
      </c>
      <c r="E671" s="85">
        <f t="shared" si="61"/>
        <v>0</v>
      </c>
    </row>
    <row r="672" spans="1:5" ht="18" x14ac:dyDescent="0.35">
      <c r="A672" s="5"/>
      <c r="B672" s="50" t="s">
        <v>35</v>
      </c>
      <c r="C672" s="7">
        <v>4</v>
      </c>
      <c r="D672" s="7">
        <v>2.89</v>
      </c>
      <c r="E672" s="85">
        <f t="shared" si="61"/>
        <v>11.56</v>
      </c>
    </row>
    <row r="673" spans="1:5" ht="18" x14ac:dyDescent="0.35">
      <c r="A673" s="5"/>
      <c r="B673" s="50" t="s">
        <v>36</v>
      </c>
      <c r="C673" s="7">
        <v>4</v>
      </c>
      <c r="D673" s="7">
        <v>0.6</v>
      </c>
      <c r="E673" s="85">
        <f t="shared" si="61"/>
        <v>2.4</v>
      </c>
    </row>
    <row r="674" spans="1:5" ht="18" x14ac:dyDescent="0.35">
      <c r="A674" s="5"/>
      <c r="B674" s="5"/>
      <c r="C674" s="54"/>
      <c r="D674" s="54"/>
      <c r="E674" s="89">
        <f>SUM(E668:E673)</f>
        <v>107.04714</v>
      </c>
    </row>
    <row r="675" spans="1:5" ht="18" x14ac:dyDescent="0.35">
      <c r="A675" s="5"/>
      <c r="B675" s="50" t="s">
        <v>37</v>
      </c>
      <c r="C675" s="54">
        <v>0.2</v>
      </c>
      <c r="D675" s="54">
        <v>131</v>
      </c>
      <c r="E675" s="85">
        <f>C675*D675</f>
        <v>26.200000000000003</v>
      </c>
    </row>
    <row r="676" spans="1:5" ht="18" x14ac:dyDescent="0.35">
      <c r="A676" s="5"/>
      <c r="B676" s="5"/>
      <c r="C676" s="54"/>
      <c r="D676" s="54"/>
      <c r="E676" s="85">
        <f>SUM(E674:E675)</f>
        <v>133.24714</v>
      </c>
    </row>
    <row r="678" spans="1:5" ht="21" x14ac:dyDescent="0.4">
      <c r="A678" s="40" t="s">
        <v>599</v>
      </c>
      <c r="B678" s="40"/>
      <c r="C678" s="84"/>
    </row>
    <row r="679" spans="1:5" ht="18" x14ac:dyDescent="0.35">
      <c r="A679" s="5"/>
      <c r="B679" s="5"/>
      <c r="C679" s="7" t="s">
        <v>28</v>
      </c>
      <c r="D679" s="7" t="s">
        <v>29</v>
      </c>
      <c r="E679" s="7" t="s">
        <v>30</v>
      </c>
    </row>
    <row r="680" spans="1:5" ht="18" x14ac:dyDescent="0.35">
      <c r="A680" s="5" t="s">
        <v>748</v>
      </c>
      <c r="B680" s="50" t="s">
        <v>32</v>
      </c>
      <c r="C680" s="7">
        <v>3.6030000000000002</v>
      </c>
      <c r="D680" s="7">
        <v>30.44</v>
      </c>
      <c r="E680" s="85">
        <f t="shared" ref="E680:E685" si="62">C680*D680</f>
        <v>109.67532000000001</v>
      </c>
    </row>
    <row r="681" spans="1:5" ht="18" x14ac:dyDescent="0.35">
      <c r="A681" s="5" t="s">
        <v>749</v>
      </c>
      <c r="B681" s="50" t="s">
        <v>33</v>
      </c>
      <c r="C681" s="7">
        <v>9.3870000000000005</v>
      </c>
      <c r="D681" s="7">
        <v>16.170000000000002</v>
      </c>
      <c r="E681" s="85">
        <f t="shared" si="62"/>
        <v>151.78779000000003</v>
      </c>
    </row>
    <row r="682" spans="1:5" ht="18" x14ac:dyDescent="0.35">
      <c r="A682" s="5" t="s">
        <v>750</v>
      </c>
      <c r="B682" s="50" t="s">
        <v>96</v>
      </c>
      <c r="C682" s="7">
        <v>2</v>
      </c>
      <c r="D682" s="7">
        <v>1.6</v>
      </c>
      <c r="E682" s="85">
        <f t="shared" si="62"/>
        <v>3.2</v>
      </c>
    </row>
    <row r="683" spans="1:5" ht="18" x14ac:dyDescent="0.35">
      <c r="A683" s="5"/>
      <c r="B683" s="50" t="s">
        <v>34</v>
      </c>
      <c r="C683" s="7">
        <v>0.63</v>
      </c>
      <c r="D683" s="7">
        <v>14.61</v>
      </c>
      <c r="E683" s="85">
        <f t="shared" si="62"/>
        <v>9.2042999999999999</v>
      </c>
    </row>
    <row r="684" spans="1:5" ht="18" x14ac:dyDescent="0.35">
      <c r="A684" s="5"/>
      <c r="B684" s="50" t="s">
        <v>35</v>
      </c>
      <c r="C684" s="7">
        <v>4</v>
      </c>
      <c r="D684" s="7">
        <v>2.89</v>
      </c>
      <c r="E684" s="85">
        <f t="shared" si="62"/>
        <v>11.56</v>
      </c>
    </row>
    <row r="685" spans="1:5" ht="18" x14ac:dyDescent="0.35">
      <c r="A685" s="5"/>
      <c r="B685" s="50" t="s">
        <v>36</v>
      </c>
      <c r="C685" s="7">
        <v>4</v>
      </c>
      <c r="D685" s="7">
        <v>0.6</v>
      </c>
      <c r="E685" s="85">
        <f t="shared" si="62"/>
        <v>2.4</v>
      </c>
    </row>
    <row r="686" spans="1:5" ht="18" x14ac:dyDescent="0.35">
      <c r="A686" s="5"/>
      <c r="B686" s="5"/>
      <c r="C686" s="54"/>
      <c r="D686" s="54"/>
      <c r="E686" s="89">
        <f>SUM(E680:E685)</f>
        <v>287.82740999999999</v>
      </c>
    </row>
    <row r="687" spans="1:5" ht="18" x14ac:dyDescent="0.35">
      <c r="A687" s="5"/>
      <c r="B687" s="50" t="s">
        <v>37</v>
      </c>
      <c r="C687" s="54">
        <v>1</v>
      </c>
      <c r="D687" s="54">
        <v>131</v>
      </c>
      <c r="E687" s="85">
        <v>131</v>
      </c>
    </row>
    <row r="688" spans="1:5" ht="18" x14ac:dyDescent="0.35">
      <c r="A688" s="5"/>
      <c r="B688" s="5"/>
      <c r="C688" s="54"/>
      <c r="D688" s="54"/>
      <c r="E688" s="85">
        <f>SUM(E686:E687)</f>
        <v>418.82740999999999</v>
      </c>
    </row>
    <row r="692" spans="1:5" ht="21" x14ac:dyDescent="0.4">
      <c r="A692" s="40" t="s">
        <v>599</v>
      </c>
      <c r="B692" s="40"/>
      <c r="C692" s="84"/>
    </row>
    <row r="693" spans="1:5" ht="18" x14ac:dyDescent="0.35">
      <c r="A693" s="5"/>
      <c r="B693" s="5"/>
      <c r="C693" s="7" t="s">
        <v>28</v>
      </c>
      <c r="D693" s="7" t="s">
        <v>29</v>
      </c>
      <c r="E693" s="7" t="s">
        <v>30</v>
      </c>
    </row>
    <row r="694" spans="1:5" ht="18" x14ac:dyDescent="0.35">
      <c r="A694" s="5" t="s">
        <v>31</v>
      </c>
      <c r="B694" s="50" t="s">
        <v>32</v>
      </c>
      <c r="C694" s="7">
        <v>0.76800000000000002</v>
      </c>
      <c r="D694" s="7">
        <v>30.44</v>
      </c>
      <c r="E694" s="85">
        <f t="shared" ref="E694:E699" si="63">C694*D694</f>
        <v>23.377920000000003</v>
      </c>
    </row>
    <row r="695" spans="1:5" ht="18" x14ac:dyDescent="0.35">
      <c r="A695" s="5" t="s">
        <v>356</v>
      </c>
      <c r="B695" s="50" t="s">
        <v>33</v>
      </c>
      <c r="C695" s="7">
        <v>0.79800000000000004</v>
      </c>
      <c r="D695" s="7">
        <v>16.170000000000002</v>
      </c>
      <c r="E695" s="85">
        <f t="shared" si="63"/>
        <v>12.903660000000002</v>
      </c>
    </row>
    <row r="696" spans="1:5" ht="18" x14ac:dyDescent="0.35">
      <c r="A696" s="5" t="s">
        <v>754</v>
      </c>
      <c r="B696" s="50" t="s">
        <v>43</v>
      </c>
      <c r="C696" s="7">
        <v>2</v>
      </c>
      <c r="D696" s="7">
        <v>1.1499999999999999</v>
      </c>
      <c r="E696" s="85">
        <f t="shared" si="63"/>
        <v>2.2999999999999998</v>
      </c>
    </row>
    <row r="697" spans="1:5" ht="18" x14ac:dyDescent="0.35">
      <c r="A697" s="5"/>
      <c r="B697" s="50" t="s">
        <v>34</v>
      </c>
      <c r="C697" s="7"/>
      <c r="D697" s="7">
        <v>14.61</v>
      </c>
      <c r="E697" s="85">
        <f t="shared" si="63"/>
        <v>0</v>
      </c>
    </row>
    <row r="698" spans="1:5" ht="18" x14ac:dyDescent="0.35">
      <c r="A698" s="5"/>
      <c r="B698" s="50" t="s">
        <v>35</v>
      </c>
      <c r="C698" s="7">
        <v>4</v>
      </c>
      <c r="D698" s="7">
        <v>2.89</v>
      </c>
      <c r="E698" s="85">
        <f t="shared" si="63"/>
        <v>11.56</v>
      </c>
    </row>
    <row r="699" spans="1:5" ht="18" x14ac:dyDescent="0.35">
      <c r="A699" s="5"/>
      <c r="B699" s="50" t="s">
        <v>36</v>
      </c>
      <c r="C699" s="7">
        <v>4</v>
      </c>
      <c r="D699" s="7">
        <v>0.6</v>
      </c>
      <c r="E699" s="85">
        <f t="shared" si="63"/>
        <v>2.4</v>
      </c>
    </row>
    <row r="700" spans="1:5" ht="18" x14ac:dyDescent="0.35">
      <c r="A700" s="5"/>
      <c r="B700" s="5"/>
      <c r="C700" s="54"/>
      <c r="D700" s="54"/>
      <c r="E700" s="89">
        <f>SUM(E694:E699)</f>
        <v>52.541580000000003</v>
      </c>
    </row>
    <row r="701" spans="1:5" ht="18" x14ac:dyDescent="0.35">
      <c r="A701" s="5"/>
      <c r="B701" s="50" t="s">
        <v>37</v>
      </c>
      <c r="C701" s="54">
        <v>0.5</v>
      </c>
      <c r="D701" s="54">
        <v>131</v>
      </c>
      <c r="E701" s="85">
        <f>C701*D701</f>
        <v>65.5</v>
      </c>
    </row>
    <row r="702" spans="1:5" ht="18" x14ac:dyDescent="0.35">
      <c r="A702" s="5"/>
      <c r="B702" s="5"/>
      <c r="C702" s="54"/>
      <c r="D702" s="54"/>
      <c r="E702" s="85">
        <f>SUM(E700:E701)</f>
        <v>118.04158000000001</v>
      </c>
    </row>
    <row r="705" spans="1:5" ht="21" x14ac:dyDescent="0.4">
      <c r="A705" s="40" t="s">
        <v>599</v>
      </c>
      <c r="B705" s="40"/>
      <c r="C705" s="84"/>
    </row>
    <row r="706" spans="1:5" ht="18" x14ac:dyDescent="0.35">
      <c r="A706" s="5"/>
      <c r="B706" s="5"/>
      <c r="C706" s="7" t="s">
        <v>28</v>
      </c>
      <c r="D706" s="7" t="s">
        <v>29</v>
      </c>
      <c r="E706" s="7" t="s">
        <v>30</v>
      </c>
    </row>
    <row r="707" spans="1:5" ht="18" x14ac:dyDescent="0.35">
      <c r="A707" s="5" t="s">
        <v>753</v>
      </c>
      <c r="B707" s="50" t="s">
        <v>32</v>
      </c>
      <c r="C707" s="7">
        <v>0.91600000000000004</v>
      </c>
      <c r="D707" s="7">
        <v>30.44</v>
      </c>
      <c r="E707" s="85">
        <f t="shared" ref="E707:E712" si="64">C707*D707</f>
        <v>27.883040000000001</v>
      </c>
    </row>
    <row r="708" spans="1:5" ht="18" x14ac:dyDescent="0.35">
      <c r="A708" s="5" t="s">
        <v>749</v>
      </c>
      <c r="B708" s="50" t="s">
        <v>33</v>
      </c>
      <c r="C708" s="7">
        <v>1.323</v>
      </c>
      <c r="D708" s="7">
        <v>16.170000000000002</v>
      </c>
      <c r="E708" s="85">
        <f t="shared" si="64"/>
        <v>21.392910000000001</v>
      </c>
    </row>
    <row r="709" spans="1:5" ht="18" x14ac:dyDescent="0.35">
      <c r="A709" s="5" t="s">
        <v>755</v>
      </c>
      <c r="B709" s="50" t="s">
        <v>96</v>
      </c>
      <c r="C709" s="7">
        <v>2</v>
      </c>
      <c r="D709" s="7">
        <v>1.6</v>
      </c>
      <c r="E709" s="85">
        <f t="shared" si="64"/>
        <v>3.2</v>
      </c>
    </row>
    <row r="710" spans="1:5" ht="18" x14ac:dyDescent="0.35">
      <c r="A710" s="5"/>
      <c r="B710" s="50" t="s">
        <v>34</v>
      </c>
      <c r="C710" s="7"/>
      <c r="D710" s="7">
        <v>14.61</v>
      </c>
      <c r="E710" s="85">
        <f t="shared" si="64"/>
        <v>0</v>
      </c>
    </row>
    <row r="711" spans="1:5" ht="18" x14ac:dyDescent="0.35">
      <c r="A711" s="5"/>
      <c r="B711" s="50" t="s">
        <v>35</v>
      </c>
      <c r="C711" s="7">
        <v>4</v>
      </c>
      <c r="D711" s="7">
        <v>2.89</v>
      </c>
      <c r="E711" s="85">
        <f t="shared" si="64"/>
        <v>11.56</v>
      </c>
    </row>
    <row r="712" spans="1:5" ht="18" x14ac:dyDescent="0.35">
      <c r="A712" s="5"/>
      <c r="B712" s="50" t="s">
        <v>36</v>
      </c>
      <c r="C712" s="7">
        <v>4</v>
      </c>
      <c r="D712" s="7">
        <v>0.6</v>
      </c>
      <c r="E712" s="85">
        <f t="shared" si="64"/>
        <v>2.4</v>
      </c>
    </row>
    <row r="713" spans="1:5" ht="18" x14ac:dyDescent="0.35">
      <c r="A713" s="5"/>
      <c r="B713" s="5"/>
      <c r="C713" s="54"/>
      <c r="D713" s="54"/>
      <c r="E713" s="89">
        <f>SUM(E707:E712)</f>
        <v>66.435950000000005</v>
      </c>
    </row>
    <row r="714" spans="1:5" ht="18" x14ac:dyDescent="0.35">
      <c r="A714" s="5"/>
      <c r="B714" s="50" t="s">
        <v>37</v>
      </c>
      <c r="C714" s="54">
        <v>0.5</v>
      </c>
      <c r="D714" s="54">
        <v>131</v>
      </c>
      <c r="E714" s="85">
        <f>C714*D714</f>
        <v>65.5</v>
      </c>
    </row>
    <row r="715" spans="1:5" ht="18" x14ac:dyDescent="0.35">
      <c r="A715" s="5"/>
      <c r="B715" s="5"/>
      <c r="C715" s="54"/>
      <c r="D715" s="54"/>
      <c r="E715" s="85">
        <f>SUM(E713:E714)</f>
        <v>131.93594999999999</v>
      </c>
    </row>
    <row r="717" spans="1:5" ht="21" x14ac:dyDescent="0.4">
      <c r="A717" s="40" t="s">
        <v>599</v>
      </c>
      <c r="B717" s="40"/>
      <c r="C717" s="84"/>
    </row>
    <row r="718" spans="1:5" ht="18" x14ac:dyDescent="0.35">
      <c r="A718" s="5"/>
      <c r="B718" s="5"/>
      <c r="C718" s="7" t="s">
        <v>28</v>
      </c>
      <c r="D718" s="7" t="s">
        <v>29</v>
      </c>
      <c r="E718" s="7" t="s">
        <v>30</v>
      </c>
    </row>
    <row r="719" spans="1:5" ht="18" x14ac:dyDescent="0.35">
      <c r="A719" s="5" t="s">
        <v>756</v>
      </c>
      <c r="B719" s="50" t="s">
        <v>32</v>
      </c>
      <c r="C719" s="7">
        <v>1.923</v>
      </c>
      <c r="D719" s="7">
        <v>30.44</v>
      </c>
      <c r="E719" s="85">
        <f t="shared" ref="E719:E724" si="65">C719*D719</f>
        <v>58.536120000000004</v>
      </c>
    </row>
    <row r="720" spans="1:5" ht="18" x14ac:dyDescent="0.35">
      <c r="A720" s="5" t="s">
        <v>111</v>
      </c>
      <c r="B720" s="50" t="s">
        <v>33</v>
      </c>
      <c r="C720" s="7">
        <v>7.9379999999999997</v>
      </c>
      <c r="D720" s="7">
        <v>16.170000000000002</v>
      </c>
      <c r="E720" s="85">
        <f t="shared" si="65"/>
        <v>128.35746</v>
      </c>
    </row>
    <row r="721" spans="1:5" ht="18" x14ac:dyDescent="0.35">
      <c r="A721" s="5" t="s">
        <v>757</v>
      </c>
      <c r="B721" s="50" t="s">
        <v>90</v>
      </c>
      <c r="C721" s="7">
        <v>2</v>
      </c>
      <c r="D721" s="7">
        <v>1.7</v>
      </c>
      <c r="E721" s="85">
        <f t="shared" si="65"/>
        <v>3.4</v>
      </c>
    </row>
    <row r="722" spans="1:5" ht="18" x14ac:dyDescent="0.35">
      <c r="A722" s="5"/>
      <c r="B722" s="50" t="s">
        <v>34</v>
      </c>
      <c r="C722" s="7"/>
      <c r="D722" s="7">
        <v>14.61</v>
      </c>
      <c r="E722" s="85">
        <f t="shared" si="65"/>
        <v>0</v>
      </c>
    </row>
    <row r="723" spans="1:5" ht="18" x14ac:dyDescent="0.35">
      <c r="A723" s="5"/>
      <c r="B723" s="50" t="s">
        <v>35</v>
      </c>
      <c r="C723" s="7">
        <v>4</v>
      </c>
      <c r="D723" s="7">
        <v>2.89</v>
      </c>
      <c r="E723" s="85">
        <f t="shared" si="65"/>
        <v>11.56</v>
      </c>
    </row>
    <row r="724" spans="1:5" ht="18" x14ac:dyDescent="0.35">
      <c r="A724" s="5"/>
      <c r="B724" s="50" t="s">
        <v>36</v>
      </c>
      <c r="C724" s="7">
        <v>4</v>
      </c>
      <c r="D724" s="7">
        <v>0.6</v>
      </c>
      <c r="E724" s="85">
        <f t="shared" si="65"/>
        <v>2.4</v>
      </c>
    </row>
    <row r="725" spans="1:5" ht="18" x14ac:dyDescent="0.35">
      <c r="A725" s="5"/>
      <c r="B725" s="5"/>
      <c r="C725" s="54"/>
      <c r="D725" s="54"/>
      <c r="E725" s="89">
        <f>SUM(E719:E724)</f>
        <v>204.25358000000003</v>
      </c>
    </row>
    <row r="726" spans="1:5" ht="18" x14ac:dyDescent="0.35">
      <c r="A726" s="5"/>
      <c r="B726" s="50" t="s">
        <v>37</v>
      </c>
      <c r="C726" s="54">
        <v>0.5</v>
      </c>
      <c r="D726" s="54">
        <v>131</v>
      </c>
      <c r="E726" s="85">
        <f>C726*D726</f>
        <v>65.5</v>
      </c>
    </row>
    <row r="727" spans="1:5" ht="18" x14ac:dyDescent="0.35">
      <c r="A727" s="5"/>
      <c r="B727" s="5"/>
      <c r="C727" s="54"/>
      <c r="D727" s="54"/>
      <c r="E727" s="85">
        <f>SUM(E725:E726)</f>
        <v>269.75358000000006</v>
      </c>
    </row>
    <row r="731" spans="1:5" ht="21" x14ac:dyDescent="0.4">
      <c r="A731" s="40" t="s">
        <v>599</v>
      </c>
      <c r="B731" s="40"/>
      <c r="C731" s="84"/>
    </row>
    <row r="732" spans="1:5" ht="18" x14ac:dyDescent="0.35">
      <c r="A732" s="5"/>
      <c r="B732" s="5"/>
      <c r="C732" s="7" t="s">
        <v>28</v>
      </c>
      <c r="D732" s="7" t="s">
        <v>29</v>
      </c>
      <c r="E732" s="7" t="s">
        <v>30</v>
      </c>
    </row>
    <row r="733" spans="1:5" ht="18" x14ac:dyDescent="0.35">
      <c r="A733" s="5" t="s">
        <v>69</v>
      </c>
      <c r="B733" s="50" t="s">
        <v>32</v>
      </c>
      <c r="C733" s="7">
        <v>2.133</v>
      </c>
      <c r="D733" s="7">
        <v>30.44</v>
      </c>
      <c r="E733" s="85">
        <f t="shared" ref="E733:E738" si="66">C733*D733</f>
        <v>64.928520000000006</v>
      </c>
    </row>
    <row r="734" spans="1:5" ht="18" x14ac:dyDescent="0.35">
      <c r="A734" s="5" t="s">
        <v>749</v>
      </c>
      <c r="B734" s="50" t="s">
        <v>33</v>
      </c>
      <c r="C734" s="7">
        <v>4.9770000000000003</v>
      </c>
      <c r="D734" s="7">
        <v>16.170000000000002</v>
      </c>
      <c r="E734" s="85">
        <f t="shared" si="66"/>
        <v>80.478090000000009</v>
      </c>
    </row>
    <row r="735" spans="1:5" ht="18" x14ac:dyDescent="0.35">
      <c r="A735" s="5" t="s">
        <v>757</v>
      </c>
      <c r="B735" s="50" t="s">
        <v>96</v>
      </c>
      <c r="C735" s="7">
        <v>2</v>
      </c>
      <c r="D735" s="7">
        <v>1.6</v>
      </c>
      <c r="E735" s="85">
        <f t="shared" si="66"/>
        <v>3.2</v>
      </c>
    </row>
    <row r="736" spans="1:5" ht="18" x14ac:dyDescent="0.35">
      <c r="A736" s="5"/>
      <c r="B736" s="50" t="s">
        <v>34</v>
      </c>
      <c r="C736" s="7"/>
      <c r="D736" s="7">
        <v>14.61</v>
      </c>
      <c r="E736" s="85">
        <f t="shared" si="66"/>
        <v>0</v>
      </c>
    </row>
    <row r="737" spans="1:5" ht="18" x14ac:dyDescent="0.35">
      <c r="A737" s="5"/>
      <c r="B737" s="50" t="s">
        <v>35</v>
      </c>
      <c r="C737" s="7">
        <v>4</v>
      </c>
      <c r="D737" s="7">
        <v>2.89</v>
      </c>
      <c r="E737" s="85">
        <f t="shared" si="66"/>
        <v>11.56</v>
      </c>
    </row>
    <row r="738" spans="1:5" ht="18" x14ac:dyDescent="0.35">
      <c r="A738" s="5"/>
      <c r="B738" s="50" t="s">
        <v>36</v>
      </c>
      <c r="C738" s="7">
        <v>4</v>
      </c>
      <c r="D738" s="7">
        <v>0.6</v>
      </c>
      <c r="E738" s="85">
        <f t="shared" si="66"/>
        <v>2.4</v>
      </c>
    </row>
    <row r="739" spans="1:5" ht="18" x14ac:dyDescent="0.35">
      <c r="A739" s="5"/>
      <c r="B739" s="5"/>
      <c r="C739" s="54"/>
      <c r="D739" s="54"/>
      <c r="E739" s="89">
        <f>SUM(E733:E738)</f>
        <v>162.56661</v>
      </c>
    </row>
    <row r="740" spans="1:5" ht="18" x14ac:dyDescent="0.35">
      <c r="A740" s="5"/>
      <c r="B740" s="50" t="s">
        <v>37</v>
      </c>
      <c r="C740" s="54">
        <v>0.5</v>
      </c>
      <c r="D740" s="54">
        <v>131</v>
      </c>
      <c r="E740" s="85">
        <f>C740*D740</f>
        <v>65.5</v>
      </c>
    </row>
    <row r="741" spans="1:5" ht="18" x14ac:dyDescent="0.35">
      <c r="A741" s="5"/>
      <c r="B741" s="5"/>
      <c r="C741" s="54"/>
      <c r="D741" s="54"/>
      <c r="E741" s="85">
        <f>SUM(E739:E740)</f>
        <v>228.06661</v>
      </c>
    </row>
    <row r="745" spans="1:5" ht="21" x14ac:dyDescent="0.4">
      <c r="A745" s="40" t="s">
        <v>599</v>
      </c>
      <c r="B745" s="40"/>
      <c r="C745" s="84"/>
    </row>
    <row r="746" spans="1:5" ht="18" x14ac:dyDescent="0.35">
      <c r="A746" s="5"/>
      <c r="B746" s="5"/>
      <c r="C746" s="7" t="s">
        <v>28</v>
      </c>
      <c r="D746" s="7" t="s">
        <v>29</v>
      </c>
      <c r="E746" s="7" t="s">
        <v>30</v>
      </c>
    </row>
    <row r="747" spans="1:5" ht="18" x14ac:dyDescent="0.35">
      <c r="A747" s="5" t="s">
        <v>417</v>
      </c>
      <c r="B747" s="50" t="s">
        <v>32</v>
      </c>
      <c r="C747" s="7">
        <v>2.4489999999999998</v>
      </c>
      <c r="D747" s="7">
        <v>30.44</v>
      </c>
      <c r="E747" s="85">
        <f t="shared" ref="E747:E752" si="67">C747*D747</f>
        <v>74.547560000000004</v>
      </c>
    </row>
    <row r="748" spans="1:5" ht="18" x14ac:dyDescent="0.35">
      <c r="A748" s="5" t="s">
        <v>125</v>
      </c>
      <c r="B748" s="50" t="s">
        <v>33</v>
      </c>
      <c r="C748" s="7">
        <v>15.576000000000001</v>
      </c>
      <c r="D748" s="7">
        <v>16.170000000000002</v>
      </c>
      <c r="E748" s="85">
        <f t="shared" si="67"/>
        <v>251.86392000000004</v>
      </c>
    </row>
    <row r="749" spans="1:5" ht="18" x14ac:dyDescent="0.35">
      <c r="A749" s="5" t="s">
        <v>761</v>
      </c>
      <c r="B749" s="50" t="s">
        <v>88</v>
      </c>
      <c r="C749" s="7">
        <v>0.53</v>
      </c>
      <c r="D749" s="7">
        <v>1.6</v>
      </c>
      <c r="E749" s="85">
        <f t="shared" si="67"/>
        <v>0.84800000000000009</v>
      </c>
    </row>
    <row r="750" spans="1:5" ht="18" x14ac:dyDescent="0.35">
      <c r="A750" s="5"/>
      <c r="B750" s="50" t="s">
        <v>34</v>
      </c>
      <c r="C750" s="7"/>
      <c r="D750" s="7">
        <v>14.61</v>
      </c>
      <c r="E750" s="85">
        <f t="shared" si="67"/>
        <v>0</v>
      </c>
    </row>
    <row r="751" spans="1:5" ht="18" x14ac:dyDescent="0.35">
      <c r="A751" s="5"/>
      <c r="B751" s="50" t="s">
        <v>35</v>
      </c>
      <c r="C751" s="7">
        <v>4</v>
      </c>
      <c r="D751" s="7">
        <v>2.89</v>
      </c>
      <c r="E751" s="85">
        <f t="shared" si="67"/>
        <v>11.56</v>
      </c>
    </row>
    <row r="752" spans="1:5" ht="18" x14ac:dyDescent="0.35">
      <c r="A752" s="5"/>
      <c r="B752" s="50" t="s">
        <v>36</v>
      </c>
      <c r="C752" s="7">
        <v>4</v>
      </c>
      <c r="D752" s="7">
        <v>0.6</v>
      </c>
      <c r="E752" s="85">
        <f t="shared" si="67"/>
        <v>2.4</v>
      </c>
    </row>
    <row r="753" spans="1:5" ht="18" x14ac:dyDescent="0.35">
      <c r="A753" s="5"/>
      <c r="B753" s="5"/>
      <c r="C753" s="54"/>
      <c r="D753" s="54"/>
      <c r="E753" s="89">
        <f>SUM(E747:E752)</f>
        <v>341.21948000000003</v>
      </c>
    </row>
    <row r="754" spans="1:5" ht="18" x14ac:dyDescent="0.35">
      <c r="A754" s="5"/>
      <c r="B754" s="50" t="s">
        <v>37</v>
      </c>
      <c r="C754" s="54">
        <v>1</v>
      </c>
      <c r="D754" s="54">
        <v>85</v>
      </c>
      <c r="E754" s="85">
        <f>C754*D754</f>
        <v>85</v>
      </c>
    </row>
    <row r="755" spans="1:5" ht="18" x14ac:dyDescent="0.35">
      <c r="A755" s="5"/>
      <c r="B755" s="5"/>
      <c r="C755" s="54"/>
      <c r="D755" s="54"/>
      <c r="E755" s="85">
        <f>SUM(E753:E754)</f>
        <v>426.21948000000003</v>
      </c>
    </row>
    <row r="757" spans="1:5" ht="21" x14ac:dyDescent="0.4">
      <c r="A757" s="40" t="s">
        <v>599</v>
      </c>
      <c r="B757" s="40"/>
      <c r="C757" s="84"/>
    </row>
    <row r="758" spans="1:5" ht="18" x14ac:dyDescent="0.35">
      <c r="A758" s="5"/>
      <c r="B758" s="5"/>
      <c r="C758" s="7" t="s">
        <v>28</v>
      </c>
      <c r="D758" s="7" t="s">
        <v>29</v>
      </c>
      <c r="E758" s="7" t="s">
        <v>30</v>
      </c>
    </row>
    <row r="759" spans="1:5" ht="18" x14ac:dyDescent="0.35">
      <c r="A759" s="5" t="s">
        <v>762</v>
      </c>
      <c r="B759" s="50" t="s">
        <v>32</v>
      </c>
      <c r="C759" s="7">
        <v>2.2389999999999999</v>
      </c>
      <c r="D759" s="7">
        <v>30.44</v>
      </c>
      <c r="E759" s="85">
        <f t="shared" ref="E759:E764" si="68">C759*D759</f>
        <v>68.155159999999995</v>
      </c>
    </row>
    <row r="760" spans="1:5" ht="18" x14ac:dyDescent="0.35">
      <c r="A760" s="5" t="s">
        <v>678</v>
      </c>
      <c r="B760" s="50" t="s">
        <v>33</v>
      </c>
      <c r="C760" s="7">
        <v>8.5470000000000006</v>
      </c>
      <c r="D760" s="7">
        <v>16.170000000000002</v>
      </c>
      <c r="E760" s="85">
        <f t="shared" si="68"/>
        <v>138.20499000000004</v>
      </c>
    </row>
    <row r="761" spans="1:5" ht="18" x14ac:dyDescent="0.35">
      <c r="A761" s="5" t="s">
        <v>763</v>
      </c>
      <c r="B761" s="50" t="s">
        <v>485</v>
      </c>
      <c r="C761" s="7">
        <v>2</v>
      </c>
      <c r="D761" s="7">
        <v>1.08</v>
      </c>
      <c r="E761" s="85">
        <f t="shared" si="68"/>
        <v>2.16</v>
      </c>
    </row>
    <row r="762" spans="1:5" ht="18" x14ac:dyDescent="0.35">
      <c r="A762" s="5"/>
      <c r="B762" s="50" t="s">
        <v>34</v>
      </c>
      <c r="C762" s="7">
        <v>0.27</v>
      </c>
      <c r="D762" s="7">
        <v>14.61</v>
      </c>
      <c r="E762" s="85">
        <f t="shared" si="68"/>
        <v>3.9447000000000001</v>
      </c>
    </row>
    <row r="763" spans="1:5" ht="18" x14ac:dyDescent="0.35">
      <c r="A763" s="5"/>
      <c r="B763" s="50" t="s">
        <v>35</v>
      </c>
      <c r="C763" s="7">
        <v>4</v>
      </c>
      <c r="D763" s="7">
        <v>2.89</v>
      </c>
      <c r="E763" s="85">
        <f t="shared" si="68"/>
        <v>11.56</v>
      </c>
    </row>
    <row r="764" spans="1:5" ht="18" x14ac:dyDescent="0.35">
      <c r="A764" s="5"/>
      <c r="B764" s="50" t="s">
        <v>36</v>
      </c>
      <c r="C764" s="7">
        <v>4</v>
      </c>
      <c r="D764" s="7">
        <v>0.6</v>
      </c>
      <c r="E764" s="85">
        <f t="shared" si="68"/>
        <v>2.4</v>
      </c>
    </row>
    <row r="765" spans="1:5" ht="18" x14ac:dyDescent="0.35">
      <c r="A765" s="5"/>
      <c r="B765" s="5"/>
      <c r="C765" s="54"/>
      <c r="D765" s="54"/>
      <c r="E765" s="89">
        <f>SUM(E759:E764)</f>
        <v>226.42485000000005</v>
      </c>
    </row>
    <row r="766" spans="1:5" ht="18" x14ac:dyDescent="0.35">
      <c r="A766" s="5"/>
      <c r="B766" s="50" t="s">
        <v>37</v>
      </c>
      <c r="C766" s="54">
        <v>0.5</v>
      </c>
      <c r="D766" s="54">
        <v>131</v>
      </c>
      <c r="E766" s="85">
        <f>C766*D766</f>
        <v>65.5</v>
      </c>
    </row>
    <row r="767" spans="1:5" ht="18" x14ac:dyDescent="0.35">
      <c r="A767" s="5"/>
      <c r="B767" s="5"/>
      <c r="C767" s="54"/>
      <c r="D767" s="54"/>
      <c r="E767" s="85">
        <f>SUM(E765:E766)</f>
        <v>291.92485000000005</v>
      </c>
    </row>
    <row r="769" spans="1:5" ht="21" x14ac:dyDescent="0.4">
      <c r="A769" s="40" t="s">
        <v>598</v>
      </c>
      <c r="B769" s="40"/>
      <c r="C769" s="84"/>
      <c r="D769" s="12"/>
      <c r="E769" s="83"/>
    </row>
    <row r="770" spans="1:5" x14ac:dyDescent="0.3">
      <c r="C770" s="12"/>
      <c r="D770" s="12"/>
      <c r="E770" s="12"/>
    </row>
    <row r="771" spans="1:5" ht="18" x14ac:dyDescent="0.35">
      <c r="A771" s="5"/>
      <c r="B771" s="5"/>
      <c r="C771" s="7" t="s">
        <v>28</v>
      </c>
      <c r="D771" s="7" t="s">
        <v>29</v>
      </c>
      <c r="E771" s="7" t="s">
        <v>30</v>
      </c>
    </row>
    <row r="772" spans="1:5" ht="18" x14ac:dyDescent="0.35">
      <c r="A772" s="5" t="s">
        <v>79</v>
      </c>
      <c r="B772" s="50" t="s">
        <v>32</v>
      </c>
      <c r="C772" s="7">
        <v>0.49099999999999999</v>
      </c>
      <c r="D772" s="7">
        <v>29.12</v>
      </c>
      <c r="E772" s="85">
        <f t="shared" ref="E772:E777" si="69">C772*D772</f>
        <v>14.29792</v>
      </c>
    </row>
    <row r="773" spans="1:5" ht="18" x14ac:dyDescent="0.35">
      <c r="A773" s="5" t="s">
        <v>52</v>
      </c>
      <c r="B773" s="50" t="s">
        <v>33</v>
      </c>
      <c r="C773" s="7">
        <v>7.4660000000000002</v>
      </c>
      <c r="D773" s="7">
        <v>14.94</v>
      </c>
      <c r="E773" s="85">
        <f t="shared" si="69"/>
        <v>111.54204</v>
      </c>
    </row>
    <row r="774" spans="1:5" ht="18" x14ac:dyDescent="0.35">
      <c r="A774" s="5" t="s">
        <v>674</v>
      </c>
      <c r="B774" s="50" t="s">
        <v>97</v>
      </c>
      <c r="C774" s="7">
        <v>2</v>
      </c>
      <c r="D774" s="7">
        <v>1.48</v>
      </c>
      <c r="E774" s="85">
        <f t="shared" si="69"/>
        <v>2.96</v>
      </c>
    </row>
    <row r="775" spans="1:5" ht="18" x14ac:dyDescent="0.35">
      <c r="A775" s="5"/>
      <c r="B775" s="50" t="s">
        <v>34</v>
      </c>
      <c r="C775" s="7">
        <v>0.21</v>
      </c>
      <c r="D775" s="7">
        <v>14.61</v>
      </c>
      <c r="E775" s="85">
        <f t="shared" si="69"/>
        <v>3.0680999999999998</v>
      </c>
    </row>
    <row r="776" spans="1:5" ht="18" x14ac:dyDescent="0.35">
      <c r="A776" s="5"/>
      <c r="B776" s="50" t="s">
        <v>35</v>
      </c>
      <c r="C776" s="7">
        <v>4</v>
      </c>
      <c r="D776" s="7">
        <v>2.89</v>
      </c>
      <c r="E776" s="85">
        <f t="shared" si="69"/>
        <v>11.56</v>
      </c>
    </row>
    <row r="777" spans="1:5" ht="18" x14ac:dyDescent="0.35">
      <c r="A777" s="5"/>
      <c r="B777" s="50" t="s">
        <v>36</v>
      </c>
      <c r="C777" s="7">
        <v>4</v>
      </c>
      <c r="D777" s="7">
        <v>0.6</v>
      </c>
      <c r="E777" s="85">
        <f t="shared" si="69"/>
        <v>2.4</v>
      </c>
    </row>
    <row r="778" spans="1:5" ht="18" x14ac:dyDescent="0.35">
      <c r="A778" s="5"/>
      <c r="B778" s="5"/>
      <c r="C778" s="54"/>
      <c r="D778" s="54"/>
      <c r="E778" s="89">
        <f>SUM(E772:E777)</f>
        <v>145.82805999999999</v>
      </c>
    </row>
    <row r="779" spans="1:5" ht="18" x14ac:dyDescent="0.35">
      <c r="A779" s="5"/>
      <c r="B779" s="50" t="s">
        <v>37</v>
      </c>
      <c r="C779" s="54">
        <v>0.5</v>
      </c>
      <c r="D779" s="54">
        <v>131</v>
      </c>
      <c r="E779" s="85">
        <f>C779*D779</f>
        <v>65.5</v>
      </c>
    </row>
    <row r="780" spans="1:5" ht="18" x14ac:dyDescent="0.35">
      <c r="A780" s="5"/>
      <c r="B780" s="5"/>
      <c r="C780" s="54"/>
      <c r="D780" s="54"/>
      <c r="E780" s="85">
        <f>SUM(E778:E779)</f>
        <v>211.32805999999999</v>
      </c>
    </row>
    <row r="783" spans="1:5" ht="21" x14ac:dyDescent="0.4">
      <c r="A783" s="40" t="s">
        <v>599</v>
      </c>
      <c r="B783" s="40"/>
      <c r="C783" s="84"/>
    </row>
    <row r="784" spans="1:5" ht="18" x14ac:dyDescent="0.35">
      <c r="A784" s="5"/>
      <c r="B784" s="5"/>
      <c r="C784" s="7" t="s">
        <v>28</v>
      </c>
      <c r="D784" s="7" t="s">
        <v>29</v>
      </c>
      <c r="E784" s="7" t="s">
        <v>30</v>
      </c>
    </row>
    <row r="785" spans="1:5" ht="18" x14ac:dyDescent="0.35">
      <c r="A785" s="5" t="s">
        <v>764</v>
      </c>
      <c r="B785" s="50" t="s">
        <v>32</v>
      </c>
      <c r="C785" s="7">
        <v>2.5739999999999998</v>
      </c>
      <c r="D785" s="7">
        <v>30.44</v>
      </c>
      <c r="E785" s="85">
        <f t="shared" ref="E785:E790" si="70">C785*D785</f>
        <v>78.352559999999997</v>
      </c>
    </row>
    <row r="786" spans="1:5" ht="18" x14ac:dyDescent="0.35">
      <c r="A786" s="5" t="s">
        <v>765</v>
      </c>
      <c r="B786" s="50" t="s">
        <v>33</v>
      </c>
      <c r="C786" s="7">
        <v>16.106999999999999</v>
      </c>
      <c r="D786" s="7">
        <v>16.170000000000002</v>
      </c>
      <c r="E786" s="85">
        <f t="shared" si="70"/>
        <v>260.45019000000002</v>
      </c>
    </row>
    <row r="787" spans="1:5" ht="18" x14ac:dyDescent="0.35">
      <c r="A787" s="5" t="s">
        <v>766</v>
      </c>
      <c r="B787" s="50" t="s">
        <v>303</v>
      </c>
      <c r="C787" s="7">
        <v>2</v>
      </c>
      <c r="D787" s="7">
        <v>1.6</v>
      </c>
      <c r="E787" s="85">
        <f t="shared" si="70"/>
        <v>3.2</v>
      </c>
    </row>
    <row r="788" spans="1:5" ht="18" x14ac:dyDescent="0.35">
      <c r="A788" s="5"/>
      <c r="B788" s="50" t="s">
        <v>34</v>
      </c>
      <c r="C788" s="7">
        <v>0.62</v>
      </c>
      <c r="D788" s="7">
        <v>14.61</v>
      </c>
      <c r="E788" s="85">
        <f t="shared" si="70"/>
        <v>9.0581999999999994</v>
      </c>
    </row>
    <row r="789" spans="1:5" ht="18" x14ac:dyDescent="0.35">
      <c r="A789" s="5"/>
      <c r="B789" s="50" t="s">
        <v>35</v>
      </c>
      <c r="C789" s="7">
        <v>4</v>
      </c>
      <c r="D789" s="7">
        <v>2.89</v>
      </c>
      <c r="E789" s="85">
        <f t="shared" si="70"/>
        <v>11.56</v>
      </c>
    </row>
    <row r="790" spans="1:5" ht="18" x14ac:dyDescent="0.35">
      <c r="A790" s="5"/>
      <c r="B790" s="50" t="s">
        <v>36</v>
      </c>
      <c r="C790" s="7">
        <v>4</v>
      </c>
      <c r="D790" s="7">
        <v>0.6</v>
      </c>
      <c r="E790" s="85">
        <f t="shared" si="70"/>
        <v>2.4</v>
      </c>
    </row>
    <row r="791" spans="1:5" ht="18" x14ac:dyDescent="0.35">
      <c r="A791" s="5"/>
      <c r="B791" s="5"/>
      <c r="C791" s="54"/>
      <c r="D791" s="54"/>
      <c r="E791" s="89">
        <f>SUM(E785:E790)</f>
        <v>365.02094999999997</v>
      </c>
    </row>
    <row r="792" spans="1:5" ht="18" x14ac:dyDescent="0.35">
      <c r="A792" s="5"/>
      <c r="B792" s="50" t="s">
        <v>37</v>
      </c>
      <c r="C792" s="54">
        <v>1</v>
      </c>
      <c r="D792" s="54">
        <v>131</v>
      </c>
      <c r="E792" s="85">
        <f>C792*D792</f>
        <v>131</v>
      </c>
    </row>
    <row r="793" spans="1:5" ht="18" x14ac:dyDescent="0.35">
      <c r="A793" s="5"/>
      <c r="B793" s="5"/>
      <c r="C793" s="54"/>
      <c r="D793" s="54"/>
      <c r="E793" s="85">
        <f>SUM(E791:E792)</f>
        <v>496.02094999999997</v>
      </c>
    </row>
    <row r="796" spans="1:5" ht="21" x14ac:dyDescent="0.4">
      <c r="A796" s="40" t="s">
        <v>599</v>
      </c>
      <c r="B796" s="40"/>
      <c r="C796" s="84"/>
    </row>
    <row r="797" spans="1:5" ht="18" x14ac:dyDescent="0.35">
      <c r="A797" s="5"/>
      <c r="B797" s="5"/>
      <c r="C797" s="7" t="s">
        <v>28</v>
      </c>
      <c r="D797" s="7" t="s">
        <v>29</v>
      </c>
      <c r="E797" s="7" t="s">
        <v>30</v>
      </c>
    </row>
    <row r="798" spans="1:5" ht="18" x14ac:dyDescent="0.35">
      <c r="A798" s="5" t="s">
        <v>396</v>
      </c>
      <c r="B798" s="50" t="s">
        <v>32</v>
      </c>
      <c r="C798" s="7">
        <v>3.4990000000000001</v>
      </c>
      <c r="D798" s="7">
        <v>30.44</v>
      </c>
      <c r="E798" s="85">
        <f t="shared" ref="E798:E803" si="71">C798*D798</f>
        <v>106.50956000000001</v>
      </c>
    </row>
    <row r="799" spans="1:5" ht="18" x14ac:dyDescent="0.35">
      <c r="A799" s="5" t="s">
        <v>767</v>
      </c>
      <c r="B799" s="50" t="s">
        <v>33</v>
      </c>
      <c r="C799" s="7">
        <v>33.18</v>
      </c>
      <c r="D799" s="7">
        <v>16.170000000000002</v>
      </c>
      <c r="E799" s="85">
        <f t="shared" si="71"/>
        <v>536.52060000000006</v>
      </c>
    </row>
    <row r="800" spans="1:5" ht="18" x14ac:dyDescent="0.35">
      <c r="A800" s="5" t="s">
        <v>766</v>
      </c>
      <c r="B800" s="50" t="s">
        <v>359</v>
      </c>
      <c r="C800" s="7">
        <v>4</v>
      </c>
      <c r="D800" s="7">
        <v>1.81</v>
      </c>
      <c r="E800" s="85">
        <f t="shared" si="71"/>
        <v>7.24</v>
      </c>
    </row>
    <row r="801" spans="1:5" ht="18" x14ac:dyDescent="0.35">
      <c r="A801" s="5"/>
      <c r="B801" s="50" t="s">
        <v>34</v>
      </c>
      <c r="C801" s="7">
        <v>0.88</v>
      </c>
      <c r="D801" s="7">
        <v>14.61</v>
      </c>
      <c r="E801" s="85">
        <f t="shared" si="71"/>
        <v>12.8568</v>
      </c>
    </row>
    <row r="802" spans="1:5" ht="18" x14ac:dyDescent="0.35">
      <c r="A802" s="5"/>
      <c r="B802" s="50" t="s">
        <v>35</v>
      </c>
      <c r="C802" s="7">
        <v>4</v>
      </c>
      <c r="D802" s="7">
        <v>2.89</v>
      </c>
      <c r="E802" s="85">
        <f t="shared" si="71"/>
        <v>11.56</v>
      </c>
    </row>
    <row r="803" spans="1:5" ht="18" x14ac:dyDescent="0.35">
      <c r="A803" s="5"/>
      <c r="B803" s="50" t="s">
        <v>36</v>
      </c>
      <c r="C803" s="7">
        <v>4</v>
      </c>
      <c r="D803" s="7">
        <v>0.6</v>
      </c>
      <c r="E803" s="85">
        <f t="shared" si="71"/>
        <v>2.4</v>
      </c>
    </row>
    <row r="804" spans="1:5" ht="18" x14ac:dyDescent="0.35">
      <c r="A804" s="5"/>
      <c r="B804" s="5"/>
      <c r="C804" s="54"/>
      <c r="D804" s="54"/>
      <c r="E804" s="89">
        <f>SUM(E798:E803)</f>
        <v>677.08695999999998</v>
      </c>
    </row>
    <row r="805" spans="1:5" ht="18" x14ac:dyDescent="0.35">
      <c r="A805" s="5"/>
      <c r="B805" s="50" t="s">
        <v>37</v>
      </c>
      <c r="C805" s="54">
        <v>1.5</v>
      </c>
      <c r="D805" s="54">
        <v>131</v>
      </c>
      <c r="E805" s="85">
        <f>C805*D805</f>
        <v>196.5</v>
      </c>
    </row>
    <row r="806" spans="1:5" ht="18" x14ac:dyDescent="0.35">
      <c r="A806" s="5"/>
      <c r="B806" s="5"/>
      <c r="C806" s="54"/>
      <c r="D806" s="54"/>
      <c r="E806" s="85">
        <f>SUM(E804:E805)</f>
        <v>873.58695999999998</v>
      </c>
    </row>
    <row r="809" spans="1:5" ht="21" x14ac:dyDescent="0.4">
      <c r="A809" s="40" t="s">
        <v>602</v>
      </c>
      <c r="B809" s="40"/>
      <c r="C809" s="84"/>
      <c r="D809" s="12"/>
      <c r="E809" s="12"/>
    </row>
    <row r="810" spans="1:5" ht="21" x14ac:dyDescent="0.4">
      <c r="A810" s="40"/>
      <c r="B810" s="40"/>
      <c r="C810" s="84"/>
      <c r="D810" s="12"/>
      <c r="E810" s="12"/>
    </row>
    <row r="811" spans="1:5" ht="18" x14ac:dyDescent="0.35">
      <c r="A811" s="5"/>
      <c r="B811" s="5"/>
      <c r="C811" s="7" t="s">
        <v>28</v>
      </c>
      <c r="D811" s="7" t="s">
        <v>29</v>
      </c>
      <c r="E811" s="7" t="s">
        <v>30</v>
      </c>
    </row>
    <row r="812" spans="1:5" ht="18" x14ac:dyDescent="0.35">
      <c r="A812" s="5" t="s">
        <v>768</v>
      </c>
      <c r="B812" s="50" t="s">
        <v>32</v>
      </c>
      <c r="C812" s="7">
        <v>3.0790000000000002</v>
      </c>
      <c r="D812" s="7">
        <v>42.29</v>
      </c>
      <c r="E812" s="85">
        <f t="shared" ref="E812:E819" si="72">C812*D812</f>
        <v>130.21091000000001</v>
      </c>
    </row>
    <row r="813" spans="1:5" ht="18" x14ac:dyDescent="0.35">
      <c r="A813" s="5" t="s">
        <v>591</v>
      </c>
      <c r="B813" s="50" t="s">
        <v>33</v>
      </c>
      <c r="C813" s="7">
        <v>14.930999999999999</v>
      </c>
      <c r="D813" s="7">
        <v>16.09</v>
      </c>
      <c r="E813" s="85">
        <f t="shared" si="72"/>
        <v>240.23978999999997</v>
      </c>
    </row>
    <row r="814" spans="1:5" ht="18" x14ac:dyDescent="0.35">
      <c r="A814" s="5" t="s">
        <v>769</v>
      </c>
      <c r="B814" s="50" t="s">
        <v>33</v>
      </c>
      <c r="C814" s="7">
        <v>14.28</v>
      </c>
      <c r="D814" s="7">
        <v>16.09</v>
      </c>
      <c r="E814" s="85">
        <f t="shared" si="72"/>
        <v>229.76519999999999</v>
      </c>
    </row>
    <row r="815" spans="1:5" ht="18" x14ac:dyDescent="0.35">
      <c r="A815" s="5" t="s">
        <v>539</v>
      </c>
      <c r="B815" s="50" t="s">
        <v>770</v>
      </c>
      <c r="C815" s="7">
        <v>2</v>
      </c>
      <c r="D815" s="7">
        <v>3.32</v>
      </c>
      <c r="E815" s="85">
        <f t="shared" si="72"/>
        <v>6.64</v>
      </c>
    </row>
    <row r="816" spans="1:5" ht="18" x14ac:dyDescent="0.35">
      <c r="A816" s="5"/>
      <c r="B816" s="50" t="s">
        <v>771</v>
      </c>
      <c r="C816" s="88">
        <v>2</v>
      </c>
      <c r="D816" s="88">
        <v>3.84</v>
      </c>
      <c r="E816" s="90">
        <f t="shared" si="72"/>
        <v>7.68</v>
      </c>
    </row>
    <row r="817" spans="1:5" ht="18" x14ac:dyDescent="0.35">
      <c r="A817" s="5"/>
      <c r="B817" s="50" t="s">
        <v>34</v>
      </c>
      <c r="C817" s="7">
        <v>1.37</v>
      </c>
      <c r="D817" s="7">
        <v>13.67</v>
      </c>
      <c r="E817" s="85">
        <f t="shared" si="72"/>
        <v>18.727900000000002</v>
      </c>
    </row>
    <row r="818" spans="1:5" ht="18" x14ac:dyDescent="0.35">
      <c r="A818" s="5"/>
      <c r="B818" s="50" t="s">
        <v>35</v>
      </c>
      <c r="C818" s="7">
        <v>4</v>
      </c>
      <c r="D818" s="7">
        <v>2.89</v>
      </c>
      <c r="E818" s="85">
        <f t="shared" si="72"/>
        <v>11.56</v>
      </c>
    </row>
    <row r="819" spans="1:5" ht="18" x14ac:dyDescent="0.35">
      <c r="A819" s="5"/>
      <c r="B819" s="50" t="s">
        <v>36</v>
      </c>
      <c r="C819" s="7">
        <v>4</v>
      </c>
      <c r="D819" s="7">
        <v>0.6</v>
      </c>
      <c r="E819" s="85">
        <f t="shared" si="72"/>
        <v>2.4</v>
      </c>
    </row>
    <row r="820" spans="1:5" ht="18" x14ac:dyDescent="0.35">
      <c r="A820" s="5"/>
      <c r="B820" s="5"/>
      <c r="C820" s="54"/>
      <c r="D820" s="54"/>
      <c r="E820" s="89">
        <f>SUM(E812:E819)</f>
        <v>647.22379999999976</v>
      </c>
    </row>
    <row r="821" spans="1:5" ht="18" x14ac:dyDescent="0.35">
      <c r="A821" s="5"/>
      <c r="B821" s="50" t="s">
        <v>37</v>
      </c>
      <c r="C821" s="54">
        <v>2</v>
      </c>
      <c r="D821" s="54">
        <v>101.32</v>
      </c>
      <c r="E821" s="85">
        <f>C821*D821</f>
        <v>202.64</v>
      </c>
    </row>
    <row r="822" spans="1:5" ht="18" x14ac:dyDescent="0.35">
      <c r="A822" s="5"/>
      <c r="B822" s="5"/>
      <c r="C822" s="54"/>
      <c r="D822" s="54"/>
      <c r="E822" s="85">
        <f>SUM(E820:E821)</f>
        <v>849.86379999999974</v>
      </c>
    </row>
    <row r="825" spans="1:5" ht="21" x14ac:dyDescent="0.4">
      <c r="A825" s="40" t="s">
        <v>602</v>
      </c>
      <c r="B825" s="40"/>
      <c r="C825" s="84"/>
      <c r="D825" s="12"/>
      <c r="E825" s="12"/>
    </row>
    <row r="826" spans="1:5" ht="21" x14ac:dyDescent="0.4">
      <c r="A826" s="40"/>
      <c r="B826" s="40"/>
      <c r="C826" s="84"/>
      <c r="D826" s="12"/>
      <c r="E826" s="12"/>
    </row>
    <row r="827" spans="1:5" ht="18" x14ac:dyDescent="0.35">
      <c r="A827" s="5"/>
      <c r="B827" s="5"/>
      <c r="C827" s="7" t="s">
        <v>28</v>
      </c>
      <c r="D827" s="7" t="s">
        <v>29</v>
      </c>
      <c r="E827" s="7" t="s">
        <v>30</v>
      </c>
    </row>
    <row r="828" spans="1:5" ht="18" x14ac:dyDescent="0.35">
      <c r="A828" s="5" t="s">
        <v>772</v>
      </c>
      <c r="B828" s="50" t="s">
        <v>32</v>
      </c>
      <c r="C828" s="7">
        <v>1.482</v>
      </c>
      <c r="D828" s="7">
        <v>42.29</v>
      </c>
      <c r="E828" s="85">
        <f t="shared" ref="E828:E835" si="73">C828*D828</f>
        <v>62.673780000000001</v>
      </c>
    </row>
    <row r="829" spans="1:5" ht="18" x14ac:dyDescent="0.35">
      <c r="A829" s="5" t="s">
        <v>773</v>
      </c>
      <c r="B829" s="50" t="s">
        <v>33</v>
      </c>
      <c r="C829" s="7">
        <v>4.6619999999999999</v>
      </c>
      <c r="D829" s="7">
        <v>16.09</v>
      </c>
      <c r="E829" s="85">
        <f t="shared" si="73"/>
        <v>75.011579999999995</v>
      </c>
    </row>
    <row r="830" spans="1:5" ht="18" x14ac:dyDescent="0.35">
      <c r="A830" s="5" t="s">
        <v>54</v>
      </c>
      <c r="B830" s="50" t="s">
        <v>33</v>
      </c>
      <c r="C830" s="7">
        <v>4.9870000000000001</v>
      </c>
      <c r="D830" s="7">
        <v>16.09</v>
      </c>
      <c r="E830" s="85">
        <f t="shared" si="73"/>
        <v>80.240830000000003</v>
      </c>
    </row>
    <row r="831" spans="1:5" ht="18" x14ac:dyDescent="0.35">
      <c r="A831" s="5" t="s">
        <v>777</v>
      </c>
      <c r="B831" s="50" t="s">
        <v>776</v>
      </c>
      <c r="C831" s="7">
        <v>2</v>
      </c>
      <c r="D831" s="7">
        <v>1.7</v>
      </c>
      <c r="E831" s="85">
        <f t="shared" si="73"/>
        <v>3.4</v>
      </c>
    </row>
    <row r="832" spans="1:5" ht="18" x14ac:dyDescent="0.35">
      <c r="A832" s="5"/>
      <c r="B832" s="50" t="s">
        <v>778</v>
      </c>
      <c r="C832" s="88">
        <v>2</v>
      </c>
      <c r="D832" s="88">
        <v>1.81</v>
      </c>
      <c r="E832" s="90">
        <f t="shared" si="73"/>
        <v>3.62</v>
      </c>
    </row>
    <row r="833" spans="1:5" ht="18" x14ac:dyDescent="0.35">
      <c r="A833" s="5"/>
      <c r="B833" s="50" t="s">
        <v>34</v>
      </c>
      <c r="C833" s="7"/>
      <c r="D833" s="7">
        <v>13.67</v>
      </c>
      <c r="E833" s="85">
        <f t="shared" si="73"/>
        <v>0</v>
      </c>
    </row>
    <row r="834" spans="1:5" ht="18" x14ac:dyDescent="0.35">
      <c r="A834" s="5"/>
      <c r="B834" s="50" t="s">
        <v>35</v>
      </c>
      <c r="C834" s="7">
        <v>4</v>
      </c>
      <c r="D834" s="7">
        <v>2.89</v>
      </c>
      <c r="E834" s="85">
        <f t="shared" si="73"/>
        <v>11.56</v>
      </c>
    </row>
    <row r="835" spans="1:5" ht="18" x14ac:dyDescent="0.35">
      <c r="A835" s="5"/>
      <c r="B835" s="50" t="s">
        <v>36</v>
      </c>
      <c r="C835" s="7">
        <v>4</v>
      </c>
      <c r="D835" s="7">
        <v>0.6</v>
      </c>
      <c r="E835" s="85">
        <f t="shared" si="73"/>
        <v>2.4</v>
      </c>
    </row>
    <row r="836" spans="1:5" ht="18" x14ac:dyDescent="0.35">
      <c r="A836" s="5"/>
      <c r="B836" s="5"/>
      <c r="C836" s="54"/>
      <c r="D836" s="54"/>
      <c r="E836" s="89">
        <f>SUM(E828:E835)</f>
        <v>238.90619000000004</v>
      </c>
    </row>
    <row r="837" spans="1:5" ht="18" x14ac:dyDescent="0.35">
      <c r="A837" s="5"/>
      <c r="B837" s="50" t="s">
        <v>37</v>
      </c>
      <c r="C837" s="54">
        <v>0.5</v>
      </c>
      <c r="D837" s="54">
        <v>101.32</v>
      </c>
      <c r="E837" s="85">
        <f>C837*D837</f>
        <v>50.66</v>
      </c>
    </row>
    <row r="838" spans="1:5" ht="18" x14ac:dyDescent="0.35">
      <c r="A838" s="5"/>
      <c r="B838" s="5"/>
      <c r="C838" s="54"/>
      <c r="D838" s="54"/>
      <c r="E838" s="85">
        <f>SUM(E836:E837)</f>
        <v>289.56619000000001</v>
      </c>
    </row>
    <row r="841" spans="1:5" ht="21" x14ac:dyDescent="0.4">
      <c r="A841" s="40" t="s">
        <v>602</v>
      </c>
      <c r="B841" s="40"/>
      <c r="C841" s="84"/>
      <c r="D841" s="12"/>
      <c r="E841" s="12"/>
    </row>
    <row r="842" spans="1:5" ht="21" x14ac:dyDescent="0.4">
      <c r="A842" s="40"/>
      <c r="B842" s="40"/>
      <c r="C842" s="84"/>
      <c r="D842" s="12"/>
      <c r="E842" s="12"/>
    </row>
    <row r="843" spans="1:5" ht="18" x14ac:dyDescent="0.35">
      <c r="A843" s="5"/>
      <c r="B843" s="5"/>
      <c r="C843" s="7" t="s">
        <v>28</v>
      </c>
      <c r="D843" s="7" t="s">
        <v>29</v>
      </c>
      <c r="E843" s="7" t="s">
        <v>30</v>
      </c>
    </row>
    <row r="844" spans="1:5" ht="18" x14ac:dyDescent="0.35">
      <c r="A844" s="5" t="s">
        <v>779</v>
      </c>
      <c r="B844" s="50" t="s">
        <v>32</v>
      </c>
      <c r="C844" s="7">
        <v>1.546</v>
      </c>
      <c r="D844" s="7">
        <v>42.29</v>
      </c>
      <c r="E844" s="85">
        <f t="shared" ref="E844:E851" si="74">C844*D844</f>
        <v>65.380340000000004</v>
      </c>
    </row>
    <row r="845" spans="1:5" ht="18" x14ac:dyDescent="0.35">
      <c r="A845" s="5" t="s">
        <v>545</v>
      </c>
      <c r="B845" s="50" t="s">
        <v>33</v>
      </c>
      <c r="C845" s="7">
        <v>4.7350000000000003</v>
      </c>
      <c r="D845" s="7">
        <v>16.09</v>
      </c>
      <c r="E845" s="85">
        <f t="shared" si="74"/>
        <v>76.186149999999998</v>
      </c>
    </row>
    <row r="846" spans="1:5" ht="18" x14ac:dyDescent="0.35">
      <c r="A846" s="5" t="s">
        <v>780</v>
      </c>
      <c r="B846" s="50" t="s">
        <v>33</v>
      </c>
      <c r="C846" s="7">
        <v>5.04</v>
      </c>
      <c r="D846" s="7">
        <v>16.09</v>
      </c>
      <c r="E846" s="85">
        <f t="shared" si="74"/>
        <v>81.093599999999995</v>
      </c>
    </row>
    <row r="847" spans="1:5" ht="18" x14ac:dyDescent="0.35">
      <c r="A847" s="5" t="s">
        <v>781</v>
      </c>
      <c r="B847" s="50" t="s">
        <v>782</v>
      </c>
      <c r="C847" s="7">
        <v>2</v>
      </c>
      <c r="D847" s="7">
        <v>1.82</v>
      </c>
      <c r="E847" s="85">
        <f t="shared" si="74"/>
        <v>3.64</v>
      </c>
    </row>
    <row r="848" spans="1:5" ht="18" x14ac:dyDescent="0.35">
      <c r="A848" s="5"/>
      <c r="B848" s="50" t="s">
        <v>485</v>
      </c>
      <c r="C848" s="88">
        <v>2</v>
      </c>
      <c r="D848" s="88">
        <v>1.08</v>
      </c>
      <c r="E848" s="90">
        <f t="shared" si="74"/>
        <v>2.16</v>
      </c>
    </row>
    <row r="849" spans="1:5" ht="18" x14ac:dyDescent="0.35">
      <c r="A849" s="5"/>
      <c r="B849" s="50" t="s">
        <v>34</v>
      </c>
      <c r="C849" s="7"/>
      <c r="D849" s="7">
        <v>13.67</v>
      </c>
      <c r="E849" s="85">
        <f t="shared" si="74"/>
        <v>0</v>
      </c>
    </row>
    <row r="850" spans="1:5" ht="18" x14ac:dyDescent="0.35">
      <c r="A850" s="5"/>
      <c r="B850" s="50" t="s">
        <v>35</v>
      </c>
      <c r="C850" s="7">
        <v>4</v>
      </c>
      <c r="D850" s="7">
        <v>2.89</v>
      </c>
      <c r="E850" s="85">
        <f t="shared" si="74"/>
        <v>11.56</v>
      </c>
    </row>
    <row r="851" spans="1:5" ht="18" x14ac:dyDescent="0.35">
      <c r="A851" s="5"/>
      <c r="B851" s="50" t="s">
        <v>36</v>
      </c>
      <c r="C851" s="7">
        <v>4</v>
      </c>
      <c r="D851" s="7">
        <v>0.6</v>
      </c>
      <c r="E851" s="85">
        <f t="shared" si="74"/>
        <v>2.4</v>
      </c>
    </row>
    <row r="852" spans="1:5" ht="18" x14ac:dyDescent="0.35">
      <c r="A852" s="5"/>
      <c r="B852" s="5"/>
      <c r="C852" s="54"/>
      <c r="D852" s="54"/>
      <c r="E852" s="89">
        <f>SUM(E844:E851)</f>
        <v>242.42008999999996</v>
      </c>
    </row>
    <row r="853" spans="1:5" ht="18" x14ac:dyDescent="0.35">
      <c r="A853" s="5"/>
      <c r="B853" s="50" t="s">
        <v>37</v>
      </c>
      <c r="C853" s="54">
        <v>0.5</v>
      </c>
      <c r="D853" s="54">
        <v>101.32</v>
      </c>
      <c r="E853" s="85">
        <f>C853*D853</f>
        <v>50.66</v>
      </c>
    </row>
    <row r="854" spans="1:5" ht="18" x14ac:dyDescent="0.35">
      <c r="A854" s="5"/>
      <c r="B854" s="5"/>
      <c r="C854" s="54"/>
      <c r="D854" s="54"/>
      <c r="E854" s="85">
        <f>SUM(E852:E853)</f>
        <v>293.08008999999993</v>
      </c>
    </row>
    <row r="857" spans="1:5" ht="21" x14ac:dyDescent="0.4">
      <c r="A857" s="40" t="s">
        <v>783</v>
      </c>
      <c r="B857" s="40"/>
      <c r="C857" s="40"/>
      <c r="D857" s="12"/>
      <c r="E857" s="12"/>
    </row>
    <row r="858" spans="1:5" ht="18" x14ac:dyDescent="0.35">
      <c r="A858" s="5"/>
      <c r="B858" s="5"/>
      <c r="C858" s="7" t="s">
        <v>28</v>
      </c>
      <c r="D858" s="7" t="s">
        <v>29</v>
      </c>
      <c r="E858" s="7" t="s">
        <v>30</v>
      </c>
    </row>
    <row r="859" spans="1:5" ht="18" x14ac:dyDescent="0.35">
      <c r="A859" s="5" t="s">
        <v>77</v>
      </c>
      <c r="B859" s="50" t="s">
        <v>32</v>
      </c>
      <c r="C859" s="7">
        <v>1.819</v>
      </c>
      <c r="D859" s="7">
        <v>30.44</v>
      </c>
      <c r="E859" s="85">
        <f t="shared" ref="E859:E864" si="75">C859*D859</f>
        <v>55.370359999999998</v>
      </c>
    </row>
    <row r="860" spans="1:5" ht="18" x14ac:dyDescent="0.35">
      <c r="A860" s="5" t="s">
        <v>53</v>
      </c>
      <c r="B860" s="50" t="s">
        <v>33</v>
      </c>
      <c r="C860" s="7">
        <v>8.673</v>
      </c>
      <c r="D860" s="7">
        <v>17.059999999999999</v>
      </c>
      <c r="E860" s="85">
        <f t="shared" si="75"/>
        <v>147.96137999999999</v>
      </c>
    </row>
    <row r="861" spans="1:5" ht="18" x14ac:dyDescent="0.35">
      <c r="A861" s="5" t="s">
        <v>616</v>
      </c>
      <c r="B861" s="50" t="s">
        <v>137</v>
      </c>
      <c r="C861" s="7">
        <v>0.42</v>
      </c>
      <c r="D861" s="7">
        <v>17.190000000000001</v>
      </c>
      <c r="E861" s="85">
        <f t="shared" si="75"/>
        <v>7.2198000000000002</v>
      </c>
    </row>
    <row r="862" spans="1:5" ht="18" x14ac:dyDescent="0.35">
      <c r="A862" s="5"/>
      <c r="B862" s="50" t="s">
        <v>35</v>
      </c>
      <c r="C862" s="7">
        <v>4</v>
      </c>
      <c r="D862" s="7">
        <v>2.91</v>
      </c>
      <c r="E862" s="85">
        <f t="shared" si="75"/>
        <v>11.64</v>
      </c>
    </row>
    <row r="863" spans="1:5" ht="18" x14ac:dyDescent="0.35">
      <c r="A863" s="5"/>
      <c r="B863" s="50" t="s">
        <v>36</v>
      </c>
      <c r="C863" s="7">
        <v>4</v>
      </c>
      <c r="D863" s="7">
        <v>0.61</v>
      </c>
      <c r="E863" s="85">
        <f t="shared" si="75"/>
        <v>2.44</v>
      </c>
    </row>
    <row r="864" spans="1:5" ht="18" x14ac:dyDescent="0.35">
      <c r="A864" s="5"/>
      <c r="B864" s="50" t="s">
        <v>37</v>
      </c>
      <c r="C864" s="54">
        <v>0.5</v>
      </c>
      <c r="D864" s="86">
        <v>101.32</v>
      </c>
      <c r="E864" s="85">
        <f t="shared" si="75"/>
        <v>50.66</v>
      </c>
    </row>
    <row r="865" spans="1:5" ht="18" x14ac:dyDescent="0.35">
      <c r="A865" s="5"/>
      <c r="B865" s="5"/>
      <c r="C865" s="54"/>
      <c r="D865" s="54"/>
      <c r="E865" s="85">
        <f>SUM(E859:E864)</f>
        <v>275.29153999999994</v>
      </c>
    </row>
    <row r="867" spans="1:5" ht="21" x14ac:dyDescent="0.4">
      <c r="A867" s="40" t="s">
        <v>783</v>
      </c>
      <c r="B867" s="40"/>
      <c r="C867" s="40"/>
      <c r="D867" s="12"/>
      <c r="E867" s="12"/>
    </row>
    <row r="868" spans="1:5" ht="18" x14ac:dyDescent="0.35">
      <c r="A868" s="5"/>
      <c r="B868" s="5"/>
      <c r="C868" s="7" t="s">
        <v>28</v>
      </c>
      <c r="D868" s="7" t="s">
        <v>29</v>
      </c>
      <c r="E868" s="7" t="s">
        <v>30</v>
      </c>
    </row>
    <row r="869" spans="1:5" ht="18" x14ac:dyDescent="0.35">
      <c r="A869" s="5" t="s">
        <v>647</v>
      </c>
      <c r="B869" s="50" t="s">
        <v>32</v>
      </c>
      <c r="C869" s="7">
        <v>2.5539999999999998</v>
      </c>
      <c r="D869" s="7">
        <v>30.44</v>
      </c>
      <c r="E869" s="85">
        <f t="shared" ref="E869:E874" si="76">C869*D869</f>
        <v>77.743759999999995</v>
      </c>
    </row>
    <row r="870" spans="1:5" ht="18" x14ac:dyDescent="0.35">
      <c r="A870" s="5" t="s">
        <v>784</v>
      </c>
      <c r="B870" s="50" t="s">
        <v>33</v>
      </c>
      <c r="C870" s="7">
        <v>22.396000000000001</v>
      </c>
      <c r="D870" s="7">
        <v>17.059999999999999</v>
      </c>
      <c r="E870" s="85">
        <f t="shared" si="76"/>
        <v>382.07576</v>
      </c>
    </row>
    <row r="871" spans="1:5" ht="18" x14ac:dyDescent="0.35">
      <c r="A871" s="5" t="s">
        <v>649</v>
      </c>
      <c r="B871" s="50" t="s">
        <v>137</v>
      </c>
      <c r="C871" s="7">
        <v>0.7</v>
      </c>
      <c r="D871" s="7">
        <v>17.190000000000001</v>
      </c>
      <c r="E871" s="85">
        <f t="shared" si="76"/>
        <v>12.032999999999999</v>
      </c>
    </row>
    <row r="872" spans="1:5" ht="18" x14ac:dyDescent="0.35">
      <c r="A872" s="5"/>
      <c r="B872" s="50" t="s">
        <v>35</v>
      </c>
      <c r="C872" s="7">
        <v>4</v>
      </c>
      <c r="D872" s="7">
        <v>2.91</v>
      </c>
      <c r="E872" s="85">
        <f t="shared" si="76"/>
        <v>11.64</v>
      </c>
    </row>
    <row r="873" spans="1:5" ht="18" x14ac:dyDescent="0.35">
      <c r="A873" s="5"/>
      <c r="B873" s="50" t="s">
        <v>36</v>
      </c>
      <c r="C873" s="7">
        <v>4</v>
      </c>
      <c r="D873" s="7">
        <v>0.61</v>
      </c>
      <c r="E873" s="85">
        <f t="shared" si="76"/>
        <v>2.44</v>
      </c>
    </row>
    <row r="874" spans="1:5" ht="18" x14ac:dyDescent="0.35">
      <c r="A874" s="5"/>
      <c r="B874" s="50" t="s">
        <v>37</v>
      </c>
      <c r="C874" s="54">
        <v>0.5</v>
      </c>
      <c r="D874" s="86">
        <v>101.32</v>
      </c>
      <c r="E874" s="85">
        <f t="shared" si="76"/>
        <v>50.66</v>
      </c>
    </row>
    <row r="875" spans="1:5" ht="18" x14ac:dyDescent="0.35">
      <c r="A875" s="5"/>
      <c r="B875" s="5"/>
      <c r="C875" s="54"/>
      <c r="D875" s="54"/>
      <c r="E875" s="85">
        <f>SUM(E869:E874)</f>
        <v>536.59252000000004</v>
      </c>
    </row>
    <row r="878" spans="1:5" ht="21" x14ac:dyDescent="0.4">
      <c r="A878" s="40" t="s">
        <v>785</v>
      </c>
      <c r="B878" s="40"/>
      <c r="C878" s="40"/>
      <c r="D878" s="12"/>
      <c r="E878" s="12"/>
    </row>
    <row r="879" spans="1:5" ht="18" x14ac:dyDescent="0.35">
      <c r="A879" s="5"/>
      <c r="B879" s="5"/>
      <c r="C879" s="7" t="s">
        <v>28</v>
      </c>
      <c r="D879" s="7" t="s">
        <v>29</v>
      </c>
      <c r="E879" s="7" t="s">
        <v>30</v>
      </c>
    </row>
    <row r="880" spans="1:5" ht="18" x14ac:dyDescent="0.35">
      <c r="A880" s="5" t="s">
        <v>109</v>
      </c>
      <c r="B880" s="50" t="s">
        <v>32</v>
      </c>
      <c r="C880" s="7">
        <v>2.8690000000000002</v>
      </c>
      <c r="D880" s="7">
        <v>30.44</v>
      </c>
      <c r="E880" s="85">
        <f>C880*D880</f>
        <v>87.332360000000008</v>
      </c>
    </row>
    <row r="881" spans="1:5" ht="18" x14ac:dyDescent="0.35">
      <c r="A881" s="5" t="s">
        <v>786</v>
      </c>
      <c r="B881" s="50" t="s">
        <v>33</v>
      </c>
      <c r="C881" s="7">
        <v>21.83</v>
      </c>
      <c r="D881" s="7">
        <v>17.059999999999999</v>
      </c>
      <c r="E881" s="85">
        <f>C881*D881</f>
        <v>372.41979999999995</v>
      </c>
    </row>
    <row r="882" spans="1:5" ht="18" x14ac:dyDescent="0.35">
      <c r="A882" s="5" t="s">
        <v>672</v>
      </c>
      <c r="B882" s="50" t="s">
        <v>137</v>
      </c>
      <c r="C882" s="7">
        <v>1.58</v>
      </c>
      <c r="D882" s="7">
        <v>17.190000000000001</v>
      </c>
      <c r="E882" s="85">
        <f>C882*D882</f>
        <v>27.160200000000003</v>
      </c>
    </row>
    <row r="883" spans="1:5" ht="18" x14ac:dyDescent="0.35">
      <c r="A883" s="5"/>
      <c r="B883" s="50" t="s">
        <v>35</v>
      </c>
      <c r="C883" s="7">
        <v>4</v>
      </c>
      <c r="D883" s="7">
        <v>2.91</v>
      </c>
      <c r="E883" s="85">
        <f>C883*D883</f>
        <v>11.64</v>
      </c>
    </row>
    <row r="884" spans="1:5" ht="18" x14ac:dyDescent="0.35">
      <c r="A884" s="5"/>
      <c r="B884" s="50" t="s">
        <v>36</v>
      </c>
      <c r="C884" s="7">
        <v>4</v>
      </c>
      <c r="D884" s="7">
        <v>0.61</v>
      </c>
      <c r="E884" s="85">
        <f>C884*D884</f>
        <v>2.44</v>
      </c>
    </row>
    <row r="885" spans="1:5" ht="18" x14ac:dyDescent="0.35">
      <c r="A885" s="5"/>
      <c r="B885" s="50" t="s">
        <v>37</v>
      </c>
      <c r="C885" s="54">
        <v>1</v>
      </c>
      <c r="D885" s="86">
        <v>85</v>
      </c>
      <c r="E885" s="85">
        <v>85</v>
      </c>
    </row>
    <row r="886" spans="1:5" ht="18" x14ac:dyDescent="0.35">
      <c r="A886" s="5"/>
      <c r="B886" s="5"/>
      <c r="C886" s="54"/>
      <c r="D886" s="54"/>
      <c r="E886" s="85">
        <f>SUM(E880:E885)</f>
        <v>585.99235999999996</v>
      </c>
    </row>
    <row r="889" spans="1:5" ht="21" x14ac:dyDescent="0.4">
      <c r="A889" s="40" t="s">
        <v>599</v>
      </c>
      <c r="B889" s="40"/>
      <c r="C889" s="84"/>
    </row>
    <row r="890" spans="1:5" ht="18" x14ac:dyDescent="0.35">
      <c r="A890" s="5"/>
      <c r="B890" s="5"/>
      <c r="C890" s="7" t="s">
        <v>28</v>
      </c>
      <c r="D890" s="7" t="s">
        <v>29</v>
      </c>
      <c r="E890" s="7" t="s">
        <v>30</v>
      </c>
    </row>
    <row r="891" spans="1:5" ht="18" x14ac:dyDescent="0.35">
      <c r="A891" s="5" t="s">
        <v>787</v>
      </c>
      <c r="B891" s="50" t="s">
        <v>32</v>
      </c>
      <c r="C891" s="7">
        <v>5.4939999999999998</v>
      </c>
      <c r="D891" s="7">
        <v>30.44</v>
      </c>
      <c r="E891" s="85">
        <f t="shared" ref="E891:E896" si="77">C891*D891</f>
        <v>167.23736</v>
      </c>
    </row>
    <row r="892" spans="1:5" ht="18" x14ac:dyDescent="0.35">
      <c r="A892" s="5" t="s">
        <v>788</v>
      </c>
      <c r="B892" s="50" t="s">
        <v>33</v>
      </c>
      <c r="C892" s="7">
        <v>58.506</v>
      </c>
      <c r="D892" s="7">
        <v>16.170000000000002</v>
      </c>
      <c r="E892" s="85">
        <f t="shared" si="77"/>
        <v>946.04202000000009</v>
      </c>
    </row>
    <row r="893" spans="1:5" ht="18" x14ac:dyDescent="0.35">
      <c r="A893" s="5" t="s">
        <v>789</v>
      </c>
      <c r="B893" s="50" t="s">
        <v>790</v>
      </c>
      <c r="C893" s="7">
        <v>2</v>
      </c>
      <c r="D893" s="7">
        <v>2.2400000000000002</v>
      </c>
      <c r="E893" s="85">
        <f t="shared" si="77"/>
        <v>4.4800000000000004</v>
      </c>
    </row>
    <row r="894" spans="1:5" ht="18" x14ac:dyDescent="0.35">
      <c r="A894" s="5"/>
      <c r="B894" s="50" t="s">
        <v>34</v>
      </c>
      <c r="C894" s="7">
        <v>2.42</v>
      </c>
      <c r="D894" s="7">
        <v>14.61</v>
      </c>
      <c r="E894" s="85">
        <f t="shared" si="77"/>
        <v>35.356199999999994</v>
      </c>
    </row>
    <row r="895" spans="1:5" ht="18" x14ac:dyDescent="0.35">
      <c r="A895" s="5"/>
      <c r="B895" s="50" t="s">
        <v>35</v>
      </c>
      <c r="C895" s="7">
        <v>4</v>
      </c>
      <c r="D895" s="7">
        <v>2.89</v>
      </c>
      <c r="E895" s="85">
        <f t="shared" si="77"/>
        <v>11.56</v>
      </c>
    </row>
    <row r="896" spans="1:5" ht="18" x14ac:dyDescent="0.35">
      <c r="A896" s="5"/>
      <c r="B896" s="50" t="s">
        <v>36</v>
      </c>
      <c r="C896" s="7">
        <v>4</v>
      </c>
      <c r="D896" s="7">
        <v>0.6</v>
      </c>
      <c r="E896" s="85">
        <f t="shared" si="77"/>
        <v>2.4</v>
      </c>
    </row>
    <row r="897" spans="1:5" ht="18" x14ac:dyDescent="0.35">
      <c r="A897" s="5"/>
      <c r="B897" s="5"/>
      <c r="C897" s="54"/>
      <c r="D897" s="54"/>
      <c r="E897" s="89">
        <f>SUM(E891:E896)</f>
        <v>1167.0755800000002</v>
      </c>
    </row>
    <row r="898" spans="1:5" ht="18" x14ac:dyDescent="0.35">
      <c r="A898" s="5"/>
      <c r="B898" s="50" t="s">
        <v>37</v>
      </c>
      <c r="C898" s="54">
        <v>1.5</v>
      </c>
      <c r="D898" s="54">
        <v>131</v>
      </c>
      <c r="E898" s="85">
        <f>C898*D898</f>
        <v>196.5</v>
      </c>
    </row>
    <row r="899" spans="1:5" ht="18" x14ac:dyDescent="0.35">
      <c r="A899" s="5"/>
      <c r="B899" s="5"/>
      <c r="C899" s="54"/>
      <c r="D899" s="54"/>
      <c r="E899" s="85">
        <f>SUM(E897:E898)</f>
        <v>1363.5755800000002</v>
      </c>
    </row>
    <row r="901" spans="1:5" ht="21" x14ac:dyDescent="0.4">
      <c r="A901" s="40" t="s">
        <v>602</v>
      </c>
      <c r="B901" s="40"/>
      <c r="C901" s="84"/>
      <c r="D901" s="12"/>
      <c r="E901" s="12"/>
    </row>
    <row r="902" spans="1:5" ht="21" x14ac:dyDescent="0.4">
      <c r="A902" s="40"/>
      <c r="B902" s="40"/>
      <c r="C902" s="84"/>
      <c r="D902" s="12"/>
      <c r="E902" s="12"/>
    </row>
    <row r="903" spans="1:5" ht="18" x14ac:dyDescent="0.35">
      <c r="A903" s="5"/>
      <c r="B903" s="5"/>
      <c r="C903" s="7" t="s">
        <v>28</v>
      </c>
      <c r="D903" s="7" t="s">
        <v>29</v>
      </c>
      <c r="E903" s="7" t="s">
        <v>30</v>
      </c>
    </row>
    <row r="904" spans="1:5" ht="18" x14ac:dyDescent="0.35">
      <c r="A904" s="5" t="s">
        <v>72</v>
      </c>
      <c r="B904" s="50" t="s">
        <v>32</v>
      </c>
      <c r="C904" s="7">
        <v>2.9740000000000002</v>
      </c>
      <c r="D904" s="7">
        <v>42.29</v>
      </c>
      <c r="E904" s="85">
        <f t="shared" ref="E904:E911" si="78">C904*D904</f>
        <v>125.77046</v>
      </c>
    </row>
    <row r="905" spans="1:5" ht="18" x14ac:dyDescent="0.35">
      <c r="A905" s="5" t="s">
        <v>63</v>
      </c>
      <c r="B905" s="50" t="s">
        <v>33</v>
      </c>
      <c r="C905" s="7">
        <v>7.4969999999999999</v>
      </c>
      <c r="D905" s="7">
        <v>16.09</v>
      </c>
      <c r="E905" s="85">
        <f t="shared" si="78"/>
        <v>120.62672999999999</v>
      </c>
    </row>
    <row r="906" spans="1:5" ht="18" x14ac:dyDescent="0.35">
      <c r="A906" s="5" t="s">
        <v>519</v>
      </c>
      <c r="B906" s="50" t="s">
        <v>33</v>
      </c>
      <c r="C906" s="7">
        <v>8.82</v>
      </c>
      <c r="D906" s="7">
        <v>16.09</v>
      </c>
      <c r="E906" s="85">
        <f t="shared" si="78"/>
        <v>141.91380000000001</v>
      </c>
    </row>
    <row r="907" spans="1:5" ht="18" x14ac:dyDescent="0.35">
      <c r="A907" s="5" t="s">
        <v>427</v>
      </c>
      <c r="B907" s="50" t="s">
        <v>96</v>
      </c>
      <c r="C907" s="7">
        <v>0.6</v>
      </c>
      <c r="D907" s="7">
        <v>1.82</v>
      </c>
      <c r="E907" s="85">
        <f t="shared" si="78"/>
        <v>1.0920000000000001</v>
      </c>
    </row>
    <row r="908" spans="1:5" ht="18" x14ac:dyDescent="0.35">
      <c r="A908" s="5"/>
      <c r="B908" s="50" t="s">
        <v>88</v>
      </c>
      <c r="C908" s="88">
        <v>2</v>
      </c>
      <c r="D908" s="88">
        <v>7.44</v>
      </c>
      <c r="E908" s="90">
        <f t="shared" si="78"/>
        <v>14.88</v>
      </c>
    </row>
    <row r="909" spans="1:5" ht="18" x14ac:dyDescent="0.35">
      <c r="A909" s="5"/>
      <c r="B909" s="50" t="s">
        <v>34</v>
      </c>
      <c r="C909" s="7"/>
      <c r="D909" s="7">
        <v>13.67</v>
      </c>
      <c r="E909" s="85">
        <f t="shared" si="78"/>
        <v>0</v>
      </c>
    </row>
    <row r="910" spans="1:5" ht="18" x14ac:dyDescent="0.35">
      <c r="A910" s="5"/>
      <c r="B910" s="50" t="s">
        <v>35</v>
      </c>
      <c r="C910" s="7">
        <v>4</v>
      </c>
      <c r="D910" s="7">
        <v>2.89</v>
      </c>
      <c r="E910" s="85">
        <f t="shared" si="78"/>
        <v>11.56</v>
      </c>
    </row>
    <row r="911" spans="1:5" ht="18" x14ac:dyDescent="0.35">
      <c r="A911" s="5"/>
      <c r="B911" s="50" t="s">
        <v>36</v>
      </c>
      <c r="C911" s="7">
        <v>4</v>
      </c>
      <c r="D911" s="7">
        <v>0.6</v>
      </c>
      <c r="E911" s="85">
        <f t="shared" si="78"/>
        <v>2.4</v>
      </c>
    </row>
    <row r="912" spans="1:5" ht="18" x14ac:dyDescent="0.35">
      <c r="A912" s="5"/>
      <c r="B912" s="5"/>
      <c r="C912" s="54"/>
      <c r="D912" s="54"/>
      <c r="E912" s="89">
        <f>SUM(E904:E911)</f>
        <v>418.24298999999996</v>
      </c>
    </row>
    <row r="913" spans="1:5" ht="18" x14ac:dyDescent="0.35">
      <c r="A913" s="5"/>
      <c r="B913" s="50" t="s">
        <v>37</v>
      </c>
      <c r="C913" s="54">
        <v>2</v>
      </c>
      <c r="D913" s="54">
        <v>101.32</v>
      </c>
      <c r="E913" s="85">
        <f>C913*D913</f>
        <v>202.64</v>
      </c>
    </row>
    <row r="914" spans="1:5" ht="18" x14ac:dyDescent="0.35">
      <c r="A914" s="5"/>
      <c r="B914" s="5"/>
      <c r="C914" s="54"/>
      <c r="D914" s="54"/>
      <c r="E914" s="85">
        <f>SUM(E912:E913)</f>
        <v>620.88298999999995</v>
      </c>
    </row>
    <row r="917" spans="1:5" ht="21" x14ac:dyDescent="0.4">
      <c r="A917" s="40" t="s">
        <v>599</v>
      </c>
      <c r="B917" s="40"/>
      <c r="C917" s="84"/>
    </row>
    <row r="918" spans="1:5" ht="18" x14ac:dyDescent="0.35">
      <c r="A918" s="5"/>
      <c r="B918" s="5"/>
      <c r="C918" s="7" t="s">
        <v>28</v>
      </c>
      <c r="D918" s="7" t="s">
        <v>29</v>
      </c>
      <c r="E918" s="7" t="s">
        <v>30</v>
      </c>
    </row>
    <row r="919" spans="1:5" ht="18" x14ac:dyDescent="0.35">
      <c r="A919" s="5" t="s">
        <v>72</v>
      </c>
      <c r="B919" s="50" t="s">
        <v>32</v>
      </c>
      <c r="C919" s="7">
        <v>2.9729999999999999</v>
      </c>
      <c r="D919" s="7">
        <v>30.44</v>
      </c>
      <c r="E919" s="85">
        <f t="shared" ref="E919:E924" si="79">C919*D919</f>
        <v>90.49812</v>
      </c>
    </row>
    <row r="920" spans="1:5" ht="18" x14ac:dyDescent="0.35">
      <c r="A920" s="5" t="s">
        <v>791</v>
      </c>
      <c r="B920" s="50" t="s">
        <v>33</v>
      </c>
      <c r="C920" s="7">
        <v>7.4969999999999999</v>
      </c>
      <c r="D920" s="7">
        <v>16.170000000000002</v>
      </c>
      <c r="E920" s="85">
        <f t="shared" si="79"/>
        <v>121.22649000000001</v>
      </c>
    </row>
    <row r="921" spans="1:5" ht="18" x14ac:dyDescent="0.35">
      <c r="A921" s="5" t="s">
        <v>792</v>
      </c>
      <c r="B921" s="50" t="s">
        <v>96</v>
      </c>
      <c r="C921" s="7">
        <v>2</v>
      </c>
      <c r="D921" s="7">
        <v>1.6</v>
      </c>
      <c r="E921" s="85">
        <f t="shared" si="79"/>
        <v>3.2</v>
      </c>
    </row>
    <row r="922" spans="1:5" ht="18" x14ac:dyDescent="0.35">
      <c r="A922" s="5"/>
      <c r="B922" s="50" t="s">
        <v>34</v>
      </c>
      <c r="C922" s="7">
        <v>0.63</v>
      </c>
      <c r="D922" s="7">
        <v>14.61</v>
      </c>
      <c r="E922" s="85">
        <f t="shared" si="79"/>
        <v>9.2042999999999999</v>
      </c>
    </row>
    <row r="923" spans="1:5" ht="18" x14ac:dyDescent="0.35">
      <c r="A923" s="5"/>
      <c r="B923" s="50" t="s">
        <v>35</v>
      </c>
      <c r="C923" s="7">
        <v>4</v>
      </c>
      <c r="D923" s="7">
        <v>2.89</v>
      </c>
      <c r="E923" s="85">
        <f t="shared" si="79"/>
        <v>11.56</v>
      </c>
    </row>
    <row r="924" spans="1:5" ht="18" x14ac:dyDescent="0.35">
      <c r="A924" s="5"/>
      <c r="B924" s="50" t="s">
        <v>36</v>
      </c>
      <c r="C924" s="7">
        <v>4</v>
      </c>
      <c r="D924" s="7">
        <v>0.6</v>
      </c>
      <c r="E924" s="85">
        <f t="shared" si="79"/>
        <v>2.4</v>
      </c>
    </row>
    <row r="925" spans="1:5" ht="18" x14ac:dyDescent="0.35">
      <c r="A925" s="5"/>
      <c r="B925" s="5"/>
      <c r="C925" s="54"/>
      <c r="D925" s="54"/>
      <c r="E925" s="89">
        <f>SUM(E919:E924)</f>
        <v>238.08891</v>
      </c>
    </row>
    <row r="926" spans="1:5" ht="18" x14ac:dyDescent="0.35">
      <c r="A926" s="5"/>
      <c r="B926" s="50" t="s">
        <v>37</v>
      </c>
      <c r="C926" s="54">
        <v>1</v>
      </c>
      <c r="D926" s="54">
        <v>131</v>
      </c>
      <c r="E926" s="85">
        <f>C926*D926</f>
        <v>131</v>
      </c>
    </row>
    <row r="927" spans="1:5" ht="18" x14ac:dyDescent="0.35">
      <c r="A927" s="5"/>
      <c r="B927" s="5"/>
      <c r="C927" s="54"/>
      <c r="D927" s="54"/>
      <c r="E927" s="85">
        <f>SUM(E925:E926)</f>
        <v>369.08891</v>
      </c>
    </row>
    <row r="930" spans="1:5" ht="21" x14ac:dyDescent="0.4">
      <c r="A930" s="40" t="s">
        <v>793</v>
      </c>
      <c r="B930" s="40"/>
      <c r="C930" s="40"/>
      <c r="D930" s="12"/>
      <c r="E930" s="12"/>
    </row>
    <row r="931" spans="1:5" ht="18" x14ac:dyDescent="0.35">
      <c r="A931" s="5"/>
      <c r="B931" s="5"/>
      <c r="C931" s="7" t="s">
        <v>28</v>
      </c>
      <c r="D931" s="7" t="s">
        <v>29</v>
      </c>
      <c r="E931" s="7" t="s">
        <v>30</v>
      </c>
    </row>
    <row r="932" spans="1:5" ht="18" x14ac:dyDescent="0.35">
      <c r="A932" s="5" t="s">
        <v>72</v>
      </c>
      <c r="B932" s="50" t="s">
        <v>32</v>
      </c>
      <c r="C932" s="7">
        <v>2.9740000000000002</v>
      </c>
      <c r="D932" s="7">
        <v>30.44</v>
      </c>
      <c r="E932" s="85">
        <f t="shared" ref="E932:E937" si="80">C932*D932</f>
        <v>90.528560000000013</v>
      </c>
    </row>
    <row r="933" spans="1:5" ht="18" x14ac:dyDescent="0.35">
      <c r="A933" s="5" t="s">
        <v>212</v>
      </c>
      <c r="B933" s="50" t="s">
        <v>33</v>
      </c>
      <c r="C933" s="7">
        <v>12.494999999999999</v>
      </c>
      <c r="D933" s="7">
        <v>17.059999999999999</v>
      </c>
      <c r="E933" s="85">
        <f t="shared" si="80"/>
        <v>213.16469999999998</v>
      </c>
    </row>
    <row r="934" spans="1:5" ht="18" x14ac:dyDescent="0.35">
      <c r="A934" s="5" t="s">
        <v>427</v>
      </c>
      <c r="B934" s="50" t="s">
        <v>137</v>
      </c>
      <c r="C934" s="7">
        <v>0.66</v>
      </c>
      <c r="D934" s="7">
        <v>17.190000000000001</v>
      </c>
      <c r="E934" s="85">
        <f t="shared" si="80"/>
        <v>11.345400000000001</v>
      </c>
    </row>
    <row r="935" spans="1:5" ht="18" x14ac:dyDescent="0.35">
      <c r="A935" s="5"/>
      <c r="B935" s="50" t="s">
        <v>35</v>
      </c>
      <c r="C935" s="7">
        <v>4</v>
      </c>
      <c r="D935" s="7">
        <v>2.91</v>
      </c>
      <c r="E935" s="85">
        <f t="shared" si="80"/>
        <v>11.64</v>
      </c>
    </row>
    <row r="936" spans="1:5" ht="18" x14ac:dyDescent="0.35">
      <c r="A936" s="5"/>
      <c r="B936" s="50" t="s">
        <v>36</v>
      </c>
      <c r="C936" s="7">
        <v>4</v>
      </c>
      <c r="D936" s="7">
        <v>0.61</v>
      </c>
      <c r="E936" s="85">
        <f t="shared" si="80"/>
        <v>2.44</v>
      </c>
    </row>
    <row r="937" spans="1:5" ht="18" x14ac:dyDescent="0.35">
      <c r="A937" s="5"/>
      <c r="B937" s="50" t="s">
        <v>37</v>
      </c>
      <c r="C937" s="54">
        <v>1</v>
      </c>
      <c r="D937" s="86">
        <v>85</v>
      </c>
      <c r="E937" s="85">
        <f t="shared" si="80"/>
        <v>85</v>
      </c>
    </row>
    <row r="938" spans="1:5" ht="18" x14ac:dyDescent="0.35">
      <c r="A938" s="5"/>
      <c r="B938" s="5"/>
      <c r="C938" s="54"/>
      <c r="D938" s="54"/>
      <c r="E938" s="85">
        <f>SUM(E932:E937)</f>
        <v>414.11865999999998</v>
      </c>
    </row>
    <row r="941" spans="1:5" ht="21" x14ac:dyDescent="0.4">
      <c r="A941" s="40" t="s">
        <v>794</v>
      </c>
      <c r="B941" s="40"/>
      <c r="C941" s="40"/>
      <c r="D941" s="12"/>
      <c r="E941" s="12"/>
    </row>
    <row r="942" spans="1:5" ht="18" x14ac:dyDescent="0.35">
      <c r="A942" s="5"/>
      <c r="B942" s="5"/>
      <c r="C942" s="7" t="s">
        <v>28</v>
      </c>
      <c r="D942" s="7" t="s">
        <v>29</v>
      </c>
      <c r="E942" s="7" t="s">
        <v>30</v>
      </c>
    </row>
    <row r="943" spans="1:5" ht="18" x14ac:dyDescent="0.35">
      <c r="A943" s="5" t="s">
        <v>795</v>
      </c>
      <c r="B943" s="50" t="s">
        <v>32</v>
      </c>
      <c r="C943" s="7">
        <v>2.2919999999999998</v>
      </c>
      <c r="D943" s="7">
        <v>30.44</v>
      </c>
      <c r="E943" s="85">
        <f t="shared" ref="E943:E948" si="81">C943*D943</f>
        <v>69.768479999999997</v>
      </c>
    </row>
    <row r="944" spans="1:5" ht="18" x14ac:dyDescent="0.35">
      <c r="A944" s="5" t="s">
        <v>168</v>
      </c>
      <c r="B944" s="50" t="s">
        <v>33</v>
      </c>
      <c r="C944" s="7">
        <v>18.727</v>
      </c>
      <c r="D944" s="7">
        <v>17.059999999999999</v>
      </c>
      <c r="E944" s="85">
        <f t="shared" si="81"/>
        <v>319.48262</v>
      </c>
    </row>
    <row r="945" spans="1:5" ht="18" x14ac:dyDescent="0.35">
      <c r="A945" s="5" t="s">
        <v>649</v>
      </c>
      <c r="B945" s="50" t="s">
        <v>137</v>
      </c>
      <c r="C945" s="7">
        <v>0.5</v>
      </c>
      <c r="D945" s="7">
        <v>17.190000000000001</v>
      </c>
      <c r="E945" s="85">
        <f t="shared" si="81"/>
        <v>8.5950000000000006</v>
      </c>
    </row>
    <row r="946" spans="1:5" ht="18" x14ac:dyDescent="0.35">
      <c r="A946" s="5"/>
      <c r="B946" s="50" t="s">
        <v>35</v>
      </c>
      <c r="C946" s="7">
        <v>4</v>
      </c>
      <c r="D946" s="7">
        <v>2.91</v>
      </c>
      <c r="E946" s="85">
        <f t="shared" si="81"/>
        <v>11.64</v>
      </c>
    </row>
    <row r="947" spans="1:5" ht="18" x14ac:dyDescent="0.35">
      <c r="A947" s="5"/>
      <c r="B947" s="50" t="s">
        <v>36</v>
      </c>
      <c r="C947" s="7">
        <v>4</v>
      </c>
      <c r="D947" s="7">
        <v>0.61</v>
      </c>
      <c r="E947" s="85">
        <f t="shared" si="81"/>
        <v>2.44</v>
      </c>
    </row>
    <row r="948" spans="1:5" ht="18" x14ac:dyDescent="0.35">
      <c r="A948" s="5"/>
      <c r="B948" s="50" t="s">
        <v>37</v>
      </c>
      <c r="C948" s="54">
        <v>0.5</v>
      </c>
      <c r="D948" s="86">
        <v>85</v>
      </c>
      <c r="E948" s="85">
        <f t="shared" si="81"/>
        <v>42.5</v>
      </c>
    </row>
    <row r="949" spans="1:5" ht="18" x14ac:dyDescent="0.35">
      <c r="A949" s="5"/>
      <c r="B949" s="5"/>
      <c r="C949" s="54"/>
      <c r="D949" s="54"/>
      <c r="E949" s="85">
        <f>SUM(E943:E948)</f>
        <v>454.42610000000002</v>
      </c>
    </row>
    <row r="952" spans="1:5" ht="21" x14ac:dyDescent="0.4">
      <c r="A952" s="40" t="s">
        <v>602</v>
      </c>
      <c r="B952" s="40"/>
      <c r="C952" s="84"/>
      <c r="D952" s="12"/>
      <c r="E952" s="12"/>
    </row>
    <row r="953" spans="1:5" ht="21" x14ac:dyDescent="0.4">
      <c r="A953" s="40"/>
      <c r="B953" s="40"/>
      <c r="C953" s="84"/>
      <c r="D953" s="12"/>
      <c r="E953" s="12"/>
    </row>
    <row r="954" spans="1:5" ht="18" x14ac:dyDescent="0.35">
      <c r="A954" s="5"/>
      <c r="B954" s="5"/>
      <c r="C954" s="7" t="s">
        <v>28</v>
      </c>
      <c r="D954" s="7" t="s">
        <v>29</v>
      </c>
      <c r="E954" s="7" t="s">
        <v>30</v>
      </c>
    </row>
    <row r="955" spans="1:5" ht="18" x14ac:dyDescent="0.35">
      <c r="A955" s="5" t="s">
        <v>421</v>
      </c>
      <c r="B955" s="50" t="s">
        <v>32</v>
      </c>
      <c r="C955" s="7">
        <v>4.3390000000000004</v>
      </c>
      <c r="D955" s="7">
        <v>42.29</v>
      </c>
      <c r="E955" s="85">
        <f t="shared" ref="E955:E962" si="82">C955*D955</f>
        <v>183.49631000000002</v>
      </c>
    </row>
    <row r="956" spans="1:5" ht="18" x14ac:dyDescent="0.35">
      <c r="A956" s="5" t="s">
        <v>310</v>
      </c>
      <c r="B956" s="50" t="s">
        <v>33</v>
      </c>
      <c r="C956" s="7">
        <v>51.975000000000001</v>
      </c>
      <c r="D956" s="7">
        <v>16.09</v>
      </c>
      <c r="E956" s="85">
        <f t="shared" si="82"/>
        <v>836.27774999999997</v>
      </c>
    </row>
    <row r="957" spans="1:5" ht="18" x14ac:dyDescent="0.35">
      <c r="A957" s="5" t="s">
        <v>377</v>
      </c>
      <c r="B957" s="50" t="s">
        <v>33</v>
      </c>
      <c r="C957" s="7">
        <v>51.975000000000001</v>
      </c>
      <c r="D957" s="7">
        <v>16.09</v>
      </c>
      <c r="E957" s="85">
        <f t="shared" si="82"/>
        <v>836.27774999999997</v>
      </c>
    </row>
    <row r="958" spans="1:5" ht="18" x14ac:dyDescent="0.35">
      <c r="A958" s="5" t="s">
        <v>597</v>
      </c>
      <c r="B958" s="50" t="s">
        <v>94</v>
      </c>
      <c r="C958" s="7">
        <v>4</v>
      </c>
      <c r="D958" s="7">
        <v>2.2400000000000002</v>
      </c>
      <c r="E958" s="85">
        <f t="shared" si="82"/>
        <v>8.9600000000000009</v>
      </c>
    </row>
    <row r="959" spans="1:5" ht="18" x14ac:dyDescent="0.35">
      <c r="A959" s="5"/>
      <c r="B959" s="50" t="s">
        <v>94</v>
      </c>
      <c r="C959" s="88">
        <v>4</v>
      </c>
      <c r="D959" s="88">
        <v>2.2400000000000002</v>
      </c>
      <c r="E959" s="90">
        <f t="shared" si="82"/>
        <v>8.9600000000000009</v>
      </c>
    </row>
    <row r="960" spans="1:5" ht="18" x14ac:dyDescent="0.35">
      <c r="A960" s="5"/>
      <c r="B960" s="50" t="s">
        <v>34</v>
      </c>
      <c r="C960" s="7">
        <v>2.1</v>
      </c>
      <c r="D960" s="7">
        <v>13.67</v>
      </c>
      <c r="E960" s="85">
        <f t="shared" si="82"/>
        <v>28.707000000000001</v>
      </c>
    </row>
    <row r="961" spans="1:5" ht="18" x14ac:dyDescent="0.35">
      <c r="A961" s="5"/>
      <c r="B961" s="50" t="s">
        <v>35</v>
      </c>
      <c r="C961" s="7">
        <v>4</v>
      </c>
      <c r="D961" s="7">
        <v>2.89</v>
      </c>
      <c r="E961" s="85">
        <f t="shared" si="82"/>
        <v>11.56</v>
      </c>
    </row>
    <row r="962" spans="1:5" ht="18" x14ac:dyDescent="0.35">
      <c r="A962" s="5"/>
      <c r="B962" s="50" t="s">
        <v>36</v>
      </c>
      <c r="C962" s="7">
        <v>4</v>
      </c>
      <c r="D962" s="7">
        <v>0.6</v>
      </c>
      <c r="E962" s="85">
        <f t="shared" si="82"/>
        <v>2.4</v>
      </c>
    </row>
    <row r="963" spans="1:5" ht="18" x14ac:dyDescent="0.35">
      <c r="A963" s="5"/>
      <c r="B963" s="5"/>
      <c r="C963" s="54"/>
      <c r="D963" s="54"/>
      <c r="E963" s="89">
        <f>SUM(E955:E962)</f>
        <v>1916.6388100000001</v>
      </c>
    </row>
    <row r="964" spans="1:5" ht="18" x14ac:dyDescent="0.35">
      <c r="A964" s="5"/>
      <c r="B964" s="50" t="s">
        <v>37</v>
      </c>
      <c r="C964" s="54">
        <v>2</v>
      </c>
      <c r="D964" s="54">
        <v>101.32</v>
      </c>
      <c r="E964" s="85">
        <f>C964*D964</f>
        <v>202.64</v>
      </c>
    </row>
    <row r="965" spans="1:5" ht="18" x14ac:dyDescent="0.35">
      <c r="A965" s="5"/>
      <c r="B965" s="5"/>
      <c r="C965" s="54"/>
      <c r="D965" s="54"/>
      <c r="E965" s="85">
        <f>SUM(E963:E964)</f>
        <v>2119.2788100000002</v>
      </c>
    </row>
    <row r="968" spans="1:5" ht="21" x14ac:dyDescent="0.4">
      <c r="A968" s="40" t="s">
        <v>602</v>
      </c>
      <c r="B968" s="40"/>
      <c r="C968" s="84"/>
      <c r="D968" s="12"/>
      <c r="E968" s="12"/>
    </row>
    <row r="969" spans="1:5" ht="21" x14ac:dyDescent="0.4">
      <c r="A969" s="40"/>
      <c r="B969" s="40"/>
      <c r="C969" s="84"/>
      <c r="D969" s="12"/>
      <c r="E969" s="12"/>
    </row>
    <row r="970" spans="1:5" ht="18" x14ac:dyDescent="0.35">
      <c r="A970" s="5"/>
      <c r="B970" s="5"/>
      <c r="C970" s="7" t="s">
        <v>28</v>
      </c>
      <c r="D970" s="7" t="s">
        <v>29</v>
      </c>
      <c r="E970" s="7" t="s">
        <v>30</v>
      </c>
    </row>
    <row r="971" spans="1:5" ht="18" x14ac:dyDescent="0.35">
      <c r="A971" s="5" t="s">
        <v>796</v>
      </c>
      <c r="B971" s="50" t="s">
        <v>32</v>
      </c>
      <c r="C971" s="7">
        <v>3.6030000000000002</v>
      </c>
      <c r="D971" s="7">
        <v>42.29</v>
      </c>
      <c r="E971" s="85">
        <f t="shared" ref="E971:E978" si="83">C971*D971</f>
        <v>152.37087</v>
      </c>
    </row>
    <row r="972" spans="1:5" ht="18" x14ac:dyDescent="0.35">
      <c r="A972" s="5" t="s">
        <v>293</v>
      </c>
      <c r="B972" s="50" t="s">
        <v>33</v>
      </c>
      <c r="C972" s="7">
        <v>28.728000000000002</v>
      </c>
      <c r="D972" s="7">
        <v>16.09</v>
      </c>
      <c r="E972" s="85">
        <f t="shared" si="83"/>
        <v>462.23352</v>
      </c>
    </row>
    <row r="973" spans="1:5" ht="18" x14ac:dyDescent="0.35">
      <c r="A973" s="5" t="s">
        <v>797</v>
      </c>
      <c r="B973" s="50" t="s">
        <v>33</v>
      </c>
      <c r="C973" s="7">
        <v>29.841000000000001</v>
      </c>
      <c r="D973" s="7">
        <v>16.09</v>
      </c>
      <c r="E973" s="85">
        <f t="shared" si="83"/>
        <v>480.14169000000004</v>
      </c>
    </row>
    <row r="974" spans="1:5" ht="18" x14ac:dyDescent="0.35">
      <c r="A974" s="5" t="s">
        <v>798</v>
      </c>
      <c r="B974" s="50" t="s">
        <v>88</v>
      </c>
      <c r="C974" s="7">
        <v>2</v>
      </c>
      <c r="D974" s="7">
        <v>2.2400000000000002</v>
      </c>
      <c r="E974" s="85">
        <f t="shared" si="83"/>
        <v>4.4800000000000004</v>
      </c>
    </row>
    <row r="975" spans="1:5" ht="18" x14ac:dyDescent="0.35">
      <c r="A975" s="5"/>
      <c r="B975" s="50" t="s">
        <v>94</v>
      </c>
      <c r="C975" s="88">
        <v>4</v>
      </c>
      <c r="D975" s="88">
        <v>2.2400000000000002</v>
      </c>
      <c r="E975" s="90">
        <f t="shared" si="83"/>
        <v>8.9600000000000009</v>
      </c>
    </row>
    <row r="976" spans="1:5" ht="18" x14ac:dyDescent="0.35">
      <c r="A976" s="5"/>
      <c r="B976" s="50" t="s">
        <v>34</v>
      </c>
      <c r="C976" s="7">
        <v>0.55000000000000004</v>
      </c>
      <c r="D976" s="7">
        <v>13.67</v>
      </c>
      <c r="E976" s="85">
        <f t="shared" si="83"/>
        <v>7.5185000000000004</v>
      </c>
    </row>
    <row r="977" spans="1:5" ht="18" x14ac:dyDescent="0.35">
      <c r="A977" s="5"/>
      <c r="B977" s="50" t="s">
        <v>35</v>
      </c>
      <c r="C977" s="7">
        <v>4</v>
      </c>
      <c r="D977" s="7">
        <v>2.89</v>
      </c>
      <c r="E977" s="85">
        <f t="shared" si="83"/>
        <v>11.56</v>
      </c>
    </row>
    <row r="978" spans="1:5" ht="18" x14ac:dyDescent="0.35">
      <c r="A978" s="5"/>
      <c r="B978" s="50" t="s">
        <v>36</v>
      </c>
      <c r="C978" s="7">
        <v>4</v>
      </c>
      <c r="D978" s="7">
        <v>0.6</v>
      </c>
      <c r="E978" s="85">
        <f t="shared" si="83"/>
        <v>2.4</v>
      </c>
    </row>
    <row r="979" spans="1:5" ht="18" x14ac:dyDescent="0.35">
      <c r="A979" s="5"/>
      <c r="B979" s="5"/>
      <c r="C979" s="54"/>
      <c r="D979" s="54"/>
      <c r="E979" s="89">
        <f>SUM(E971:E978)</f>
        <v>1129.6645799999999</v>
      </c>
    </row>
    <row r="980" spans="1:5" ht="18" x14ac:dyDescent="0.35">
      <c r="A980" s="5"/>
      <c r="B980" s="50" t="s">
        <v>37</v>
      </c>
      <c r="C980" s="54">
        <v>1.5</v>
      </c>
      <c r="D980" s="54">
        <v>101.32</v>
      </c>
      <c r="E980" s="85">
        <f>C980*D980</f>
        <v>151.97999999999999</v>
      </c>
    </row>
    <row r="981" spans="1:5" ht="18" x14ac:dyDescent="0.35">
      <c r="A981" s="5"/>
      <c r="B981" s="5"/>
      <c r="C981" s="54"/>
      <c r="D981" s="54"/>
      <c r="E981" s="85">
        <f>SUM(E979:E980)</f>
        <v>1281.6445799999999</v>
      </c>
    </row>
    <row r="983" spans="1:5" ht="21" x14ac:dyDescent="0.4">
      <c r="A983" s="40" t="s">
        <v>794</v>
      </c>
      <c r="B983" s="40"/>
      <c r="C983" s="40"/>
      <c r="D983" s="12"/>
      <c r="E983" s="12"/>
    </row>
    <row r="984" spans="1:5" ht="18" x14ac:dyDescent="0.35">
      <c r="A984" s="5"/>
      <c r="B984" s="5"/>
      <c r="C984" s="7" t="s">
        <v>28</v>
      </c>
      <c r="D984" s="7" t="s">
        <v>29</v>
      </c>
      <c r="E984" s="7" t="s">
        <v>30</v>
      </c>
    </row>
    <row r="985" spans="1:5" ht="18" x14ac:dyDescent="0.35">
      <c r="A985" s="5" t="s">
        <v>292</v>
      </c>
      <c r="B985" s="50" t="s">
        <v>32</v>
      </c>
      <c r="C985" s="7">
        <v>3.2890000000000001</v>
      </c>
      <c r="D985" s="7">
        <v>30.44</v>
      </c>
      <c r="E985" s="85">
        <f t="shared" ref="E985:E990" si="84">C985*D985</f>
        <v>100.11716000000001</v>
      </c>
    </row>
    <row r="986" spans="1:5" ht="18" x14ac:dyDescent="0.35">
      <c r="A986" s="5" t="s">
        <v>340</v>
      </c>
      <c r="B986" s="50" t="s">
        <v>33</v>
      </c>
      <c r="C986" s="7">
        <v>37.421999999999997</v>
      </c>
      <c r="D986" s="7">
        <v>17.059999999999999</v>
      </c>
      <c r="E986" s="85">
        <f t="shared" si="84"/>
        <v>638.41931999999986</v>
      </c>
    </row>
    <row r="987" spans="1:5" ht="18" x14ac:dyDescent="0.35">
      <c r="A987" s="5" t="s">
        <v>800</v>
      </c>
      <c r="B987" s="50" t="s">
        <v>137</v>
      </c>
      <c r="C987" s="7">
        <v>1</v>
      </c>
      <c r="D987" s="7">
        <v>17.190000000000001</v>
      </c>
      <c r="E987" s="85">
        <f t="shared" si="84"/>
        <v>17.190000000000001</v>
      </c>
    </row>
    <row r="988" spans="1:5" ht="18" x14ac:dyDescent="0.35">
      <c r="A988" s="5"/>
      <c r="B988" s="50" t="s">
        <v>35</v>
      </c>
      <c r="C988" s="7">
        <v>4</v>
      </c>
      <c r="D988" s="7">
        <v>2.91</v>
      </c>
      <c r="E988" s="85">
        <f t="shared" si="84"/>
        <v>11.64</v>
      </c>
    </row>
    <row r="989" spans="1:5" ht="18" x14ac:dyDescent="0.35">
      <c r="A989" s="5"/>
      <c r="B989" s="50" t="s">
        <v>36</v>
      </c>
      <c r="C989" s="7">
        <v>4</v>
      </c>
      <c r="D989" s="7">
        <v>0.61</v>
      </c>
      <c r="E989" s="85">
        <f t="shared" si="84"/>
        <v>2.44</v>
      </c>
    </row>
    <row r="990" spans="1:5" ht="18" x14ac:dyDescent="0.35">
      <c r="A990" s="5"/>
      <c r="B990" s="50" t="s">
        <v>37</v>
      </c>
      <c r="C990" s="54">
        <v>1</v>
      </c>
      <c r="D990" s="86">
        <v>101.32</v>
      </c>
      <c r="E990" s="85">
        <f t="shared" si="84"/>
        <v>101.32</v>
      </c>
    </row>
    <row r="991" spans="1:5" ht="18" x14ac:dyDescent="0.35">
      <c r="A991" s="5"/>
      <c r="B991" s="5"/>
      <c r="C991" s="54"/>
      <c r="D991" s="54"/>
      <c r="E991" s="85">
        <f>SUM(E985:E990)</f>
        <v>871.1264799999999</v>
      </c>
    </row>
    <row r="993" spans="1:5" ht="21" x14ac:dyDescent="0.4">
      <c r="A993" s="40" t="s">
        <v>794</v>
      </c>
      <c r="B993" s="40"/>
      <c r="C993" s="40"/>
      <c r="D993" s="12"/>
      <c r="E993" s="12"/>
    </row>
    <row r="994" spans="1:5" ht="18" x14ac:dyDescent="0.35">
      <c r="A994" s="5"/>
      <c r="B994" s="5"/>
      <c r="C994" s="7" t="s">
        <v>28</v>
      </c>
      <c r="D994" s="7" t="s">
        <v>29</v>
      </c>
      <c r="E994" s="7" t="s">
        <v>30</v>
      </c>
    </row>
    <row r="995" spans="1:5" ht="18" x14ac:dyDescent="0.35">
      <c r="A995" s="5" t="s">
        <v>801</v>
      </c>
      <c r="B995" s="50" t="s">
        <v>32</v>
      </c>
      <c r="C995" s="7">
        <v>3.0259999999999998</v>
      </c>
      <c r="D995" s="7">
        <v>30.44</v>
      </c>
      <c r="E995" s="85">
        <f t="shared" ref="E995:E1000" si="85">C995*D995</f>
        <v>92.111440000000002</v>
      </c>
    </row>
    <row r="996" spans="1:5" ht="18" x14ac:dyDescent="0.35">
      <c r="A996" s="5" t="s">
        <v>340</v>
      </c>
      <c r="B996" s="50" t="s">
        <v>33</v>
      </c>
      <c r="C996" s="7">
        <v>33.642000000000003</v>
      </c>
      <c r="D996" s="7">
        <v>17.059999999999999</v>
      </c>
      <c r="E996" s="85">
        <f t="shared" si="85"/>
        <v>573.93251999999995</v>
      </c>
    </row>
    <row r="997" spans="1:5" ht="18" x14ac:dyDescent="0.35">
      <c r="A997" s="5" t="s">
        <v>802</v>
      </c>
      <c r="B997" s="50" t="s">
        <v>137</v>
      </c>
      <c r="C997" s="7">
        <v>1</v>
      </c>
      <c r="D997" s="7">
        <v>17.190000000000001</v>
      </c>
      <c r="E997" s="85">
        <f t="shared" si="85"/>
        <v>17.190000000000001</v>
      </c>
    </row>
    <row r="998" spans="1:5" ht="18" x14ac:dyDescent="0.35">
      <c r="A998" s="5"/>
      <c r="B998" s="50" t="s">
        <v>35</v>
      </c>
      <c r="C998" s="7">
        <v>4</v>
      </c>
      <c r="D998" s="7">
        <v>2.91</v>
      </c>
      <c r="E998" s="85">
        <f t="shared" si="85"/>
        <v>11.64</v>
      </c>
    </row>
    <row r="999" spans="1:5" ht="18" x14ac:dyDescent="0.35">
      <c r="A999" s="5"/>
      <c r="B999" s="50" t="s">
        <v>36</v>
      </c>
      <c r="C999" s="7">
        <v>4</v>
      </c>
      <c r="D999" s="7">
        <v>0.61</v>
      </c>
      <c r="E999" s="85">
        <f t="shared" si="85"/>
        <v>2.44</v>
      </c>
    </row>
    <row r="1000" spans="1:5" ht="18" x14ac:dyDescent="0.35">
      <c r="A1000" s="5"/>
      <c r="B1000" s="50" t="s">
        <v>37</v>
      </c>
      <c r="C1000" s="54">
        <v>1</v>
      </c>
      <c r="D1000" s="86">
        <v>101.32</v>
      </c>
      <c r="E1000" s="85">
        <f t="shared" si="85"/>
        <v>101.32</v>
      </c>
    </row>
    <row r="1001" spans="1:5" ht="18" x14ac:dyDescent="0.35">
      <c r="A1001" s="5"/>
      <c r="B1001" s="5"/>
      <c r="C1001" s="54"/>
      <c r="D1001" s="54"/>
      <c r="E1001" s="85">
        <f>SUM(E995:E1000)</f>
        <v>798.63396000000012</v>
      </c>
    </row>
    <row r="1003" spans="1:5" ht="21" x14ac:dyDescent="0.4">
      <c r="A1003" s="40" t="s">
        <v>602</v>
      </c>
      <c r="B1003" s="40"/>
      <c r="C1003" s="84"/>
      <c r="D1003" s="12"/>
      <c r="E1003" s="12"/>
    </row>
    <row r="1004" spans="1:5" ht="21" x14ac:dyDescent="0.4">
      <c r="A1004" s="40"/>
      <c r="B1004" s="40"/>
      <c r="C1004" s="84"/>
      <c r="D1004" s="12"/>
      <c r="E1004" s="12"/>
    </row>
    <row r="1005" spans="1:5" ht="18" x14ac:dyDescent="0.35">
      <c r="A1005" s="5"/>
      <c r="B1005" s="5"/>
      <c r="C1005" s="7" t="s">
        <v>28</v>
      </c>
      <c r="D1005" s="7" t="s">
        <v>29</v>
      </c>
      <c r="E1005" s="7" t="s">
        <v>30</v>
      </c>
    </row>
    <row r="1006" spans="1:5" ht="18" x14ac:dyDescent="0.35">
      <c r="A1006" s="5" t="s">
        <v>110</v>
      </c>
      <c r="B1006" s="50" t="s">
        <v>32</v>
      </c>
      <c r="C1006" s="7">
        <v>3.2879999999999998</v>
      </c>
      <c r="D1006" s="7">
        <v>42.29</v>
      </c>
      <c r="E1006" s="85">
        <f t="shared" ref="E1006:E1013" si="86">C1006*D1006</f>
        <v>139.04952</v>
      </c>
    </row>
    <row r="1007" spans="1:5" ht="18" x14ac:dyDescent="0.35">
      <c r="A1007" s="5" t="s">
        <v>53</v>
      </c>
      <c r="B1007" s="50" t="s">
        <v>33</v>
      </c>
      <c r="C1007" s="7">
        <v>17.492999999999999</v>
      </c>
      <c r="D1007" s="7">
        <v>16.09</v>
      </c>
      <c r="E1007" s="85">
        <f t="shared" si="86"/>
        <v>281.46236999999996</v>
      </c>
    </row>
    <row r="1008" spans="1:5" ht="18" x14ac:dyDescent="0.35">
      <c r="A1008" s="5" t="s">
        <v>519</v>
      </c>
      <c r="B1008" s="50" t="s">
        <v>33</v>
      </c>
      <c r="C1008" s="7">
        <v>18.27</v>
      </c>
      <c r="D1008" s="7">
        <v>16.09</v>
      </c>
      <c r="E1008" s="85">
        <f t="shared" si="86"/>
        <v>293.96429999999998</v>
      </c>
    </row>
    <row r="1009" spans="1:5" ht="18" x14ac:dyDescent="0.35">
      <c r="A1009" s="5" t="s">
        <v>798</v>
      </c>
      <c r="B1009" s="50" t="s">
        <v>90</v>
      </c>
      <c r="C1009" s="7">
        <v>2</v>
      </c>
      <c r="D1009" s="7">
        <v>1.7</v>
      </c>
      <c r="E1009" s="85">
        <f t="shared" si="86"/>
        <v>3.4</v>
      </c>
    </row>
    <row r="1010" spans="1:5" ht="18" x14ac:dyDescent="0.35">
      <c r="A1010" s="5"/>
      <c r="B1010" s="50" t="s">
        <v>95</v>
      </c>
      <c r="C1010" s="88">
        <v>2</v>
      </c>
      <c r="D1010" s="88">
        <v>11.26</v>
      </c>
      <c r="E1010" s="90">
        <f t="shared" si="86"/>
        <v>22.52</v>
      </c>
    </row>
    <row r="1011" spans="1:5" ht="18" x14ac:dyDescent="0.35">
      <c r="A1011" s="5"/>
      <c r="B1011" s="50" t="s">
        <v>34</v>
      </c>
      <c r="C1011" s="7">
        <v>1.2</v>
      </c>
      <c r="D1011" s="7">
        <v>13.67</v>
      </c>
      <c r="E1011" s="85">
        <f t="shared" si="86"/>
        <v>16.404</v>
      </c>
    </row>
    <row r="1012" spans="1:5" ht="18" x14ac:dyDescent="0.35">
      <c r="A1012" s="5"/>
      <c r="B1012" s="50" t="s">
        <v>35</v>
      </c>
      <c r="C1012" s="7">
        <v>4</v>
      </c>
      <c r="D1012" s="7">
        <v>2.89</v>
      </c>
      <c r="E1012" s="85">
        <f t="shared" si="86"/>
        <v>11.56</v>
      </c>
    </row>
    <row r="1013" spans="1:5" ht="18" x14ac:dyDescent="0.35">
      <c r="A1013" s="5"/>
      <c r="B1013" s="50" t="s">
        <v>36</v>
      </c>
      <c r="C1013" s="7">
        <v>4</v>
      </c>
      <c r="D1013" s="7">
        <v>0.6</v>
      </c>
      <c r="E1013" s="85">
        <f t="shared" si="86"/>
        <v>2.4</v>
      </c>
    </row>
    <row r="1014" spans="1:5" ht="18" x14ac:dyDescent="0.35">
      <c r="A1014" s="5"/>
      <c r="B1014" s="5"/>
      <c r="C1014" s="54"/>
      <c r="D1014" s="54"/>
      <c r="E1014" s="89">
        <f>SUM(E1006:E1013)</f>
        <v>770.76018999999985</v>
      </c>
    </row>
    <row r="1015" spans="1:5" ht="18" x14ac:dyDescent="0.35">
      <c r="A1015" s="5"/>
      <c r="B1015" s="50" t="s">
        <v>37</v>
      </c>
      <c r="C1015" s="54">
        <v>1.5</v>
      </c>
      <c r="D1015" s="54">
        <v>101.32</v>
      </c>
      <c r="E1015" s="85">
        <f>C1015*D1015</f>
        <v>151.97999999999999</v>
      </c>
    </row>
    <row r="1016" spans="1:5" ht="18" x14ac:dyDescent="0.35">
      <c r="A1016" s="5"/>
      <c r="B1016" s="5"/>
      <c r="C1016" s="54"/>
      <c r="D1016" s="54"/>
      <c r="E1016" s="85">
        <f>SUM(E1014:E1015)</f>
        <v>922.74018999999987</v>
      </c>
    </row>
    <row r="1019" spans="1:5" ht="21" x14ac:dyDescent="0.4">
      <c r="A1019" s="40" t="s">
        <v>602</v>
      </c>
      <c r="B1019" s="40"/>
      <c r="C1019" s="84"/>
      <c r="D1019" s="12"/>
      <c r="E1019" s="12"/>
    </row>
    <row r="1020" spans="1:5" ht="21" x14ac:dyDescent="0.4">
      <c r="A1020" s="40"/>
      <c r="B1020" s="40"/>
      <c r="C1020" s="84"/>
      <c r="D1020" s="12"/>
      <c r="E1020" s="12"/>
    </row>
    <row r="1021" spans="1:5" ht="18" x14ac:dyDescent="0.35">
      <c r="A1021" s="5"/>
      <c r="B1021" s="5"/>
      <c r="C1021" s="7" t="s">
        <v>28</v>
      </c>
      <c r="D1021" s="7" t="s">
        <v>29</v>
      </c>
      <c r="E1021" s="7" t="s">
        <v>30</v>
      </c>
    </row>
    <row r="1022" spans="1:5" ht="18" x14ac:dyDescent="0.35">
      <c r="A1022" s="5" t="s">
        <v>803</v>
      </c>
      <c r="B1022" s="50" t="s">
        <v>32</v>
      </c>
      <c r="C1022" s="7">
        <v>3.2879999999999998</v>
      </c>
      <c r="D1022" s="7">
        <v>42.29</v>
      </c>
      <c r="E1022" s="85">
        <f t="shared" ref="E1022:E1029" si="87">C1022*D1022</f>
        <v>139.04952</v>
      </c>
    </row>
    <row r="1023" spans="1:5" ht="18" x14ac:dyDescent="0.35">
      <c r="A1023" s="5" t="s">
        <v>53</v>
      </c>
      <c r="B1023" s="50" t="s">
        <v>33</v>
      </c>
      <c r="C1023" s="7">
        <v>13.377000000000001</v>
      </c>
      <c r="D1023" s="7">
        <v>16.09</v>
      </c>
      <c r="E1023" s="85">
        <f t="shared" si="87"/>
        <v>215.23593</v>
      </c>
    </row>
    <row r="1024" spans="1:5" ht="18" x14ac:dyDescent="0.35">
      <c r="A1024" s="5" t="s">
        <v>804</v>
      </c>
      <c r="B1024" s="50" t="s">
        <v>33</v>
      </c>
      <c r="C1024" s="7">
        <v>13.093</v>
      </c>
      <c r="D1024" s="7">
        <v>16.09</v>
      </c>
      <c r="E1024" s="85">
        <f t="shared" si="87"/>
        <v>210.66637</v>
      </c>
    </row>
    <row r="1025" spans="1:5" ht="18" x14ac:dyDescent="0.35">
      <c r="A1025" s="5" t="s">
        <v>798</v>
      </c>
      <c r="B1025" s="50" t="s">
        <v>90</v>
      </c>
      <c r="C1025" s="7">
        <v>2</v>
      </c>
      <c r="D1025" s="7">
        <v>1.7</v>
      </c>
      <c r="E1025" s="85">
        <f t="shared" si="87"/>
        <v>3.4</v>
      </c>
    </row>
    <row r="1026" spans="1:5" ht="18" x14ac:dyDescent="0.35">
      <c r="A1026" s="5"/>
      <c r="B1026" s="50" t="s">
        <v>95</v>
      </c>
      <c r="C1026" s="88">
        <v>2</v>
      </c>
      <c r="D1026" s="88">
        <v>11.26</v>
      </c>
      <c r="E1026" s="90">
        <f t="shared" si="87"/>
        <v>22.52</v>
      </c>
    </row>
    <row r="1027" spans="1:5" ht="18" x14ac:dyDescent="0.35">
      <c r="A1027" s="5"/>
      <c r="B1027" s="50" t="s">
        <v>34</v>
      </c>
      <c r="C1027" s="7">
        <v>1.2</v>
      </c>
      <c r="D1027" s="7">
        <v>13.67</v>
      </c>
      <c r="E1027" s="85">
        <f t="shared" si="87"/>
        <v>16.404</v>
      </c>
    </row>
    <row r="1028" spans="1:5" ht="18" x14ac:dyDescent="0.35">
      <c r="A1028" s="5"/>
      <c r="B1028" s="50" t="s">
        <v>35</v>
      </c>
      <c r="C1028" s="7">
        <v>4</v>
      </c>
      <c r="D1028" s="7">
        <v>2.89</v>
      </c>
      <c r="E1028" s="85">
        <f t="shared" si="87"/>
        <v>11.56</v>
      </c>
    </row>
    <row r="1029" spans="1:5" ht="18" x14ac:dyDescent="0.35">
      <c r="A1029" s="5"/>
      <c r="B1029" s="50" t="s">
        <v>36</v>
      </c>
      <c r="C1029" s="7">
        <v>4</v>
      </c>
      <c r="D1029" s="7">
        <v>0.6</v>
      </c>
      <c r="E1029" s="85">
        <f t="shared" si="87"/>
        <v>2.4</v>
      </c>
    </row>
    <row r="1030" spans="1:5" ht="18" x14ac:dyDescent="0.35">
      <c r="A1030" s="5"/>
      <c r="B1030" s="5"/>
      <c r="C1030" s="54"/>
      <c r="D1030" s="54"/>
      <c r="E1030" s="89">
        <f>SUM(E1022:E1029)</f>
        <v>621.23581999999988</v>
      </c>
    </row>
    <row r="1031" spans="1:5" ht="18" x14ac:dyDescent="0.35">
      <c r="A1031" s="5"/>
      <c r="B1031" s="50" t="s">
        <v>37</v>
      </c>
      <c r="C1031" s="54">
        <v>1.5</v>
      </c>
      <c r="D1031" s="54">
        <v>101.32</v>
      </c>
      <c r="E1031" s="85">
        <f>C1031*D1031</f>
        <v>151.97999999999999</v>
      </c>
    </row>
    <row r="1032" spans="1:5" ht="18" x14ac:dyDescent="0.35">
      <c r="A1032" s="5"/>
      <c r="B1032" s="5"/>
      <c r="C1032" s="54"/>
      <c r="D1032" s="54"/>
      <c r="E1032" s="85">
        <f>SUM(E1030:E1031)</f>
        <v>773.21581999999989</v>
      </c>
    </row>
    <row r="1035" spans="1:5" ht="21" x14ac:dyDescent="0.4">
      <c r="A1035" s="40" t="s">
        <v>794</v>
      </c>
      <c r="B1035" s="40"/>
      <c r="C1035" s="40"/>
      <c r="D1035" s="12"/>
      <c r="E1035" s="12"/>
    </row>
    <row r="1036" spans="1:5" ht="18" x14ac:dyDescent="0.35">
      <c r="A1036" s="5"/>
      <c r="B1036" s="5"/>
      <c r="C1036" s="7" t="s">
        <v>28</v>
      </c>
      <c r="D1036" s="7" t="s">
        <v>29</v>
      </c>
      <c r="E1036" s="7" t="s">
        <v>30</v>
      </c>
    </row>
    <row r="1037" spans="1:5" ht="18" x14ac:dyDescent="0.35">
      <c r="A1037" s="5" t="s">
        <v>801</v>
      </c>
      <c r="B1037" s="50" t="s">
        <v>32</v>
      </c>
      <c r="C1037" s="7">
        <v>3.0259999999999998</v>
      </c>
      <c r="D1037" s="7">
        <v>30.44</v>
      </c>
      <c r="E1037" s="85">
        <f t="shared" ref="E1037:E1042" si="88">C1037*D1037</f>
        <v>92.111440000000002</v>
      </c>
    </row>
    <row r="1038" spans="1:5" ht="18" x14ac:dyDescent="0.35">
      <c r="A1038" s="5" t="s">
        <v>340</v>
      </c>
      <c r="B1038" s="50" t="s">
        <v>33</v>
      </c>
      <c r="C1038" s="7">
        <v>33.642000000000003</v>
      </c>
      <c r="D1038" s="7">
        <v>17.059999999999999</v>
      </c>
      <c r="E1038" s="85">
        <f t="shared" si="88"/>
        <v>573.93251999999995</v>
      </c>
    </row>
    <row r="1039" spans="1:5" ht="18" x14ac:dyDescent="0.35">
      <c r="A1039" s="5" t="s">
        <v>802</v>
      </c>
      <c r="B1039" s="50" t="s">
        <v>137</v>
      </c>
      <c r="C1039" s="7">
        <v>1</v>
      </c>
      <c r="D1039" s="7">
        <v>17.190000000000001</v>
      </c>
      <c r="E1039" s="85">
        <f t="shared" si="88"/>
        <v>17.190000000000001</v>
      </c>
    </row>
    <row r="1040" spans="1:5" ht="18" x14ac:dyDescent="0.35">
      <c r="A1040" s="5"/>
      <c r="B1040" s="50" t="s">
        <v>35</v>
      </c>
      <c r="C1040" s="7">
        <v>4</v>
      </c>
      <c r="D1040" s="7">
        <v>2.91</v>
      </c>
      <c r="E1040" s="85">
        <f t="shared" si="88"/>
        <v>11.64</v>
      </c>
    </row>
    <row r="1041" spans="1:5" ht="18" x14ac:dyDescent="0.35">
      <c r="A1041" s="5"/>
      <c r="B1041" s="50" t="s">
        <v>36</v>
      </c>
      <c r="C1041" s="7">
        <v>4</v>
      </c>
      <c r="D1041" s="7">
        <v>0.61</v>
      </c>
      <c r="E1041" s="85">
        <f t="shared" si="88"/>
        <v>2.44</v>
      </c>
    </row>
    <row r="1042" spans="1:5" ht="18" x14ac:dyDescent="0.35">
      <c r="A1042" s="5"/>
      <c r="B1042" s="50" t="s">
        <v>37</v>
      </c>
      <c r="C1042" s="54">
        <v>1</v>
      </c>
      <c r="D1042" s="86">
        <v>101.32</v>
      </c>
      <c r="E1042" s="85">
        <f t="shared" si="88"/>
        <v>101.32</v>
      </c>
    </row>
    <row r="1043" spans="1:5" ht="18" x14ac:dyDescent="0.35">
      <c r="A1043" s="5"/>
      <c r="B1043" s="5"/>
      <c r="C1043" s="54"/>
      <c r="D1043" s="54"/>
      <c r="E1043" s="85">
        <f>SUM(E1037:E1042)</f>
        <v>798.63396000000012</v>
      </c>
    </row>
    <row r="1046" spans="1:5" ht="21" x14ac:dyDescent="0.4">
      <c r="A1046" s="40" t="s">
        <v>785</v>
      </c>
      <c r="B1046" s="40"/>
      <c r="C1046" s="40"/>
      <c r="D1046" s="12"/>
      <c r="E1046" s="12"/>
    </row>
    <row r="1047" spans="1:5" ht="18" x14ac:dyDescent="0.35">
      <c r="A1047" s="5"/>
      <c r="B1047" s="5"/>
      <c r="C1047" s="7" t="s">
        <v>28</v>
      </c>
      <c r="D1047" s="7" t="s">
        <v>29</v>
      </c>
      <c r="E1047" s="7" t="s">
        <v>30</v>
      </c>
    </row>
    <row r="1048" spans="1:5" ht="18" x14ac:dyDescent="0.35">
      <c r="A1048" s="5" t="s">
        <v>109</v>
      </c>
      <c r="B1048" s="50" t="s">
        <v>32</v>
      </c>
      <c r="C1048" s="7">
        <v>2.8690000000000002</v>
      </c>
      <c r="D1048" s="7">
        <v>30.44</v>
      </c>
      <c r="E1048" s="85">
        <f t="shared" ref="E1048:E1053" si="89">C1048*D1048</f>
        <v>87.332360000000008</v>
      </c>
    </row>
    <row r="1049" spans="1:5" ht="18" x14ac:dyDescent="0.35">
      <c r="A1049" s="5" t="s">
        <v>167</v>
      </c>
      <c r="B1049" s="50" t="s">
        <v>33</v>
      </c>
      <c r="C1049" s="7">
        <v>21.83</v>
      </c>
      <c r="D1049" s="7">
        <v>17.059999999999999</v>
      </c>
      <c r="E1049" s="85">
        <f t="shared" si="89"/>
        <v>372.41979999999995</v>
      </c>
    </row>
    <row r="1050" spans="1:5" ht="18" x14ac:dyDescent="0.35">
      <c r="A1050" s="5" t="s">
        <v>802</v>
      </c>
      <c r="B1050" s="50" t="s">
        <v>137</v>
      </c>
      <c r="C1050" s="7">
        <v>0.9</v>
      </c>
      <c r="D1050" s="7">
        <v>17.190000000000001</v>
      </c>
      <c r="E1050" s="85">
        <f t="shared" si="89"/>
        <v>15.471000000000002</v>
      </c>
    </row>
    <row r="1051" spans="1:5" ht="18" x14ac:dyDescent="0.35">
      <c r="A1051" s="5"/>
      <c r="B1051" s="50" t="s">
        <v>35</v>
      </c>
      <c r="C1051" s="7">
        <v>4</v>
      </c>
      <c r="D1051" s="7">
        <v>2.91</v>
      </c>
      <c r="E1051" s="85">
        <f t="shared" si="89"/>
        <v>11.64</v>
      </c>
    </row>
    <row r="1052" spans="1:5" ht="18" x14ac:dyDescent="0.35">
      <c r="A1052" s="5"/>
      <c r="B1052" s="50" t="s">
        <v>36</v>
      </c>
      <c r="C1052" s="7">
        <v>4</v>
      </c>
      <c r="D1052" s="7">
        <v>0.61</v>
      </c>
      <c r="E1052" s="85">
        <f t="shared" si="89"/>
        <v>2.44</v>
      </c>
    </row>
    <row r="1053" spans="1:5" ht="18" x14ac:dyDescent="0.35">
      <c r="A1053" s="5"/>
      <c r="B1053" s="50" t="s">
        <v>37</v>
      </c>
      <c r="C1053" s="54">
        <v>0.5</v>
      </c>
      <c r="D1053" s="86">
        <v>101</v>
      </c>
      <c r="E1053" s="85">
        <f t="shared" si="89"/>
        <v>50.5</v>
      </c>
    </row>
    <row r="1054" spans="1:5" ht="18" x14ac:dyDescent="0.35">
      <c r="A1054" s="5"/>
      <c r="B1054" s="5"/>
      <c r="C1054" s="54"/>
      <c r="D1054" s="54"/>
      <c r="E1054" s="85">
        <f>SUM(E1048:E1053)</f>
        <v>539.80315999999993</v>
      </c>
    </row>
    <row r="1057" spans="1:5" ht="21" x14ac:dyDescent="0.4">
      <c r="A1057" s="40" t="s">
        <v>805</v>
      </c>
      <c r="B1057" s="40"/>
      <c r="C1057" s="40"/>
      <c r="D1057" s="12"/>
      <c r="E1057" s="12"/>
    </row>
    <row r="1058" spans="1:5" ht="18" x14ac:dyDescent="0.35">
      <c r="A1058" s="5"/>
      <c r="B1058" s="5"/>
      <c r="C1058" s="7" t="s">
        <v>28</v>
      </c>
      <c r="D1058" s="7" t="s">
        <v>29</v>
      </c>
      <c r="E1058" s="7" t="s">
        <v>30</v>
      </c>
    </row>
    <row r="1059" spans="1:5" ht="18" x14ac:dyDescent="0.35">
      <c r="A1059" s="5" t="s">
        <v>107</v>
      </c>
      <c r="B1059" s="50" t="s">
        <v>32</v>
      </c>
      <c r="C1059" s="7">
        <v>2.448</v>
      </c>
      <c r="D1059" s="7">
        <v>30.44</v>
      </c>
      <c r="E1059" s="85">
        <f t="shared" ref="E1059:E1064" si="90">C1059*D1059</f>
        <v>74.517120000000006</v>
      </c>
    </row>
    <row r="1060" spans="1:5" ht="18" x14ac:dyDescent="0.35">
      <c r="A1060" s="5" t="s">
        <v>213</v>
      </c>
      <c r="B1060" s="50" t="s">
        <v>33</v>
      </c>
      <c r="C1060" s="7">
        <v>17.420000000000002</v>
      </c>
      <c r="D1060" s="7">
        <v>17.059999999999999</v>
      </c>
      <c r="E1060" s="85">
        <f t="shared" si="90"/>
        <v>297.18520000000001</v>
      </c>
    </row>
    <row r="1061" spans="1:5" ht="18" x14ac:dyDescent="0.35">
      <c r="A1061" s="5" t="s">
        <v>431</v>
      </c>
      <c r="B1061" s="50" t="s">
        <v>137</v>
      </c>
      <c r="C1061" s="7">
        <v>0.66</v>
      </c>
      <c r="D1061" s="7">
        <v>17.190000000000001</v>
      </c>
      <c r="E1061" s="85">
        <f t="shared" si="90"/>
        <v>11.345400000000001</v>
      </c>
    </row>
    <row r="1062" spans="1:5" ht="18" x14ac:dyDescent="0.35">
      <c r="A1062" s="5"/>
      <c r="B1062" s="50" t="s">
        <v>35</v>
      </c>
      <c r="C1062" s="7">
        <v>4</v>
      </c>
      <c r="D1062" s="7">
        <v>2.91</v>
      </c>
      <c r="E1062" s="85">
        <f t="shared" si="90"/>
        <v>11.64</v>
      </c>
    </row>
    <row r="1063" spans="1:5" ht="18" x14ac:dyDescent="0.35">
      <c r="A1063" s="5"/>
      <c r="B1063" s="50" t="s">
        <v>36</v>
      </c>
      <c r="C1063" s="7">
        <v>4</v>
      </c>
      <c r="D1063" s="7">
        <v>0.61</v>
      </c>
      <c r="E1063" s="85">
        <f t="shared" si="90"/>
        <v>2.44</v>
      </c>
    </row>
    <row r="1064" spans="1:5" ht="18" x14ac:dyDescent="0.35">
      <c r="A1064" s="5"/>
      <c r="B1064" s="50" t="s">
        <v>37</v>
      </c>
      <c r="C1064" s="54">
        <v>1</v>
      </c>
      <c r="D1064" s="86">
        <v>85</v>
      </c>
      <c r="E1064" s="85">
        <f t="shared" si="90"/>
        <v>85</v>
      </c>
    </row>
    <row r="1065" spans="1:5" ht="18" x14ac:dyDescent="0.35">
      <c r="A1065" s="5"/>
      <c r="B1065" s="5"/>
      <c r="C1065" s="54"/>
      <c r="D1065" s="54"/>
      <c r="E1065" s="85">
        <f>SUM(E1059:E1064)</f>
        <v>482.12771999999995</v>
      </c>
    </row>
    <row r="1068" spans="1:5" ht="21" x14ac:dyDescent="0.4">
      <c r="A1068" s="40" t="s">
        <v>806</v>
      </c>
      <c r="B1068" s="40"/>
      <c r="C1068" s="40"/>
      <c r="D1068" s="12"/>
      <c r="E1068" s="12"/>
    </row>
    <row r="1069" spans="1:5" ht="18" x14ac:dyDescent="0.35">
      <c r="A1069" s="5"/>
      <c r="B1069" s="5"/>
      <c r="C1069" s="7" t="s">
        <v>28</v>
      </c>
      <c r="D1069" s="7" t="s">
        <v>29</v>
      </c>
      <c r="E1069" s="7" t="s">
        <v>30</v>
      </c>
    </row>
    <row r="1070" spans="1:5" ht="18" x14ac:dyDescent="0.35">
      <c r="A1070" s="5" t="s">
        <v>107</v>
      </c>
      <c r="B1070" s="50" t="s">
        <v>32</v>
      </c>
      <c r="C1070" s="7">
        <v>2.448</v>
      </c>
      <c r="D1070" s="7">
        <v>29.12</v>
      </c>
      <c r="E1070" s="85">
        <f t="shared" ref="E1070:E1075" si="91">C1070*D1070</f>
        <v>71.285759999999996</v>
      </c>
    </row>
    <row r="1071" spans="1:5" ht="18" x14ac:dyDescent="0.35">
      <c r="A1071" s="5" t="s">
        <v>213</v>
      </c>
      <c r="B1071" s="50" t="s">
        <v>33</v>
      </c>
      <c r="C1071" s="7">
        <v>17.420000000000002</v>
      </c>
      <c r="D1071" s="7">
        <v>15.25</v>
      </c>
      <c r="E1071" s="85">
        <f t="shared" si="91"/>
        <v>265.65500000000003</v>
      </c>
    </row>
    <row r="1072" spans="1:5" ht="18" x14ac:dyDescent="0.35">
      <c r="A1072" s="5" t="s">
        <v>431</v>
      </c>
      <c r="B1072" s="50" t="s">
        <v>137</v>
      </c>
      <c r="C1072" s="7">
        <v>0.66</v>
      </c>
      <c r="D1072" s="7">
        <v>17.190000000000001</v>
      </c>
      <c r="E1072" s="85">
        <f t="shared" si="91"/>
        <v>11.345400000000001</v>
      </c>
    </row>
    <row r="1073" spans="1:5" ht="18" x14ac:dyDescent="0.35">
      <c r="A1073" s="5"/>
      <c r="B1073" s="50" t="s">
        <v>35</v>
      </c>
      <c r="C1073" s="7">
        <v>4</v>
      </c>
      <c r="D1073" s="7">
        <v>2.91</v>
      </c>
      <c r="E1073" s="85">
        <f t="shared" si="91"/>
        <v>11.64</v>
      </c>
    </row>
    <row r="1074" spans="1:5" ht="18" x14ac:dyDescent="0.35">
      <c r="A1074" s="5"/>
      <c r="B1074" s="50" t="s">
        <v>36</v>
      </c>
      <c r="C1074" s="7">
        <v>4</v>
      </c>
      <c r="D1074" s="7">
        <v>0.61</v>
      </c>
      <c r="E1074" s="85">
        <f t="shared" si="91"/>
        <v>2.44</v>
      </c>
    </row>
    <row r="1075" spans="1:5" ht="18" x14ac:dyDescent="0.35">
      <c r="A1075" s="5"/>
      <c r="B1075" s="50" t="s">
        <v>37</v>
      </c>
      <c r="C1075" s="54">
        <v>1</v>
      </c>
      <c r="D1075" s="86">
        <v>85</v>
      </c>
      <c r="E1075" s="85">
        <f t="shared" si="91"/>
        <v>85</v>
      </c>
    </row>
    <row r="1076" spans="1:5" ht="18" x14ac:dyDescent="0.35">
      <c r="A1076" s="5"/>
      <c r="B1076" s="5"/>
      <c r="C1076" s="54"/>
      <c r="D1076" s="54"/>
      <c r="E1076" s="85">
        <f>SUM(E1070:E1075)</f>
        <v>447.36615999999998</v>
      </c>
    </row>
    <row r="1079" spans="1:5" ht="21" x14ac:dyDescent="0.4">
      <c r="A1079" s="40" t="s">
        <v>807</v>
      </c>
      <c r="B1079" s="40"/>
      <c r="C1079" s="40"/>
      <c r="D1079" s="12"/>
      <c r="E1079" s="12"/>
    </row>
    <row r="1080" spans="1:5" ht="18" x14ac:dyDescent="0.35">
      <c r="A1080" s="5"/>
      <c r="B1080" s="5"/>
      <c r="C1080" s="7" t="s">
        <v>28</v>
      </c>
      <c r="D1080" s="7" t="s">
        <v>29</v>
      </c>
      <c r="E1080" s="7" t="s">
        <v>30</v>
      </c>
    </row>
    <row r="1081" spans="1:5" ht="18" x14ac:dyDescent="0.35">
      <c r="A1081" s="5" t="s">
        <v>808</v>
      </c>
      <c r="B1081" s="50" t="s">
        <v>32</v>
      </c>
      <c r="C1081" s="7">
        <v>3.0259999999999998</v>
      </c>
      <c r="D1081" s="7">
        <v>29.12</v>
      </c>
      <c r="E1081" s="85">
        <f>C1081*D1081</f>
        <v>88.11712</v>
      </c>
    </row>
    <row r="1082" spans="1:5" ht="18" x14ac:dyDescent="0.35">
      <c r="A1082" s="5" t="s">
        <v>238</v>
      </c>
      <c r="B1082" s="50" t="s">
        <v>33</v>
      </c>
      <c r="C1082" s="7">
        <v>5.4180000000000001</v>
      </c>
      <c r="D1082" s="7">
        <v>15.25</v>
      </c>
      <c r="E1082" s="85">
        <f>C1082*D1082</f>
        <v>82.624499999999998</v>
      </c>
    </row>
    <row r="1083" spans="1:5" ht="18" x14ac:dyDescent="0.35">
      <c r="A1083" s="5" t="s">
        <v>777</v>
      </c>
      <c r="B1083" s="50" t="s">
        <v>137</v>
      </c>
      <c r="C1083" s="7">
        <v>0.45</v>
      </c>
      <c r="D1083" s="7">
        <v>17.190000000000001</v>
      </c>
      <c r="E1083" s="85">
        <f>C1083*D1083</f>
        <v>7.7355000000000009</v>
      </c>
    </row>
    <row r="1084" spans="1:5" ht="18" x14ac:dyDescent="0.35">
      <c r="A1084" s="5"/>
      <c r="B1084" s="50" t="s">
        <v>35</v>
      </c>
      <c r="C1084" s="7">
        <v>4</v>
      </c>
      <c r="D1084" s="7">
        <v>2.91</v>
      </c>
      <c r="E1084" s="85">
        <f>C1084*D1084</f>
        <v>11.64</v>
      </c>
    </row>
    <row r="1085" spans="1:5" ht="18" x14ac:dyDescent="0.35">
      <c r="A1085" s="5"/>
      <c r="B1085" s="50" t="s">
        <v>36</v>
      </c>
      <c r="C1085" s="7">
        <v>4</v>
      </c>
      <c r="D1085" s="7">
        <v>0.61</v>
      </c>
      <c r="E1085" s="85">
        <f>C1085*D1085</f>
        <v>2.44</v>
      </c>
    </row>
    <row r="1086" spans="1:5" ht="18" x14ac:dyDescent="0.35">
      <c r="A1086" s="5"/>
      <c r="B1086" s="50" t="s">
        <v>37</v>
      </c>
      <c r="C1086" s="54">
        <v>0.5</v>
      </c>
      <c r="D1086" s="86">
        <v>85</v>
      </c>
      <c r="E1086" s="85">
        <v>50</v>
      </c>
    </row>
    <row r="1087" spans="1:5" ht="18" x14ac:dyDescent="0.35">
      <c r="A1087" s="5"/>
      <c r="B1087" s="5"/>
      <c r="C1087" s="54"/>
      <c r="D1087" s="54"/>
      <c r="E1087" s="85">
        <f>SUM(E1081:E1086)</f>
        <v>242.55712</v>
      </c>
    </row>
    <row r="1090" spans="1:5" ht="21" x14ac:dyDescent="0.4">
      <c r="A1090" s="40" t="s">
        <v>599</v>
      </c>
      <c r="B1090" s="40"/>
      <c r="C1090" s="84"/>
    </row>
    <row r="1091" spans="1:5" ht="18" x14ac:dyDescent="0.35">
      <c r="A1091" s="5"/>
      <c r="B1091" s="5"/>
      <c r="C1091" s="7" t="s">
        <v>28</v>
      </c>
      <c r="D1091" s="7" t="s">
        <v>29</v>
      </c>
      <c r="E1091" s="7" t="s">
        <v>30</v>
      </c>
    </row>
    <row r="1092" spans="1:5" ht="18" x14ac:dyDescent="0.35">
      <c r="A1092" s="5" t="s">
        <v>809</v>
      </c>
      <c r="B1092" s="50" t="s">
        <v>32</v>
      </c>
      <c r="C1092" s="7">
        <v>2.8260000000000001</v>
      </c>
      <c r="D1092" s="7">
        <v>30.44</v>
      </c>
      <c r="E1092" s="85">
        <f t="shared" ref="E1092:E1097" si="92">C1092*D1092</f>
        <v>86.023440000000008</v>
      </c>
    </row>
    <row r="1093" spans="1:5" ht="18" x14ac:dyDescent="0.35">
      <c r="A1093" s="5" t="s">
        <v>810</v>
      </c>
      <c r="B1093" s="50" t="s">
        <v>33</v>
      </c>
      <c r="C1093" s="7">
        <v>3.7480000000000002</v>
      </c>
      <c r="D1093" s="7">
        <v>16.170000000000002</v>
      </c>
      <c r="E1093" s="85">
        <f t="shared" si="92"/>
        <v>60.605160000000012</v>
      </c>
    </row>
    <row r="1094" spans="1:5" ht="18" x14ac:dyDescent="0.35">
      <c r="A1094" s="5" t="s">
        <v>789</v>
      </c>
      <c r="B1094" s="50" t="s">
        <v>43</v>
      </c>
      <c r="C1094" s="7">
        <v>2</v>
      </c>
      <c r="D1094" s="7">
        <v>1.1499999999999999</v>
      </c>
      <c r="E1094" s="85">
        <f t="shared" si="92"/>
        <v>2.2999999999999998</v>
      </c>
    </row>
    <row r="1095" spans="1:5" ht="18" x14ac:dyDescent="0.35">
      <c r="A1095" s="5"/>
      <c r="B1095" s="50" t="s">
        <v>34</v>
      </c>
      <c r="C1095" s="7">
        <v>0.32</v>
      </c>
      <c r="D1095" s="7">
        <v>14.61</v>
      </c>
      <c r="E1095" s="85">
        <f t="shared" si="92"/>
        <v>4.6752000000000002</v>
      </c>
    </row>
    <row r="1096" spans="1:5" ht="18" x14ac:dyDescent="0.35">
      <c r="A1096" s="5"/>
      <c r="B1096" s="50" t="s">
        <v>35</v>
      </c>
      <c r="C1096" s="7">
        <v>4</v>
      </c>
      <c r="D1096" s="7">
        <v>2.89</v>
      </c>
      <c r="E1096" s="85">
        <f t="shared" si="92"/>
        <v>11.56</v>
      </c>
    </row>
    <row r="1097" spans="1:5" ht="18" x14ac:dyDescent="0.35">
      <c r="A1097" s="5"/>
      <c r="B1097" s="50" t="s">
        <v>36</v>
      </c>
      <c r="C1097" s="7">
        <v>4</v>
      </c>
      <c r="D1097" s="7">
        <v>0.6</v>
      </c>
      <c r="E1097" s="85">
        <f t="shared" si="92"/>
        <v>2.4</v>
      </c>
    </row>
    <row r="1098" spans="1:5" ht="18" x14ac:dyDescent="0.35">
      <c r="A1098" s="5"/>
      <c r="B1098" s="5"/>
      <c r="C1098" s="54"/>
      <c r="D1098" s="54"/>
      <c r="E1098" s="89">
        <f>SUM(E1092:E1097)</f>
        <v>167.56380000000001</v>
      </c>
    </row>
    <row r="1099" spans="1:5" ht="18" x14ac:dyDescent="0.35">
      <c r="A1099" s="5"/>
      <c r="B1099" s="50" t="s">
        <v>37</v>
      </c>
      <c r="C1099" s="54">
        <v>0.5</v>
      </c>
      <c r="D1099" s="54">
        <v>98</v>
      </c>
      <c r="E1099" s="85">
        <f>C1099*D1099</f>
        <v>49</v>
      </c>
    </row>
    <row r="1100" spans="1:5" ht="18" x14ac:dyDescent="0.35">
      <c r="A1100" s="5"/>
      <c r="B1100" s="5"/>
      <c r="C1100" s="54"/>
      <c r="D1100" s="54"/>
      <c r="E1100" s="85">
        <f>SUM(E1098:E1099)</f>
        <v>216.56380000000001</v>
      </c>
    </row>
    <row r="1103" spans="1:5" ht="21" x14ac:dyDescent="0.4">
      <c r="A1103" s="40" t="s">
        <v>602</v>
      </c>
      <c r="B1103" s="40"/>
      <c r="C1103" s="84"/>
      <c r="D1103" s="12"/>
      <c r="E1103" s="12"/>
    </row>
    <row r="1104" spans="1:5" ht="21" x14ac:dyDescent="0.4">
      <c r="A1104" s="40"/>
      <c r="B1104" s="40"/>
      <c r="C1104" s="84"/>
      <c r="D1104" s="12"/>
      <c r="E1104" s="12"/>
    </row>
    <row r="1105" spans="1:5" ht="18" x14ac:dyDescent="0.35">
      <c r="A1105" s="5"/>
      <c r="B1105" s="5"/>
      <c r="C1105" s="7" t="s">
        <v>28</v>
      </c>
      <c r="D1105" s="7" t="s">
        <v>29</v>
      </c>
      <c r="E1105" s="7" t="s">
        <v>30</v>
      </c>
    </row>
    <row r="1106" spans="1:5" ht="18" x14ac:dyDescent="0.35">
      <c r="A1106" s="5" t="s">
        <v>291</v>
      </c>
      <c r="B1106" s="50" t="s">
        <v>32</v>
      </c>
      <c r="C1106" s="7">
        <v>2.6579999999999999</v>
      </c>
      <c r="D1106" s="7">
        <v>42.29</v>
      </c>
      <c r="E1106" s="85">
        <f t="shared" ref="E1106:E1113" si="93">C1106*D1106</f>
        <v>112.40682</v>
      </c>
    </row>
    <row r="1107" spans="1:5" ht="18" x14ac:dyDescent="0.35">
      <c r="A1107" s="5" t="s">
        <v>168</v>
      </c>
      <c r="B1107" s="50" t="s">
        <v>33</v>
      </c>
      <c r="C1107" s="7">
        <v>17.965</v>
      </c>
      <c r="D1107" s="7">
        <v>16.09</v>
      </c>
      <c r="E1107" s="85">
        <f t="shared" si="93"/>
        <v>289.05685</v>
      </c>
    </row>
    <row r="1108" spans="1:5" ht="18" x14ac:dyDescent="0.35">
      <c r="A1108" s="5" t="s">
        <v>56</v>
      </c>
      <c r="B1108" s="50" t="s">
        <v>33</v>
      </c>
      <c r="C1108" s="7">
        <v>17.965</v>
      </c>
      <c r="D1108" s="7">
        <v>16.09</v>
      </c>
      <c r="E1108" s="85">
        <f t="shared" si="93"/>
        <v>289.05685</v>
      </c>
    </row>
    <row r="1109" spans="1:5" ht="18" x14ac:dyDescent="0.35">
      <c r="A1109" s="5" t="s">
        <v>540</v>
      </c>
      <c r="B1109" s="50" t="s">
        <v>89</v>
      </c>
      <c r="C1109" s="7">
        <v>4</v>
      </c>
      <c r="D1109" s="7">
        <v>1.7</v>
      </c>
      <c r="E1109" s="85">
        <f t="shared" si="93"/>
        <v>6.8</v>
      </c>
    </row>
    <row r="1110" spans="1:5" ht="18" x14ac:dyDescent="0.35">
      <c r="A1110" s="5"/>
      <c r="B1110" s="50" t="s">
        <v>89</v>
      </c>
      <c r="C1110" s="88">
        <v>4</v>
      </c>
      <c r="D1110" s="88">
        <v>1.7</v>
      </c>
      <c r="E1110" s="90">
        <f t="shared" si="93"/>
        <v>6.8</v>
      </c>
    </row>
    <row r="1111" spans="1:5" ht="18" x14ac:dyDescent="0.35">
      <c r="A1111" s="5"/>
      <c r="B1111" s="50" t="s">
        <v>34</v>
      </c>
      <c r="C1111" s="7">
        <v>0.6</v>
      </c>
      <c r="D1111" s="7">
        <v>13.67</v>
      </c>
      <c r="E1111" s="85">
        <f t="shared" si="93"/>
        <v>8.202</v>
      </c>
    </row>
    <row r="1112" spans="1:5" ht="18" x14ac:dyDescent="0.35">
      <c r="A1112" s="5"/>
      <c r="B1112" s="50" t="s">
        <v>35</v>
      </c>
      <c r="C1112" s="7">
        <v>4</v>
      </c>
      <c r="D1112" s="7">
        <v>2.89</v>
      </c>
      <c r="E1112" s="85">
        <f t="shared" si="93"/>
        <v>11.56</v>
      </c>
    </row>
    <row r="1113" spans="1:5" ht="18" x14ac:dyDescent="0.35">
      <c r="A1113" s="5"/>
      <c r="B1113" s="50" t="s">
        <v>36</v>
      </c>
      <c r="C1113" s="7">
        <v>4</v>
      </c>
      <c r="D1113" s="7">
        <v>0.6</v>
      </c>
      <c r="E1113" s="85">
        <f t="shared" si="93"/>
        <v>2.4</v>
      </c>
    </row>
    <row r="1114" spans="1:5" ht="18" x14ac:dyDescent="0.35">
      <c r="A1114" s="5"/>
      <c r="B1114" s="5"/>
      <c r="C1114" s="54"/>
      <c r="D1114" s="54"/>
      <c r="E1114" s="89">
        <f>SUM(E1106:E1113)</f>
        <v>726.28251999999986</v>
      </c>
    </row>
    <row r="1115" spans="1:5" ht="18" x14ac:dyDescent="0.35">
      <c r="A1115" s="5"/>
      <c r="B1115" s="50" t="s">
        <v>37</v>
      </c>
      <c r="C1115" s="54">
        <v>1</v>
      </c>
      <c r="D1115" s="54">
        <v>101.32</v>
      </c>
      <c r="E1115" s="85">
        <f>C1115*D1115</f>
        <v>101.32</v>
      </c>
    </row>
    <row r="1116" spans="1:5" ht="18" x14ac:dyDescent="0.35">
      <c r="A1116" s="5"/>
      <c r="B1116" s="5"/>
      <c r="C1116" s="54"/>
      <c r="D1116" s="54"/>
      <c r="E1116" s="85">
        <f>SUM(E1114:E1115)</f>
        <v>827.60251999999991</v>
      </c>
    </row>
    <row r="1118" spans="1:5" ht="21" x14ac:dyDescent="0.4">
      <c r="A1118" s="40" t="s">
        <v>599</v>
      </c>
      <c r="B1118" s="40"/>
      <c r="C1118" s="84"/>
    </row>
    <row r="1119" spans="1:5" ht="18" x14ac:dyDescent="0.35">
      <c r="A1119" s="5"/>
      <c r="B1119" s="5"/>
      <c r="C1119" s="7" t="s">
        <v>28</v>
      </c>
      <c r="D1119" s="7" t="s">
        <v>29</v>
      </c>
      <c r="E1119" s="7" t="s">
        <v>30</v>
      </c>
    </row>
    <row r="1120" spans="1:5" ht="18" x14ac:dyDescent="0.35">
      <c r="A1120" s="5" t="s">
        <v>291</v>
      </c>
      <c r="B1120" s="50" t="s">
        <v>32</v>
      </c>
      <c r="C1120" s="7">
        <v>2.6579999999999999</v>
      </c>
      <c r="D1120" s="7">
        <v>30.44</v>
      </c>
      <c r="E1120" s="85">
        <f t="shared" ref="E1120:E1125" si="94">C1120*D1120</f>
        <v>80.909520000000001</v>
      </c>
    </row>
    <row r="1121" spans="1:5" ht="18" x14ac:dyDescent="0.35">
      <c r="A1121" s="5" t="s">
        <v>819</v>
      </c>
      <c r="B1121" s="50" t="s">
        <v>33</v>
      </c>
      <c r="C1121" s="7">
        <v>17.965</v>
      </c>
      <c r="D1121" s="7">
        <v>16.170000000000002</v>
      </c>
      <c r="E1121" s="85">
        <f t="shared" si="94"/>
        <v>290.49405000000002</v>
      </c>
    </row>
    <row r="1122" spans="1:5" ht="18" x14ac:dyDescent="0.35">
      <c r="A1122" s="5" t="s">
        <v>820</v>
      </c>
      <c r="B1122" s="50" t="s">
        <v>90</v>
      </c>
      <c r="C1122" s="7">
        <v>4</v>
      </c>
      <c r="D1122" s="7">
        <v>1.17</v>
      </c>
      <c r="E1122" s="85">
        <f t="shared" si="94"/>
        <v>4.68</v>
      </c>
    </row>
    <row r="1123" spans="1:5" ht="18" x14ac:dyDescent="0.35">
      <c r="A1123" s="5"/>
      <c r="B1123" s="50" t="s">
        <v>34</v>
      </c>
      <c r="C1123" s="7">
        <v>0.6</v>
      </c>
      <c r="D1123" s="7">
        <v>14.61</v>
      </c>
      <c r="E1123" s="85">
        <f t="shared" si="94"/>
        <v>8.766</v>
      </c>
    </row>
    <row r="1124" spans="1:5" ht="18" x14ac:dyDescent="0.35">
      <c r="A1124" s="5"/>
      <c r="B1124" s="50" t="s">
        <v>35</v>
      </c>
      <c r="C1124" s="7">
        <v>4</v>
      </c>
      <c r="D1124" s="7">
        <v>2.89</v>
      </c>
      <c r="E1124" s="85">
        <f t="shared" si="94"/>
        <v>11.56</v>
      </c>
    </row>
    <row r="1125" spans="1:5" ht="18" x14ac:dyDescent="0.35">
      <c r="A1125" s="5"/>
      <c r="B1125" s="50" t="s">
        <v>36</v>
      </c>
      <c r="C1125" s="7">
        <v>4</v>
      </c>
      <c r="D1125" s="7">
        <v>0.6</v>
      </c>
      <c r="E1125" s="85">
        <f t="shared" si="94"/>
        <v>2.4</v>
      </c>
    </row>
    <row r="1126" spans="1:5" ht="18" x14ac:dyDescent="0.35">
      <c r="A1126" s="5"/>
      <c r="B1126" s="5"/>
      <c r="C1126" s="54"/>
      <c r="D1126" s="54"/>
      <c r="E1126" s="89">
        <f>SUM(E1120:E1125)</f>
        <v>398.80957000000001</v>
      </c>
    </row>
    <row r="1127" spans="1:5" ht="18" x14ac:dyDescent="0.35">
      <c r="A1127" s="5"/>
      <c r="B1127" s="50" t="s">
        <v>37</v>
      </c>
      <c r="C1127" s="54">
        <v>1</v>
      </c>
      <c r="D1127" s="54">
        <v>101.32</v>
      </c>
      <c r="E1127" s="85">
        <f>C1127*D1127</f>
        <v>101.32</v>
      </c>
    </row>
    <row r="1128" spans="1:5" ht="18" x14ac:dyDescent="0.35">
      <c r="A1128" s="5"/>
      <c r="B1128" s="5"/>
      <c r="C1128" s="54"/>
      <c r="D1128" s="54"/>
      <c r="E1128" s="85">
        <f>SUM(E1126:E1127)</f>
        <v>500.12957</v>
      </c>
    </row>
    <row r="1130" spans="1:5" ht="21" x14ac:dyDescent="0.4">
      <c r="A1130" s="40" t="s">
        <v>599</v>
      </c>
      <c r="B1130" s="40"/>
      <c r="C1130" s="84"/>
    </row>
    <row r="1131" spans="1:5" ht="18" x14ac:dyDescent="0.35">
      <c r="A1131" s="5"/>
      <c r="B1131" s="5"/>
      <c r="C1131" s="7" t="s">
        <v>28</v>
      </c>
      <c r="D1131" s="7" t="s">
        <v>29</v>
      </c>
      <c r="E1131" s="7" t="s">
        <v>30</v>
      </c>
    </row>
    <row r="1132" spans="1:5" ht="18" x14ac:dyDescent="0.35">
      <c r="A1132" s="5" t="s">
        <v>823</v>
      </c>
      <c r="B1132" s="50" t="s">
        <v>32</v>
      </c>
      <c r="C1132" s="7">
        <v>2.4380000000000002</v>
      </c>
      <c r="D1132" s="7">
        <v>30.44</v>
      </c>
      <c r="E1132" s="85">
        <f t="shared" ref="E1132:E1137" si="95">C1132*D1132</f>
        <v>74.212720000000004</v>
      </c>
    </row>
    <row r="1133" spans="1:5" ht="18" x14ac:dyDescent="0.35">
      <c r="A1133" s="5" t="s">
        <v>824</v>
      </c>
      <c r="B1133" s="50" t="s">
        <v>33</v>
      </c>
      <c r="C1133" s="7">
        <v>14.763</v>
      </c>
      <c r="D1133" s="7">
        <v>16.170000000000002</v>
      </c>
      <c r="E1133" s="85">
        <f t="shared" si="95"/>
        <v>238.71771000000001</v>
      </c>
    </row>
    <row r="1134" spans="1:5" ht="18" x14ac:dyDescent="0.35">
      <c r="A1134" s="5" t="s">
        <v>825</v>
      </c>
      <c r="B1134" s="50" t="s">
        <v>826</v>
      </c>
      <c r="C1134" s="7">
        <v>2</v>
      </c>
      <c r="D1134" s="7">
        <v>1.81</v>
      </c>
      <c r="E1134" s="85">
        <f t="shared" si="95"/>
        <v>3.62</v>
      </c>
    </row>
    <row r="1135" spans="1:5" ht="18" x14ac:dyDescent="0.35">
      <c r="A1135" s="5"/>
      <c r="B1135" s="50" t="s">
        <v>34</v>
      </c>
      <c r="C1135" s="7">
        <v>0.38</v>
      </c>
      <c r="D1135" s="7">
        <v>14.61</v>
      </c>
      <c r="E1135" s="85">
        <f t="shared" si="95"/>
        <v>5.5518000000000001</v>
      </c>
    </row>
    <row r="1136" spans="1:5" ht="18" x14ac:dyDescent="0.35">
      <c r="A1136" s="5"/>
      <c r="B1136" s="50" t="s">
        <v>35</v>
      </c>
      <c r="C1136" s="7">
        <v>4</v>
      </c>
      <c r="D1136" s="7">
        <v>2.89</v>
      </c>
      <c r="E1136" s="85">
        <f t="shared" si="95"/>
        <v>11.56</v>
      </c>
    </row>
    <row r="1137" spans="1:5" ht="18" x14ac:dyDescent="0.35">
      <c r="A1137" s="5"/>
      <c r="B1137" s="50" t="s">
        <v>36</v>
      </c>
      <c r="C1137" s="7">
        <v>4</v>
      </c>
      <c r="D1137" s="7">
        <v>0.61</v>
      </c>
      <c r="E1137" s="85">
        <f t="shared" si="95"/>
        <v>2.44</v>
      </c>
    </row>
    <row r="1138" spans="1:5" ht="18" x14ac:dyDescent="0.35">
      <c r="A1138" s="5"/>
      <c r="B1138" s="5"/>
      <c r="C1138" s="54"/>
      <c r="D1138" s="54"/>
      <c r="E1138" s="89">
        <f>SUM(E1132:E1137)</f>
        <v>336.10223000000002</v>
      </c>
    </row>
    <row r="1139" spans="1:5" ht="18" x14ac:dyDescent="0.35">
      <c r="A1139" s="5"/>
      <c r="B1139" s="50" t="s">
        <v>37</v>
      </c>
      <c r="C1139" s="54">
        <v>1</v>
      </c>
      <c r="D1139" s="54">
        <v>101.32</v>
      </c>
      <c r="E1139" s="85">
        <f>C1139*D1139</f>
        <v>101.32</v>
      </c>
    </row>
    <row r="1140" spans="1:5" ht="18" x14ac:dyDescent="0.35">
      <c r="A1140" s="5"/>
      <c r="B1140" s="5"/>
      <c r="C1140" s="54"/>
      <c r="D1140" s="54"/>
      <c r="E1140" s="85">
        <f>SUM(E1138:E1139)</f>
        <v>437.42223000000001</v>
      </c>
    </row>
    <row r="1142" spans="1:5" ht="21" x14ac:dyDescent="0.4">
      <c r="A1142" s="40" t="s">
        <v>598</v>
      </c>
      <c r="B1142" s="40"/>
      <c r="C1142" s="84"/>
      <c r="D1142" s="12"/>
      <c r="E1142" s="83"/>
    </row>
    <row r="1143" spans="1:5" x14ac:dyDescent="0.3">
      <c r="C1143" s="12"/>
      <c r="D1143" s="12"/>
      <c r="E1143" s="12"/>
    </row>
    <row r="1144" spans="1:5" ht="18" x14ac:dyDescent="0.35">
      <c r="A1144" s="5"/>
      <c r="B1144" s="5"/>
      <c r="C1144" s="7" t="s">
        <v>28</v>
      </c>
      <c r="D1144" s="7" t="s">
        <v>29</v>
      </c>
      <c r="E1144" s="7" t="s">
        <v>30</v>
      </c>
    </row>
    <row r="1145" spans="1:5" ht="18" x14ac:dyDescent="0.35">
      <c r="A1145" s="5" t="s">
        <v>76</v>
      </c>
      <c r="B1145" s="50" t="s">
        <v>32</v>
      </c>
      <c r="C1145" s="7">
        <v>1.6080000000000001</v>
      </c>
      <c r="D1145" s="7">
        <v>29.12</v>
      </c>
      <c r="E1145" s="85">
        <f t="shared" ref="E1145:E1150" si="96">C1145*D1145</f>
        <v>46.824960000000004</v>
      </c>
    </row>
    <row r="1146" spans="1:5" ht="18" x14ac:dyDescent="0.35">
      <c r="A1146" s="5" t="s">
        <v>52</v>
      </c>
      <c r="B1146" s="50" t="s">
        <v>33</v>
      </c>
      <c r="C1146" s="7">
        <v>4.63</v>
      </c>
      <c r="D1146" s="7">
        <v>14.94</v>
      </c>
      <c r="E1146" s="85">
        <f t="shared" si="96"/>
        <v>69.172199999999989</v>
      </c>
    </row>
    <row r="1147" spans="1:5" ht="18" x14ac:dyDescent="0.35">
      <c r="A1147" s="5" t="s">
        <v>621</v>
      </c>
      <c r="B1147" s="50" t="s">
        <v>97</v>
      </c>
      <c r="C1147" s="7">
        <v>2</v>
      </c>
      <c r="D1147" s="7">
        <v>1.48</v>
      </c>
      <c r="E1147" s="85">
        <f t="shared" si="96"/>
        <v>2.96</v>
      </c>
    </row>
    <row r="1148" spans="1:5" ht="18" x14ac:dyDescent="0.35">
      <c r="A1148" s="5"/>
      <c r="B1148" s="50" t="s">
        <v>34</v>
      </c>
      <c r="C1148" s="7"/>
      <c r="D1148" s="7">
        <v>14.61</v>
      </c>
      <c r="E1148" s="85">
        <f t="shared" si="96"/>
        <v>0</v>
      </c>
    </row>
    <row r="1149" spans="1:5" ht="18" x14ac:dyDescent="0.35">
      <c r="A1149" s="5"/>
      <c r="B1149" s="50" t="s">
        <v>35</v>
      </c>
      <c r="C1149" s="7">
        <v>4</v>
      </c>
      <c r="D1149" s="7">
        <v>2.89</v>
      </c>
      <c r="E1149" s="85">
        <f t="shared" si="96"/>
        <v>11.56</v>
      </c>
    </row>
    <row r="1150" spans="1:5" ht="18" x14ac:dyDescent="0.35">
      <c r="A1150" s="5"/>
      <c r="B1150" s="50" t="s">
        <v>36</v>
      </c>
      <c r="C1150" s="7">
        <v>4</v>
      </c>
      <c r="D1150" s="7">
        <v>0.6</v>
      </c>
      <c r="E1150" s="85">
        <f t="shared" si="96"/>
        <v>2.4</v>
      </c>
    </row>
    <row r="1151" spans="1:5" ht="18" x14ac:dyDescent="0.35">
      <c r="A1151" s="5"/>
      <c r="B1151" s="5"/>
      <c r="C1151" s="54"/>
      <c r="D1151" s="54"/>
      <c r="E1151" s="89">
        <f>SUM(E1145:E1150)</f>
        <v>132.91716</v>
      </c>
    </row>
    <row r="1152" spans="1:5" ht="18" x14ac:dyDescent="0.35">
      <c r="A1152" s="5"/>
      <c r="B1152" s="50" t="s">
        <v>37</v>
      </c>
      <c r="C1152" s="54">
        <v>0.5</v>
      </c>
      <c r="D1152" s="54">
        <v>101.32</v>
      </c>
      <c r="E1152" s="85">
        <f>C1152*D1152</f>
        <v>50.66</v>
      </c>
    </row>
    <row r="1153" spans="1:5" ht="18" x14ac:dyDescent="0.35">
      <c r="A1153" s="5"/>
      <c r="B1153" s="5"/>
      <c r="C1153" s="54"/>
      <c r="D1153" s="54"/>
      <c r="E1153" s="85">
        <f>SUM(E1151:E1152)</f>
        <v>183.57715999999999</v>
      </c>
    </row>
    <row r="1155" spans="1:5" ht="21" x14ac:dyDescent="0.4">
      <c r="A1155" s="40" t="s">
        <v>599</v>
      </c>
      <c r="B1155" s="40"/>
      <c r="C1155" s="84"/>
    </row>
    <row r="1156" spans="1:5" ht="18" x14ac:dyDescent="0.35">
      <c r="A1156" s="5"/>
      <c r="B1156" s="5"/>
      <c r="C1156" s="7" t="s">
        <v>28</v>
      </c>
      <c r="D1156" s="7" t="s">
        <v>29</v>
      </c>
      <c r="E1156" s="7" t="s">
        <v>30</v>
      </c>
    </row>
    <row r="1157" spans="1:5" ht="18" x14ac:dyDescent="0.35">
      <c r="A1157" s="5" t="s">
        <v>76</v>
      </c>
      <c r="B1157" s="50" t="s">
        <v>32</v>
      </c>
      <c r="C1157" s="7">
        <v>1.6080000000000001</v>
      </c>
      <c r="D1157" s="7">
        <v>30.44</v>
      </c>
      <c r="E1157" s="85">
        <f t="shared" ref="E1157:E1162" si="97">C1157*D1157</f>
        <v>48.947520000000004</v>
      </c>
    </row>
    <row r="1158" spans="1:5" ht="18" x14ac:dyDescent="0.35">
      <c r="A1158" s="5" t="s">
        <v>828</v>
      </c>
      <c r="B1158" s="50" t="s">
        <v>33</v>
      </c>
      <c r="C1158" s="7">
        <v>4.63</v>
      </c>
      <c r="D1158" s="7">
        <v>16.170000000000002</v>
      </c>
      <c r="E1158" s="85">
        <f t="shared" si="97"/>
        <v>74.867100000000008</v>
      </c>
    </row>
    <row r="1159" spans="1:5" ht="18" x14ac:dyDescent="0.35">
      <c r="A1159" s="5" t="s">
        <v>621</v>
      </c>
      <c r="B1159" s="50" t="s">
        <v>97</v>
      </c>
      <c r="C1159" s="7">
        <v>2</v>
      </c>
      <c r="D1159" s="7">
        <v>1.48</v>
      </c>
      <c r="E1159" s="85">
        <f t="shared" si="97"/>
        <v>2.96</v>
      </c>
    </row>
    <row r="1160" spans="1:5" ht="18" x14ac:dyDescent="0.35">
      <c r="A1160" s="5"/>
      <c r="B1160" s="50" t="s">
        <v>34</v>
      </c>
      <c r="C1160" s="7"/>
      <c r="D1160" s="7">
        <v>14.61</v>
      </c>
      <c r="E1160" s="85">
        <f t="shared" si="97"/>
        <v>0</v>
      </c>
    </row>
    <row r="1161" spans="1:5" ht="18" x14ac:dyDescent="0.35">
      <c r="A1161" s="5"/>
      <c r="B1161" s="50" t="s">
        <v>35</v>
      </c>
      <c r="C1161" s="7">
        <v>4</v>
      </c>
      <c r="D1161" s="7">
        <v>2.89</v>
      </c>
      <c r="E1161" s="85">
        <f t="shared" si="97"/>
        <v>11.56</v>
      </c>
    </row>
    <row r="1162" spans="1:5" ht="18" x14ac:dyDescent="0.35">
      <c r="A1162" s="5"/>
      <c r="B1162" s="50" t="s">
        <v>36</v>
      </c>
      <c r="C1162" s="7">
        <v>4</v>
      </c>
      <c r="D1162" s="7">
        <v>0.61</v>
      </c>
      <c r="E1162" s="85">
        <f t="shared" si="97"/>
        <v>2.44</v>
      </c>
    </row>
    <row r="1163" spans="1:5" ht="18" x14ac:dyDescent="0.35">
      <c r="A1163" s="5"/>
      <c r="B1163" s="5"/>
      <c r="C1163" s="54"/>
      <c r="D1163" s="54"/>
      <c r="E1163" s="89">
        <f>SUM(E1157:E1162)</f>
        <v>140.77462</v>
      </c>
    </row>
    <row r="1164" spans="1:5" ht="18" x14ac:dyDescent="0.35">
      <c r="A1164" s="5"/>
      <c r="B1164" s="50" t="s">
        <v>37</v>
      </c>
      <c r="C1164" s="54">
        <v>0.5</v>
      </c>
      <c r="D1164" s="54">
        <v>101.32</v>
      </c>
      <c r="E1164" s="85">
        <f>C1164*D1164</f>
        <v>50.66</v>
      </c>
    </row>
    <row r="1165" spans="1:5" ht="18" x14ac:dyDescent="0.35">
      <c r="A1165" s="5"/>
      <c r="B1165" s="5"/>
      <c r="C1165" s="54"/>
      <c r="D1165" s="54"/>
      <c r="E1165" s="85">
        <f>SUM(E1163:E1164)</f>
        <v>191.43462</v>
      </c>
    </row>
    <row r="1167" spans="1:5" ht="21" x14ac:dyDescent="0.4">
      <c r="A1167" s="40" t="s">
        <v>598</v>
      </c>
      <c r="B1167" s="40"/>
      <c r="C1167" s="84"/>
      <c r="D1167" s="12"/>
      <c r="E1167" s="83"/>
    </row>
    <row r="1168" spans="1:5" x14ac:dyDescent="0.3">
      <c r="C1168" s="12"/>
      <c r="D1168" s="12"/>
      <c r="E1168" s="12"/>
    </row>
    <row r="1169" spans="1:5" ht="18" x14ac:dyDescent="0.35">
      <c r="A1169" s="5"/>
      <c r="B1169" s="5"/>
      <c r="C1169" s="7" t="s">
        <v>28</v>
      </c>
      <c r="D1169" s="7" t="s">
        <v>29</v>
      </c>
      <c r="E1169" s="7" t="s">
        <v>30</v>
      </c>
    </row>
    <row r="1170" spans="1:5" ht="18" x14ac:dyDescent="0.35">
      <c r="A1170" s="5" t="s">
        <v>66</v>
      </c>
      <c r="B1170" s="50" t="s">
        <v>32</v>
      </c>
      <c r="C1170" s="7">
        <v>1.5029999999999999</v>
      </c>
      <c r="D1170" s="7">
        <v>29.12</v>
      </c>
      <c r="E1170" s="85">
        <f t="shared" ref="E1170:E1175" si="98">C1170*D1170</f>
        <v>43.767359999999996</v>
      </c>
    </row>
    <row r="1171" spans="1:5" ht="18" x14ac:dyDescent="0.35">
      <c r="A1171" s="5" t="s">
        <v>63</v>
      </c>
      <c r="B1171" s="50" t="s">
        <v>33</v>
      </c>
      <c r="C1171" s="7">
        <v>3.0870000000000002</v>
      </c>
      <c r="D1171" s="7">
        <v>14.94</v>
      </c>
      <c r="E1171" s="85">
        <f t="shared" si="98"/>
        <v>46.119779999999999</v>
      </c>
    </row>
    <row r="1172" spans="1:5" ht="18" x14ac:dyDescent="0.35">
      <c r="A1172" s="5" t="s">
        <v>682</v>
      </c>
      <c r="B1172" s="50" t="s">
        <v>96</v>
      </c>
      <c r="C1172" s="7">
        <v>2</v>
      </c>
      <c r="D1172" s="7">
        <v>1.6</v>
      </c>
      <c r="E1172" s="85">
        <f t="shared" si="98"/>
        <v>3.2</v>
      </c>
    </row>
    <row r="1173" spans="1:5" ht="18" x14ac:dyDescent="0.35">
      <c r="A1173" s="5"/>
      <c r="B1173" s="50" t="s">
        <v>34</v>
      </c>
      <c r="C1173" s="7"/>
      <c r="D1173" s="7">
        <v>14.61</v>
      </c>
      <c r="E1173" s="85">
        <f t="shared" si="98"/>
        <v>0</v>
      </c>
    </row>
    <row r="1174" spans="1:5" ht="18" x14ac:dyDescent="0.35">
      <c r="A1174" s="5"/>
      <c r="B1174" s="50" t="s">
        <v>35</v>
      </c>
      <c r="C1174" s="7">
        <v>4</v>
      </c>
      <c r="D1174" s="7">
        <v>2.89</v>
      </c>
      <c r="E1174" s="85">
        <f t="shared" si="98"/>
        <v>11.56</v>
      </c>
    </row>
    <row r="1175" spans="1:5" ht="18" x14ac:dyDescent="0.35">
      <c r="A1175" s="5"/>
      <c r="B1175" s="50" t="s">
        <v>36</v>
      </c>
      <c r="C1175" s="7">
        <v>4</v>
      </c>
      <c r="D1175" s="7">
        <v>0.6</v>
      </c>
      <c r="E1175" s="85">
        <f t="shared" si="98"/>
        <v>2.4</v>
      </c>
    </row>
    <row r="1176" spans="1:5" ht="18" x14ac:dyDescent="0.35">
      <c r="A1176" s="5"/>
      <c r="B1176" s="5"/>
      <c r="C1176" s="54"/>
      <c r="D1176" s="54"/>
      <c r="E1176" s="89">
        <f>SUM(E1170:E1175)</f>
        <v>107.04714</v>
      </c>
    </row>
    <row r="1177" spans="1:5" ht="18" x14ac:dyDescent="0.35">
      <c r="A1177" s="5"/>
      <c r="B1177" s="50" t="s">
        <v>37</v>
      </c>
      <c r="C1177" s="54">
        <v>0.5</v>
      </c>
      <c r="D1177" s="54">
        <v>101.32</v>
      </c>
      <c r="E1177" s="85">
        <f>C1177*D1177</f>
        <v>50.66</v>
      </c>
    </row>
    <row r="1178" spans="1:5" ht="18" x14ac:dyDescent="0.35">
      <c r="A1178" s="5"/>
      <c r="B1178" s="5"/>
      <c r="C1178" s="54"/>
      <c r="D1178" s="54"/>
      <c r="E1178" s="85">
        <f>SUM(E1176:E1177)</f>
        <v>157.70713999999998</v>
      </c>
    </row>
    <row r="1180" spans="1:5" ht="21" x14ac:dyDescent="0.4">
      <c r="A1180" s="40" t="s">
        <v>599</v>
      </c>
      <c r="B1180" s="40"/>
      <c r="C1180" s="84"/>
    </row>
    <row r="1181" spans="1:5" ht="18" x14ac:dyDescent="0.35">
      <c r="A1181" s="5"/>
      <c r="B1181" s="5"/>
      <c r="C1181" s="7" t="s">
        <v>28</v>
      </c>
      <c r="D1181" s="7" t="s">
        <v>29</v>
      </c>
      <c r="E1181" s="7" t="s">
        <v>30</v>
      </c>
    </row>
    <row r="1182" spans="1:5" ht="18" x14ac:dyDescent="0.35">
      <c r="A1182" s="5" t="s">
        <v>70</v>
      </c>
      <c r="B1182" s="50" t="s">
        <v>32</v>
      </c>
      <c r="C1182" s="7">
        <v>2.343</v>
      </c>
      <c r="D1182" s="7">
        <v>30.44</v>
      </c>
      <c r="E1182" s="85">
        <f t="shared" ref="E1182:E1187" si="99">C1182*D1182</f>
        <v>71.320920000000001</v>
      </c>
    </row>
    <row r="1183" spans="1:5" ht="18" x14ac:dyDescent="0.35">
      <c r="A1183" s="5" t="s">
        <v>791</v>
      </c>
      <c r="B1183" s="50" t="s">
        <v>33</v>
      </c>
      <c r="C1183" s="7">
        <v>5.6070000000000002</v>
      </c>
      <c r="D1183" s="7">
        <v>16.170000000000002</v>
      </c>
      <c r="E1183" s="85">
        <f t="shared" si="99"/>
        <v>90.66519000000001</v>
      </c>
    </row>
    <row r="1184" spans="1:5" ht="18" x14ac:dyDescent="0.35">
      <c r="A1184" s="5" t="s">
        <v>830</v>
      </c>
      <c r="B1184" s="50" t="s">
        <v>96</v>
      </c>
      <c r="C1184" s="7">
        <v>2</v>
      </c>
      <c r="D1184" s="7">
        <v>1.6</v>
      </c>
      <c r="E1184" s="85">
        <f t="shared" si="99"/>
        <v>3.2</v>
      </c>
    </row>
    <row r="1185" spans="1:5" ht="18" x14ac:dyDescent="0.35">
      <c r="A1185" s="5"/>
      <c r="B1185" s="50" t="s">
        <v>34</v>
      </c>
      <c r="C1185" s="7">
        <v>0.45</v>
      </c>
      <c r="D1185" s="7">
        <v>14.61</v>
      </c>
      <c r="E1185" s="85">
        <f t="shared" si="99"/>
        <v>6.5744999999999996</v>
      </c>
    </row>
    <row r="1186" spans="1:5" ht="18" x14ac:dyDescent="0.35">
      <c r="A1186" s="5"/>
      <c r="B1186" s="50" t="s">
        <v>35</v>
      </c>
      <c r="C1186" s="7">
        <v>4</v>
      </c>
      <c r="D1186" s="7">
        <v>2.89</v>
      </c>
      <c r="E1186" s="85">
        <f t="shared" si="99"/>
        <v>11.56</v>
      </c>
    </row>
    <row r="1187" spans="1:5" ht="18" x14ac:dyDescent="0.35">
      <c r="A1187" s="5"/>
      <c r="B1187" s="50" t="s">
        <v>36</v>
      </c>
      <c r="C1187" s="7">
        <v>4</v>
      </c>
      <c r="D1187" s="7">
        <v>0.61</v>
      </c>
      <c r="E1187" s="85">
        <f t="shared" si="99"/>
        <v>2.44</v>
      </c>
    </row>
    <row r="1188" spans="1:5" ht="18" x14ac:dyDescent="0.35">
      <c r="A1188" s="5"/>
      <c r="B1188" s="5"/>
      <c r="C1188" s="54"/>
      <c r="D1188" s="54"/>
      <c r="E1188" s="89">
        <f>SUM(E1182:E1187)</f>
        <v>185.76060999999999</v>
      </c>
    </row>
    <row r="1189" spans="1:5" ht="18" x14ac:dyDescent="0.35">
      <c r="A1189" s="5"/>
      <c r="B1189" s="50" t="s">
        <v>37</v>
      </c>
      <c r="C1189" s="54">
        <v>1</v>
      </c>
      <c r="D1189" s="54">
        <v>101.32</v>
      </c>
      <c r="E1189" s="85">
        <f>C1189*D1189</f>
        <v>101.32</v>
      </c>
    </row>
    <row r="1190" spans="1:5" ht="18" x14ac:dyDescent="0.35">
      <c r="A1190" s="5"/>
      <c r="B1190" s="5"/>
      <c r="C1190" s="54"/>
      <c r="D1190" s="54"/>
      <c r="E1190" s="85">
        <f>SUM(E1188:E1189)</f>
        <v>287.08060999999998</v>
      </c>
    </row>
    <row r="1193" spans="1:5" ht="21" x14ac:dyDescent="0.4">
      <c r="A1193" s="40" t="s">
        <v>599</v>
      </c>
      <c r="B1193" s="40"/>
      <c r="C1193" s="84"/>
    </row>
    <row r="1194" spans="1:5" ht="18" x14ac:dyDescent="0.35">
      <c r="A1194" s="5"/>
      <c r="B1194" s="5"/>
      <c r="C1194" s="7" t="s">
        <v>28</v>
      </c>
      <c r="D1194" s="7" t="s">
        <v>29</v>
      </c>
      <c r="E1194" s="7" t="s">
        <v>30</v>
      </c>
    </row>
    <row r="1195" spans="1:5" ht="18" x14ac:dyDescent="0.35">
      <c r="A1195" s="5" t="s">
        <v>47</v>
      </c>
      <c r="B1195" s="50" t="s">
        <v>32</v>
      </c>
      <c r="C1195" s="7">
        <v>2.2389999999999999</v>
      </c>
      <c r="D1195" s="7">
        <v>30.44</v>
      </c>
      <c r="E1195" s="85">
        <f t="shared" ref="E1195:E1200" si="100">C1195*D1195</f>
        <v>68.155159999999995</v>
      </c>
    </row>
    <row r="1196" spans="1:5" ht="18" x14ac:dyDescent="0.35">
      <c r="A1196" s="5" t="s">
        <v>829</v>
      </c>
      <c r="B1196" s="50" t="s">
        <v>33</v>
      </c>
      <c r="C1196" s="7">
        <v>3.738</v>
      </c>
      <c r="D1196" s="7">
        <v>16.170000000000002</v>
      </c>
      <c r="E1196" s="85">
        <f t="shared" si="100"/>
        <v>60.443460000000009</v>
      </c>
    </row>
    <row r="1197" spans="1:5" ht="18" x14ac:dyDescent="0.35">
      <c r="A1197" s="5" t="s">
        <v>831</v>
      </c>
      <c r="B1197" s="50" t="s">
        <v>43</v>
      </c>
      <c r="C1197" s="7">
        <v>2</v>
      </c>
      <c r="D1197" s="7">
        <v>1.1499999999999999</v>
      </c>
      <c r="E1197" s="85">
        <f t="shared" si="100"/>
        <v>2.2999999999999998</v>
      </c>
    </row>
    <row r="1198" spans="1:5" ht="18" x14ac:dyDescent="0.35">
      <c r="A1198" s="5"/>
      <c r="B1198" s="50" t="s">
        <v>34</v>
      </c>
      <c r="C1198" s="7">
        <v>0.315</v>
      </c>
      <c r="D1198" s="7">
        <v>14.61</v>
      </c>
      <c r="E1198" s="85">
        <f t="shared" si="100"/>
        <v>4.60215</v>
      </c>
    </row>
    <row r="1199" spans="1:5" ht="18" x14ac:dyDescent="0.35">
      <c r="A1199" s="5"/>
      <c r="B1199" s="50" t="s">
        <v>35</v>
      </c>
      <c r="C1199" s="7">
        <v>4</v>
      </c>
      <c r="D1199" s="7">
        <v>2.89</v>
      </c>
      <c r="E1199" s="85">
        <f t="shared" si="100"/>
        <v>11.56</v>
      </c>
    </row>
    <row r="1200" spans="1:5" ht="18" x14ac:dyDescent="0.35">
      <c r="A1200" s="5"/>
      <c r="B1200" s="50" t="s">
        <v>36</v>
      </c>
      <c r="C1200" s="7">
        <v>4</v>
      </c>
      <c r="D1200" s="7">
        <v>0.61</v>
      </c>
      <c r="E1200" s="85">
        <f t="shared" si="100"/>
        <v>2.44</v>
      </c>
    </row>
    <row r="1201" spans="1:5" ht="18" x14ac:dyDescent="0.35">
      <c r="A1201" s="5"/>
      <c r="B1201" s="5"/>
      <c r="C1201" s="54"/>
      <c r="D1201" s="54"/>
      <c r="E1201" s="89">
        <f>SUM(E1195:E1200)</f>
        <v>149.50077000000002</v>
      </c>
    </row>
    <row r="1202" spans="1:5" ht="18" x14ac:dyDescent="0.35">
      <c r="A1202" s="5"/>
      <c r="B1202" s="50" t="s">
        <v>37</v>
      </c>
      <c r="C1202" s="54">
        <v>1</v>
      </c>
      <c r="D1202" s="54">
        <v>101.32</v>
      </c>
      <c r="E1202" s="85">
        <f>C1202*D1202</f>
        <v>101.32</v>
      </c>
    </row>
    <row r="1203" spans="1:5" ht="18" x14ac:dyDescent="0.35">
      <c r="A1203" s="5"/>
      <c r="B1203" s="5"/>
      <c r="C1203" s="54"/>
      <c r="D1203" s="54"/>
      <c r="E1203" s="85">
        <f>SUM(E1201:E1202)</f>
        <v>250.82077000000001</v>
      </c>
    </row>
    <row r="1205" spans="1:5" ht="21" x14ac:dyDescent="0.4">
      <c r="A1205" s="40" t="s">
        <v>601</v>
      </c>
      <c r="B1205" s="40"/>
      <c r="C1205" s="84"/>
      <c r="D1205" s="12"/>
      <c r="E1205" s="12"/>
    </row>
    <row r="1206" spans="1:5" ht="21" x14ac:dyDescent="0.4">
      <c r="A1206" s="40"/>
      <c r="B1206" s="40"/>
      <c r="C1206" s="84"/>
      <c r="D1206" s="12"/>
      <c r="E1206" s="12"/>
    </row>
    <row r="1207" spans="1:5" ht="18" x14ac:dyDescent="0.35">
      <c r="A1207" s="5"/>
      <c r="B1207" s="5"/>
      <c r="C1207" s="7" t="s">
        <v>28</v>
      </c>
      <c r="D1207" s="7" t="s">
        <v>29</v>
      </c>
      <c r="E1207" s="7" t="s">
        <v>30</v>
      </c>
    </row>
    <row r="1208" spans="1:5" ht="18" x14ac:dyDescent="0.35">
      <c r="A1208" s="5" t="s">
        <v>41</v>
      </c>
      <c r="B1208" s="50" t="s">
        <v>32</v>
      </c>
      <c r="C1208" s="7">
        <v>1.3979999999999999</v>
      </c>
      <c r="D1208" s="7">
        <v>29.24</v>
      </c>
      <c r="E1208" s="85">
        <f t="shared" ref="E1208:E1215" si="101">C1208*D1208</f>
        <v>40.877519999999997</v>
      </c>
    </row>
    <row r="1209" spans="1:5" ht="18" x14ac:dyDescent="0.35">
      <c r="A1209" s="5" t="s">
        <v>39</v>
      </c>
      <c r="B1209" s="50" t="s">
        <v>33</v>
      </c>
      <c r="C1209" s="7">
        <v>2.0579999999999998</v>
      </c>
      <c r="D1209" s="7">
        <v>14.94</v>
      </c>
      <c r="E1209" s="85">
        <f t="shared" si="101"/>
        <v>30.746519999999997</v>
      </c>
    </row>
    <row r="1210" spans="1:5" ht="18" x14ac:dyDescent="0.35">
      <c r="A1210" s="5" t="s">
        <v>55</v>
      </c>
      <c r="B1210" s="50" t="s">
        <v>33</v>
      </c>
      <c r="C1210" s="7">
        <v>2.2679999999999998</v>
      </c>
      <c r="D1210" s="7">
        <v>14.94</v>
      </c>
      <c r="E1210" s="85">
        <f t="shared" si="101"/>
        <v>33.883919999999996</v>
      </c>
    </row>
    <row r="1211" spans="1:5" ht="18" x14ac:dyDescent="0.35">
      <c r="A1211" s="5" t="s">
        <v>623</v>
      </c>
      <c r="B1211" s="50" t="s">
        <v>88</v>
      </c>
      <c r="C1211" s="7">
        <v>2</v>
      </c>
      <c r="D1211" s="7">
        <v>2.2400000000000002</v>
      </c>
      <c r="E1211" s="85">
        <f t="shared" si="101"/>
        <v>4.4800000000000004</v>
      </c>
    </row>
    <row r="1212" spans="1:5" ht="18" x14ac:dyDescent="0.35">
      <c r="A1212" s="5"/>
      <c r="B1212" s="50" t="s">
        <v>43</v>
      </c>
      <c r="C1212" s="88">
        <v>2</v>
      </c>
      <c r="D1212" s="88">
        <v>1.1499999999999999</v>
      </c>
      <c r="E1212" s="90">
        <f t="shared" si="101"/>
        <v>2.2999999999999998</v>
      </c>
    </row>
    <row r="1213" spans="1:5" ht="18" x14ac:dyDescent="0.35">
      <c r="A1213" s="5"/>
      <c r="B1213" s="50" t="s">
        <v>34</v>
      </c>
      <c r="C1213" s="7"/>
      <c r="D1213" s="7">
        <v>13.67</v>
      </c>
      <c r="E1213" s="85">
        <f t="shared" si="101"/>
        <v>0</v>
      </c>
    </row>
    <row r="1214" spans="1:5" ht="18" x14ac:dyDescent="0.35">
      <c r="A1214" s="5"/>
      <c r="B1214" s="50" t="s">
        <v>35</v>
      </c>
      <c r="C1214" s="7">
        <v>4</v>
      </c>
      <c r="D1214" s="7">
        <v>2.89</v>
      </c>
      <c r="E1214" s="85">
        <f t="shared" si="101"/>
        <v>11.56</v>
      </c>
    </row>
    <row r="1215" spans="1:5" ht="18" x14ac:dyDescent="0.35">
      <c r="A1215" s="5"/>
      <c r="B1215" s="50" t="s">
        <v>36</v>
      </c>
      <c r="C1215" s="7">
        <v>4</v>
      </c>
      <c r="D1215" s="7">
        <v>0.6</v>
      </c>
      <c r="E1215" s="85">
        <f t="shared" si="101"/>
        <v>2.4</v>
      </c>
    </row>
    <row r="1216" spans="1:5" ht="18" x14ac:dyDescent="0.35">
      <c r="A1216" s="5"/>
      <c r="B1216" s="5"/>
      <c r="C1216" s="54"/>
      <c r="D1216" s="54"/>
      <c r="E1216" s="89">
        <f>SUM(E1208:E1215)</f>
        <v>126.24796000000001</v>
      </c>
    </row>
    <row r="1217" spans="1:5" ht="18" x14ac:dyDescent="0.35">
      <c r="A1217" s="5"/>
      <c r="B1217" s="50" t="s">
        <v>37</v>
      </c>
      <c r="C1217" s="54">
        <v>0.65</v>
      </c>
      <c r="D1217" s="54">
        <v>101.32</v>
      </c>
      <c r="E1217" s="85">
        <v>75.599999999999994</v>
      </c>
    </row>
    <row r="1218" spans="1:5" ht="18" x14ac:dyDescent="0.35">
      <c r="A1218" s="5"/>
      <c r="B1218" s="5"/>
      <c r="C1218" s="54"/>
      <c r="D1218" s="54"/>
      <c r="E1218" s="85">
        <f>SUM(E1216:E1217)</f>
        <v>201.84796</v>
      </c>
    </row>
    <row r="1220" spans="1:5" ht="21" x14ac:dyDescent="0.4">
      <c r="A1220" s="40" t="s">
        <v>832</v>
      </c>
      <c r="B1220" s="40"/>
      <c r="C1220" s="40"/>
      <c r="D1220" s="12"/>
      <c r="E1220" s="12"/>
    </row>
    <row r="1221" spans="1:5" ht="18" x14ac:dyDescent="0.35">
      <c r="A1221" s="5"/>
      <c r="B1221" s="5"/>
      <c r="C1221" s="7" t="s">
        <v>28</v>
      </c>
      <c r="D1221" s="7" t="s">
        <v>29</v>
      </c>
      <c r="E1221" s="7" t="s">
        <v>30</v>
      </c>
    </row>
    <row r="1222" spans="1:5" ht="18" x14ac:dyDescent="0.35">
      <c r="A1222" s="5" t="s">
        <v>833</v>
      </c>
      <c r="B1222" s="50" t="s">
        <v>32</v>
      </c>
      <c r="C1222" s="7">
        <v>0.873</v>
      </c>
      <c r="D1222" s="7">
        <v>29.12</v>
      </c>
      <c r="E1222" s="85">
        <f t="shared" ref="E1222:E1227" si="102">C1222*D1222</f>
        <v>25.421760000000003</v>
      </c>
    </row>
    <row r="1223" spans="1:5" ht="18" x14ac:dyDescent="0.35">
      <c r="A1223" s="5" t="s">
        <v>143</v>
      </c>
      <c r="B1223" s="50" t="s">
        <v>33</v>
      </c>
      <c r="C1223" s="7">
        <v>1.512</v>
      </c>
      <c r="D1223" s="7">
        <v>15.25</v>
      </c>
      <c r="E1223" s="85">
        <f t="shared" si="102"/>
        <v>23.058</v>
      </c>
    </row>
    <row r="1224" spans="1:5" ht="18" x14ac:dyDescent="0.35">
      <c r="A1224" s="5" t="s">
        <v>834</v>
      </c>
      <c r="B1224" s="50" t="s">
        <v>137</v>
      </c>
      <c r="C1224" s="7">
        <v>0.21</v>
      </c>
      <c r="D1224" s="7">
        <v>17.190000000000001</v>
      </c>
      <c r="E1224" s="85">
        <f t="shared" si="102"/>
        <v>3.6099000000000001</v>
      </c>
    </row>
    <row r="1225" spans="1:5" ht="18" x14ac:dyDescent="0.35">
      <c r="A1225" s="5"/>
      <c r="B1225" s="50" t="s">
        <v>35</v>
      </c>
      <c r="C1225" s="7">
        <v>4</v>
      </c>
      <c r="D1225" s="7">
        <v>2.91</v>
      </c>
      <c r="E1225" s="85">
        <f t="shared" si="102"/>
        <v>11.64</v>
      </c>
    </row>
    <row r="1226" spans="1:5" ht="18" x14ac:dyDescent="0.35">
      <c r="A1226" s="5"/>
      <c r="B1226" s="50" t="s">
        <v>36</v>
      </c>
      <c r="C1226" s="7">
        <v>4</v>
      </c>
      <c r="D1226" s="7">
        <v>0.61</v>
      </c>
      <c r="E1226" s="85">
        <f t="shared" si="102"/>
        <v>2.44</v>
      </c>
    </row>
    <row r="1227" spans="1:5" ht="18" x14ac:dyDescent="0.35">
      <c r="A1227" s="5"/>
      <c r="B1227" s="50" t="s">
        <v>37</v>
      </c>
      <c r="C1227" s="54">
        <v>0.2</v>
      </c>
      <c r="D1227" s="86">
        <v>101.32</v>
      </c>
      <c r="E1227" s="85">
        <f t="shared" si="102"/>
        <v>20.263999999999999</v>
      </c>
    </row>
    <row r="1228" spans="1:5" ht="18" x14ac:dyDescent="0.35">
      <c r="A1228" s="5"/>
      <c r="B1228" s="5"/>
      <c r="C1228" s="54"/>
      <c r="D1228" s="54"/>
      <c r="E1228" s="85">
        <f>SUM(E1222:E1227)</f>
        <v>86.433660000000003</v>
      </c>
    </row>
    <row r="1230" spans="1:5" ht="21" x14ac:dyDescent="0.4">
      <c r="A1230" s="40" t="s">
        <v>835</v>
      </c>
      <c r="B1230" s="40"/>
      <c r="C1230" s="40"/>
      <c r="D1230" s="12"/>
      <c r="E1230" s="12"/>
    </row>
    <row r="1231" spans="1:5" ht="18" x14ac:dyDescent="0.35">
      <c r="A1231" s="5"/>
      <c r="B1231" s="5"/>
      <c r="C1231" s="7" t="s">
        <v>28</v>
      </c>
      <c r="D1231" s="7" t="s">
        <v>29</v>
      </c>
      <c r="E1231" s="7" t="s">
        <v>30</v>
      </c>
    </row>
    <row r="1232" spans="1:5" ht="18" x14ac:dyDescent="0.35">
      <c r="A1232" s="5" t="s">
        <v>833</v>
      </c>
      <c r="B1232" s="50" t="s">
        <v>32</v>
      </c>
      <c r="C1232" s="7">
        <v>0.873</v>
      </c>
      <c r="D1232" s="7">
        <v>30.44</v>
      </c>
      <c r="E1232" s="85">
        <f t="shared" ref="E1232:E1237" si="103">C1232*D1232</f>
        <v>26.574120000000001</v>
      </c>
    </row>
    <row r="1233" spans="1:5" ht="18" x14ac:dyDescent="0.35">
      <c r="A1233" s="5" t="s">
        <v>63</v>
      </c>
      <c r="B1233" s="50" t="s">
        <v>33</v>
      </c>
      <c r="C1233" s="7">
        <v>1.512</v>
      </c>
      <c r="D1233" s="7">
        <v>17.059999999999999</v>
      </c>
      <c r="E1233" s="85">
        <f t="shared" si="103"/>
        <v>25.794719999999998</v>
      </c>
    </row>
    <row r="1234" spans="1:5" ht="18" x14ac:dyDescent="0.35">
      <c r="A1234" s="5" t="s">
        <v>834</v>
      </c>
      <c r="B1234" s="50" t="s">
        <v>137</v>
      </c>
      <c r="C1234" s="7">
        <v>0.21</v>
      </c>
      <c r="D1234" s="7">
        <v>17.190000000000001</v>
      </c>
      <c r="E1234" s="85">
        <f t="shared" si="103"/>
        <v>3.6099000000000001</v>
      </c>
    </row>
    <row r="1235" spans="1:5" ht="18" x14ac:dyDescent="0.35">
      <c r="A1235" s="5"/>
      <c r="B1235" s="50" t="s">
        <v>35</v>
      </c>
      <c r="C1235" s="7">
        <v>4</v>
      </c>
      <c r="D1235" s="7">
        <v>2.91</v>
      </c>
      <c r="E1235" s="85">
        <f t="shared" si="103"/>
        <v>11.64</v>
      </c>
    </row>
    <row r="1236" spans="1:5" ht="18" x14ac:dyDescent="0.35">
      <c r="A1236" s="5"/>
      <c r="B1236" s="50" t="s">
        <v>36</v>
      </c>
      <c r="C1236" s="7">
        <v>4</v>
      </c>
      <c r="D1236" s="7">
        <v>0.61</v>
      </c>
      <c r="E1236" s="85">
        <f t="shared" si="103"/>
        <v>2.44</v>
      </c>
    </row>
    <row r="1237" spans="1:5" ht="18" x14ac:dyDescent="0.35">
      <c r="A1237" s="5"/>
      <c r="B1237" s="50" t="s">
        <v>37</v>
      </c>
      <c r="C1237" s="54">
        <v>0.2</v>
      </c>
      <c r="D1237" s="86">
        <v>101.32</v>
      </c>
      <c r="E1237" s="85">
        <f t="shared" si="103"/>
        <v>20.263999999999999</v>
      </c>
    </row>
    <row r="1238" spans="1:5" ht="18" x14ac:dyDescent="0.35">
      <c r="A1238" s="5"/>
      <c r="B1238" s="5"/>
      <c r="C1238" s="54"/>
      <c r="D1238" s="54"/>
      <c r="E1238" s="85">
        <f>SUM(E1232:E1237)</f>
        <v>90.322739999999996</v>
      </c>
    </row>
    <row r="1240" spans="1:5" ht="21" x14ac:dyDescent="0.4">
      <c r="A1240" s="40" t="s">
        <v>836</v>
      </c>
      <c r="B1240" s="40"/>
      <c r="C1240" s="40"/>
      <c r="D1240" s="12"/>
      <c r="E1240" s="12"/>
    </row>
    <row r="1241" spans="1:5" ht="18" x14ac:dyDescent="0.35">
      <c r="A1241" s="5"/>
      <c r="B1241" s="5"/>
      <c r="C1241" s="7" t="s">
        <v>28</v>
      </c>
      <c r="D1241" s="7" t="s">
        <v>29</v>
      </c>
      <c r="E1241" s="7" t="s">
        <v>30</v>
      </c>
    </row>
    <row r="1242" spans="1:5" ht="18" x14ac:dyDescent="0.35">
      <c r="A1242" s="5" t="s">
        <v>31</v>
      </c>
      <c r="B1242" s="50" t="s">
        <v>32</v>
      </c>
      <c r="C1242" s="7">
        <v>0.76800000000000002</v>
      </c>
      <c r="D1242" s="7">
        <v>30.44</v>
      </c>
      <c r="E1242" s="85">
        <f t="shared" ref="E1242:E1247" si="104">C1242*D1242</f>
        <v>23.377920000000003</v>
      </c>
    </row>
    <row r="1243" spans="1:5" ht="18" x14ac:dyDescent="0.35">
      <c r="A1243" s="5" t="s">
        <v>63</v>
      </c>
      <c r="B1243" s="50" t="s">
        <v>33</v>
      </c>
      <c r="C1243" s="7">
        <v>1.1970000000000001</v>
      </c>
      <c r="D1243" s="7">
        <v>17.059999999999999</v>
      </c>
      <c r="E1243" s="85">
        <f t="shared" si="104"/>
        <v>20.420819999999999</v>
      </c>
    </row>
    <row r="1244" spans="1:5" ht="18" x14ac:dyDescent="0.35">
      <c r="A1244" s="5" t="s">
        <v>707</v>
      </c>
      <c r="B1244" s="50" t="s">
        <v>137</v>
      </c>
      <c r="C1244" s="7">
        <v>0.21</v>
      </c>
      <c r="D1244" s="7">
        <v>17.190000000000001</v>
      </c>
      <c r="E1244" s="85">
        <f t="shared" si="104"/>
        <v>3.6099000000000001</v>
      </c>
    </row>
    <row r="1245" spans="1:5" ht="18" x14ac:dyDescent="0.35">
      <c r="A1245" s="5"/>
      <c r="B1245" s="50" t="s">
        <v>35</v>
      </c>
      <c r="C1245" s="7">
        <v>4</v>
      </c>
      <c r="D1245" s="7">
        <v>2.91</v>
      </c>
      <c r="E1245" s="85">
        <f t="shared" si="104"/>
        <v>11.64</v>
      </c>
    </row>
    <row r="1246" spans="1:5" ht="18" x14ac:dyDescent="0.35">
      <c r="A1246" s="5"/>
      <c r="B1246" s="50" t="s">
        <v>36</v>
      </c>
      <c r="C1246" s="7">
        <v>4</v>
      </c>
      <c r="D1246" s="7">
        <v>0.61</v>
      </c>
      <c r="E1246" s="85">
        <f t="shared" si="104"/>
        <v>2.44</v>
      </c>
    </row>
    <row r="1247" spans="1:5" ht="18" x14ac:dyDescent="0.35">
      <c r="A1247" s="5"/>
      <c r="B1247" s="50" t="s">
        <v>37</v>
      </c>
      <c r="C1247" s="54">
        <v>0.2</v>
      </c>
      <c r="D1247" s="86">
        <v>101.32</v>
      </c>
      <c r="E1247" s="85">
        <f t="shared" si="104"/>
        <v>20.263999999999999</v>
      </c>
    </row>
    <row r="1248" spans="1:5" ht="18" x14ac:dyDescent="0.35">
      <c r="A1248" s="5"/>
      <c r="B1248" s="5"/>
      <c r="C1248" s="54"/>
      <c r="D1248" s="54"/>
      <c r="E1248" s="85">
        <f>SUM(E1242:E1247)</f>
        <v>81.75264</v>
      </c>
    </row>
    <row r="1250" spans="1:5" ht="21" x14ac:dyDescent="0.4">
      <c r="A1250" s="40" t="s">
        <v>599</v>
      </c>
      <c r="B1250" s="40"/>
      <c r="C1250" s="84"/>
    </row>
    <row r="1251" spans="1:5" ht="18" x14ac:dyDescent="0.35">
      <c r="A1251" s="5"/>
      <c r="B1251" s="5"/>
      <c r="C1251" s="7" t="s">
        <v>28</v>
      </c>
      <c r="D1251" s="7" t="s">
        <v>29</v>
      </c>
      <c r="E1251" s="7" t="s">
        <v>30</v>
      </c>
    </row>
    <row r="1252" spans="1:5" ht="18" x14ac:dyDescent="0.35">
      <c r="A1252" s="5" t="s">
        <v>838</v>
      </c>
      <c r="B1252" s="50" t="s">
        <v>32</v>
      </c>
      <c r="C1252" s="7">
        <v>1.7969999999999999</v>
      </c>
      <c r="D1252" s="7">
        <v>30.44</v>
      </c>
      <c r="E1252" s="85">
        <f t="shared" ref="E1252:E1257" si="105">C1252*D1252</f>
        <v>54.700679999999998</v>
      </c>
    </row>
    <row r="1253" spans="1:5" ht="18" x14ac:dyDescent="0.35">
      <c r="A1253" s="5" t="s">
        <v>839</v>
      </c>
      <c r="B1253" s="50" t="s">
        <v>33</v>
      </c>
      <c r="C1253" s="7">
        <v>0.77700000000000002</v>
      </c>
      <c r="D1253" s="7">
        <v>16.170000000000002</v>
      </c>
      <c r="E1253" s="85">
        <f t="shared" si="105"/>
        <v>12.564090000000002</v>
      </c>
    </row>
    <row r="1254" spans="1:5" ht="18" x14ac:dyDescent="0.35">
      <c r="A1254" s="5" t="s">
        <v>847</v>
      </c>
      <c r="B1254" s="50" t="s">
        <v>760</v>
      </c>
      <c r="C1254" s="7">
        <v>2</v>
      </c>
      <c r="D1254" s="7">
        <v>1.1499999999999999</v>
      </c>
      <c r="E1254" s="85">
        <f t="shared" si="105"/>
        <v>2.2999999999999998</v>
      </c>
    </row>
    <row r="1255" spans="1:5" ht="18" x14ac:dyDescent="0.35">
      <c r="A1255" s="5"/>
      <c r="B1255" s="50" t="s">
        <v>34</v>
      </c>
      <c r="C1255" s="7">
        <v>0.1</v>
      </c>
      <c r="D1255" s="7">
        <v>14.61</v>
      </c>
      <c r="E1255" s="85">
        <f t="shared" si="105"/>
        <v>1.4610000000000001</v>
      </c>
    </row>
    <row r="1256" spans="1:5" ht="18" x14ac:dyDescent="0.35">
      <c r="A1256" s="5"/>
      <c r="B1256" s="50" t="s">
        <v>35</v>
      </c>
      <c r="C1256" s="7">
        <v>4</v>
      </c>
      <c r="D1256" s="7">
        <v>2.89</v>
      </c>
      <c r="E1256" s="85">
        <f t="shared" si="105"/>
        <v>11.56</v>
      </c>
    </row>
    <row r="1257" spans="1:5" ht="18" x14ac:dyDescent="0.35">
      <c r="A1257" s="5"/>
      <c r="B1257" s="50" t="s">
        <v>36</v>
      </c>
      <c r="C1257" s="7">
        <v>4</v>
      </c>
      <c r="D1257" s="7">
        <v>0.61</v>
      </c>
      <c r="E1257" s="85">
        <f t="shared" si="105"/>
        <v>2.44</v>
      </c>
    </row>
    <row r="1258" spans="1:5" ht="18" x14ac:dyDescent="0.35">
      <c r="A1258" s="5"/>
      <c r="B1258" s="5"/>
      <c r="C1258" s="54"/>
      <c r="D1258" s="54"/>
      <c r="E1258" s="89">
        <f>SUM(E1252:E1257)</f>
        <v>85.025769999999994</v>
      </c>
    </row>
    <row r="1259" spans="1:5" ht="18" x14ac:dyDescent="0.35">
      <c r="A1259" s="5"/>
      <c r="B1259" s="50" t="s">
        <v>37</v>
      </c>
      <c r="C1259" s="54">
        <v>0.5</v>
      </c>
      <c r="D1259" s="54">
        <v>101.32</v>
      </c>
      <c r="E1259" s="85">
        <f>C1259*D1259</f>
        <v>50.66</v>
      </c>
    </row>
    <row r="1260" spans="1:5" ht="18" x14ac:dyDescent="0.35">
      <c r="A1260" s="5"/>
      <c r="B1260" s="5"/>
      <c r="C1260" s="54"/>
      <c r="D1260" s="54"/>
      <c r="E1260" s="85">
        <f>SUM(E1258:E1259)</f>
        <v>135.68576999999999</v>
      </c>
    </row>
    <row r="1262" spans="1:5" ht="21" x14ac:dyDescent="0.4">
      <c r="A1262" s="40" t="s">
        <v>843</v>
      </c>
      <c r="B1262" s="40"/>
      <c r="C1262" s="40"/>
      <c r="D1262" s="12"/>
      <c r="E1262" s="12"/>
    </row>
    <row r="1263" spans="1:5" ht="18" x14ac:dyDescent="0.35">
      <c r="A1263" s="5"/>
      <c r="B1263" s="5"/>
      <c r="C1263" s="7" t="s">
        <v>28</v>
      </c>
      <c r="D1263" s="7" t="s">
        <v>29</v>
      </c>
      <c r="E1263" s="7" t="s">
        <v>30</v>
      </c>
    </row>
    <row r="1264" spans="1:5" ht="18" x14ac:dyDescent="0.35">
      <c r="A1264" s="5" t="s">
        <v>248</v>
      </c>
      <c r="B1264" s="50" t="s">
        <v>32</v>
      </c>
      <c r="C1264" s="7">
        <v>2.7850000000000001</v>
      </c>
      <c r="D1264" s="7">
        <v>30.44</v>
      </c>
      <c r="E1264" s="85">
        <f t="shared" ref="E1264:E1269" si="106">C1264*D1264</f>
        <v>84.775400000000005</v>
      </c>
    </row>
    <row r="1265" spans="1:5" ht="18" x14ac:dyDescent="0.35">
      <c r="A1265" s="5" t="s">
        <v>261</v>
      </c>
      <c r="B1265" s="50" t="s">
        <v>33</v>
      </c>
      <c r="C1265" s="7">
        <v>3.7480000000000002</v>
      </c>
      <c r="D1265" s="7">
        <v>17.059999999999999</v>
      </c>
      <c r="E1265" s="85">
        <f t="shared" si="106"/>
        <v>63.94088</v>
      </c>
    </row>
    <row r="1266" spans="1:5" ht="18" x14ac:dyDescent="0.35">
      <c r="A1266" s="5" t="s">
        <v>846</v>
      </c>
      <c r="B1266" s="50" t="s">
        <v>137</v>
      </c>
      <c r="C1266" s="7">
        <v>0.24</v>
      </c>
      <c r="D1266" s="7">
        <v>17.190000000000001</v>
      </c>
      <c r="E1266" s="85">
        <f t="shared" si="106"/>
        <v>4.1256000000000004</v>
      </c>
    </row>
    <row r="1267" spans="1:5" ht="18" x14ac:dyDescent="0.35">
      <c r="A1267" s="5"/>
      <c r="B1267" s="50" t="s">
        <v>35</v>
      </c>
      <c r="C1267" s="7">
        <v>4</v>
      </c>
      <c r="D1267" s="7">
        <v>2.91</v>
      </c>
      <c r="E1267" s="85">
        <f t="shared" si="106"/>
        <v>11.64</v>
      </c>
    </row>
    <row r="1268" spans="1:5" ht="18" x14ac:dyDescent="0.35">
      <c r="A1268" s="5"/>
      <c r="B1268" s="50" t="s">
        <v>36</v>
      </c>
      <c r="C1268" s="7">
        <v>4</v>
      </c>
      <c r="D1268" s="7">
        <v>0.61</v>
      </c>
      <c r="E1268" s="85">
        <f t="shared" si="106"/>
        <v>2.44</v>
      </c>
    </row>
    <row r="1269" spans="1:5" ht="18" x14ac:dyDescent="0.35">
      <c r="A1269" s="5"/>
      <c r="B1269" s="50" t="s">
        <v>37</v>
      </c>
      <c r="C1269" s="54">
        <v>1</v>
      </c>
      <c r="D1269" s="86">
        <v>101.32</v>
      </c>
      <c r="E1269" s="85">
        <f t="shared" si="106"/>
        <v>101.32</v>
      </c>
    </row>
    <row r="1270" spans="1:5" ht="18" x14ac:dyDescent="0.35">
      <c r="A1270" s="5"/>
      <c r="B1270" s="5"/>
      <c r="C1270" s="54"/>
      <c r="D1270" s="54"/>
      <c r="E1270" s="85">
        <f>SUM(E1264:E1269)</f>
        <v>268.24187999999998</v>
      </c>
    </row>
    <row r="1272" spans="1:5" ht="21" x14ac:dyDescent="0.4">
      <c r="A1272" s="40" t="s">
        <v>844</v>
      </c>
      <c r="B1272" s="40"/>
      <c r="C1272" s="40"/>
      <c r="D1272" s="12"/>
      <c r="E1272" s="12"/>
    </row>
    <row r="1273" spans="1:5" ht="18" x14ac:dyDescent="0.35">
      <c r="A1273" s="5"/>
      <c r="B1273" s="5"/>
      <c r="C1273" s="7" t="s">
        <v>28</v>
      </c>
      <c r="D1273" s="7" t="s">
        <v>29</v>
      </c>
      <c r="E1273" s="7" t="s">
        <v>30</v>
      </c>
    </row>
    <row r="1274" spans="1:5" ht="18" x14ac:dyDescent="0.35">
      <c r="A1274" s="5" t="s">
        <v>251</v>
      </c>
      <c r="B1274" s="50" t="s">
        <v>32</v>
      </c>
      <c r="C1274" s="7">
        <v>2.8479999999999999</v>
      </c>
      <c r="D1274" s="7">
        <v>30.44</v>
      </c>
      <c r="E1274" s="85">
        <f t="shared" ref="E1274:E1279" si="107">C1274*D1274</f>
        <v>86.693119999999993</v>
      </c>
    </row>
    <row r="1275" spans="1:5" ht="18" x14ac:dyDescent="0.35">
      <c r="A1275" s="5" t="s">
        <v>262</v>
      </c>
      <c r="B1275" s="50" t="s">
        <v>33</v>
      </c>
      <c r="C1275" s="7">
        <v>6.2480000000000002</v>
      </c>
      <c r="D1275" s="7">
        <v>17.059999999999999</v>
      </c>
      <c r="E1275" s="85">
        <f t="shared" si="107"/>
        <v>106.59088</v>
      </c>
    </row>
    <row r="1276" spans="1:5" ht="18" x14ac:dyDescent="0.35">
      <c r="A1276" s="5" t="s">
        <v>845</v>
      </c>
      <c r="B1276" s="50" t="s">
        <v>137</v>
      </c>
      <c r="C1276" s="7">
        <v>0.378</v>
      </c>
      <c r="D1276" s="7">
        <v>17.190000000000001</v>
      </c>
      <c r="E1276" s="85">
        <f t="shared" si="107"/>
        <v>6.4978200000000008</v>
      </c>
    </row>
    <row r="1277" spans="1:5" ht="18" x14ac:dyDescent="0.35">
      <c r="A1277" s="5"/>
      <c r="B1277" s="50" t="s">
        <v>35</v>
      </c>
      <c r="C1277" s="7">
        <v>4</v>
      </c>
      <c r="D1277" s="7">
        <v>2.91</v>
      </c>
      <c r="E1277" s="85">
        <f t="shared" si="107"/>
        <v>11.64</v>
      </c>
    </row>
    <row r="1278" spans="1:5" ht="18" x14ac:dyDescent="0.35">
      <c r="A1278" s="5"/>
      <c r="B1278" s="50" t="s">
        <v>36</v>
      </c>
      <c r="C1278" s="7">
        <v>4</v>
      </c>
      <c r="D1278" s="7">
        <v>0.61</v>
      </c>
      <c r="E1278" s="85">
        <f t="shared" si="107"/>
        <v>2.44</v>
      </c>
    </row>
    <row r="1279" spans="1:5" ht="18" x14ac:dyDescent="0.35">
      <c r="A1279" s="5"/>
      <c r="B1279" s="50" t="s">
        <v>37</v>
      </c>
      <c r="C1279" s="54">
        <v>1</v>
      </c>
      <c r="D1279" s="86">
        <v>101.32</v>
      </c>
      <c r="E1279" s="85">
        <f t="shared" si="107"/>
        <v>101.32</v>
      </c>
    </row>
    <row r="1280" spans="1:5" ht="18" x14ac:dyDescent="0.35">
      <c r="A1280" s="5"/>
      <c r="B1280" s="5"/>
      <c r="C1280" s="54"/>
      <c r="D1280" s="54"/>
      <c r="E1280" s="85">
        <f>SUM(E1274:E1279)</f>
        <v>315.18181999999996</v>
      </c>
    </row>
    <row r="1283" spans="1:5" ht="21" x14ac:dyDescent="0.4">
      <c r="A1283" s="40" t="s">
        <v>844</v>
      </c>
      <c r="B1283" s="40"/>
      <c r="C1283" s="40"/>
      <c r="D1283" s="12"/>
      <c r="E1283" s="12"/>
    </row>
    <row r="1284" spans="1:5" ht="18" x14ac:dyDescent="0.35">
      <c r="A1284" s="5"/>
      <c r="B1284" s="5"/>
      <c r="C1284" s="7" t="s">
        <v>28</v>
      </c>
      <c r="D1284" s="7" t="s">
        <v>29</v>
      </c>
      <c r="E1284" s="7" t="s">
        <v>30</v>
      </c>
    </row>
    <row r="1285" spans="1:5" ht="18" x14ac:dyDescent="0.35">
      <c r="A1285" s="5" t="s">
        <v>252</v>
      </c>
      <c r="B1285" s="50" t="s">
        <v>32</v>
      </c>
      <c r="C1285" s="7">
        <v>2.91</v>
      </c>
      <c r="D1285" s="7">
        <v>30.44</v>
      </c>
      <c r="E1285" s="85">
        <f t="shared" ref="E1285:E1290" si="108">C1285*D1285</f>
        <v>88.580400000000012</v>
      </c>
    </row>
    <row r="1286" spans="1:5" ht="18" x14ac:dyDescent="0.35">
      <c r="A1286" s="5" t="s">
        <v>263</v>
      </c>
      <c r="B1286" s="50" t="s">
        <v>33</v>
      </c>
      <c r="C1286" s="7">
        <v>8.7460000000000004</v>
      </c>
      <c r="D1286" s="7">
        <v>17.059999999999999</v>
      </c>
      <c r="E1286" s="85">
        <f t="shared" si="108"/>
        <v>149.20676</v>
      </c>
    </row>
    <row r="1287" spans="1:5" ht="18" x14ac:dyDescent="0.35">
      <c r="A1287" s="5" t="s">
        <v>848</v>
      </c>
      <c r="B1287" s="50" t="s">
        <v>137</v>
      </c>
      <c r="C1287" s="7">
        <v>0.504</v>
      </c>
      <c r="D1287" s="7">
        <v>17.190000000000001</v>
      </c>
      <c r="E1287" s="85">
        <f t="shared" si="108"/>
        <v>8.6637599999999999</v>
      </c>
    </row>
    <row r="1288" spans="1:5" ht="18" x14ac:dyDescent="0.35">
      <c r="A1288" s="5"/>
      <c r="B1288" s="50" t="s">
        <v>35</v>
      </c>
      <c r="C1288" s="7">
        <v>4</v>
      </c>
      <c r="D1288" s="7">
        <v>2.91</v>
      </c>
      <c r="E1288" s="85">
        <f t="shared" si="108"/>
        <v>11.64</v>
      </c>
    </row>
    <row r="1289" spans="1:5" ht="18" x14ac:dyDescent="0.35">
      <c r="A1289" s="5"/>
      <c r="B1289" s="50" t="s">
        <v>36</v>
      </c>
      <c r="C1289" s="7">
        <v>4</v>
      </c>
      <c r="D1289" s="7">
        <v>0.61</v>
      </c>
      <c r="E1289" s="85">
        <f t="shared" si="108"/>
        <v>2.44</v>
      </c>
    </row>
    <row r="1290" spans="1:5" ht="18" x14ac:dyDescent="0.35">
      <c r="A1290" s="5"/>
      <c r="B1290" s="50" t="s">
        <v>37</v>
      </c>
      <c r="C1290" s="54">
        <v>1</v>
      </c>
      <c r="D1290" s="86">
        <v>101.32</v>
      </c>
      <c r="E1290" s="85">
        <f t="shared" si="108"/>
        <v>101.32</v>
      </c>
    </row>
    <row r="1291" spans="1:5" ht="18" x14ac:dyDescent="0.35">
      <c r="A1291" s="5"/>
      <c r="B1291" s="5"/>
      <c r="C1291" s="54"/>
      <c r="D1291" s="54"/>
      <c r="E1291" s="85">
        <f>SUM(E1285:E1290)</f>
        <v>361.85092000000003</v>
      </c>
    </row>
    <row r="1293" spans="1:5" ht="21" x14ac:dyDescent="0.4">
      <c r="A1293" s="40" t="s">
        <v>598</v>
      </c>
      <c r="B1293" s="40"/>
      <c r="C1293" s="84"/>
      <c r="D1293" s="12"/>
      <c r="E1293" s="83"/>
    </row>
    <row r="1294" spans="1:5" x14ac:dyDescent="0.3">
      <c r="C1294" s="12"/>
      <c r="D1294" s="12"/>
      <c r="E1294" s="12"/>
    </row>
    <row r="1295" spans="1:5" ht="18" x14ac:dyDescent="0.35">
      <c r="A1295" s="5"/>
      <c r="B1295" s="5"/>
      <c r="C1295" s="7" t="s">
        <v>28</v>
      </c>
      <c r="D1295" s="7" t="s">
        <v>29</v>
      </c>
      <c r="E1295" s="7" t="s">
        <v>30</v>
      </c>
    </row>
    <row r="1296" spans="1:5" ht="18" x14ac:dyDescent="0.35">
      <c r="A1296" s="5" t="s">
        <v>856</v>
      </c>
      <c r="B1296" s="50" t="s">
        <v>32</v>
      </c>
      <c r="C1296" s="7">
        <v>1.633</v>
      </c>
      <c r="D1296" s="7">
        <v>29.12</v>
      </c>
      <c r="E1296" s="85">
        <f t="shared" ref="E1296:E1301" si="109">C1296*D1296</f>
        <v>47.552959999999999</v>
      </c>
    </row>
    <row r="1297" spans="1:5" ht="18" x14ac:dyDescent="0.35">
      <c r="A1297" s="5" t="s">
        <v>54</v>
      </c>
      <c r="B1297" s="50" t="s">
        <v>33</v>
      </c>
      <c r="C1297" s="7">
        <v>6.2649999999999997</v>
      </c>
      <c r="D1297" s="7">
        <v>14.94</v>
      </c>
      <c r="E1297" s="85">
        <f t="shared" si="109"/>
        <v>93.599099999999993</v>
      </c>
    </row>
    <row r="1298" spans="1:5" ht="18" x14ac:dyDescent="0.35">
      <c r="A1298" s="5" t="s">
        <v>857</v>
      </c>
      <c r="B1298" s="50" t="s">
        <v>128</v>
      </c>
      <c r="C1298" s="7">
        <v>2</v>
      </c>
      <c r="D1298" s="7">
        <v>1.81</v>
      </c>
      <c r="E1298" s="85">
        <f t="shared" si="109"/>
        <v>3.62</v>
      </c>
    </row>
    <row r="1299" spans="1:5" ht="18" x14ac:dyDescent="0.35">
      <c r="A1299" s="5"/>
      <c r="B1299" s="50" t="s">
        <v>34</v>
      </c>
      <c r="C1299" s="7">
        <v>0.4</v>
      </c>
      <c r="D1299" s="7">
        <v>14.61</v>
      </c>
      <c r="E1299" s="85">
        <f t="shared" si="109"/>
        <v>5.8440000000000003</v>
      </c>
    </row>
    <row r="1300" spans="1:5" ht="18" x14ac:dyDescent="0.35">
      <c r="A1300" s="5"/>
      <c r="B1300" s="50" t="s">
        <v>35</v>
      </c>
      <c r="C1300" s="7">
        <v>4</v>
      </c>
      <c r="D1300" s="7">
        <v>2.89</v>
      </c>
      <c r="E1300" s="85">
        <f t="shared" si="109"/>
        <v>11.56</v>
      </c>
    </row>
    <row r="1301" spans="1:5" ht="18" x14ac:dyDescent="0.35">
      <c r="A1301" s="5"/>
      <c r="B1301" s="50" t="s">
        <v>36</v>
      </c>
      <c r="C1301" s="7">
        <v>4</v>
      </c>
      <c r="D1301" s="7">
        <v>0.6</v>
      </c>
      <c r="E1301" s="85">
        <f t="shared" si="109"/>
        <v>2.4</v>
      </c>
    </row>
    <row r="1302" spans="1:5" ht="18" x14ac:dyDescent="0.35">
      <c r="A1302" s="5"/>
      <c r="B1302" s="5"/>
      <c r="C1302" s="54"/>
      <c r="D1302" s="54"/>
      <c r="E1302" s="89">
        <f>SUM(E1296:E1301)</f>
        <v>164.57606000000001</v>
      </c>
    </row>
    <row r="1303" spans="1:5" ht="18" x14ac:dyDescent="0.35">
      <c r="A1303" s="5"/>
      <c r="B1303" s="50" t="s">
        <v>37</v>
      </c>
      <c r="C1303" s="54">
        <v>1</v>
      </c>
      <c r="D1303" s="54">
        <v>101.32</v>
      </c>
      <c r="E1303" s="85">
        <f>C1303*D1303</f>
        <v>101.32</v>
      </c>
    </row>
    <row r="1304" spans="1:5" ht="18" x14ac:dyDescent="0.35">
      <c r="A1304" s="5"/>
      <c r="B1304" s="5"/>
      <c r="C1304" s="54"/>
      <c r="D1304" s="54"/>
      <c r="E1304" s="85">
        <f>SUM(E1302:E1303)</f>
        <v>265.89606000000003</v>
      </c>
    </row>
    <row r="1307" spans="1:5" ht="21" x14ac:dyDescent="0.4">
      <c r="A1307" s="40" t="s">
        <v>598</v>
      </c>
      <c r="B1307" s="40"/>
      <c r="C1307" s="84"/>
      <c r="D1307" s="12"/>
      <c r="E1307" s="83"/>
    </row>
    <row r="1308" spans="1:5" x14ac:dyDescent="0.3">
      <c r="C1308" s="12"/>
      <c r="D1308" s="12"/>
      <c r="E1308" s="12"/>
    </row>
    <row r="1309" spans="1:5" ht="18" x14ac:dyDescent="0.35">
      <c r="A1309" s="5"/>
      <c r="B1309" s="5"/>
      <c r="C1309" s="7" t="s">
        <v>28</v>
      </c>
      <c r="D1309" s="7" t="s">
        <v>29</v>
      </c>
      <c r="E1309" s="7" t="s">
        <v>30</v>
      </c>
    </row>
    <row r="1310" spans="1:5" ht="18" x14ac:dyDescent="0.35">
      <c r="A1310" s="5" t="s">
        <v>858</v>
      </c>
      <c r="B1310" s="50" t="s">
        <v>32</v>
      </c>
      <c r="C1310" s="7">
        <v>2.0289999999999999</v>
      </c>
      <c r="D1310" s="7">
        <v>29.12</v>
      </c>
      <c r="E1310" s="85">
        <f t="shared" ref="E1310:E1315" si="110">C1310*D1310</f>
        <v>59.084479999999999</v>
      </c>
    </row>
    <row r="1311" spans="1:5" ht="18" x14ac:dyDescent="0.35">
      <c r="A1311" s="5" t="s">
        <v>55</v>
      </c>
      <c r="B1311" s="50" t="s">
        <v>33</v>
      </c>
      <c r="C1311" s="7">
        <v>9.8279999999999994</v>
      </c>
      <c r="D1311" s="7">
        <v>14.94</v>
      </c>
      <c r="E1311" s="85">
        <f t="shared" si="110"/>
        <v>146.83032</v>
      </c>
    </row>
    <row r="1312" spans="1:5" ht="18" x14ac:dyDescent="0.35">
      <c r="A1312" s="5" t="s">
        <v>859</v>
      </c>
      <c r="B1312" s="50" t="s">
        <v>88</v>
      </c>
      <c r="C1312" s="7">
        <v>2</v>
      </c>
      <c r="D1312" s="7">
        <v>2.2400000000000002</v>
      </c>
      <c r="E1312" s="85">
        <f t="shared" si="110"/>
        <v>4.4800000000000004</v>
      </c>
    </row>
    <row r="1313" spans="1:5" ht="18" x14ac:dyDescent="0.35">
      <c r="A1313" s="5"/>
      <c r="B1313" s="50" t="s">
        <v>34</v>
      </c>
      <c r="C1313" s="7">
        <v>0.5</v>
      </c>
      <c r="D1313" s="7">
        <v>14.61</v>
      </c>
      <c r="E1313" s="85">
        <f t="shared" si="110"/>
        <v>7.3049999999999997</v>
      </c>
    </row>
    <row r="1314" spans="1:5" ht="18" x14ac:dyDescent="0.35">
      <c r="A1314" s="5"/>
      <c r="B1314" s="50" t="s">
        <v>35</v>
      </c>
      <c r="C1314" s="7">
        <v>4</v>
      </c>
      <c r="D1314" s="7">
        <v>2.89</v>
      </c>
      <c r="E1314" s="85">
        <f t="shared" si="110"/>
        <v>11.56</v>
      </c>
    </row>
    <row r="1315" spans="1:5" ht="18" x14ac:dyDescent="0.35">
      <c r="A1315" s="5"/>
      <c r="B1315" s="50" t="s">
        <v>36</v>
      </c>
      <c r="C1315" s="7">
        <v>4</v>
      </c>
      <c r="D1315" s="7">
        <v>0.6</v>
      </c>
      <c r="E1315" s="85">
        <f t="shared" si="110"/>
        <v>2.4</v>
      </c>
    </row>
    <row r="1316" spans="1:5" ht="18" x14ac:dyDescent="0.35">
      <c r="A1316" s="5"/>
      <c r="B1316" s="5"/>
      <c r="C1316" s="54"/>
      <c r="D1316" s="54"/>
      <c r="E1316" s="89">
        <f>SUM(E1310:E1315)</f>
        <v>231.65980000000002</v>
      </c>
    </row>
    <row r="1317" spans="1:5" ht="18" x14ac:dyDescent="0.35">
      <c r="A1317" s="5"/>
      <c r="B1317" s="50" t="s">
        <v>37</v>
      </c>
      <c r="C1317" s="54">
        <v>1</v>
      </c>
      <c r="D1317" s="54">
        <v>101.32</v>
      </c>
      <c r="E1317" s="85">
        <f>C1317*D1317</f>
        <v>101.32</v>
      </c>
    </row>
    <row r="1318" spans="1:5" ht="18" x14ac:dyDescent="0.35">
      <c r="A1318" s="5"/>
      <c r="B1318" s="5"/>
      <c r="C1318" s="54"/>
      <c r="D1318" s="54"/>
      <c r="E1318" s="85">
        <f>SUM(E1316:E1317)</f>
        <v>332.97980000000001</v>
      </c>
    </row>
    <row r="1321" spans="1:5" ht="21" x14ac:dyDescent="0.4">
      <c r="A1321" s="40" t="s">
        <v>873</v>
      </c>
      <c r="B1321" s="40"/>
      <c r="C1321" s="40"/>
      <c r="D1321" s="12"/>
      <c r="E1321" s="12"/>
    </row>
    <row r="1322" spans="1:5" ht="18" x14ac:dyDescent="0.35">
      <c r="A1322" s="5"/>
      <c r="B1322" s="5"/>
      <c r="C1322" s="7" t="s">
        <v>28</v>
      </c>
      <c r="D1322" s="7" t="s">
        <v>29</v>
      </c>
      <c r="E1322" s="7" t="s">
        <v>30</v>
      </c>
    </row>
    <row r="1323" spans="1:5" ht="18" x14ac:dyDescent="0.35">
      <c r="A1323" s="5" t="s">
        <v>44</v>
      </c>
      <c r="B1323" s="50" t="s">
        <v>32</v>
      </c>
      <c r="C1323" s="7">
        <v>1.6859999999999999</v>
      </c>
      <c r="D1323" s="7">
        <v>30.44</v>
      </c>
      <c r="E1323" s="85">
        <f>C1323*D1323</f>
        <v>51.321840000000002</v>
      </c>
    </row>
    <row r="1324" spans="1:5" ht="18" x14ac:dyDescent="0.35">
      <c r="A1324" s="5"/>
      <c r="B1324" s="50" t="s">
        <v>37</v>
      </c>
      <c r="C1324" s="54">
        <v>0.15</v>
      </c>
      <c r="D1324" s="86">
        <v>101.32</v>
      </c>
      <c r="E1324" s="85">
        <f>C1324*D1324</f>
        <v>15.197999999999999</v>
      </c>
    </row>
    <row r="1325" spans="1:5" ht="18" x14ac:dyDescent="0.35">
      <c r="A1325" s="5"/>
      <c r="B1325" s="5"/>
      <c r="C1325" s="54"/>
      <c r="D1325" s="54"/>
      <c r="E1325" s="85">
        <f>SUM(E1323:E1324)</f>
        <v>66.519840000000002</v>
      </c>
    </row>
    <row r="1328" spans="1:5" ht="21" x14ac:dyDescent="0.4">
      <c r="A1328" s="40" t="s">
        <v>874</v>
      </c>
      <c r="B1328" s="40"/>
      <c r="C1328" s="40"/>
      <c r="D1328" s="12"/>
      <c r="E1328" s="12"/>
    </row>
    <row r="1329" spans="1:5" ht="18" x14ac:dyDescent="0.35">
      <c r="A1329" s="5"/>
      <c r="B1329" s="5"/>
      <c r="C1329" s="7" t="s">
        <v>28</v>
      </c>
      <c r="D1329" s="7" t="s">
        <v>29</v>
      </c>
      <c r="E1329" s="7" t="s">
        <v>30</v>
      </c>
    </row>
    <row r="1330" spans="1:5" ht="18" x14ac:dyDescent="0.35">
      <c r="A1330" s="5" t="s">
        <v>48</v>
      </c>
      <c r="B1330" s="50" t="s">
        <v>32</v>
      </c>
      <c r="C1330" s="7">
        <v>2.5649999999999999</v>
      </c>
      <c r="D1330" s="7">
        <v>30.44</v>
      </c>
      <c r="E1330" s="85">
        <f>C1330*D1330</f>
        <v>78.078600000000009</v>
      </c>
    </row>
    <row r="1331" spans="1:5" ht="18" x14ac:dyDescent="0.35">
      <c r="A1331" s="5"/>
      <c r="B1331" s="50" t="s">
        <v>37</v>
      </c>
      <c r="C1331" s="54">
        <v>0.15</v>
      </c>
      <c r="D1331" s="86">
        <v>101.32</v>
      </c>
      <c r="E1331" s="85">
        <f>C1331*D1331</f>
        <v>15.197999999999999</v>
      </c>
    </row>
    <row r="1332" spans="1:5" ht="18" x14ac:dyDescent="0.35">
      <c r="A1332" s="5"/>
      <c r="B1332" s="5"/>
      <c r="C1332" s="54"/>
      <c r="D1332" s="54"/>
      <c r="E1332" s="85">
        <f>SUM(E1330:E1331)</f>
        <v>93.276600000000002</v>
      </c>
    </row>
    <row r="1334" spans="1:5" ht="21" x14ac:dyDescent="0.4">
      <c r="A1334" s="40" t="s">
        <v>599</v>
      </c>
      <c r="B1334" s="40"/>
      <c r="C1334" s="84"/>
    </row>
    <row r="1335" spans="1:5" ht="18" x14ac:dyDescent="0.35">
      <c r="A1335" s="5"/>
      <c r="B1335" s="5"/>
      <c r="C1335" s="7" t="s">
        <v>28</v>
      </c>
      <c r="D1335" s="7" t="s">
        <v>29</v>
      </c>
      <c r="E1335" s="7" t="s">
        <v>30</v>
      </c>
    </row>
    <row r="1336" spans="1:5" ht="18" x14ac:dyDescent="0.35">
      <c r="A1336" s="5" t="s">
        <v>82</v>
      </c>
      <c r="B1336" s="50" t="s">
        <v>32</v>
      </c>
      <c r="C1336" s="7">
        <v>3.0790000000000002</v>
      </c>
      <c r="D1336" s="7">
        <v>30.44</v>
      </c>
      <c r="E1336" s="85">
        <f t="shared" ref="E1336:E1341" si="111">C1336*D1336</f>
        <v>93.724760000000003</v>
      </c>
    </row>
    <row r="1337" spans="1:5" ht="18" x14ac:dyDescent="0.35">
      <c r="A1337" s="5" t="s">
        <v>828</v>
      </c>
      <c r="B1337" s="50" t="s">
        <v>33</v>
      </c>
      <c r="C1337" s="7">
        <v>11.244999999999999</v>
      </c>
      <c r="D1337" s="7">
        <v>16.170000000000002</v>
      </c>
      <c r="E1337" s="85">
        <f t="shared" si="111"/>
        <v>181.83165</v>
      </c>
    </row>
    <row r="1338" spans="1:5" ht="18" x14ac:dyDescent="0.35">
      <c r="A1338" s="5" t="s">
        <v>663</v>
      </c>
      <c r="B1338" s="50" t="s">
        <v>97</v>
      </c>
      <c r="C1338" s="7">
        <v>2</v>
      </c>
      <c r="D1338" s="7">
        <v>1.48</v>
      </c>
      <c r="E1338" s="85">
        <f t="shared" si="111"/>
        <v>2.96</v>
      </c>
    </row>
    <row r="1339" spans="1:5" ht="18" x14ac:dyDescent="0.35">
      <c r="A1339" s="5"/>
      <c r="B1339" s="50" t="s">
        <v>34</v>
      </c>
      <c r="C1339" s="7">
        <v>0.42</v>
      </c>
      <c r="D1339" s="7">
        <v>14.61</v>
      </c>
      <c r="E1339" s="85">
        <f t="shared" si="111"/>
        <v>6.1361999999999997</v>
      </c>
    </row>
    <row r="1340" spans="1:5" ht="18" x14ac:dyDescent="0.35">
      <c r="A1340" s="5"/>
      <c r="B1340" s="50" t="s">
        <v>35</v>
      </c>
      <c r="C1340" s="7">
        <v>4</v>
      </c>
      <c r="D1340" s="7">
        <v>2.89</v>
      </c>
      <c r="E1340" s="85">
        <f t="shared" si="111"/>
        <v>11.56</v>
      </c>
    </row>
    <row r="1341" spans="1:5" ht="18" x14ac:dyDescent="0.35">
      <c r="A1341" s="5"/>
      <c r="B1341" s="50" t="s">
        <v>36</v>
      </c>
      <c r="C1341" s="7">
        <v>4</v>
      </c>
      <c r="D1341" s="7">
        <v>0.61</v>
      </c>
      <c r="E1341" s="85">
        <f t="shared" si="111"/>
        <v>2.44</v>
      </c>
    </row>
    <row r="1342" spans="1:5" ht="18" x14ac:dyDescent="0.35">
      <c r="A1342" s="5"/>
      <c r="B1342" s="5"/>
      <c r="C1342" s="54"/>
      <c r="D1342" s="54"/>
      <c r="E1342" s="89">
        <f>SUM(E1336:E1341)</f>
        <v>298.65260999999998</v>
      </c>
    </row>
    <row r="1343" spans="1:5" ht="18" x14ac:dyDescent="0.35">
      <c r="A1343" s="5"/>
      <c r="B1343" s="50" t="s">
        <v>37</v>
      </c>
      <c r="C1343" s="54">
        <v>1</v>
      </c>
      <c r="D1343" s="54">
        <v>101.32</v>
      </c>
      <c r="E1343" s="85">
        <f>C1343*D1343</f>
        <v>101.32</v>
      </c>
    </row>
    <row r="1344" spans="1:5" ht="18" x14ac:dyDescent="0.35">
      <c r="A1344" s="5"/>
      <c r="B1344" s="5"/>
      <c r="C1344" s="54"/>
      <c r="D1344" s="54"/>
      <c r="E1344" s="85">
        <f>SUM(E1342:E1343)</f>
        <v>399.97260999999997</v>
      </c>
    </row>
    <row r="1346" spans="1:5" ht="21" x14ac:dyDescent="0.4">
      <c r="A1346" s="40" t="s">
        <v>602</v>
      </c>
      <c r="B1346" s="40"/>
      <c r="C1346" s="84"/>
    </row>
    <row r="1347" spans="1:5" ht="18" x14ac:dyDescent="0.35">
      <c r="A1347" s="5"/>
      <c r="B1347" s="5"/>
      <c r="C1347" s="7" t="s">
        <v>28</v>
      </c>
      <c r="D1347" s="7" t="s">
        <v>29</v>
      </c>
      <c r="E1347" s="7" t="s">
        <v>30</v>
      </c>
    </row>
    <row r="1348" spans="1:5" ht="18" x14ac:dyDescent="0.35">
      <c r="A1348" s="5" t="s">
        <v>82</v>
      </c>
      <c r="B1348" s="50" t="s">
        <v>32</v>
      </c>
      <c r="C1348" s="7">
        <v>3.0790000000000002</v>
      </c>
      <c r="D1348" s="7">
        <v>45.07</v>
      </c>
      <c r="E1348" s="85">
        <f t="shared" ref="E1348:E1355" si="112">C1348*D1348</f>
        <v>138.77053000000001</v>
      </c>
    </row>
    <row r="1349" spans="1:5" ht="18" x14ac:dyDescent="0.35">
      <c r="A1349" s="5" t="s">
        <v>828</v>
      </c>
      <c r="B1349" s="50" t="s">
        <v>33</v>
      </c>
      <c r="C1349" s="7">
        <v>11.244999999999999</v>
      </c>
      <c r="D1349" s="7">
        <v>16.170000000000002</v>
      </c>
      <c r="E1349" s="85">
        <f t="shared" si="112"/>
        <v>181.83165</v>
      </c>
    </row>
    <row r="1350" spans="1:5" ht="18" x14ac:dyDescent="0.35">
      <c r="A1350" s="102" t="s">
        <v>519</v>
      </c>
      <c r="B1350" s="50" t="s">
        <v>33</v>
      </c>
      <c r="C1350" s="7">
        <v>11.97</v>
      </c>
      <c r="D1350" s="7">
        <v>16.170000000000002</v>
      </c>
      <c r="E1350" s="85">
        <f t="shared" si="112"/>
        <v>193.55490000000003</v>
      </c>
    </row>
    <row r="1351" spans="1:5" ht="18" x14ac:dyDescent="0.35">
      <c r="A1351" s="5" t="s">
        <v>663</v>
      </c>
      <c r="B1351" s="50" t="s">
        <v>97</v>
      </c>
      <c r="C1351" s="7">
        <v>2</v>
      </c>
      <c r="D1351" s="7">
        <v>1.48</v>
      </c>
      <c r="E1351" s="85">
        <f t="shared" si="112"/>
        <v>2.96</v>
      </c>
    </row>
    <row r="1352" spans="1:5" ht="18" x14ac:dyDescent="0.35">
      <c r="A1352" s="5"/>
      <c r="B1352" s="50" t="s">
        <v>101</v>
      </c>
      <c r="C1352" s="7">
        <v>2</v>
      </c>
      <c r="D1352" s="7">
        <v>3.72</v>
      </c>
      <c r="E1352" s="85">
        <f t="shared" si="112"/>
        <v>7.44</v>
      </c>
    </row>
    <row r="1353" spans="1:5" ht="18" x14ac:dyDescent="0.35">
      <c r="A1353" s="5"/>
      <c r="B1353" s="50" t="s">
        <v>34</v>
      </c>
      <c r="C1353" s="7">
        <v>0.42</v>
      </c>
      <c r="D1353" s="7">
        <v>14.61</v>
      </c>
      <c r="E1353" s="85">
        <f t="shared" si="112"/>
        <v>6.1361999999999997</v>
      </c>
    </row>
    <row r="1354" spans="1:5" ht="18" x14ac:dyDescent="0.35">
      <c r="A1354" s="5"/>
      <c r="B1354" s="50" t="s">
        <v>35</v>
      </c>
      <c r="C1354" s="7">
        <v>4</v>
      </c>
      <c r="D1354" s="7">
        <v>2.89</v>
      </c>
      <c r="E1354" s="85">
        <f t="shared" si="112"/>
        <v>11.56</v>
      </c>
    </row>
    <row r="1355" spans="1:5" ht="18" x14ac:dyDescent="0.35">
      <c r="A1355" s="5"/>
      <c r="B1355" s="50" t="s">
        <v>36</v>
      </c>
      <c r="C1355" s="7">
        <v>4</v>
      </c>
      <c r="D1355" s="7">
        <v>0.61</v>
      </c>
      <c r="E1355" s="85">
        <f t="shared" si="112"/>
        <v>2.44</v>
      </c>
    </row>
    <row r="1356" spans="1:5" ht="18" x14ac:dyDescent="0.35">
      <c r="A1356" s="5"/>
      <c r="B1356" s="5"/>
      <c r="C1356" s="54"/>
      <c r="D1356" s="54"/>
      <c r="E1356" s="89">
        <f>SUM(E1348:E1355)</f>
        <v>544.69328000000007</v>
      </c>
    </row>
    <row r="1357" spans="1:5" ht="18" x14ac:dyDescent="0.35">
      <c r="A1357" s="5"/>
      <c r="B1357" s="50" t="s">
        <v>37</v>
      </c>
      <c r="C1357" s="54">
        <v>1.5</v>
      </c>
      <c r="D1357" s="54">
        <v>85</v>
      </c>
      <c r="E1357" s="85">
        <f>C1357*D1357</f>
        <v>127.5</v>
      </c>
    </row>
    <row r="1358" spans="1:5" ht="18" x14ac:dyDescent="0.35">
      <c r="B1358" s="5"/>
      <c r="C1358" s="54"/>
      <c r="D1358" s="54"/>
      <c r="E1358" s="85">
        <f>SUM(E1356:E1357)</f>
        <v>672.19328000000007</v>
      </c>
    </row>
    <row r="1361" spans="1:17" ht="21" x14ac:dyDescent="0.4">
      <c r="A1361" s="40" t="s">
        <v>875</v>
      </c>
      <c r="B1361" s="40"/>
      <c r="C1361" s="40"/>
      <c r="D1361" s="12"/>
      <c r="E1361" s="12"/>
      <c r="G1361" s="40" t="s">
        <v>880</v>
      </c>
      <c r="H1361" s="40"/>
      <c r="I1361" s="40"/>
      <c r="J1361" s="12"/>
      <c r="K1361" s="12"/>
      <c r="M1361" s="40" t="s">
        <v>882</v>
      </c>
      <c r="N1361" s="40"/>
      <c r="O1361" s="40"/>
    </row>
    <row r="1362" spans="1:17" ht="18" x14ac:dyDescent="0.35">
      <c r="A1362" s="5"/>
      <c r="B1362" s="5"/>
      <c r="C1362" s="7" t="s">
        <v>28</v>
      </c>
      <c r="D1362" s="7" t="s">
        <v>29</v>
      </c>
      <c r="E1362" s="7" t="s">
        <v>30</v>
      </c>
      <c r="G1362" s="5"/>
      <c r="H1362" s="5"/>
      <c r="I1362" s="7" t="s">
        <v>28</v>
      </c>
      <c r="J1362" s="7" t="s">
        <v>29</v>
      </c>
      <c r="K1362" s="7" t="s">
        <v>30</v>
      </c>
      <c r="M1362" s="5"/>
      <c r="N1362" s="5"/>
      <c r="O1362" s="7" t="s">
        <v>28</v>
      </c>
      <c r="P1362" s="7" t="s">
        <v>29</v>
      </c>
      <c r="Q1362" s="7" t="s">
        <v>30</v>
      </c>
    </row>
    <row r="1363" spans="1:17" ht="18" x14ac:dyDescent="0.35">
      <c r="A1363" s="5" t="s">
        <v>123</v>
      </c>
      <c r="B1363" s="50" t="s">
        <v>32</v>
      </c>
      <c r="C1363" s="7">
        <v>3.0779999999999998</v>
      </c>
      <c r="D1363" s="7">
        <v>29.12</v>
      </c>
      <c r="E1363" s="85">
        <f t="shared" ref="E1363:E1368" si="113">C1363*D1363</f>
        <v>89.631360000000001</v>
      </c>
      <c r="G1363" s="5" t="s">
        <v>123</v>
      </c>
      <c r="H1363" s="50" t="s">
        <v>32</v>
      </c>
      <c r="I1363" s="7">
        <v>3.0779999999999998</v>
      </c>
      <c r="J1363" s="7">
        <v>30.44</v>
      </c>
      <c r="K1363" s="85">
        <f t="shared" ref="K1363:K1368" si="114">I1363*J1363</f>
        <v>93.694320000000005</v>
      </c>
      <c r="M1363" s="5" t="s">
        <v>123</v>
      </c>
      <c r="N1363" s="50" t="s">
        <v>32</v>
      </c>
      <c r="O1363" s="7">
        <v>3.0779999999999998</v>
      </c>
      <c r="P1363" s="7">
        <v>14.5</v>
      </c>
      <c r="Q1363" s="85">
        <f t="shared" ref="Q1363:Q1368" si="115">O1363*P1363</f>
        <v>44.631</v>
      </c>
    </row>
    <row r="1364" spans="1:17" ht="18" x14ac:dyDescent="0.35">
      <c r="A1364" s="5" t="s">
        <v>56</v>
      </c>
      <c r="B1364" s="50" t="s">
        <v>33</v>
      </c>
      <c r="C1364" s="7">
        <v>30.145</v>
      </c>
      <c r="D1364" s="7">
        <v>15.25</v>
      </c>
      <c r="E1364" s="85">
        <f t="shared" si="113"/>
        <v>459.71125000000001</v>
      </c>
      <c r="G1364" s="5" t="s">
        <v>56</v>
      </c>
      <c r="H1364" s="50" t="s">
        <v>33</v>
      </c>
      <c r="I1364" s="7">
        <v>30.145</v>
      </c>
      <c r="J1364" s="7">
        <v>17.059999999999999</v>
      </c>
      <c r="K1364" s="85">
        <f t="shared" si="114"/>
        <v>514.27369999999996</v>
      </c>
      <c r="M1364" s="5" t="s">
        <v>56</v>
      </c>
      <c r="N1364" s="50" t="s">
        <v>33</v>
      </c>
      <c r="O1364" s="7">
        <v>30.145</v>
      </c>
      <c r="P1364" s="7">
        <v>5.31</v>
      </c>
      <c r="Q1364" s="85">
        <f t="shared" si="115"/>
        <v>160.06994999999998</v>
      </c>
    </row>
    <row r="1365" spans="1:17" ht="18" x14ac:dyDescent="0.35">
      <c r="A1365" s="5" t="s">
        <v>595</v>
      </c>
      <c r="B1365" s="50" t="s">
        <v>137</v>
      </c>
      <c r="C1365" s="7">
        <v>2</v>
      </c>
      <c r="D1365" s="7">
        <v>17.190000000000001</v>
      </c>
      <c r="E1365" s="85">
        <f t="shared" si="113"/>
        <v>34.380000000000003</v>
      </c>
      <c r="G1365" s="5" t="s">
        <v>595</v>
      </c>
      <c r="H1365" s="50" t="s">
        <v>137</v>
      </c>
      <c r="I1365" s="7">
        <v>2</v>
      </c>
      <c r="J1365" s="7">
        <v>17.190000000000001</v>
      </c>
      <c r="K1365" s="85">
        <f t="shared" si="114"/>
        <v>34.380000000000003</v>
      </c>
      <c r="M1365" s="5" t="s">
        <v>595</v>
      </c>
      <c r="N1365" s="50" t="s">
        <v>137</v>
      </c>
      <c r="O1365" s="7">
        <v>2</v>
      </c>
      <c r="P1365" s="7">
        <v>4.41</v>
      </c>
      <c r="Q1365" s="85">
        <f t="shared" si="115"/>
        <v>8.82</v>
      </c>
    </row>
    <row r="1366" spans="1:17" ht="18" x14ac:dyDescent="0.35">
      <c r="A1366" s="5"/>
      <c r="B1366" s="50" t="s">
        <v>35</v>
      </c>
      <c r="C1366" s="7">
        <v>4</v>
      </c>
      <c r="D1366" s="7">
        <v>2.91</v>
      </c>
      <c r="E1366" s="85">
        <f t="shared" si="113"/>
        <v>11.64</v>
      </c>
      <c r="G1366" s="5"/>
      <c r="H1366" s="50" t="s">
        <v>35</v>
      </c>
      <c r="I1366" s="7">
        <v>4</v>
      </c>
      <c r="J1366" s="7">
        <v>2.91</v>
      </c>
      <c r="K1366" s="85">
        <f t="shared" si="114"/>
        <v>11.64</v>
      </c>
      <c r="M1366" s="5"/>
      <c r="N1366" s="50" t="s">
        <v>35</v>
      </c>
      <c r="O1366" s="7">
        <v>4</v>
      </c>
      <c r="P1366" s="7">
        <v>2.91</v>
      </c>
      <c r="Q1366" s="85">
        <f t="shared" si="115"/>
        <v>11.64</v>
      </c>
    </row>
    <row r="1367" spans="1:17" ht="18" x14ac:dyDescent="0.35">
      <c r="A1367" s="5"/>
      <c r="B1367" s="50" t="s">
        <v>36</v>
      </c>
      <c r="C1367" s="7">
        <v>4</v>
      </c>
      <c r="D1367" s="7">
        <v>0.61</v>
      </c>
      <c r="E1367" s="85">
        <f t="shared" si="113"/>
        <v>2.44</v>
      </c>
      <c r="G1367" s="5"/>
      <c r="H1367" s="50" t="s">
        <v>36</v>
      </c>
      <c r="I1367" s="7">
        <v>4</v>
      </c>
      <c r="J1367" s="7">
        <v>0.61</v>
      </c>
      <c r="K1367" s="85">
        <f t="shared" si="114"/>
        <v>2.44</v>
      </c>
      <c r="M1367" s="5"/>
      <c r="N1367" s="50" t="s">
        <v>36</v>
      </c>
      <c r="O1367" s="7">
        <v>4</v>
      </c>
      <c r="P1367" s="7">
        <v>0.61</v>
      </c>
      <c r="Q1367" s="85">
        <f t="shared" si="115"/>
        <v>2.44</v>
      </c>
    </row>
    <row r="1368" spans="1:17" ht="18" x14ac:dyDescent="0.35">
      <c r="A1368" s="5"/>
      <c r="B1368" s="50" t="s">
        <v>37</v>
      </c>
      <c r="C1368" s="54">
        <v>1</v>
      </c>
      <c r="D1368" s="86">
        <v>85</v>
      </c>
      <c r="E1368" s="85">
        <f t="shared" si="113"/>
        <v>85</v>
      </c>
      <c r="G1368" s="5"/>
      <c r="H1368" s="50" t="s">
        <v>37</v>
      </c>
      <c r="I1368" s="54">
        <v>1</v>
      </c>
      <c r="J1368" s="86">
        <v>85</v>
      </c>
      <c r="K1368" s="85">
        <f t="shared" si="114"/>
        <v>85</v>
      </c>
      <c r="M1368" s="5"/>
      <c r="N1368" s="50" t="s">
        <v>37</v>
      </c>
      <c r="O1368" s="54">
        <v>1</v>
      </c>
      <c r="P1368" s="86">
        <v>85</v>
      </c>
      <c r="Q1368" s="85">
        <f t="shared" si="115"/>
        <v>85</v>
      </c>
    </row>
    <row r="1369" spans="1:17" ht="18" x14ac:dyDescent="0.35">
      <c r="A1369" s="5"/>
      <c r="B1369" s="5"/>
      <c r="C1369" s="54"/>
      <c r="D1369" s="54"/>
      <c r="E1369" s="85">
        <f>SUM(E1363:E1368)</f>
        <v>682.80261000000007</v>
      </c>
      <c r="G1369" s="5"/>
      <c r="H1369" s="5"/>
      <c r="I1369" s="54"/>
      <c r="J1369" s="54"/>
      <c r="K1369" s="85">
        <f>SUM(K1363:K1368)</f>
        <v>741.42802000000006</v>
      </c>
      <c r="M1369" s="5"/>
      <c r="N1369" s="5"/>
      <c r="O1369" s="54"/>
      <c r="P1369" s="54"/>
      <c r="Q1369" s="85">
        <f>SUM(Q1363:Q1368)</f>
        <v>312.60094999999995</v>
      </c>
    </row>
    <row r="1372" spans="1:17" ht="21" x14ac:dyDescent="0.4">
      <c r="A1372" s="40" t="s">
        <v>598</v>
      </c>
      <c r="B1372" s="40"/>
      <c r="C1372" s="84"/>
      <c r="D1372" s="12"/>
      <c r="E1372" s="83"/>
      <c r="G1372" s="40" t="s">
        <v>599</v>
      </c>
      <c r="M1372" s="40" t="s">
        <v>881</v>
      </c>
    </row>
    <row r="1373" spans="1:17" x14ac:dyDescent="0.3">
      <c r="C1373" s="12"/>
      <c r="D1373" s="12"/>
      <c r="E1373" s="12"/>
    </row>
    <row r="1374" spans="1:17" ht="18" x14ac:dyDescent="0.35">
      <c r="A1374" s="5"/>
      <c r="B1374" s="5"/>
      <c r="C1374" s="7" t="s">
        <v>28</v>
      </c>
      <c r="D1374" s="7" t="s">
        <v>29</v>
      </c>
      <c r="E1374" s="7" t="s">
        <v>30</v>
      </c>
      <c r="G1374" s="5"/>
      <c r="H1374" s="5"/>
      <c r="I1374" s="7" t="s">
        <v>28</v>
      </c>
      <c r="J1374" s="7" t="s">
        <v>29</v>
      </c>
      <c r="K1374" s="7" t="s">
        <v>30</v>
      </c>
      <c r="M1374" s="5"/>
      <c r="N1374" s="5"/>
      <c r="O1374" s="7" t="s">
        <v>28</v>
      </c>
      <c r="P1374" s="7" t="s">
        <v>29</v>
      </c>
      <c r="Q1374" s="7" t="s">
        <v>30</v>
      </c>
    </row>
    <row r="1375" spans="1:17" ht="18" x14ac:dyDescent="0.35">
      <c r="A1375" s="5" t="s">
        <v>123</v>
      </c>
      <c r="B1375" s="50" t="s">
        <v>32</v>
      </c>
      <c r="C1375" s="7">
        <v>3.0779999999999998</v>
      </c>
      <c r="D1375" s="7">
        <v>29.12</v>
      </c>
      <c r="E1375" s="85">
        <f t="shared" ref="E1375:E1380" si="116">C1375*D1375</f>
        <v>89.631360000000001</v>
      </c>
      <c r="G1375" s="5" t="s">
        <v>123</v>
      </c>
      <c r="H1375" s="50" t="s">
        <v>32</v>
      </c>
      <c r="I1375" s="7">
        <v>3.0779999999999998</v>
      </c>
      <c r="J1375" s="7">
        <v>30.44</v>
      </c>
      <c r="K1375" s="85">
        <f t="shared" ref="K1375:K1380" si="117">I1375*J1375</f>
        <v>93.694320000000005</v>
      </c>
      <c r="M1375" s="5" t="s">
        <v>123</v>
      </c>
      <c r="N1375" s="50" t="s">
        <v>32</v>
      </c>
      <c r="O1375" s="7">
        <v>3.0779999999999998</v>
      </c>
      <c r="P1375" s="7">
        <v>14.5</v>
      </c>
      <c r="Q1375" s="85">
        <f t="shared" ref="Q1375:Q1380" si="118">O1375*P1375</f>
        <v>44.631</v>
      </c>
    </row>
    <row r="1376" spans="1:17" ht="18" x14ac:dyDescent="0.35">
      <c r="A1376" s="5" t="s">
        <v>56</v>
      </c>
      <c r="B1376" s="50" t="s">
        <v>33</v>
      </c>
      <c r="C1376" s="7">
        <v>30.145</v>
      </c>
      <c r="D1376" s="7">
        <v>14.94</v>
      </c>
      <c r="E1376" s="85">
        <f t="shared" si="116"/>
        <v>450.36629999999997</v>
      </c>
      <c r="G1376" s="5" t="s">
        <v>56</v>
      </c>
      <c r="H1376" s="50" t="s">
        <v>33</v>
      </c>
      <c r="I1376" s="7">
        <v>30.145</v>
      </c>
      <c r="J1376" s="7">
        <v>16.170000000000002</v>
      </c>
      <c r="K1376" s="85">
        <f t="shared" si="117"/>
        <v>487.44465000000002</v>
      </c>
      <c r="M1376" s="5" t="s">
        <v>56</v>
      </c>
      <c r="N1376" s="50" t="s">
        <v>33</v>
      </c>
      <c r="O1376" s="7">
        <v>30.145</v>
      </c>
      <c r="P1376" s="7">
        <v>6.43</v>
      </c>
      <c r="Q1376" s="85">
        <f t="shared" si="118"/>
        <v>193.83234999999999</v>
      </c>
    </row>
    <row r="1377" spans="1:18" ht="18" x14ac:dyDescent="0.35">
      <c r="A1377" s="5" t="s">
        <v>742</v>
      </c>
      <c r="B1377" s="50" t="s">
        <v>128</v>
      </c>
      <c r="C1377" s="7">
        <v>2</v>
      </c>
      <c r="D1377" s="7">
        <v>1.81</v>
      </c>
      <c r="E1377" s="85">
        <f t="shared" si="116"/>
        <v>3.62</v>
      </c>
      <c r="G1377" s="5" t="s">
        <v>742</v>
      </c>
      <c r="H1377" s="50" t="s">
        <v>128</v>
      </c>
      <c r="I1377" s="7">
        <v>2</v>
      </c>
      <c r="J1377" s="7">
        <v>1.81</v>
      </c>
      <c r="K1377" s="85">
        <f t="shared" si="117"/>
        <v>3.62</v>
      </c>
      <c r="M1377" s="5" t="s">
        <v>742</v>
      </c>
      <c r="N1377" s="50" t="s">
        <v>128</v>
      </c>
      <c r="O1377" s="7">
        <v>2</v>
      </c>
      <c r="P1377" s="7">
        <v>1.81</v>
      </c>
      <c r="Q1377" s="85">
        <f t="shared" si="118"/>
        <v>3.62</v>
      </c>
    </row>
    <row r="1378" spans="1:18" ht="18" x14ac:dyDescent="0.35">
      <c r="A1378" s="5"/>
      <c r="B1378" s="50" t="s">
        <v>34</v>
      </c>
      <c r="C1378" s="7">
        <v>0.8</v>
      </c>
      <c r="D1378" s="7">
        <v>14.61</v>
      </c>
      <c r="E1378" s="85">
        <f t="shared" si="116"/>
        <v>11.688000000000001</v>
      </c>
      <c r="G1378" s="5"/>
      <c r="H1378" s="50" t="s">
        <v>34</v>
      </c>
      <c r="I1378" s="7">
        <v>0.8</v>
      </c>
      <c r="J1378" s="7">
        <v>14.61</v>
      </c>
      <c r="K1378" s="85">
        <f t="shared" si="117"/>
        <v>11.688000000000001</v>
      </c>
      <c r="M1378" s="5"/>
      <c r="N1378" s="50" t="s">
        <v>34</v>
      </c>
      <c r="O1378" s="7">
        <v>0.8</v>
      </c>
      <c r="P1378" s="7">
        <v>11.49</v>
      </c>
      <c r="Q1378" s="85">
        <f t="shared" si="118"/>
        <v>9.1920000000000002</v>
      </c>
    </row>
    <row r="1379" spans="1:18" ht="18" x14ac:dyDescent="0.35">
      <c r="A1379" s="5"/>
      <c r="B1379" s="50" t="s">
        <v>35</v>
      </c>
      <c r="C1379" s="7">
        <v>4</v>
      </c>
      <c r="D1379" s="7">
        <v>2.89</v>
      </c>
      <c r="E1379" s="85">
        <f t="shared" si="116"/>
        <v>11.56</v>
      </c>
      <c r="G1379" s="5"/>
      <c r="H1379" s="50" t="s">
        <v>35</v>
      </c>
      <c r="I1379" s="7">
        <v>4</v>
      </c>
      <c r="J1379" s="7">
        <v>2.89</v>
      </c>
      <c r="K1379" s="85">
        <f t="shared" si="117"/>
        <v>11.56</v>
      </c>
      <c r="M1379" s="5"/>
      <c r="N1379" s="50" t="s">
        <v>35</v>
      </c>
      <c r="O1379" s="7">
        <v>4</v>
      </c>
      <c r="P1379" s="7">
        <v>2.89</v>
      </c>
      <c r="Q1379" s="85">
        <f t="shared" si="118"/>
        <v>11.56</v>
      </c>
    </row>
    <row r="1380" spans="1:18" ht="18" x14ac:dyDescent="0.35">
      <c r="A1380" s="5"/>
      <c r="B1380" s="50" t="s">
        <v>36</v>
      </c>
      <c r="C1380" s="7">
        <v>4</v>
      </c>
      <c r="D1380" s="7">
        <v>0.6</v>
      </c>
      <c r="E1380" s="85">
        <f t="shared" si="116"/>
        <v>2.4</v>
      </c>
      <c r="G1380" s="5"/>
      <c r="H1380" s="50" t="s">
        <v>36</v>
      </c>
      <c r="I1380" s="7">
        <v>4</v>
      </c>
      <c r="J1380" s="7">
        <v>0.6</v>
      </c>
      <c r="K1380" s="85">
        <f t="shared" si="117"/>
        <v>2.4</v>
      </c>
      <c r="M1380" s="5"/>
      <c r="N1380" s="50" t="s">
        <v>36</v>
      </c>
      <c r="O1380" s="7">
        <v>4</v>
      </c>
      <c r="P1380" s="7">
        <v>0.6</v>
      </c>
      <c r="Q1380" s="85">
        <f t="shared" si="118"/>
        <v>2.4</v>
      </c>
    </row>
    <row r="1381" spans="1:18" ht="18" x14ac:dyDescent="0.35">
      <c r="A1381" s="5"/>
      <c r="B1381" s="5"/>
      <c r="C1381" s="54"/>
      <c r="D1381" s="54"/>
      <c r="E1381" s="89">
        <f>SUM(E1375:E1380)</f>
        <v>569.26565999999991</v>
      </c>
      <c r="G1381" s="5"/>
      <c r="H1381" s="5"/>
      <c r="I1381" s="54"/>
      <c r="J1381" s="54"/>
      <c r="K1381" s="89">
        <f>SUM(K1375:K1380)</f>
        <v>610.40696999999989</v>
      </c>
      <c r="M1381" s="5"/>
      <c r="N1381" s="5"/>
      <c r="O1381" s="54"/>
      <c r="P1381" s="54"/>
      <c r="Q1381" s="89">
        <f>SUM(Q1375:Q1380)</f>
        <v>265.23534999999998</v>
      </c>
    </row>
    <row r="1382" spans="1:18" ht="18" x14ac:dyDescent="0.35">
      <c r="A1382" s="5"/>
      <c r="B1382" s="50" t="s">
        <v>37</v>
      </c>
      <c r="C1382" s="54">
        <v>1</v>
      </c>
      <c r="D1382" s="54">
        <v>85</v>
      </c>
      <c r="E1382" s="85">
        <f>C1382*D1382</f>
        <v>85</v>
      </c>
      <c r="G1382" s="5"/>
      <c r="H1382" s="50" t="s">
        <v>37</v>
      </c>
      <c r="I1382" s="54">
        <v>1</v>
      </c>
      <c r="J1382" s="54">
        <v>85</v>
      </c>
      <c r="K1382" s="85">
        <f>I1382*J1382</f>
        <v>85</v>
      </c>
      <c r="M1382" s="5"/>
      <c r="N1382" s="50" t="s">
        <v>37</v>
      </c>
      <c r="O1382" s="54">
        <v>1</v>
      </c>
      <c r="P1382" s="54">
        <v>85</v>
      </c>
      <c r="Q1382" s="85">
        <f>O1382*P1382</f>
        <v>85</v>
      </c>
    </row>
    <row r="1383" spans="1:18" ht="18" x14ac:dyDescent="0.35">
      <c r="A1383" s="5"/>
      <c r="B1383" s="5"/>
      <c r="C1383" s="54"/>
      <c r="D1383" s="54"/>
      <c r="E1383" s="85">
        <f>SUM(E1381:E1382)</f>
        <v>654.26565999999991</v>
      </c>
      <c r="G1383" s="5"/>
      <c r="H1383" s="5"/>
      <c r="I1383" s="54"/>
      <c r="J1383" s="54"/>
      <c r="K1383" s="85">
        <f>SUM(K1381:K1382)</f>
        <v>695.40696999999989</v>
      </c>
      <c r="M1383" s="5"/>
      <c r="N1383" s="5"/>
      <c r="O1383" s="54"/>
      <c r="P1383" s="54"/>
      <c r="Q1383" s="85">
        <f>SUM(Q1381:Q1382)</f>
        <v>350.23534999999998</v>
      </c>
    </row>
    <row r="1387" spans="1:18" ht="21" x14ac:dyDescent="0.4">
      <c r="A1387" s="40" t="s">
        <v>614</v>
      </c>
      <c r="B1387" s="40"/>
      <c r="C1387" s="84"/>
      <c r="D1387" s="12"/>
      <c r="E1387" s="83"/>
      <c r="H1387" s="40" t="s">
        <v>602</v>
      </c>
      <c r="I1387" s="40"/>
      <c r="J1387" s="84"/>
      <c r="K1387" s="12"/>
      <c r="L1387" s="83"/>
      <c r="N1387" s="40" t="s">
        <v>883</v>
      </c>
      <c r="O1387" s="40"/>
      <c r="P1387" s="84"/>
      <c r="Q1387" s="12"/>
      <c r="R1387" s="83"/>
    </row>
    <row r="1388" spans="1:18" x14ac:dyDescent="0.3">
      <c r="C1388" s="12"/>
      <c r="D1388" s="12"/>
      <c r="E1388" s="12"/>
      <c r="J1388" s="12"/>
      <c r="K1388" s="12"/>
      <c r="L1388" s="12"/>
      <c r="P1388" s="12"/>
      <c r="Q1388" s="12"/>
      <c r="R1388" s="12"/>
    </row>
    <row r="1389" spans="1:18" ht="18" x14ac:dyDescent="0.35">
      <c r="A1389" s="5"/>
      <c r="B1389" s="5"/>
      <c r="C1389" s="7" t="s">
        <v>28</v>
      </c>
      <c r="D1389" s="7" t="s">
        <v>29</v>
      </c>
      <c r="E1389" s="7" t="s">
        <v>30</v>
      </c>
      <c r="H1389" s="5"/>
      <c r="I1389" s="5"/>
      <c r="J1389" s="7" t="s">
        <v>28</v>
      </c>
      <c r="K1389" s="7" t="s">
        <v>29</v>
      </c>
      <c r="L1389" s="7" t="s">
        <v>30</v>
      </c>
      <c r="N1389" s="5"/>
      <c r="O1389" s="5"/>
      <c r="P1389" s="7" t="s">
        <v>28</v>
      </c>
      <c r="Q1389" s="7" t="s">
        <v>29</v>
      </c>
      <c r="R1389" s="7" t="s">
        <v>30</v>
      </c>
    </row>
    <row r="1390" spans="1:18" ht="18" x14ac:dyDescent="0.35">
      <c r="A1390" s="5" t="s">
        <v>123</v>
      </c>
      <c r="B1390" s="50" t="s">
        <v>32</v>
      </c>
      <c r="C1390" s="7">
        <v>3.0779999999999998</v>
      </c>
      <c r="D1390" s="7">
        <v>29.24</v>
      </c>
      <c r="E1390" s="85">
        <f>C1390*D1390</f>
        <v>90.000719999999987</v>
      </c>
      <c r="H1390" s="5" t="s">
        <v>123</v>
      </c>
      <c r="I1390" s="50" t="s">
        <v>32</v>
      </c>
      <c r="J1390" s="7">
        <v>3.0779999999999998</v>
      </c>
      <c r="K1390" s="7">
        <v>45.07</v>
      </c>
      <c r="L1390" s="85">
        <f>J1390*K1390</f>
        <v>138.72546</v>
      </c>
      <c r="N1390" s="5" t="s">
        <v>123</v>
      </c>
      <c r="O1390" s="50" t="s">
        <v>32</v>
      </c>
      <c r="P1390" s="7">
        <v>3.0779999999999998</v>
      </c>
      <c r="Q1390" s="7">
        <v>21.47</v>
      </c>
      <c r="R1390" s="85">
        <f>P1390*Q1390</f>
        <v>66.08466</v>
      </c>
    </row>
    <row r="1391" spans="1:18" ht="18" x14ac:dyDescent="0.35">
      <c r="A1391" s="5" t="s">
        <v>56</v>
      </c>
      <c r="B1391" s="50" t="s">
        <v>33</v>
      </c>
      <c r="C1391" s="7">
        <v>30.145</v>
      </c>
      <c r="D1391" s="7">
        <v>14.94</v>
      </c>
      <c r="E1391" s="85">
        <f t="shared" ref="E1391:E1397" si="119">C1391*D1391</f>
        <v>450.36629999999997</v>
      </c>
      <c r="H1391" s="5" t="s">
        <v>56</v>
      </c>
      <c r="I1391" s="50" t="s">
        <v>33</v>
      </c>
      <c r="J1391" s="7">
        <v>30.145</v>
      </c>
      <c r="K1391" s="7">
        <v>16.170000000000002</v>
      </c>
      <c r="L1391" s="85">
        <f t="shared" ref="L1391:L1397" si="120">J1391*K1391</f>
        <v>487.44465000000002</v>
      </c>
      <c r="N1391" s="5" t="s">
        <v>56</v>
      </c>
      <c r="O1391" s="50" t="s">
        <v>33</v>
      </c>
      <c r="P1391" s="7">
        <v>30.145</v>
      </c>
      <c r="Q1391" s="7">
        <v>6.43</v>
      </c>
      <c r="R1391" s="85">
        <f t="shared" ref="R1391:R1397" si="121">P1391*Q1391</f>
        <v>193.83234999999999</v>
      </c>
    </row>
    <row r="1392" spans="1:18" ht="18" x14ac:dyDescent="0.35">
      <c r="A1392" s="102" t="s">
        <v>377</v>
      </c>
      <c r="B1392" s="50" t="s">
        <v>33</v>
      </c>
      <c r="C1392" s="7">
        <v>20.475000000000001</v>
      </c>
      <c r="D1392" s="7">
        <v>14.94</v>
      </c>
      <c r="E1392" s="85">
        <f t="shared" si="119"/>
        <v>305.8965</v>
      </c>
      <c r="H1392" s="102" t="s">
        <v>377</v>
      </c>
      <c r="I1392" s="50" t="s">
        <v>33</v>
      </c>
      <c r="J1392" s="7">
        <v>20.475000000000001</v>
      </c>
      <c r="K1392" s="7">
        <v>16.170000000000002</v>
      </c>
      <c r="L1392" s="85">
        <f t="shared" si="120"/>
        <v>331.08075000000008</v>
      </c>
      <c r="N1392" s="102" t="s">
        <v>377</v>
      </c>
      <c r="O1392" s="50" t="s">
        <v>33</v>
      </c>
      <c r="P1392" s="7">
        <v>20.475000000000001</v>
      </c>
      <c r="Q1392" s="7">
        <v>6.43</v>
      </c>
      <c r="R1392" s="85">
        <f t="shared" si="121"/>
        <v>131.65424999999999</v>
      </c>
    </row>
    <row r="1393" spans="1:18" ht="18" x14ac:dyDescent="0.35">
      <c r="A1393" s="5" t="s">
        <v>742</v>
      </c>
      <c r="B1393" s="50" t="s">
        <v>128</v>
      </c>
      <c r="C1393" s="7">
        <v>2</v>
      </c>
      <c r="D1393" s="7">
        <v>1.81</v>
      </c>
      <c r="E1393" s="85">
        <f t="shared" si="119"/>
        <v>3.62</v>
      </c>
      <c r="H1393" s="5" t="s">
        <v>742</v>
      </c>
      <c r="I1393" s="50" t="s">
        <v>128</v>
      </c>
      <c r="J1393" s="7">
        <v>2</v>
      </c>
      <c r="K1393" s="7">
        <v>1.81</v>
      </c>
      <c r="L1393" s="85">
        <f t="shared" si="120"/>
        <v>3.62</v>
      </c>
      <c r="N1393" s="5" t="s">
        <v>742</v>
      </c>
      <c r="O1393" s="50" t="s">
        <v>128</v>
      </c>
      <c r="P1393" s="7">
        <v>2</v>
      </c>
      <c r="Q1393" s="7">
        <v>1.81</v>
      </c>
      <c r="R1393" s="85">
        <f t="shared" si="121"/>
        <v>3.62</v>
      </c>
    </row>
    <row r="1394" spans="1:18" ht="18" x14ac:dyDescent="0.35">
      <c r="A1394" s="5"/>
      <c r="B1394" s="103" t="s">
        <v>113</v>
      </c>
      <c r="C1394" s="86">
        <v>4</v>
      </c>
      <c r="D1394" s="86">
        <v>2.2400000000000002</v>
      </c>
      <c r="E1394" s="104">
        <f t="shared" si="119"/>
        <v>8.9600000000000009</v>
      </c>
      <c r="H1394" s="5"/>
      <c r="I1394" s="103" t="s">
        <v>113</v>
      </c>
      <c r="J1394" s="86">
        <v>4</v>
      </c>
      <c r="K1394" s="86">
        <v>2.2400000000000002</v>
      </c>
      <c r="L1394" s="104">
        <f t="shared" si="120"/>
        <v>8.9600000000000009</v>
      </c>
      <c r="N1394" s="5"/>
      <c r="O1394" s="103" t="s">
        <v>113</v>
      </c>
      <c r="P1394" s="86">
        <v>4</v>
      </c>
      <c r="Q1394" s="86">
        <v>2.2400000000000002</v>
      </c>
      <c r="R1394" s="104">
        <f t="shared" si="121"/>
        <v>8.9600000000000009</v>
      </c>
    </row>
    <row r="1395" spans="1:18" ht="18" x14ac:dyDescent="0.35">
      <c r="A1395" s="5"/>
      <c r="B1395" s="50" t="s">
        <v>34</v>
      </c>
      <c r="C1395" s="7">
        <v>0.8</v>
      </c>
      <c r="D1395" s="7">
        <v>14.61</v>
      </c>
      <c r="E1395" s="85">
        <f t="shared" si="119"/>
        <v>11.688000000000001</v>
      </c>
      <c r="H1395" s="5"/>
      <c r="I1395" s="50" t="s">
        <v>34</v>
      </c>
      <c r="J1395" s="7">
        <v>0.8</v>
      </c>
      <c r="K1395" s="7">
        <v>14.61</v>
      </c>
      <c r="L1395" s="85">
        <f t="shared" si="120"/>
        <v>11.688000000000001</v>
      </c>
      <c r="N1395" s="5"/>
      <c r="O1395" s="50" t="s">
        <v>34</v>
      </c>
      <c r="P1395" s="7">
        <v>0.8</v>
      </c>
      <c r="Q1395" s="7">
        <v>11.49</v>
      </c>
      <c r="R1395" s="85">
        <f t="shared" si="121"/>
        <v>9.1920000000000002</v>
      </c>
    </row>
    <row r="1396" spans="1:18" ht="18" x14ac:dyDescent="0.35">
      <c r="A1396" s="5"/>
      <c r="B1396" s="50" t="s">
        <v>35</v>
      </c>
      <c r="C1396" s="7">
        <v>4</v>
      </c>
      <c r="D1396" s="7">
        <v>2.89</v>
      </c>
      <c r="E1396" s="85">
        <f t="shared" si="119"/>
        <v>11.56</v>
      </c>
      <c r="H1396" s="5"/>
      <c r="I1396" s="50" t="s">
        <v>35</v>
      </c>
      <c r="J1396" s="7">
        <v>4</v>
      </c>
      <c r="K1396" s="7">
        <v>2.89</v>
      </c>
      <c r="L1396" s="85">
        <f t="shared" si="120"/>
        <v>11.56</v>
      </c>
      <c r="N1396" s="5"/>
      <c r="O1396" s="50" t="s">
        <v>35</v>
      </c>
      <c r="P1396" s="7">
        <v>4</v>
      </c>
      <c r="Q1396" s="7">
        <v>2.89</v>
      </c>
      <c r="R1396" s="85">
        <f t="shared" si="121"/>
        <v>11.56</v>
      </c>
    </row>
    <row r="1397" spans="1:18" ht="18" x14ac:dyDescent="0.35">
      <c r="A1397" s="5"/>
      <c r="B1397" s="50" t="s">
        <v>36</v>
      </c>
      <c r="C1397" s="7">
        <v>4</v>
      </c>
      <c r="D1397" s="7">
        <v>0.6</v>
      </c>
      <c r="E1397" s="85">
        <f t="shared" si="119"/>
        <v>2.4</v>
      </c>
      <c r="H1397" s="5"/>
      <c r="I1397" s="50" t="s">
        <v>36</v>
      </c>
      <c r="J1397" s="7">
        <v>4</v>
      </c>
      <c r="K1397" s="7">
        <v>0.6</v>
      </c>
      <c r="L1397" s="85">
        <f t="shared" si="120"/>
        <v>2.4</v>
      </c>
      <c r="N1397" s="5"/>
      <c r="O1397" s="50" t="s">
        <v>36</v>
      </c>
      <c r="P1397" s="7">
        <v>4</v>
      </c>
      <c r="Q1397" s="7">
        <v>0.6</v>
      </c>
      <c r="R1397" s="85">
        <f t="shared" si="121"/>
        <v>2.4</v>
      </c>
    </row>
    <row r="1398" spans="1:18" ht="18" x14ac:dyDescent="0.35">
      <c r="B1398" s="5"/>
      <c r="C1398" s="54"/>
      <c r="D1398" s="54"/>
      <c r="E1398" s="89">
        <f>SUM(E1390:E1397)</f>
        <v>884.49151999999992</v>
      </c>
      <c r="I1398" s="5"/>
      <c r="J1398" s="54"/>
      <c r="K1398" s="54"/>
      <c r="L1398" s="89">
        <f>SUM(L1390:L1397)</f>
        <v>995.47886000000005</v>
      </c>
      <c r="O1398" s="5"/>
      <c r="P1398" s="54"/>
      <c r="Q1398" s="54"/>
      <c r="R1398" s="89">
        <f>SUM(R1390:R1397)</f>
        <v>427.30325999999997</v>
      </c>
    </row>
    <row r="1399" spans="1:18" ht="18" x14ac:dyDescent="0.35">
      <c r="B1399" s="50" t="s">
        <v>37</v>
      </c>
      <c r="C1399" s="54">
        <v>1.5</v>
      </c>
      <c r="D1399" s="54">
        <v>85</v>
      </c>
      <c r="E1399" s="85">
        <f>C1399*D1399</f>
        <v>127.5</v>
      </c>
      <c r="I1399" s="50" t="s">
        <v>37</v>
      </c>
      <c r="J1399" s="54">
        <v>1.5</v>
      </c>
      <c r="K1399" s="54">
        <v>85</v>
      </c>
      <c r="L1399" s="85">
        <f>J1399*K1399</f>
        <v>127.5</v>
      </c>
      <c r="O1399" s="50" t="s">
        <v>37</v>
      </c>
      <c r="P1399" s="54">
        <v>1.5</v>
      </c>
      <c r="Q1399" s="54">
        <v>85</v>
      </c>
      <c r="R1399" s="85">
        <f>P1399*Q1399</f>
        <v>127.5</v>
      </c>
    </row>
    <row r="1400" spans="1:18" ht="18" x14ac:dyDescent="0.35">
      <c r="B1400" s="5"/>
      <c r="C1400" s="54"/>
      <c r="D1400" s="54"/>
      <c r="E1400" s="85">
        <f>SUM(E1398:E1399)</f>
        <v>1011.9915199999999</v>
      </c>
      <c r="I1400" s="5"/>
      <c r="J1400" s="54"/>
      <c r="K1400" s="54"/>
      <c r="L1400" s="85">
        <f>SUM(L1398:L1399)</f>
        <v>1122.9788600000002</v>
      </c>
      <c r="O1400" s="5"/>
      <c r="P1400" s="54"/>
      <c r="Q1400" s="54"/>
      <c r="R1400" s="85">
        <f>SUM(R1398:R1399)</f>
        <v>554.80325999999991</v>
      </c>
    </row>
    <row r="1403" spans="1:18" ht="21" x14ac:dyDescent="0.4">
      <c r="A1403" s="40" t="s">
        <v>614</v>
      </c>
      <c r="B1403" s="40"/>
      <c r="C1403" s="84"/>
      <c r="D1403" s="12"/>
      <c r="E1403" s="83"/>
      <c r="H1403" s="40" t="s">
        <v>602</v>
      </c>
      <c r="I1403" s="40"/>
      <c r="J1403" s="84"/>
      <c r="K1403" s="12"/>
      <c r="L1403" s="83"/>
      <c r="N1403" s="40" t="s">
        <v>883</v>
      </c>
      <c r="O1403" s="40"/>
      <c r="P1403" s="84"/>
      <c r="Q1403" s="12"/>
      <c r="R1403" s="83"/>
    </row>
    <row r="1404" spans="1:18" x14ac:dyDescent="0.3">
      <c r="C1404" s="12"/>
      <c r="D1404" s="12"/>
      <c r="E1404" s="12"/>
      <c r="J1404" s="12"/>
      <c r="K1404" s="12"/>
      <c r="L1404" s="12"/>
      <c r="P1404" s="12"/>
      <c r="Q1404" s="12"/>
      <c r="R1404" s="12"/>
    </row>
    <row r="1405" spans="1:18" ht="18" x14ac:dyDescent="0.35">
      <c r="A1405" s="5"/>
      <c r="B1405" s="5"/>
      <c r="C1405" s="7" t="s">
        <v>28</v>
      </c>
      <c r="D1405" s="7" t="s">
        <v>29</v>
      </c>
      <c r="E1405" s="7" t="s">
        <v>30</v>
      </c>
      <c r="H1405" s="5"/>
      <c r="I1405" s="5"/>
      <c r="J1405" s="7" t="s">
        <v>28</v>
      </c>
      <c r="K1405" s="7" t="s">
        <v>29</v>
      </c>
      <c r="L1405" s="7" t="s">
        <v>30</v>
      </c>
      <c r="N1405" s="5"/>
      <c r="O1405" s="5"/>
      <c r="P1405" s="7" t="s">
        <v>28</v>
      </c>
      <c r="Q1405" s="7" t="s">
        <v>29</v>
      </c>
      <c r="R1405" s="7" t="s">
        <v>30</v>
      </c>
    </row>
    <row r="1406" spans="1:18" ht="18" x14ac:dyDescent="0.35">
      <c r="A1406" s="5" t="s">
        <v>860</v>
      </c>
      <c r="B1406" s="50" t="s">
        <v>32</v>
      </c>
      <c r="C1406" s="7">
        <v>4.5060000000000002</v>
      </c>
      <c r="D1406" s="7">
        <v>29.24</v>
      </c>
      <c r="E1406" s="85">
        <f>C1406*D1406</f>
        <v>131.75543999999999</v>
      </c>
      <c r="H1406" s="5" t="s">
        <v>860</v>
      </c>
      <c r="I1406" s="50" t="s">
        <v>32</v>
      </c>
      <c r="J1406" s="7">
        <v>4.5060000000000002</v>
      </c>
      <c r="K1406" s="7">
        <v>47.07</v>
      </c>
      <c r="L1406" s="85">
        <f>J1406*K1406</f>
        <v>212.09742</v>
      </c>
      <c r="N1406" s="5" t="s">
        <v>860</v>
      </c>
      <c r="O1406" s="50" t="s">
        <v>32</v>
      </c>
      <c r="P1406" s="7">
        <v>4.5060000000000002</v>
      </c>
      <c r="Q1406" s="7">
        <v>21.47</v>
      </c>
      <c r="R1406" s="85">
        <f>P1406*Q1406</f>
        <v>96.743819999999999</v>
      </c>
    </row>
    <row r="1407" spans="1:18" ht="18" x14ac:dyDescent="0.35">
      <c r="A1407" s="5" t="s">
        <v>57</v>
      </c>
      <c r="B1407" s="50" t="s">
        <v>33</v>
      </c>
      <c r="C1407" s="7">
        <v>48.552</v>
      </c>
      <c r="D1407" s="7">
        <v>14.94</v>
      </c>
      <c r="E1407" s="85">
        <f t="shared" ref="E1407:E1413" si="122">C1407*D1407</f>
        <v>725.36687999999992</v>
      </c>
      <c r="H1407" s="5" t="s">
        <v>57</v>
      </c>
      <c r="I1407" s="50" t="s">
        <v>33</v>
      </c>
      <c r="J1407" s="7">
        <v>48.552</v>
      </c>
      <c r="K1407" s="7">
        <v>16.170000000000002</v>
      </c>
      <c r="L1407" s="85">
        <f t="shared" ref="L1407:L1413" si="123">J1407*K1407</f>
        <v>785.08584000000008</v>
      </c>
      <c r="N1407" s="5" t="s">
        <v>57</v>
      </c>
      <c r="O1407" s="50" t="s">
        <v>33</v>
      </c>
      <c r="P1407" s="7">
        <v>48.552</v>
      </c>
      <c r="Q1407" s="7">
        <v>6.43</v>
      </c>
      <c r="R1407" s="85">
        <f t="shared" ref="R1407:R1413" si="124">P1407*Q1407</f>
        <v>312.18935999999997</v>
      </c>
    </row>
    <row r="1408" spans="1:18" ht="18" x14ac:dyDescent="0.35">
      <c r="A1408" s="102" t="s">
        <v>876</v>
      </c>
      <c r="B1408" s="50" t="s">
        <v>33</v>
      </c>
      <c r="C1408" s="7">
        <v>47.774999999999999</v>
      </c>
      <c r="D1408" s="7">
        <v>14.94</v>
      </c>
      <c r="E1408" s="85">
        <f t="shared" si="122"/>
        <v>713.75849999999991</v>
      </c>
      <c r="H1408" s="102" t="s">
        <v>876</v>
      </c>
      <c r="I1408" s="50" t="s">
        <v>33</v>
      </c>
      <c r="J1408" s="7">
        <v>47.774999999999999</v>
      </c>
      <c r="K1408" s="7">
        <v>16.170000000000002</v>
      </c>
      <c r="L1408" s="85">
        <f t="shared" si="123"/>
        <v>772.52175000000011</v>
      </c>
      <c r="N1408" s="102" t="s">
        <v>876</v>
      </c>
      <c r="O1408" s="50" t="s">
        <v>33</v>
      </c>
      <c r="P1408" s="7">
        <v>47.774999999999999</v>
      </c>
      <c r="Q1408" s="7">
        <v>6.43</v>
      </c>
      <c r="R1408" s="85">
        <f t="shared" si="124"/>
        <v>307.19324999999998</v>
      </c>
    </row>
    <row r="1409" spans="1:18" ht="18" x14ac:dyDescent="0.35">
      <c r="A1409" s="5" t="s">
        <v>877</v>
      </c>
      <c r="B1409" s="50" t="s">
        <v>878</v>
      </c>
      <c r="C1409" s="7">
        <v>2</v>
      </c>
      <c r="D1409" s="7">
        <v>3.51</v>
      </c>
      <c r="E1409" s="85">
        <f t="shared" si="122"/>
        <v>7.02</v>
      </c>
      <c r="H1409" s="5" t="s">
        <v>877</v>
      </c>
      <c r="I1409" s="50" t="s">
        <v>878</v>
      </c>
      <c r="J1409" s="7">
        <v>2</v>
      </c>
      <c r="K1409" s="7">
        <v>3.51</v>
      </c>
      <c r="L1409" s="85">
        <f t="shared" si="123"/>
        <v>7.02</v>
      </c>
      <c r="N1409" s="5" t="s">
        <v>877</v>
      </c>
      <c r="O1409" s="50" t="s">
        <v>878</v>
      </c>
      <c r="P1409" s="7">
        <v>2</v>
      </c>
      <c r="Q1409" s="7">
        <v>3.51</v>
      </c>
      <c r="R1409" s="85">
        <f t="shared" si="124"/>
        <v>7.02</v>
      </c>
    </row>
    <row r="1410" spans="1:18" ht="18" x14ac:dyDescent="0.35">
      <c r="A1410" s="5"/>
      <c r="B1410" s="103" t="s">
        <v>879</v>
      </c>
      <c r="C1410" s="86">
        <v>2</v>
      </c>
      <c r="D1410" s="86">
        <v>6.29</v>
      </c>
      <c r="E1410" s="104">
        <f t="shared" si="122"/>
        <v>12.58</v>
      </c>
      <c r="H1410" s="5"/>
      <c r="I1410" s="103" t="s">
        <v>879</v>
      </c>
      <c r="J1410" s="86">
        <v>2</v>
      </c>
      <c r="K1410" s="86">
        <v>6.29</v>
      </c>
      <c r="L1410" s="104">
        <f t="shared" si="123"/>
        <v>12.58</v>
      </c>
      <c r="N1410" s="5"/>
      <c r="O1410" s="103" t="s">
        <v>879</v>
      </c>
      <c r="P1410" s="86">
        <v>2</v>
      </c>
      <c r="Q1410" s="86">
        <v>6.29</v>
      </c>
      <c r="R1410" s="104">
        <f t="shared" si="124"/>
        <v>12.58</v>
      </c>
    </row>
    <row r="1411" spans="1:18" ht="18" x14ac:dyDescent="0.35">
      <c r="A1411" s="5"/>
      <c r="B1411" s="50" t="s">
        <v>34</v>
      </c>
      <c r="C1411" s="7">
        <v>2.13</v>
      </c>
      <c r="D1411" s="7">
        <v>14.61</v>
      </c>
      <c r="E1411" s="85">
        <f t="shared" si="122"/>
        <v>31.119299999999996</v>
      </c>
      <c r="H1411" s="5"/>
      <c r="I1411" s="50" t="s">
        <v>34</v>
      </c>
      <c r="J1411" s="7">
        <v>2.13</v>
      </c>
      <c r="K1411" s="7">
        <v>14.61</v>
      </c>
      <c r="L1411" s="85">
        <f t="shared" si="123"/>
        <v>31.119299999999996</v>
      </c>
      <c r="N1411" s="5"/>
      <c r="O1411" s="50" t="s">
        <v>34</v>
      </c>
      <c r="P1411" s="7">
        <v>2.13</v>
      </c>
      <c r="Q1411" s="7">
        <v>11.49</v>
      </c>
      <c r="R1411" s="85">
        <f t="shared" si="124"/>
        <v>24.473700000000001</v>
      </c>
    </row>
    <row r="1412" spans="1:18" ht="18" x14ac:dyDescent="0.35">
      <c r="A1412" s="5"/>
      <c r="B1412" s="50" t="s">
        <v>35</v>
      </c>
      <c r="C1412" s="7">
        <v>4</v>
      </c>
      <c r="D1412" s="7">
        <v>2.89</v>
      </c>
      <c r="E1412" s="85">
        <f t="shared" si="122"/>
        <v>11.56</v>
      </c>
      <c r="H1412" s="5"/>
      <c r="I1412" s="50" t="s">
        <v>35</v>
      </c>
      <c r="J1412" s="7">
        <v>4</v>
      </c>
      <c r="K1412" s="7">
        <v>2.89</v>
      </c>
      <c r="L1412" s="85">
        <f t="shared" si="123"/>
        <v>11.56</v>
      </c>
      <c r="N1412" s="5"/>
      <c r="O1412" s="50" t="s">
        <v>35</v>
      </c>
      <c r="P1412" s="7">
        <v>4</v>
      </c>
      <c r="Q1412" s="7">
        <v>2.89</v>
      </c>
      <c r="R1412" s="85">
        <f t="shared" si="124"/>
        <v>11.56</v>
      </c>
    </row>
    <row r="1413" spans="1:18" ht="18" x14ac:dyDescent="0.35">
      <c r="A1413" s="5"/>
      <c r="B1413" s="50" t="s">
        <v>36</v>
      </c>
      <c r="C1413" s="7">
        <v>4</v>
      </c>
      <c r="D1413" s="7">
        <v>0.6</v>
      </c>
      <c r="E1413" s="85">
        <f t="shared" si="122"/>
        <v>2.4</v>
      </c>
      <c r="H1413" s="5"/>
      <c r="I1413" s="50" t="s">
        <v>36</v>
      </c>
      <c r="J1413" s="7">
        <v>4</v>
      </c>
      <c r="K1413" s="7">
        <v>0.6</v>
      </c>
      <c r="L1413" s="85">
        <f t="shared" si="123"/>
        <v>2.4</v>
      </c>
      <c r="N1413" s="5"/>
      <c r="O1413" s="50" t="s">
        <v>36</v>
      </c>
      <c r="P1413" s="7">
        <v>4</v>
      </c>
      <c r="Q1413" s="7">
        <v>0.6</v>
      </c>
      <c r="R1413" s="85">
        <f t="shared" si="124"/>
        <v>2.4</v>
      </c>
    </row>
    <row r="1414" spans="1:18" ht="18" x14ac:dyDescent="0.35">
      <c r="B1414" s="5"/>
      <c r="C1414" s="54"/>
      <c r="D1414" s="54"/>
      <c r="E1414" s="89">
        <f>SUM(E1406:E1413)</f>
        <v>1635.5601199999999</v>
      </c>
      <c r="I1414" s="5"/>
      <c r="J1414" s="54"/>
      <c r="K1414" s="54"/>
      <c r="L1414" s="89">
        <f>SUM(L1406:L1413)</f>
        <v>1834.3843100000001</v>
      </c>
      <c r="O1414" s="5"/>
      <c r="P1414" s="54"/>
      <c r="Q1414" s="54"/>
      <c r="R1414" s="89">
        <f>SUM(R1406:R1413)</f>
        <v>774.16012999999998</v>
      </c>
    </row>
    <row r="1415" spans="1:18" ht="18" x14ac:dyDescent="0.35">
      <c r="B1415" s="50" t="s">
        <v>37</v>
      </c>
      <c r="C1415" s="54">
        <v>1.5</v>
      </c>
      <c r="D1415" s="54">
        <v>85</v>
      </c>
      <c r="E1415" s="85">
        <f>C1415*D1415</f>
        <v>127.5</v>
      </c>
      <c r="I1415" s="50" t="s">
        <v>37</v>
      </c>
      <c r="J1415" s="54">
        <v>1.5</v>
      </c>
      <c r="K1415" s="54">
        <v>85</v>
      </c>
      <c r="L1415" s="85">
        <f>J1415*K1415</f>
        <v>127.5</v>
      </c>
      <c r="O1415" s="50" t="s">
        <v>37</v>
      </c>
      <c r="P1415" s="54">
        <v>1.5</v>
      </c>
      <c r="Q1415" s="54">
        <v>85</v>
      </c>
      <c r="R1415" s="85">
        <f>P1415*Q1415</f>
        <v>127.5</v>
      </c>
    </row>
    <row r="1416" spans="1:18" ht="18" x14ac:dyDescent="0.35">
      <c r="B1416" s="5"/>
      <c r="C1416" s="54"/>
      <c r="D1416" s="54"/>
      <c r="E1416" s="85">
        <f>SUM(E1414:E1415)</f>
        <v>1763.0601199999999</v>
      </c>
      <c r="I1416" s="5"/>
      <c r="J1416" s="54"/>
      <c r="K1416" s="54"/>
      <c r="L1416" s="85">
        <f>SUM(L1414:L1415)</f>
        <v>1961.8843100000001</v>
      </c>
      <c r="O1416" s="5"/>
      <c r="P1416" s="54"/>
      <c r="Q1416" s="54"/>
      <c r="R1416" s="85">
        <f>SUM(R1414:R1415)</f>
        <v>901.66012999999998</v>
      </c>
    </row>
    <row r="1418" spans="1:18" ht="21" x14ac:dyDescent="0.4">
      <c r="A1418" s="40" t="s">
        <v>884</v>
      </c>
      <c r="B1418" s="40"/>
      <c r="C1418" s="40"/>
      <c r="D1418" s="12"/>
      <c r="E1418" s="12"/>
    </row>
    <row r="1419" spans="1:18" ht="18" x14ac:dyDescent="0.35">
      <c r="A1419" s="5"/>
      <c r="B1419" s="5"/>
      <c r="C1419" s="7" t="s">
        <v>28</v>
      </c>
      <c r="D1419" s="7" t="s">
        <v>29</v>
      </c>
      <c r="E1419" s="7" t="s">
        <v>30</v>
      </c>
    </row>
    <row r="1420" spans="1:18" ht="18" x14ac:dyDescent="0.35">
      <c r="A1420" s="5" t="s">
        <v>885</v>
      </c>
      <c r="B1420" s="50" t="s">
        <v>32</v>
      </c>
      <c r="C1420" s="7">
        <v>1.8819999999999999</v>
      </c>
      <c r="D1420" s="7">
        <v>30.44</v>
      </c>
      <c r="E1420" s="85">
        <f t="shared" ref="E1420:E1425" si="125">C1420*D1420</f>
        <v>57.288080000000001</v>
      </c>
    </row>
    <row r="1421" spans="1:18" ht="18" x14ac:dyDescent="0.35">
      <c r="A1421" s="5" t="s">
        <v>53</v>
      </c>
      <c r="B1421" s="50" t="s">
        <v>33</v>
      </c>
      <c r="C1421" s="7">
        <v>9.4079999999999995</v>
      </c>
      <c r="D1421" s="7">
        <v>17.059999999999999</v>
      </c>
      <c r="E1421" s="85">
        <f t="shared" si="125"/>
        <v>160.50047999999998</v>
      </c>
    </row>
    <row r="1422" spans="1:18" ht="18" x14ac:dyDescent="0.35">
      <c r="A1422" s="5" t="s">
        <v>886</v>
      </c>
      <c r="B1422" s="50" t="s">
        <v>137</v>
      </c>
      <c r="C1422" s="7">
        <v>0.2</v>
      </c>
      <c r="D1422" s="7">
        <v>17.190000000000001</v>
      </c>
      <c r="E1422" s="85">
        <f t="shared" si="125"/>
        <v>3.4380000000000006</v>
      </c>
    </row>
    <row r="1423" spans="1:18" ht="18" x14ac:dyDescent="0.35">
      <c r="A1423" s="5"/>
      <c r="B1423" s="50" t="s">
        <v>35</v>
      </c>
      <c r="C1423" s="7">
        <v>4</v>
      </c>
      <c r="D1423" s="7">
        <v>2.91</v>
      </c>
      <c r="E1423" s="85">
        <f t="shared" si="125"/>
        <v>11.64</v>
      </c>
    </row>
    <row r="1424" spans="1:18" ht="18" x14ac:dyDescent="0.35">
      <c r="A1424" s="5"/>
      <c r="B1424" s="50" t="s">
        <v>36</v>
      </c>
      <c r="C1424" s="7">
        <v>4</v>
      </c>
      <c r="D1424" s="7">
        <v>0.61</v>
      </c>
      <c r="E1424" s="85">
        <f t="shared" si="125"/>
        <v>2.44</v>
      </c>
    </row>
    <row r="1425" spans="1:5" ht="18" x14ac:dyDescent="0.35">
      <c r="A1425" s="5"/>
      <c r="B1425" s="50" t="s">
        <v>37</v>
      </c>
      <c r="C1425" s="54">
        <v>1</v>
      </c>
      <c r="D1425" s="86">
        <v>85</v>
      </c>
      <c r="E1425" s="85">
        <f t="shared" si="125"/>
        <v>85</v>
      </c>
    </row>
    <row r="1426" spans="1:5" ht="18" x14ac:dyDescent="0.35">
      <c r="A1426" s="5"/>
      <c r="B1426" s="5"/>
      <c r="C1426" s="54"/>
      <c r="D1426" s="54"/>
      <c r="E1426" s="85">
        <f>SUM(E1420:E1425)</f>
        <v>320.30655999999999</v>
      </c>
    </row>
    <row r="1428" spans="1:5" ht="21" x14ac:dyDescent="0.4">
      <c r="A1428" s="40" t="s">
        <v>598</v>
      </c>
      <c r="B1428" s="40"/>
      <c r="C1428" s="84"/>
      <c r="D1428" s="12"/>
      <c r="E1428" s="83"/>
    </row>
    <row r="1429" spans="1:5" x14ac:dyDescent="0.3">
      <c r="C1429" s="12"/>
      <c r="D1429" s="12"/>
      <c r="E1429" s="12"/>
    </row>
    <row r="1430" spans="1:5" ht="18" x14ac:dyDescent="0.35">
      <c r="A1430" s="5"/>
      <c r="B1430" s="5"/>
      <c r="C1430" s="7" t="s">
        <v>28</v>
      </c>
      <c r="D1430" s="7" t="s">
        <v>29</v>
      </c>
      <c r="E1430" s="7" t="s">
        <v>30</v>
      </c>
    </row>
    <row r="1431" spans="1:5" ht="18" x14ac:dyDescent="0.35">
      <c r="A1431" s="5" t="s">
        <v>67</v>
      </c>
      <c r="B1431" s="50" t="s">
        <v>32</v>
      </c>
      <c r="C1431" s="7">
        <v>1.7130000000000001</v>
      </c>
      <c r="D1431" s="7">
        <v>29.12</v>
      </c>
      <c r="E1431" s="85">
        <f t="shared" ref="E1431:E1436" si="126">C1431*D1431</f>
        <v>49.882560000000005</v>
      </c>
    </row>
    <row r="1432" spans="1:5" ht="18" x14ac:dyDescent="0.35">
      <c r="A1432" s="5" t="s">
        <v>143</v>
      </c>
      <c r="B1432" s="50" t="s">
        <v>33</v>
      </c>
      <c r="C1432" s="7">
        <v>3.7170000000000001</v>
      </c>
      <c r="D1432" s="7">
        <v>14.94</v>
      </c>
      <c r="E1432" s="85">
        <f t="shared" si="126"/>
        <v>55.531979999999997</v>
      </c>
    </row>
    <row r="1433" spans="1:5" ht="18" x14ac:dyDescent="0.35">
      <c r="A1433" s="5" t="s">
        <v>821</v>
      </c>
      <c r="B1433" s="50" t="s">
        <v>96</v>
      </c>
      <c r="C1433" s="7">
        <v>2</v>
      </c>
      <c r="D1433" s="7">
        <v>1.6</v>
      </c>
      <c r="E1433" s="85">
        <f t="shared" si="126"/>
        <v>3.2</v>
      </c>
    </row>
    <row r="1434" spans="1:5" ht="18" x14ac:dyDescent="0.35">
      <c r="A1434" s="5"/>
      <c r="B1434" s="50" t="s">
        <v>34</v>
      </c>
      <c r="C1434" s="7">
        <v>0.15</v>
      </c>
      <c r="D1434" s="7">
        <v>14.61</v>
      </c>
      <c r="E1434" s="85">
        <f t="shared" si="126"/>
        <v>2.1915</v>
      </c>
    </row>
    <row r="1435" spans="1:5" ht="18" x14ac:dyDescent="0.35">
      <c r="A1435" s="5"/>
      <c r="B1435" s="50" t="s">
        <v>35</v>
      </c>
      <c r="C1435" s="7">
        <v>4</v>
      </c>
      <c r="D1435" s="7">
        <v>2.89</v>
      </c>
      <c r="E1435" s="85">
        <f t="shared" si="126"/>
        <v>11.56</v>
      </c>
    </row>
    <row r="1436" spans="1:5" ht="18" x14ac:dyDescent="0.35">
      <c r="A1436" s="5"/>
      <c r="B1436" s="50" t="s">
        <v>36</v>
      </c>
      <c r="C1436" s="7">
        <v>4</v>
      </c>
      <c r="D1436" s="7">
        <v>0.6</v>
      </c>
      <c r="E1436" s="85">
        <f t="shared" si="126"/>
        <v>2.4</v>
      </c>
    </row>
    <row r="1437" spans="1:5" ht="18" x14ac:dyDescent="0.35">
      <c r="A1437" s="5"/>
      <c r="B1437" s="5"/>
      <c r="C1437" s="54"/>
      <c r="D1437" s="54"/>
      <c r="E1437" s="89">
        <f>SUM(E1431:E1436)</f>
        <v>124.76604000000002</v>
      </c>
    </row>
    <row r="1438" spans="1:5" ht="18" x14ac:dyDescent="0.35">
      <c r="A1438" s="5"/>
      <c r="B1438" s="50" t="s">
        <v>37</v>
      </c>
      <c r="C1438" s="54">
        <v>0.5</v>
      </c>
      <c r="D1438" s="54">
        <v>85</v>
      </c>
      <c r="E1438" s="85">
        <f>C1438*D1438</f>
        <v>42.5</v>
      </c>
    </row>
    <row r="1439" spans="1:5" ht="18" x14ac:dyDescent="0.35">
      <c r="A1439" s="5"/>
      <c r="B1439" s="5"/>
      <c r="C1439" s="54"/>
      <c r="D1439" s="54"/>
      <c r="E1439" s="85">
        <f>SUM(E1437:E1438)</f>
        <v>167.26604000000003</v>
      </c>
    </row>
    <row r="1441" spans="1:5" x14ac:dyDescent="0.3">
      <c r="A1441" t="s">
        <v>875</v>
      </c>
    </row>
    <row r="1442" spans="1:5" x14ac:dyDescent="0.3">
      <c r="C1442" t="s">
        <v>28</v>
      </c>
      <c r="D1442" t="s">
        <v>29</v>
      </c>
      <c r="E1442" t="s">
        <v>30</v>
      </c>
    </row>
    <row r="1443" spans="1:5" x14ac:dyDescent="0.3">
      <c r="A1443" t="s">
        <v>887</v>
      </c>
      <c r="B1443" t="s">
        <v>32</v>
      </c>
      <c r="C1443">
        <v>1.1160000000000001</v>
      </c>
      <c r="D1443">
        <v>29.12</v>
      </c>
      <c r="E1443" s="9">
        <f>C1443*D1443</f>
        <v>32.497920000000001</v>
      </c>
    </row>
    <row r="1444" spans="1:5" x14ac:dyDescent="0.3">
      <c r="A1444" t="s">
        <v>888</v>
      </c>
      <c r="B1444" t="s">
        <v>33</v>
      </c>
      <c r="C1444">
        <v>3.9590000000000001</v>
      </c>
      <c r="D1444">
        <v>15.25</v>
      </c>
      <c r="E1444" s="9">
        <f>C1444*D1444</f>
        <v>60.374749999999999</v>
      </c>
    </row>
    <row r="1445" spans="1:5" x14ac:dyDescent="0.3">
      <c r="B1445" t="s">
        <v>137</v>
      </c>
      <c r="C1445">
        <v>0.32400000000000001</v>
      </c>
      <c r="D1445">
        <v>17.190000000000001</v>
      </c>
      <c r="E1445" s="9">
        <f>C1445*D1445</f>
        <v>5.569560000000001</v>
      </c>
    </row>
    <row r="1446" spans="1:5" x14ac:dyDescent="0.3">
      <c r="B1446" t="s">
        <v>35</v>
      </c>
      <c r="C1446">
        <v>4</v>
      </c>
      <c r="D1446">
        <v>2.91</v>
      </c>
      <c r="E1446" s="9">
        <f>C1446*D1446</f>
        <v>11.64</v>
      </c>
    </row>
    <row r="1447" spans="1:5" x14ac:dyDescent="0.3">
      <c r="B1447" t="s">
        <v>36</v>
      </c>
      <c r="C1447">
        <v>4</v>
      </c>
      <c r="D1447">
        <v>0.61</v>
      </c>
      <c r="E1447" s="9">
        <f>C1447*D1447</f>
        <v>2.44</v>
      </c>
    </row>
    <row r="1448" spans="1:5" x14ac:dyDescent="0.3">
      <c r="B1448" t="s">
        <v>37</v>
      </c>
      <c r="C1448">
        <v>0.5</v>
      </c>
      <c r="D1448">
        <v>85</v>
      </c>
      <c r="E1448">
        <v>42.5</v>
      </c>
    </row>
    <row r="1449" spans="1:5" x14ac:dyDescent="0.3">
      <c r="E1449" s="9">
        <f>SUM(E1443:E1448)</f>
        <v>155.02222999999998</v>
      </c>
    </row>
    <row r="1450" spans="1:5" ht="21" x14ac:dyDescent="0.4">
      <c r="A1450" s="40" t="s">
        <v>889</v>
      </c>
      <c r="B1450" s="40"/>
      <c r="C1450" s="40"/>
      <c r="D1450" s="12"/>
      <c r="E1450" s="12"/>
    </row>
    <row r="1451" spans="1:5" ht="18" x14ac:dyDescent="0.35">
      <c r="A1451" s="5"/>
      <c r="B1451" s="5"/>
      <c r="C1451" s="7" t="s">
        <v>28</v>
      </c>
      <c r="D1451" s="7" t="s">
        <v>29</v>
      </c>
      <c r="E1451" s="7" t="s">
        <v>30</v>
      </c>
    </row>
    <row r="1452" spans="1:5" ht="18" x14ac:dyDescent="0.35">
      <c r="A1452" s="5" t="s">
        <v>890</v>
      </c>
      <c r="B1452" s="50" t="s">
        <v>32</v>
      </c>
      <c r="C1452" s="7">
        <v>2.8679999999999999</v>
      </c>
      <c r="D1452" s="7">
        <v>30.44</v>
      </c>
      <c r="E1452" s="85">
        <f t="shared" ref="E1452:E1457" si="127">C1452*D1452</f>
        <v>87.301919999999996</v>
      </c>
    </row>
    <row r="1453" spans="1:5" ht="18" x14ac:dyDescent="0.35">
      <c r="A1453" s="5" t="s">
        <v>53</v>
      </c>
      <c r="B1453" s="50" t="s">
        <v>33</v>
      </c>
      <c r="C1453" s="7">
        <v>16.023</v>
      </c>
      <c r="D1453" s="7">
        <v>17.059999999999999</v>
      </c>
      <c r="E1453" s="85">
        <f t="shared" si="127"/>
        <v>273.35237999999998</v>
      </c>
    </row>
    <row r="1454" spans="1:5" ht="18" x14ac:dyDescent="0.35">
      <c r="A1454" s="5" t="s">
        <v>891</v>
      </c>
      <c r="B1454" s="50" t="s">
        <v>137</v>
      </c>
      <c r="C1454" s="7">
        <v>0.4</v>
      </c>
      <c r="D1454" s="7">
        <v>17.190000000000001</v>
      </c>
      <c r="E1454" s="85">
        <f t="shared" si="127"/>
        <v>6.8760000000000012</v>
      </c>
    </row>
    <row r="1455" spans="1:5" ht="18" x14ac:dyDescent="0.35">
      <c r="A1455" s="5"/>
      <c r="B1455" s="50" t="s">
        <v>35</v>
      </c>
      <c r="C1455" s="7">
        <v>4</v>
      </c>
      <c r="D1455" s="7">
        <v>2.91</v>
      </c>
      <c r="E1455" s="85">
        <f t="shared" si="127"/>
        <v>11.64</v>
      </c>
    </row>
    <row r="1456" spans="1:5" ht="18" x14ac:dyDescent="0.35">
      <c r="A1456" s="5"/>
      <c r="B1456" s="50" t="s">
        <v>36</v>
      </c>
      <c r="C1456" s="7">
        <v>4</v>
      </c>
      <c r="D1456" s="7">
        <v>0.61</v>
      </c>
      <c r="E1456" s="85">
        <f t="shared" si="127"/>
        <v>2.44</v>
      </c>
    </row>
    <row r="1457" spans="1:5" ht="18" x14ac:dyDescent="0.35">
      <c r="A1457" s="5"/>
      <c r="B1457" s="50" t="s">
        <v>37</v>
      </c>
      <c r="C1457" s="54">
        <v>1</v>
      </c>
      <c r="D1457" s="86">
        <v>85</v>
      </c>
      <c r="E1457" s="85">
        <f t="shared" si="127"/>
        <v>85</v>
      </c>
    </row>
    <row r="1458" spans="1:5" ht="18" x14ac:dyDescent="0.35">
      <c r="A1458" s="5"/>
      <c r="B1458" s="5"/>
      <c r="C1458" s="54"/>
      <c r="D1458" s="54"/>
      <c r="E1458" s="85">
        <f>SUM(E1452:E1457)</f>
        <v>466.61029999999994</v>
      </c>
    </row>
    <row r="1461" spans="1:5" ht="21" x14ac:dyDescent="0.4">
      <c r="A1461" s="40" t="s">
        <v>892</v>
      </c>
      <c r="B1461" s="40"/>
      <c r="C1461" s="40"/>
      <c r="D1461" s="12"/>
      <c r="E1461" s="12"/>
    </row>
    <row r="1462" spans="1:5" ht="18" x14ac:dyDescent="0.35">
      <c r="A1462" s="5"/>
      <c r="B1462" s="5"/>
      <c r="C1462" s="7" t="s">
        <v>28</v>
      </c>
      <c r="D1462" s="7" t="s">
        <v>29</v>
      </c>
      <c r="E1462" s="7" t="s">
        <v>30</v>
      </c>
    </row>
    <row r="1463" spans="1:5" ht="18" x14ac:dyDescent="0.35">
      <c r="A1463" s="5" t="s">
        <v>893</v>
      </c>
      <c r="B1463" s="50" t="s">
        <v>32</v>
      </c>
      <c r="C1463" s="7">
        <v>4.758</v>
      </c>
      <c r="D1463" s="7">
        <v>30.44</v>
      </c>
      <c r="E1463" s="85">
        <f t="shared" ref="E1463:E1468" si="128">C1463*D1463</f>
        <v>144.83351999999999</v>
      </c>
    </row>
    <row r="1464" spans="1:5" ht="18" x14ac:dyDescent="0.35">
      <c r="A1464" s="5" t="s">
        <v>53</v>
      </c>
      <c r="B1464" s="50" t="s">
        <v>33</v>
      </c>
      <c r="C1464" s="7">
        <v>29.253</v>
      </c>
      <c r="D1464" s="7">
        <v>17.059999999999999</v>
      </c>
      <c r="E1464" s="85">
        <f t="shared" si="128"/>
        <v>499.05617999999998</v>
      </c>
    </row>
    <row r="1465" spans="1:5" ht="18" x14ac:dyDescent="0.35">
      <c r="A1465" s="5" t="s">
        <v>894</v>
      </c>
      <c r="B1465" s="50" t="s">
        <v>137</v>
      </c>
      <c r="C1465" s="7">
        <v>0.4</v>
      </c>
      <c r="D1465" s="7">
        <v>17.190000000000001</v>
      </c>
      <c r="E1465" s="85">
        <f t="shared" si="128"/>
        <v>6.8760000000000012</v>
      </c>
    </row>
    <row r="1466" spans="1:5" ht="18" x14ac:dyDescent="0.35">
      <c r="A1466" s="5"/>
      <c r="B1466" s="50" t="s">
        <v>35</v>
      </c>
      <c r="C1466" s="7">
        <v>4</v>
      </c>
      <c r="D1466" s="7">
        <v>2.91</v>
      </c>
      <c r="E1466" s="85">
        <f t="shared" si="128"/>
        <v>11.64</v>
      </c>
    </row>
    <row r="1467" spans="1:5" ht="18" x14ac:dyDescent="0.35">
      <c r="A1467" s="5"/>
      <c r="B1467" s="50" t="s">
        <v>36</v>
      </c>
      <c r="C1467" s="7">
        <v>4</v>
      </c>
      <c r="D1467" s="7">
        <v>0.61</v>
      </c>
      <c r="E1467" s="85">
        <f t="shared" si="128"/>
        <v>2.44</v>
      </c>
    </row>
    <row r="1468" spans="1:5" ht="18" x14ac:dyDescent="0.35">
      <c r="A1468" s="5"/>
      <c r="B1468" s="50" t="s">
        <v>37</v>
      </c>
      <c r="C1468" s="54">
        <v>1</v>
      </c>
      <c r="D1468" s="86">
        <v>85</v>
      </c>
      <c r="E1468" s="85">
        <f t="shared" si="128"/>
        <v>85</v>
      </c>
    </row>
    <row r="1469" spans="1:5" ht="18" x14ac:dyDescent="0.35">
      <c r="A1469" s="5"/>
      <c r="B1469" s="5"/>
      <c r="C1469" s="54"/>
      <c r="D1469" s="54"/>
      <c r="E1469" s="85">
        <f>SUM(E1463:E1468)</f>
        <v>749.84569999999997</v>
      </c>
    </row>
    <row r="1471" spans="1:5" ht="21" x14ac:dyDescent="0.4">
      <c r="A1471" s="40" t="s">
        <v>895</v>
      </c>
      <c r="B1471" s="40"/>
      <c r="C1471" s="40"/>
      <c r="D1471" s="12"/>
      <c r="E1471" s="12"/>
    </row>
    <row r="1472" spans="1:5" ht="18" x14ac:dyDescent="0.35">
      <c r="A1472" s="5"/>
      <c r="B1472" s="5"/>
      <c r="C1472" s="7" t="s">
        <v>28</v>
      </c>
      <c r="D1472" s="7" t="s">
        <v>29</v>
      </c>
      <c r="E1472" s="7" t="s">
        <v>30</v>
      </c>
    </row>
    <row r="1473" spans="1:5" ht="18" x14ac:dyDescent="0.35">
      <c r="A1473" s="5" t="s">
        <v>896</v>
      </c>
      <c r="B1473" s="50" t="s">
        <v>32</v>
      </c>
      <c r="C1473" s="7">
        <v>2.8679999999999999</v>
      </c>
      <c r="D1473" s="7">
        <v>30.44</v>
      </c>
      <c r="E1473" s="85">
        <f t="shared" ref="E1473:E1478" si="129">C1473*D1473</f>
        <v>87.301919999999996</v>
      </c>
    </row>
    <row r="1474" spans="1:5" ht="18" x14ac:dyDescent="0.35">
      <c r="A1474" s="5" t="s">
        <v>53</v>
      </c>
      <c r="B1474" s="50" t="s">
        <v>33</v>
      </c>
      <c r="C1474" s="7">
        <v>24.405000000000001</v>
      </c>
      <c r="D1474" s="7">
        <v>17.059999999999999</v>
      </c>
      <c r="E1474" s="85">
        <f t="shared" si="129"/>
        <v>416.34929999999997</v>
      </c>
    </row>
    <row r="1475" spans="1:5" ht="18" x14ac:dyDescent="0.35">
      <c r="A1475" s="5">
        <v>0.33400000000000002</v>
      </c>
      <c r="B1475" s="50" t="s">
        <v>137</v>
      </c>
      <c r="C1475" s="7">
        <v>0.4</v>
      </c>
      <c r="D1475" s="7">
        <v>17.190000000000001</v>
      </c>
      <c r="E1475" s="85">
        <f t="shared" si="129"/>
        <v>6.8760000000000012</v>
      </c>
    </row>
    <row r="1476" spans="1:5" ht="18" x14ac:dyDescent="0.35">
      <c r="A1476" s="5"/>
      <c r="B1476" s="50" t="s">
        <v>35</v>
      </c>
      <c r="C1476" s="7">
        <v>4</v>
      </c>
      <c r="D1476" s="7">
        <v>2.91</v>
      </c>
      <c r="E1476" s="85">
        <f t="shared" si="129"/>
        <v>11.64</v>
      </c>
    </row>
    <row r="1477" spans="1:5" ht="18" x14ac:dyDescent="0.35">
      <c r="A1477" s="5"/>
      <c r="B1477" s="50" t="s">
        <v>36</v>
      </c>
      <c r="C1477" s="7">
        <v>4</v>
      </c>
      <c r="D1477" s="7">
        <v>0.61</v>
      </c>
      <c r="E1477" s="85">
        <f t="shared" si="129"/>
        <v>2.44</v>
      </c>
    </row>
    <row r="1478" spans="1:5" ht="18" x14ac:dyDescent="0.35">
      <c r="A1478" s="5"/>
      <c r="B1478" s="50" t="s">
        <v>37</v>
      </c>
      <c r="C1478" s="54">
        <v>1</v>
      </c>
      <c r="D1478" s="86">
        <v>85</v>
      </c>
      <c r="E1478" s="85">
        <f t="shared" si="129"/>
        <v>85</v>
      </c>
    </row>
    <row r="1479" spans="1:5" ht="18" x14ac:dyDescent="0.35">
      <c r="A1479" s="5"/>
      <c r="B1479" s="5"/>
      <c r="C1479" s="54"/>
      <c r="D1479" s="54"/>
      <c r="E1479" s="85">
        <f>SUM(E1473:E1478)</f>
        <v>609.60721999999998</v>
      </c>
    </row>
    <row r="1483" spans="1:5" ht="21" x14ac:dyDescent="0.4">
      <c r="A1483" s="40" t="s">
        <v>897</v>
      </c>
      <c r="B1483" s="40"/>
      <c r="C1483" s="40"/>
      <c r="D1483" s="12"/>
      <c r="E1483" s="12"/>
    </row>
    <row r="1484" spans="1:5" ht="18" x14ac:dyDescent="0.35">
      <c r="A1484" s="5"/>
      <c r="B1484" s="5"/>
      <c r="C1484" s="7" t="s">
        <v>28</v>
      </c>
      <c r="D1484" s="7" t="s">
        <v>29</v>
      </c>
      <c r="E1484" s="7" t="s">
        <v>30</v>
      </c>
    </row>
    <row r="1485" spans="1:5" ht="18" x14ac:dyDescent="0.35">
      <c r="A1485" s="5" t="s">
        <v>898</v>
      </c>
      <c r="B1485" s="50" t="s">
        <v>32</v>
      </c>
      <c r="C1485" s="7">
        <v>2.827</v>
      </c>
      <c r="D1485" s="7">
        <v>30.44</v>
      </c>
      <c r="E1485" s="85">
        <f t="shared" ref="E1485:E1490" si="130">C1485*D1485</f>
        <v>86.053880000000007</v>
      </c>
    </row>
    <row r="1486" spans="1:5" ht="18" x14ac:dyDescent="0.35">
      <c r="A1486" s="5" t="s">
        <v>773</v>
      </c>
      <c r="B1486" s="50" t="s">
        <v>33</v>
      </c>
      <c r="C1486" s="7">
        <v>13.734</v>
      </c>
      <c r="D1486" s="7">
        <v>17.059999999999999</v>
      </c>
      <c r="E1486" s="85">
        <f t="shared" si="130"/>
        <v>234.30203999999998</v>
      </c>
    </row>
    <row r="1487" spans="1:5" ht="18" x14ac:dyDescent="0.35">
      <c r="A1487" s="5" t="s">
        <v>891</v>
      </c>
      <c r="B1487" s="50" t="s">
        <v>137</v>
      </c>
      <c r="C1487" s="7">
        <v>0.4</v>
      </c>
      <c r="D1487" s="7">
        <v>17.190000000000001</v>
      </c>
      <c r="E1487" s="85">
        <f t="shared" si="130"/>
        <v>6.8760000000000012</v>
      </c>
    </row>
    <row r="1488" spans="1:5" ht="18" x14ac:dyDescent="0.35">
      <c r="A1488" s="5"/>
      <c r="B1488" s="50" t="s">
        <v>35</v>
      </c>
      <c r="C1488" s="7">
        <v>4</v>
      </c>
      <c r="D1488" s="7">
        <v>2.91</v>
      </c>
      <c r="E1488" s="85">
        <f t="shared" si="130"/>
        <v>11.64</v>
      </c>
    </row>
    <row r="1489" spans="1:5" ht="18" x14ac:dyDescent="0.35">
      <c r="A1489" s="5"/>
      <c r="B1489" s="50" t="s">
        <v>36</v>
      </c>
      <c r="C1489" s="7">
        <v>4</v>
      </c>
      <c r="D1489" s="7">
        <v>0.61</v>
      </c>
      <c r="E1489" s="85">
        <f t="shared" si="130"/>
        <v>2.44</v>
      </c>
    </row>
    <row r="1490" spans="1:5" ht="18" x14ac:dyDescent="0.35">
      <c r="A1490" s="5"/>
      <c r="B1490" s="50" t="s">
        <v>37</v>
      </c>
      <c r="C1490" s="54">
        <v>1</v>
      </c>
      <c r="D1490" s="86">
        <v>85</v>
      </c>
      <c r="E1490" s="85">
        <f t="shared" si="130"/>
        <v>85</v>
      </c>
    </row>
    <row r="1491" spans="1:5" ht="18" x14ac:dyDescent="0.35">
      <c r="A1491" s="5"/>
      <c r="B1491" s="5"/>
      <c r="C1491" s="54"/>
      <c r="D1491" s="54"/>
      <c r="E1491" s="85">
        <f>SUM(E1485:E1490)</f>
        <v>426.31191999999993</v>
      </c>
    </row>
    <row r="1494" spans="1:5" ht="21" x14ac:dyDescent="0.4">
      <c r="A1494" s="40" t="s">
        <v>899</v>
      </c>
      <c r="B1494" s="40"/>
      <c r="C1494" s="40"/>
      <c r="D1494" s="12"/>
      <c r="E1494" s="12"/>
    </row>
    <row r="1495" spans="1:5" ht="18" x14ac:dyDescent="0.35">
      <c r="A1495" s="5"/>
      <c r="B1495" s="5"/>
      <c r="C1495" s="7" t="s">
        <v>28</v>
      </c>
      <c r="D1495" s="7" t="s">
        <v>29</v>
      </c>
      <c r="E1495" s="7" t="s">
        <v>30</v>
      </c>
    </row>
    <row r="1496" spans="1:5" ht="18" x14ac:dyDescent="0.35">
      <c r="A1496" s="5" t="s">
        <v>900</v>
      </c>
      <c r="B1496" s="50" t="s">
        <v>32</v>
      </c>
      <c r="C1496" s="7">
        <v>4.7169999999999996</v>
      </c>
      <c r="D1496" s="7">
        <v>30.44</v>
      </c>
      <c r="E1496" s="85">
        <f t="shared" ref="E1496:E1501" si="131">C1496*D1496</f>
        <v>143.58547999999999</v>
      </c>
    </row>
    <row r="1497" spans="1:5" ht="18" x14ac:dyDescent="0.35">
      <c r="A1497" s="5" t="s">
        <v>773</v>
      </c>
      <c r="B1497" s="50" t="s">
        <v>33</v>
      </c>
      <c r="C1497" s="7">
        <v>25.074000000000002</v>
      </c>
      <c r="D1497" s="7">
        <v>17.059999999999999</v>
      </c>
      <c r="E1497" s="85">
        <f t="shared" si="131"/>
        <v>427.76243999999997</v>
      </c>
    </row>
    <row r="1498" spans="1:5" ht="18" x14ac:dyDescent="0.35">
      <c r="A1498" s="5" t="s">
        <v>894</v>
      </c>
      <c r="B1498" s="50" t="s">
        <v>137</v>
      </c>
      <c r="C1498" s="7">
        <v>0.4</v>
      </c>
      <c r="D1498" s="7">
        <v>17.190000000000001</v>
      </c>
      <c r="E1498" s="85">
        <f t="shared" si="131"/>
        <v>6.8760000000000012</v>
      </c>
    </row>
    <row r="1499" spans="1:5" ht="18" x14ac:dyDescent="0.35">
      <c r="A1499" s="5"/>
      <c r="B1499" s="50" t="s">
        <v>35</v>
      </c>
      <c r="C1499" s="7">
        <v>4</v>
      </c>
      <c r="D1499" s="7">
        <v>2.91</v>
      </c>
      <c r="E1499" s="85">
        <f t="shared" si="131"/>
        <v>11.64</v>
      </c>
    </row>
    <row r="1500" spans="1:5" ht="18" x14ac:dyDescent="0.35">
      <c r="A1500" s="5"/>
      <c r="B1500" s="50" t="s">
        <v>36</v>
      </c>
      <c r="C1500" s="7">
        <v>4</v>
      </c>
      <c r="D1500" s="7">
        <v>0.61</v>
      </c>
      <c r="E1500" s="85">
        <f t="shared" si="131"/>
        <v>2.44</v>
      </c>
    </row>
    <row r="1501" spans="1:5" ht="18" x14ac:dyDescent="0.35">
      <c r="A1501" s="5"/>
      <c r="B1501" s="50" t="s">
        <v>37</v>
      </c>
      <c r="C1501" s="54">
        <v>1</v>
      </c>
      <c r="D1501" s="86">
        <v>85</v>
      </c>
      <c r="E1501" s="85">
        <f t="shared" si="131"/>
        <v>85</v>
      </c>
    </row>
    <row r="1502" spans="1:5" ht="18" x14ac:dyDescent="0.35">
      <c r="A1502" s="5"/>
      <c r="B1502" s="5"/>
      <c r="C1502" s="54"/>
      <c r="D1502" s="54"/>
      <c r="E1502" s="85">
        <f>SUM(E1496:E1501)</f>
        <v>677.30391999999995</v>
      </c>
    </row>
    <row r="1504" spans="1:5" ht="21" x14ac:dyDescent="0.4">
      <c r="A1504" s="40" t="s">
        <v>901</v>
      </c>
      <c r="B1504" s="40"/>
      <c r="C1504" s="40"/>
      <c r="D1504" s="12"/>
      <c r="E1504" s="12"/>
    </row>
    <row r="1505" spans="1:5" ht="18" x14ac:dyDescent="0.35">
      <c r="A1505" s="5"/>
      <c r="B1505" s="5"/>
      <c r="C1505" s="7" t="s">
        <v>28</v>
      </c>
      <c r="D1505" s="7" t="s">
        <v>29</v>
      </c>
      <c r="E1505" s="7" t="s">
        <v>30</v>
      </c>
    </row>
    <row r="1506" spans="1:5" ht="18" x14ac:dyDescent="0.35">
      <c r="A1506" s="5" t="s">
        <v>902</v>
      </c>
      <c r="B1506" s="50" t="s">
        <v>32</v>
      </c>
      <c r="C1506" s="7">
        <v>4.024</v>
      </c>
      <c r="D1506" s="7">
        <v>30.44</v>
      </c>
      <c r="E1506" s="85">
        <f t="shared" ref="E1506:E1511" si="132">C1506*D1506</f>
        <v>122.49056</v>
      </c>
    </row>
    <row r="1507" spans="1:5" ht="18" x14ac:dyDescent="0.35">
      <c r="A1507" s="5" t="s">
        <v>53</v>
      </c>
      <c r="B1507" s="50" t="s">
        <v>33</v>
      </c>
      <c r="C1507" s="7">
        <v>20.916</v>
      </c>
      <c r="D1507" s="7">
        <v>17.059999999999999</v>
      </c>
      <c r="E1507" s="85">
        <f t="shared" si="132"/>
        <v>356.82695999999999</v>
      </c>
    </row>
    <row r="1508" spans="1:5" ht="18" x14ac:dyDescent="0.35">
      <c r="A1508" s="5">
        <v>0.33400000000000002</v>
      </c>
      <c r="B1508" s="50" t="s">
        <v>137</v>
      </c>
      <c r="C1508" s="7">
        <v>0.4</v>
      </c>
      <c r="D1508" s="7">
        <v>17.190000000000001</v>
      </c>
      <c r="E1508" s="85">
        <f t="shared" si="132"/>
        <v>6.8760000000000012</v>
      </c>
    </row>
    <row r="1509" spans="1:5" ht="18" x14ac:dyDescent="0.35">
      <c r="A1509" s="5"/>
      <c r="B1509" s="50" t="s">
        <v>35</v>
      </c>
      <c r="C1509" s="7">
        <v>4</v>
      </c>
      <c r="D1509" s="7">
        <v>2.91</v>
      </c>
      <c r="E1509" s="85">
        <f t="shared" si="132"/>
        <v>11.64</v>
      </c>
    </row>
    <row r="1510" spans="1:5" ht="18" x14ac:dyDescent="0.35">
      <c r="A1510" s="5"/>
      <c r="B1510" s="50" t="s">
        <v>36</v>
      </c>
      <c r="C1510" s="7">
        <v>4</v>
      </c>
      <c r="D1510" s="7">
        <v>0.61</v>
      </c>
      <c r="E1510" s="85">
        <f t="shared" si="132"/>
        <v>2.44</v>
      </c>
    </row>
    <row r="1511" spans="1:5" ht="18" x14ac:dyDescent="0.35">
      <c r="A1511" s="5"/>
      <c r="B1511" s="50" t="s">
        <v>37</v>
      </c>
      <c r="C1511" s="54">
        <v>1</v>
      </c>
      <c r="D1511" s="86">
        <v>85</v>
      </c>
      <c r="E1511" s="85">
        <f t="shared" si="132"/>
        <v>85</v>
      </c>
    </row>
    <row r="1512" spans="1:5" ht="18" x14ac:dyDescent="0.35">
      <c r="A1512" s="5"/>
      <c r="B1512" s="5"/>
      <c r="C1512" s="54"/>
      <c r="D1512" s="54"/>
      <c r="E1512" s="85">
        <f>SUM(E1506:E1511)</f>
        <v>585.27351999999996</v>
      </c>
    </row>
    <row r="1514" spans="1:5" ht="21" x14ac:dyDescent="0.4">
      <c r="A1514" s="40" t="s">
        <v>599</v>
      </c>
      <c r="B1514" s="40"/>
      <c r="C1514" s="84"/>
    </row>
    <row r="1515" spans="1:5" ht="18" x14ac:dyDescent="0.35">
      <c r="A1515" s="5"/>
      <c r="B1515" s="5"/>
      <c r="C1515" s="7" t="s">
        <v>28</v>
      </c>
      <c r="D1515" s="7" t="s">
        <v>29</v>
      </c>
      <c r="E1515" s="7" t="s">
        <v>30</v>
      </c>
    </row>
    <row r="1516" spans="1:5" ht="18" x14ac:dyDescent="0.35">
      <c r="A1516" s="5" t="s">
        <v>903</v>
      </c>
      <c r="B1516" s="50" t="s">
        <v>32</v>
      </c>
      <c r="C1516" s="7">
        <v>1.083</v>
      </c>
      <c r="D1516" s="7">
        <v>30.44</v>
      </c>
      <c r="E1516" s="85">
        <f t="shared" ref="E1516:E1521" si="133">C1516*D1516</f>
        <v>32.966520000000003</v>
      </c>
    </row>
    <row r="1517" spans="1:5" ht="18" x14ac:dyDescent="0.35">
      <c r="A1517" s="5" t="s">
        <v>904</v>
      </c>
      <c r="B1517" s="50" t="s">
        <v>33</v>
      </c>
      <c r="C1517" s="7">
        <v>2.2570000000000001</v>
      </c>
      <c r="D1517" s="7">
        <v>16.170000000000002</v>
      </c>
      <c r="E1517" s="85">
        <f t="shared" si="133"/>
        <v>36.495690000000003</v>
      </c>
    </row>
    <row r="1518" spans="1:5" ht="18" x14ac:dyDescent="0.35">
      <c r="A1518" s="5" t="s">
        <v>905</v>
      </c>
      <c r="B1518" s="50" t="s">
        <v>97</v>
      </c>
      <c r="C1518" s="7">
        <v>2</v>
      </c>
      <c r="D1518" s="7">
        <v>1.48</v>
      </c>
      <c r="E1518" s="85">
        <f t="shared" si="133"/>
        <v>2.96</v>
      </c>
    </row>
    <row r="1519" spans="1:5" ht="18" x14ac:dyDescent="0.35">
      <c r="A1519" s="5"/>
      <c r="B1519" s="50" t="s">
        <v>34</v>
      </c>
      <c r="C1519" s="7"/>
      <c r="D1519" s="7">
        <v>14.61</v>
      </c>
      <c r="E1519" s="85">
        <f t="shared" si="133"/>
        <v>0</v>
      </c>
    </row>
    <row r="1520" spans="1:5" ht="18" x14ac:dyDescent="0.35">
      <c r="A1520" s="5"/>
      <c r="B1520" s="50" t="s">
        <v>35</v>
      </c>
      <c r="C1520" s="7">
        <v>4</v>
      </c>
      <c r="D1520" s="7">
        <v>2.89</v>
      </c>
      <c r="E1520" s="85">
        <f t="shared" si="133"/>
        <v>11.56</v>
      </c>
    </row>
    <row r="1521" spans="1:5" ht="18" x14ac:dyDescent="0.35">
      <c r="A1521" s="5"/>
      <c r="B1521" s="50" t="s">
        <v>36</v>
      </c>
      <c r="C1521" s="7">
        <v>4</v>
      </c>
      <c r="D1521" s="7">
        <v>0.61</v>
      </c>
      <c r="E1521" s="85">
        <f t="shared" si="133"/>
        <v>2.44</v>
      </c>
    </row>
    <row r="1522" spans="1:5" ht="18" x14ac:dyDescent="0.35">
      <c r="A1522" s="5"/>
      <c r="B1522" s="5"/>
      <c r="C1522" s="54"/>
      <c r="D1522" s="54"/>
      <c r="E1522" s="89">
        <f>SUM(E1516:E1521)</f>
        <v>86.422209999999993</v>
      </c>
    </row>
    <row r="1523" spans="1:5" ht="18" x14ac:dyDescent="0.35">
      <c r="A1523" s="5"/>
      <c r="B1523" s="50" t="s">
        <v>37</v>
      </c>
      <c r="C1523" s="54">
        <v>0.5</v>
      </c>
      <c r="D1523" s="54">
        <v>101.32</v>
      </c>
      <c r="E1523" s="85">
        <f>C1523*D1523</f>
        <v>50.66</v>
      </c>
    </row>
    <row r="1524" spans="1:5" ht="18" x14ac:dyDescent="0.35">
      <c r="A1524" s="5"/>
      <c r="B1524" s="5"/>
      <c r="C1524" s="54"/>
      <c r="D1524" s="54"/>
      <c r="E1524" s="85">
        <f>SUM(E1522:E1523)</f>
        <v>137.08220999999998</v>
      </c>
    </row>
    <row r="1527" spans="1:5" ht="21" x14ac:dyDescent="0.4">
      <c r="A1527" s="40" t="s">
        <v>599</v>
      </c>
      <c r="B1527" s="40"/>
      <c r="C1527" s="84"/>
    </row>
    <row r="1528" spans="1:5" ht="18" x14ac:dyDescent="0.35">
      <c r="A1528" s="5"/>
      <c r="B1528" s="5"/>
      <c r="C1528" s="7" t="s">
        <v>28</v>
      </c>
      <c r="D1528" s="7" t="s">
        <v>29</v>
      </c>
      <c r="E1528" s="7" t="s">
        <v>30</v>
      </c>
    </row>
    <row r="1529" spans="1:5" ht="18" x14ac:dyDescent="0.35">
      <c r="A1529" s="5" t="s">
        <v>906</v>
      </c>
      <c r="B1529" s="50" t="s">
        <v>32</v>
      </c>
      <c r="C1529" s="7">
        <v>1.714</v>
      </c>
      <c r="D1529" s="7">
        <v>30.44</v>
      </c>
      <c r="E1529" s="85">
        <f t="shared" ref="E1529:E1534" si="134">C1529*D1529</f>
        <v>52.174160000000001</v>
      </c>
    </row>
    <row r="1530" spans="1:5" ht="18" x14ac:dyDescent="0.35">
      <c r="A1530" s="5" t="s">
        <v>824</v>
      </c>
      <c r="B1530" s="50" t="s">
        <v>33</v>
      </c>
      <c r="C1530" s="7">
        <v>7.282</v>
      </c>
      <c r="D1530" s="7">
        <v>16.170000000000002</v>
      </c>
      <c r="E1530" s="85">
        <f t="shared" si="134"/>
        <v>117.74994000000001</v>
      </c>
    </row>
    <row r="1531" spans="1:5" ht="18" x14ac:dyDescent="0.35">
      <c r="A1531" s="5" t="s">
        <v>907</v>
      </c>
      <c r="B1531" s="50" t="s">
        <v>97</v>
      </c>
      <c r="C1531" s="7">
        <v>2</v>
      </c>
      <c r="D1531" s="7">
        <v>1.81</v>
      </c>
      <c r="E1531" s="85">
        <f t="shared" si="134"/>
        <v>3.62</v>
      </c>
    </row>
    <row r="1532" spans="1:5" ht="18" x14ac:dyDescent="0.35">
      <c r="A1532" s="5"/>
      <c r="B1532" s="50" t="s">
        <v>34</v>
      </c>
      <c r="C1532" s="7"/>
      <c r="D1532" s="7">
        <v>14.61</v>
      </c>
      <c r="E1532" s="85">
        <f t="shared" si="134"/>
        <v>0</v>
      </c>
    </row>
    <row r="1533" spans="1:5" ht="18" x14ac:dyDescent="0.35">
      <c r="A1533" s="5"/>
      <c r="B1533" s="50" t="s">
        <v>35</v>
      </c>
      <c r="C1533" s="7">
        <v>4</v>
      </c>
      <c r="D1533" s="7">
        <v>2.89</v>
      </c>
      <c r="E1533" s="85">
        <f t="shared" si="134"/>
        <v>11.56</v>
      </c>
    </row>
    <row r="1534" spans="1:5" ht="18" x14ac:dyDescent="0.35">
      <c r="A1534" s="5"/>
      <c r="B1534" s="50" t="s">
        <v>36</v>
      </c>
      <c r="C1534" s="7">
        <v>4</v>
      </c>
      <c r="D1534" s="7">
        <v>0.61</v>
      </c>
      <c r="E1534" s="85">
        <f t="shared" si="134"/>
        <v>2.44</v>
      </c>
    </row>
    <row r="1535" spans="1:5" ht="18" x14ac:dyDescent="0.35">
      <c r="A1535" s="5"/>
      <c r="B1535" s="5"/>
      <c r="C1535" s="54"/>
      <c r="D1535" s="54"/>
      <c r="E1535" s="89">
        <f>SUM(E1529:E1534)</f>
        <v>187.54410000000001</v>
      </c>
    </row>
    <row r="1536" spans="1:5" ht="18" x14ac:dyDescent="0.35">
      <c r="A1536" s="5"/>
      <c r="B1536" s="50" t="s">
        <v>37</v>
      </c>
      <c r="C1536" s="54">
        <v>0.5</v>
      </c>
      <c r="D1536" s="54">
        <v>101.32</v>
      </c>
      <c r="E1536" s="85">
        <f>C1536*D1536</f>
        <v>50.66</v>
      </c>
    </row>
    <row r="1537" spans="1:5" ht="18" x14ac:dyDescent="0.35">
      <c r="A1537" s="5"/>
      <c r="B1537" s="5"/>
      <c r="C1537" s="54"/>
      <c r="D1537" s="54"/>
      <c r="E1537" s="85">
        <f>SUM(E1535:E1536)</f>
        <v>238.20410000000001</v>
      </c>
    </row>
    <row r="1540" spans="1:5" ht="21" x14ac:dyDescent="0.4">
      <c r="A1540" s="40" t="s">
        <v>599</v>
      </c>
      <c r="B1540" s="40"/>
      <c r="C1540" s="84"/>
    </row>
    <row r="1541" spans="1:5" ht="18" x14ac:dyDescent="0.35">
      <c r="A1541" s="5"/>
      <c r="B1541" s="5"/>
      <c r="C1541" s="7" t="s">
        <v>28</v>
      </c>
      <c r="D1541" s="7" t="s">
        <v>29</v>
      </c>
      <c r="E1541" s="7" t="s">
        <v>30</v>
      </c>
    </row>
    <row r="1542" spans="1:5" ht="18" x14ac:dyDescent="0.35">
      <c r="A1542" s="5" t="s">
        <v>358</v>
      </c>
      <c r="B1542" s="50" t="s">
        <v>32</v>
      </c>
      <c r="C1542" s="7">
        <v>3.919</v>
      </c>
      <c r="D1542" s="7">
        <v>30.44</v>
      </c>
      <c r="E1542" s="85">
        <f t="shared" ref="E1542:E1547" si="135">C1542*D1542</f>
        <v>119.29436000000001</v>
      </c>
    </row>
    <row r="1543" spans="1:5" ht="18" x14ac:dyDescent="0.35">
      <c r="A1543" s="5" t="s">
        <v>397</v>
      </c>
      <c r="B1543" s="50" t="s">
        <v>33</v>
      </c>
      <c r="C1543" s="7">
        <v>41.58</v>
      </c>
      <c r="D1543" s="7">
        <v>16.170000000000002</v>
      </c>
      <c r="E1543" s="85">
        <f t="shared" si="135"/>
        <v>672.34860000000003</v>
      </c>
    </row>
    <row r="1544" spans="1:5" ht="18" x14ac:dyDescent="0.35">
      <c r="A1544" s="5" t="s">
        <v>908</v>
      </c>
      <c r="B1544" s="50" t="s">
        <v>128</v>
      </c>
      <c r="C1544" s="7">
        <v>4</v>
      </c>
      <c r="D1544" s="7">
        <v>1.81</v>
      </c>
      <c r="E1544" s="85">
        <f t="shared" si="135"/>
        <v>7.24</v>
      </c>
    </row>
    <row r="1545" spans="1:5" ht="18" x14ac:dyDescent="0.35">
      <c r="A1545" s="5"/>
      <c r="B1545" s="50" t="s">
        <v>34</v>
      </c>
      <c r="C1545" s="7">
        <v>2</v>
      </c>
      <c r="D1545" s="7">
        <v>14.61</v>
      </c>
      <c r="E1545" s="85">
        <f t="shared" si="135"/>
        <v>29.22</v>
      </c>
    </row>
    <row r="1546" spans="1:5" ht="18" x14ac:dyDescent="0.35">
      <c r="A1546" s="5"/>
      <c r="B1546" s="50" t="s">
        <v>35</v>
      </c>
      <c r="C1546" s="7">
        <v>8</v>
      </c>
      <c r="D1546" s="7">
        <v>2.89</v>
      </c>
      <c r="E1546" s="85">
        <f t="shared" si="135"/>
        <v>23.12</v>
      </c>
    </row>
    <row r="1547" spans="1:5" ht="18" x14ac:dyDescent="0.35">
      <c r="A1547" s="5"/>
      <c r="B1547" s="50" t="s">
        <v>36</v>
      </c>
      <c r="C1547" s="7">
        <v>4</v>
      </c>
      <c r="D1547" s="7">
        <v>0.61</v>
      </c>
      <c r="E1547" s="85">
        <f t="shared" si="135"/>
        <v>2.44</v>
      </c>
    </row>
    <row r="1548" spans="1:5" ht="18" x14ac:dyDescent="0.35">
      <c r="A1548" s="5"/>
      <c r="B1548" s="5"/>
      <c r="C1548" s="54"/>
      <c r="D1548" s="54"/>
      <c r="E1548" s="89">
        <f>SUM(E1542:E1547)</f>
        <v>853.66296000000011</v>
      </c>
    </row>
    <row r="1549" spans="1:5" ht="18" x14ac:dyDescent="0.35">
      <c r="A1549" s="5"/>
      <c r="B1549" s="50" t="s">
        <v>37</v>
      </c>
      <c r="C1549" s="54">
        <v>4</v>
      </c>
      <c r="D1549" s="54">
        <v>101.32</v>
      </c>
      <c r="E1549" s="85">
        <f>C1549*D1549</f>
        <v>405.28</v>
      </c>
    </row>
    <row r="1550" spans="1:5" ht="18" x14ac:dyDescent="0.35">
      <c r="A1550" s="5"/>
      <c r="B1550" s="5"/>
      <c r="C1550" s="54"/>
      <c r="D1550" s="54"/>
      <c r="E1550" s="85">
        <f>SUM(E1548:E1549)</f>
        <v>1258.9429600000001</v>
      </c>
    </row>
    <row r="1552" spans="1:5" ht="21" x14ac:dyDescent="0.4">
      <c r="A1552" s="40" t="s">
        <v>889</v>
      </c>
      <c r="B1552" s="40"/>
      <c r="C1552" s="40"/>
      <c r="D1552" s="12"/>
      <c r="E1552" s="12"/>
    </row>
    <row r="1553" spans="1:5" ht="18" x14ac:dyDescent="0.35">
      <c r="A1553" s="5"/>
      <c r="B1553" s="5"/>
      <c r="C1553" s="7" t="s">
        <v>28</v>
      </c>
      <c r="D1553" s="7" t="s">
        <v>29</v>
      </c>
      <c r="E1553" s="7" t="s">
        <v>30</v>
      </c>
    </row>
    <row r="1554" spans="1:5" ht="18" x14ac:dyDescent="0.35">
      <c r="A1554" s="5" t="s">
        <v>352</v>
      </c>
      <c r="B1554" s="50" t="s">
        <v>32</v>
      </c>
      <c r="C1554" s="7">
        <v>2.8679999999999999</v>
      </c>
      <c r="D1554" s="7">
        <v>30.44</v>
      </c>
      <c r="E1554" s="85">
        <f t="shared" ref="E1554:E1559" si="136">C1554*D1554</f>
        <v>87.301919999999996</v>
      </c>
    </row>
    <row r="1555" spans="1:5" ht="18" x14ac:dyDescent="0.35">
      <c r="A1555" s="5" t="s">
        <v>53</v>
      </c>
      <c r="B1555" s="50" t="s">
        <v>33</v>
      </c>
      <c r="C1555" s="7">
        <v>16.023</v>
      </c>
      <c r="D1555" s="7">
        <v>17.059999999999999</v>
      </c>
      <c r="E1555" s="85">
        <f t="shared" si="136"/>
        <v>273.35237999999998</v>
      </c>
    </row>
    <row r="1556" spans="1:5" ht="18" x14ac:dyDescent="0.35">
      <c r="A1556" s="5" t="s">
        <v>891</v>
      </c>
      <c r="B1556" s="50" t="s">
        <v>137</v>
      </c>
      <c r="C1556" s="7">
        <v>0.4</v>
      </c>
      <c r="D1556" s="7">
        <v>17.190000000000001</v>
      </c>
      <c r="E1556" s="85">
        <f t="shared" si="136"/>
        <v>6.8760000000000012</v>
      </c>
    </row>
    <row r="1557" spans="1:5" ht="18" x14ac:dyDescent="0.35">
      <c r="A1557" s="5"/>
      <c r="B1557" s="50" t="s">
        <v>35</v>
      </c>
      <c r="C1557" s="7">
        <v>4</v>
      </c>
      <c r="D1557" s="7">
        <v>2.91</v>
      </c>
      <c r="E1557" s="85">
        <f t="shared" si="136"/>
        <v>11.64</v>
      </c>
    </row>
    <row r="1558" spans="1:5" ht="18" x14ac:dyDescent="0.35">
      <c r="A1558" s="5"/>
      <c r="B1558" s="50" t="s">
        <v>36</v>
      </c>
      <c r="C1558" s="7">
        <v>4</v>
      </c>
      <c r="D1558" s="7">
        <v>0.61</v>
      </c>
      <c r="E1558" s="85">
        <f t="shared" si="136"/>
        <v>2.44</v>
      </c>
    </row>
    <row r="1559" spans="1:5" ht="18" x14ac:dyDescent="0.35">
      <c r="A1559" s="5"/>
      <c r="B1559" s="50" t="s">
        <v>37</v>
      </c>
      <c r="C1559" s="54">
        <v>1</v>
      </c>
      <c r="D1559" s="86">
        <v>85</v>
      </c>
      <c r="E1559" s="85">
        <f t="shared" si="136"/>
        <v>85</v>
      </c>
    </row>
    <row r="1560" spans="1:5" ht="18" x14ac:dyDescent="0.35">
      <c r="A1560" s="5"/>
      <c r="B1560" s="5"/>
      <c r="C1560" s="54"/>
      <c r="D1560" s="54"/>
      <c r="E1560" s="85">
        <f>SUM(E1554:E1559)</f>
        <v>466.61029999999994</v>
      </c>
    </row>
    <row r="1562" spans="1:5" ht="21" x14ac:dyDescent="0.4">
      <c r="A1562" s="40" t="s">
        <v>599</v>
      </c>
      <c r="B1562" s="40"/>
      <c r="C1562" s="84"/>
    </row>
    <row r="1563" spans="1:5" ht="18" x14ac:dyDescent="0.35">
      <c r="A1563" s="5"/>
      <c r="B1563" s="5"/>
      <c r="C1563" s="7" t="s">
        <v>28</v>
      </c>
      <c r="D1563" s="7" t="s">
        <v>29</v>
      </c>
      <c r="E1563" s="7" t="s">
        <v>30</v>
      </c>
    </row>
    <row r="1564" spans="1:5" ht="18" x14ac:dyDescent="0.35">
      <c r="A1564" s="5" t="s">
        <v>245</v>
      </c>
      <c r="B1564" s="50" t="s">
        <v>32</v>
      </c>
      <c r="C1564" s="7">
        <v>2.7429999999999999</v>
      </c>
      <c r="D1564" s="7">
        <v>30.44</v>
      </c>
      <c r="E1564" s="85">
        <f t="shared" ref="E1564:E1569" si="137">C1564*D1564</f>
        <v>83.496920000000003</v>
      </c>
    </row>
    <row r="1565" spans="1:5" ht="18" x14ac:dyDescent="0.35">
      <c r="A1565" s="5" t="s">
        <v>909</v>
      </c>
      <c r="B1565" s="50" t="s">
        <v>33</v>
      </c>
      <c r="C1565" s="7">
        <v>2.4990000000000001</v>
      </c>
      <c r="D1565" s="7">
        <v>16.170000000000002</v>
      </c>
      <c r="E1565" s="85">
        <f t="shared" si="137"/>
        <v>40.408830000000009</v>
      </c>
    </row>
    <row r="1566" spans="1:5" ht="18" x14ac:dyDescent="0.35">
      <c r="A1566" s="5" t="s">
        <v>910</v>
      </c>
      <c r="B1566" s="50" t="s">
        <v>911</v>
      </c>
      <c r="C1566" s="7">
        <v>2</v>
      </c>
      <c r="D1566" s="7">
        <v>1.24</v>
      </c>
      <c r="E1566" s="85">
        <f t="shared" si="137"/>
        <v>2.48</v>
      </c>
    </row>
    <row r="1567" spans="1:5" ht="18" x14ac:dyDescent="0.35">
      <c r="A1567" s="5"/>
      <c r="B1567" s="50" t="s">
        <v>34</v>
      </c>
      <c r="C1567" s="7">
        <v>0.16</v>
      </c>
      <c r="D1567" s="7">
        <v>14.61</v>
      </c>
      <c r="E1567" s="85">
        <f t="shared" si="137"/>
        <v>2.3376000000000001</v>
      </c>
    </row>
    <row r="1568" spans="1:5" ht="18" x14ac:dyDescent="0.35">
      <c r="A1568" s="5"/>
      <c r="B1568" s="50" t="s">
        <v>35</v>
      </c>
      <c r="C1568" s="7">
        <v>4</v>
      </c>
      <c r="D1568" s="7">
        <v>2.89</v>
      </c>
      <c r="E1568" s="85">
        <f t="shared" si="137"/>
        <v>11.56</v>
      </c>
    </row>
    <row r="1569" spans="1:5" ht="18" x14ac:dyDescent="0.35">
      <c r="A1569" s="5"/>
      <c r="B1569" s="50" t="s">
        <v>36</v>
      </c>
      <c r="C1569" s="7">
        <v>4</v>
      </c>
      <c r="D1569" s="7">
        <v>0.61</v>
      </c>
      <c r="E1569" s="85">
        <f t="shared" si="137"/>
        <v>2.44</v>
      </c>
    </row>
    <row r="1570" spans="1:5" ht="18" x14ac:dyDescent="0.35">
      <c r="A1570" s="5"/>
      <c r="B1570" s="5"/>
      <c r="C1570" s="54"/>
      <c r="D1570" s="54"/>
      <c r="E1570" s="89">
        <f>SUM(E1564:E1569)</f>
        <v>142.72335000000001</v>
      </c>
    </row>
    <row r="1571" spans="1:5" ht="18" x14ac:dyDescent="0.35">
      <c r="A1571" s="5"/>
      <c r="B1571" s="50" t="s">
        <v>37</v>
      </c>
      <c r="C1571" s="54">
        <v>0.5</v>
      </c>
      <c r="D1571" s="54">
        <v>85</v>
      </c>
      <c r="E1571" s="85">
        <f>C1571*D1571</f>
        <v>42.5</v>
      </c>
    </row>
    <row r="1572" spans="1:5" ht="18" x14ac:dyDescent="0.35">
      <c r="A1572" s="5"/>
      <c r="B1572" s="5"/>
      <c r="C1572" s="54"/>
      <c r="D1572" s="54"/>
      <c r="E1572" s="85">
        <f>SUM(E1570:E1571)</f>
        <v>185.22335000000001</v>
      </c>
    </row>
    <row r="1574" spans="1:5" ht="21" x14ac:dyDescent="0.4">
      <c r="A1574" s="40" t="s">
        <v>599</v>
      </c>
      <c r="B1574" s="40"/>
      <c r="C1574" s="84"/>
    </row>
    <row r="1575" spans="1:5" ht="18" x14ac:dyDescent="0.35">
      <c r="A1575" s="5"/>
      <c r="B1575" s="5"/>
      <c r="C1575" s="7" t="s">
        <v>28</v>
      </c>
      <c r="D1575" s="7" t="s">
        <v>29</v>
      </c>
      <c r="E1575" s="7" t="s">
        <v>30</v>
      </c>
    </row>
    <row r="1576" spans="1:5" ht="18" x14ac:dyDescent="0.35">
      <c r="A1576" s="5" t="s">
        <v>758</v>
      </c>
      <c r="B1576" s="50" t="s">
        <v>32</v>
      </c>
      <c r="C1576" s="7">
        <v>3.3730000000000002</v>
      </c>
      <c r="D1576" s="7">
        <v>30.44</v>
      </c>
      <c r="E1576" s="85">
        <f t="shared" ref="E1576:E1581" si="138">C1576*D1576</f>
        <v>102.67412000000002</v>
      </c>
    </row>
    <row r="1577" spans="1:5" ht="18" x14ac:dyDescent="0.35">
      <c r="A1577" s="5" t="s">
        <v>909</v>
      </c>
      <c r="B1577" s="50" t="s">
        <v>33</v>
      </c>
      <c r="C1577" s="7">
        <v>3.129</v>
      </c>
      <c r="D1577" s="7">
        <v>16.170000000000002</v>
      </c>
      <c r="E1577" s="85">
        <f t="shared" si="138"/>
        <v>50.595930000000003</v>
      </c>
    </row>
    <row r="1578" spans="1:5" ht="18" x14ac:dyDescent="0.35">
      <c r="A1578" s="5" t="s">
        <v>759</v>
      </c>
      <c r="B1578" s="50" t="s">
        <v>911</v>
      </c>
      <c r="C1578" s="7">
        <v>2</v>
      </c>
      <c r="D1578" s="7">
        <v>1.24</v>
      </c>
      <c r="E1578" s="85">
        <f t="shared" si="138"/>
        <v>2.48</v>
      </c>
    </row>
    <row r="1579" spans="1:5" ht="18" x14ac:dyDescent="0.35">
      <c r="A1579" s="5"/>
      <c r="B1579" s="50" t="s">
        <v>34</v>
      </c>
      <c r="C1579" s="7">
        <v>0.16</v>
      </c>
      <c r="D1579" s="7">
        <v>14.61</v>
      </c>
      <c r="E1579" s="85">
        <f t="shared" si="138"/>
        <v>2.3376000000000001</v>
      </c>
    </row>
    <row r="1580" spans="1:5" ht="18" x14ac:dyDescent="0.35">
      <c r="A1580" s="5"/>
      <c r="B1580" s="50" t="s">
        <v>35</v>
      </c>
      <c r="C1580" s="7">
        <v>4</v>
      </c>
      <c r="D1580" s="7">
        <v>2.89</v>
      </c>
      <c r="E1580" s="85">
        <f t="shared" si="138"/>
        <v>11.56</v>
      </c>
    </row>
    <row r="1581" spans="1:5" ht="18" x14ac:dyDescent="0.35">
      <c r="A1581" s="5"/>
      <c r="B1581" s="50" t="s">
        <v>36</v>
      </c>
      <c r="C1581" s="7">
        <v>4</v>
      </c>
      <c r="D1581" s="7">
        <v>0.61</v>
      </c>
      <c r="E1581" s="85">
        <f t="shared" si="138"/>
        <v>2.44</v>
      </c>
    </row>
    <row r="1582" spans="1:5" ht="18" x14ac:dyDescent="0.35">
      <c r="A1582" s="5"/>
      <c r="B1582" s="5"/>
      <c r="C1582" s="54"/>
      <c r="D1582" s="54"/>
      <c r="E1582" s="89">
        <f>SUM(E1576:E1581)</f>
        <v>172.08765000000002</v>
      </c>
    </row>
    <row r="1583" spans="1:5" ht="18" x14ac:dyDescent="0.35">
      <c r="A1583" s="5"/>
      <c r="B1583" s="50" t="s">
        <v>37</v>
      </c>
      <c r="C1583" s="54">
        <v>0.5</v>
      </c>
      <c r="D1583" s="54">
        <v>85</v>
      </c>
      <c r="E1583" s="85">
        <f>C1583*D1583</f>
        <v>42.5</v>
      </c>
    </row>
    <row r="1584" spans="1:5" ht="18" x14ac:dyDescent="0.35">
      <c r="A1584" s="5"/>
      <c r="B1584" s="5"/>
      <c r="C1584" s="54"/>
      <c r="D1584" s="54"/>
      <c r="E1584" s="85">
        <f>SUM(E1582:E1583)</f>
        <v>214.58765000000002</v>
      </c>
    </row>
    <row r="1587" spans="1:5" ht="21" x14ac:dyDescent="0.4">
      <c r="A1587" s="40" t="s">
        <v>599</v>
      </c>
      <c r="B1587" s="40"/>
      <c r="C1587" s="84"/>
    </row>
    <row r="1588" spans="1:5" ht="18" x14ac:dyDescent="0.35">
      <c r="A1588" s="5"/>
      <c r="B1588" s="5"/>
      <c r="C1588" s="7" t="s">
        <v>28</v>
      </c>
      <c r="D1588" s="7" t="s">
        <v>29</v>
      </c>
      <c r="E1588" s="7" t="s">
        <v>30</v>
      </c>
    </row>
    <row r="1589" spans="1:5" ht="18" x14ac:dyDescent="0.35">
      <c r="A1589" s="5" t="s">
        <v>912</v>
      </c>
      <c r="B1589" s="50" t="s">
        <v>32</v>
      </c>
      <c r="C1589" s="7">
        <v>4.4649999999999999</v>
      </c>
      <c r="D1589" s="7">
        <v>30.44</v>
      </c>
      <c r="E1589" s="85">
        <f t="shared" ref="E1589:E1594" si="139">C1589*D1589</f>
        <v>135.91460000000001</v>
      </c>
    </row>
    <row r="1590" spans="1:5" ht="18" x14ac:dyDescent="0.35">
      <c r="A1590" s="5" t="s">
        <v>909</v>
      </c>
      <c r="B1590" s="50" t="s">
        <v>33</v>
      </c>
      <c r="C1590" s="7">
        <v>4.1790000000000003</v>
      </c>
      <c r="D1590" s="7">
        <v>16.170000000000002</v>
      </c>
      <c r="E1590" s="85">
        <f t="shared" si="139"/>
        <v>67.574430000000007</v>
      </c>
    </row>
    <row r="1591" spans="1:5" ht="18" x14ac:dyDescent="0.35">
      <c r="A1591" s="5" t="s">
        <v>913</v>
      </c>
      <c r="B1591" s="50" t="s">
        <v>911</v>
      </c>
      <c r="C1591" s="7">
        <v>2</v>
      </c>
      <c r="D1591" s="7">
        <v>1.24</v>
      </c>
      <c r="E1591" s="85">
        <f t="shared" si="139"/>
        <v>2.48</v>
      </c>
    </row>
    <row r="1592" spans="1:5" ht="18" x14ac:dyDescent="0.35">
      <c r="A1592" s="5"/>
      <c r="B1592" s="50" t="s">
        <v>34</v>
      </c>
      <c r="C1592" s="7">
        <v>0.3</v>
      </c>
      <c r="D1592" s="7">
        <v>14.61</v>
      </c>
      <c r="E1592" s="85">
        <f t="shared" si="139"/>
        <v>4.383</v>
      </c>
    </row>
    <row r="1593" spans="1:5" ht="18" x14ac:dyDescent="0.35">
      <c r="A1593" s="5"/>
      <c r="B1593" s="50" t="s">
        <v>35</v>
      </c>
      <c r="C1593" s="7">
        <v>4</v>
      </c>
      <c r="D1593" s="7">
        <v>2.89</v>
      </c>
      <c r="E1593" s="85">
        <f t="shared" si="139"/>
        <v>11.56</v>
      </c>
    </row>
    <row r="1594" spans="1:5" ht="18" x14ac:dyDescent="0.35">
      <c r="A1594" s="5"/>
      <c r="B1594" s="50" t="s">
        <v>36</v>
      </c>
      <c r="C1594" s="7">
        <v>4</v>
      </c>
      <c r="D1594" s="7">
        <v>0.61</v>
      </c>
      <c r="E1594" s="85">
        <f t="shared" si="139"/>
        <v>2.44</v>
      </c>
    </row>
    <row r="1595" spans="1:5" ht="18" x14ac:dyDescent="0.35">
      <c r="A1595" s="5"/>
      <c r="B1595" s="5"/>
      <c r="C1595" s="54"/>
      <c r="D1595" s="54"/>
      <c r="E1595" s="89">
        <f>SUM(E1589:E1594)</f>
        <v>224.35203000000001</v>
      </c>
    </row>
    <row r="1596" spans="1:5" ht="18" x14ac:dyDescent="0.35">
      <c r="A1596" s="5"/>
      <c r="B1596" s="50" t="s">
        <v>37</v>
      </c>
      <c r="C1596" s="54">
        <v>0.5</v>
      </c>
      <c r="D1596" s="54">
        <v>85</v>
      </c>
      <c r="E1596" s="85">
        <f>C1596*D1596</f>
        <v>42.5</v>
      </c>
    </row>
    <row r="1597" spans="1:5" ht="18" x14ac:dyDescent="0.35">
      <c r="A1597" s="5"/>
      <c r="B1597" s="5"/>
      <c r="C1597" s="54"/>
      <c r="D1597" s="54"/>
      <c r="E1597" s="85">
        <f>SUM(E1595:E1596)</f>
        <v>266.85203000000001</v>
      </c>
    </row>
    <row r="1599" spans="1:5" ht="21" x14ac:dyDescent="0.4">
      <c r="A1599" s="40" t="s">
        <v>914</v>
      </c>
      <c r="B1599" s="40"/>
      <c r="C1599" s="40"/>
      <c r="D1599" s="12"/>
      <c r="E1599" s="12"/>
    </row>
    <row r="1600" spans="1:5" ht="18" x14ac:dyDescent="0.35">
      <c r="A1600" s="5"/>
      <c r="B1600" s="5"/>
      <c r="C1600" s="7" t="s">
        <v>28</v>
      </c>
      <c r="D1600" s="7" t="s">
        <v>29</v>
      </c>
      <c r="E1600" s="7" t="s">
        <v>30</v>
      </c>
    </row>
    <row r="1601" spans="1:5" ht="18" x14ac:dyDescent="0.35">
      <c r="A1601" s="5" t="s">
        <v>291</v>
      </c>
      <c r="B1601" s="50" t="s">
        <v>32</v>
      </c>
      <c r="C1601" s="7">
        <v>2.6589999999999998</v>
      </c>
      <c r="D1601" s="7">
        <v>30.44</v>
      </c>
      <c r="E1601" s="85">
        <f t="shared" ref="E1601:E1606" si="140">C1601*D1601</f>
        <v>80.939959999999999</v>
      </c>
    </row>
    <row r="1602" spans="1:5" ht="18" x14ac:dyDescent="0.35">
      <c r="A1602" s="5" t="s">
        <v>321</v>
      </c>
      <c r="B1602" s="50" t="s">
        <v>33</v>
      </c>
      <c r="C1602" s="7">
        <v>27.876999999999999</v>
      </c>
      <c r="D1602" s="7">
        <v>17.059999999999999</v>
      </c>
      <c r="E1602" s="85">
        <f t="shared" si="140"/>
        <v>475.58161999999993</v>
      </c>
    </row>
    <row r="1603" spans="1:5" ht="18" x14ac:dyDescent="0.35">
      <c r="A1603" s="5" t="s">
        <v>820</v>
      </c>
      <c r="B1603" s="50" t="s">
        <v>137</v>
      </c>
      <c r="C1603" s="7">
        <v>2</v>
      </c>
      <c r="D1603" s="7">
        <v>17.190000000000001</v>
      </c>
      <c r="E1603" s="85">
        <f t="shared" si="140"/>
        <v>34.380000000000003</v>
      </c>
    </row>
    <row r="1604" spans="1:5" ht="18" x14ac:dyDescent="0.35">
      <c r="A1604" s="5"/>
      <c r="B1604" s="50" t="s">
        <v>35</v>
      </c>
      <c r="C1604" s="7">
        <v>4</v>
      </c>
      <c r="D1604" s="7">
        <v>2.91</v>
      </c>
      <c r="E1604" s="85">
        <f t="shared" si="140"/>
        <v>11.64</v>
      </c>
    </row>
    <row r="1605" spans="1:5" ht="18" x14ac:dyDescent="0.35">
      <c r="A1605" s="5"/>
      <c r="B1605" s="50" t="s">
        <v>36</v>
      </c>
      <c r="C1605" s="7">
        <v>4</v>
      </c>
      <c r="D1605" s="7">
        <v>0.61</v>
      </c>
      <c r="E1605" s="85">
        <f t="shared" si="140"/>
        <v>2.44</v>
      </c>
    </row>
    <row r="1606" spans="1:5" ht="18" x14ac:dyDescent="0.35">
      <c r="A1606" s="5"/>
      <c r="B1606" s="50" t="s">
        <v>37</v>
      </c>
      <c r="C1606" s="54">
        <v>1.5</v>
      </c>
      <c r="D1606" s="86">
        <v>98</v>
      </c>
      <c r="E1606" s="85">
        <f t="shared" si="140"/>
        <v>147</v>
      </c>
    </row>
    <row r="1607" spans="1:5" ht="18" x14ac:dyDescent="0.35">
      <c r="A1607" s="5"/>
      <c r="B1607" s="5"/>
      <c r="C1607" s="54"/>
      <c r="D1607" s="54"/>
      <c r="E1607" s="85">
        <f>SUM(E1601:E1606)</f>
        <v>751.98158000000001</v>
      </c>
    </row>
    <row r="1609" spans="1:5" ht="21" x14ac:dyDescent="0.4">
      <c r="A1609" s="40" t="s">
        <v>915</v>
      </c>
      <c r="B1609" s="40"/>
      <c r="C1609" s="40"/>
      <c r="D1609" s="12"/>
      <c r="E1609" s="12"/>
    </row>
    <row r="1610" spans="1:5" ht="18" x14ac:dyDescent="0.35">
      <c r="A1610" s="5"/>
      <c r="B1610" s="5"/>
      <c r="C1610" s="7" t="s">
        <v>28</v>
      </c>
      <c r="D1610" s="7" t="s">
        <v>29</v>
      </c>
      <c r="E1610" s="7" t="s">
        <v>30</v>
      </c>
    </row>
    <row r="1611" spans="1:5" ht="18" x14ac:dyDescent="0.35">
      <c r="A1611" s="5" t="s">
        <v>311</v>
      </c>
      <c r="B1611" s="50" t="s">
        <v>32</v>
      </c>
      <c r="C1611" s="7">
        <v>2.028</v>
      </c>
      <c r="D1611" s="7">
        <v>30.44</v>
      </c>
      <c r="E1611" s="85">
        <f t="shared" ref="E1611:E1616" si="141">C1611*D1611</f>
        <v>61.732320000000001</v>
      </c>
    </row>
    <row r="1612" spans="1:5" ht="18" x14ac:dyDescent="0.35">
      <c r="A1612" s="5" t="s">
        <v>321</v>
      </c>
      <c r="B1612" s="50" t="s">
        <v>33</v>
      </c>
      <c r="C1612" s="7">
        <v>20.79</v>
      </c>
      <c r="D1612" s="7">
        <v>17.059999999999999</v>
      </c>
      <c r="E1612" s="85">
        <f t="shared" si="141"/>
        <v>354.67739999999998</v>
      </c>
    </row>
    <row r="1613" spans="1:5" ht="18" x14ac:dyDescent="0.35">
      <c r="A1613" s="5" t="s">
        <v>916</v>
      </c>
      <c r="B1613" s="50" t="s">
        <v>137</v>
      </c>
      <c r="C1613" s="7">
        <v>1</v>
      </c>
      <c r="D1613" s="7">
        <v>17.190000000000001</v>
      </c>
      <c r="E1613" s="85">
        <f t="shared" si="141"/>
        <v>17.190000000000001</v>
      </c>
    </row>
    <row r="1614" spans="1:5" ht="18" x14ac:dyDescent="0.35">
      <c r="A1614" s="5"/>
      <c r="B1614" s="50" t="s">
        <v>35</v>
      </c>
      <c r="C1614" s="7">
        <v>4</v>
      </c>
      <c r="D1614" s="7">
        <v>2.91</v>
      </c>
      <c r="E1614" s="85">
        <f t="shared" si="141"/>
        <v>11.64</v>
      </c>
    </row>
    <row r="1615" spans="1:5" ht="18" x14ac:dyDescent="0.35">
      <c r="A1615" s="5"/>
      <c r="B1615" s="50" t="s">
        <v>36</v>
      </c>
      <c r="C1615" s="7">
        <v>4</v>
      </c>
      <c r="D1615" s="7">
        <v>0.61</v>
      </c>
      <c r="E1615" s="85">
        <f t="shared" si="141"/>
        <v>2.44</v>
      </c>
    </row>
    <row r="1616" spans="1:5" ht="18" x14ac:dyDescent="0.35">
      <c r="A1616" s="5"/>
      <c r="B1616" s="50" t="s">
        <v>37</v>
      </c>
      <c r="C1616" s="54">
        <v>1</v>
      </c>
      <c r="D1616" s="86">
        <v>98</v>
      </c>
      <c r="E1616" s="85">
        <f t="shared" si="141"/>
        <v>98</v>
      </c>
    </row>
    <row r="1617" spans="1:5" ht="18" x14ac:dyDescent="0.35">
      <c r="A1617" s="5"/>
      <c r="B1617" s="5"/>
      <c r="C1617" s="54"/>
      <c r="D1617" s="54"/>
      <c r="E1617" s="85">
        <f>SUM(E1611:E1616)</f>
        <v>545.67971999999997</v>
      </c>
    </row>
    <row r="1619" spans="1:5" ht="21" x14ac:dyDescent="0.4">
      <c r="A1619" s="40" t="s">
        <v>599</v>
      </c>
      <c r="B1619" s="40"/>
      <c r="C1619" s="84"/>
    </row>
    <row r="1620" spans="1:5" ht="18" x14ac:dyDescent="0.35">
      <c r="A1620" s="5"/>
      <c r="B1620" s="5"/>
      <c r="C1620" s="7" t="s">
        <v>28</v>
      </c>
      <c r="D1620" s="7" t="s">
        <v>29</v>
      </c>
      <c r="E1620" s="7" t="s">
        <v>30</v>
      </c>
    </row>
    <row r="1621" spans="1:5" ht="18" x14ac:dyDescent="0.35">
      <c r="A1621" s="5" t="s">
        <v>294</v>
      </c>
      <c r="B1621" s="50" t="s">
        <v>32</v>
      </c>
      <c r="C1621" s="7">
        <v>3.7080000000000002</v>
      </c>
      <c r="D1621" s="7">
        <v>30.44</v>
      </c>
      <c r="E1621" s="85">
        <f t="shared" ref="E1621:E1626" si="142">C1621*D1621</f>
        <v>112.87152</v>
      </c>
    </row>
    <row r="1622" spans="1:5" ht="18" x14ac:dyDescent="0.35">
      <c r="A1622" s="5" t="s">
        <v>55</v>
      </c>
      <c r="B1622" s="50" t="s">
        <v>33</v>
      </c>
      <c r="C1622" s="7">
        <v>29.988</v>
      </c>
      <c r="D1622" s="7">
        <v>16.170000000000002</v>
      </c>
      <c r="E1622" s="85">
        <f t="shared" si="142"/>
        <v>484.90596000000005</v>
      </c>
    </row>
    <row r="1623" spans="1:5" ht="18" x14ac:dyDescent="0.35">
      <c r="A1623" s="5" t="s">
        <v>917</v>
      </c>
      <c r="B1623" s="50" t="s">
        <v>113</v>
      </c>
      <c r="C1623" s="7">
        <v>2</v>
      </c>
      <c r="D1623" s="7">
        <v>2.2400000000000002</v>
      </c>
      <c r="E1623" s="85">
        <f t="shared" si="142"/>
        <v>4.4800000000000004</v>
      </c>
    </row>
    <row r="1624" spans="1:5" ht="18" x14ac:dyDescent="0.35">
      <c r="A1624" s="5"/>
      <c r="B1624" s="50" t="s">
        <v>34</v>
      </c>
      <c r="C1624" s="7">
        <v>2</v>
      </c>
      <c r="D1624" s="7">
        <v>14.61</v>
      </c>
      <c r="E1624" s="85">
        <f t="shared" si="142"/>
        <v>29.22</v>
      </c>
    </row>
    <row r="1625" spans="1:5" ht="18" x14ac:dyDescent="0.35">
      <c r="A1625" s="5"/>
      <c r="B1625" s="50" t="s">
        <v>35</v>
      </c>
      <c r="C1625" s="7">
        <v>4</v>
      </c>
      <c r="D1625" s="7">
        <v>2.89</v>
      </c>
      <c r="E1625" s="85">
        <f t="shared" si="142"/>
        <v>11.56</v>
      </c>
    </row>
    <row r="1626" spans="1:5" ht="18" x14ac:dyDescent="0.35">
      <c r="A1626" s="5"/>
      <c r="B1626" s="50" t="s">
        <v>36</v>
      </c>
      <c r="C1626" s="7">
        <v>4</v>
      </c>
      <c r="D1626" s="7">
        <v>0.61</v>
      </c>
      <c r="E1626" s="85">
        <f t="shared" si="142"/>
        <v>2.44</v>
      </c>
    </row>
    <row r="1627" spans="1:5" ht="18" x14ac:dyDescent="0.35">
      <c r="A1627" s="5"/>
      <c r="B1627" s="5"/>
      <c r="C1627" s="54"/>
      <c r="D1627" s="54"/>
      <c r="E1627" s="89">
        <f>SUM(E1621:E1626)</f>
        <v>645.47748000000013</v>
      </c>
    </row>
    <row r="1628" spans="1:5" ht="18" x14ac:dyDescent="0.35">
      <c r="A1628" s="5"/>
      <c r="B1628" s="50" t="s">
        <v>37</v>
      </c>
      <c r="C1628" s="54">
        <v>1.5</v>
      </c>
      <c r="D1628" s="54">
        <v>98</v>
      </c>
      <c r="E1628" s="85">
        <f>C1628*D1628</f>
        <v>147</v>
      </c>
    </row>
    <row r="1629" spans="1:5" ht="18" x14ac:dyDescent="0.35">
      <c r="A1629" s="5"/>
      <c r="B1629" s="5"/>
      <c r="C1629" s="54"/>
      <c r="D1629" s="54"/>
      <c r="E1629" s="85">
        <f>SUM(E1627:E1628)</f>
        <v>792.47748000000013</v>
      </c>
    </row>
    <row r="1631" spans="1:5" ht="21" x14ac:dyDescent="0.4">
      <c r="A1631" s="40" t="s">
        <v>914</v>
      </c>
      <c r="B1631" s="40"/>
      <c r="C1631" s="40"/>
      <c r="D1631" s="12"/>
      <c r="E1631" s="12"/>
    </row>
    <row r="1632" spans="1:5" ht="18" x14ac:dyDescent="0.35">
      <c r="A1632" s="5"/>
      <c r="B1632" s="5"/>
      <c r="C1632" s="7" t="s">
        <v>28</v>
      </c>
      <c r="D1632" s="7" t="s">
        <v>29</v>
      </c>
      <c r="E1632" s="7" t="s">
        <v>30</v>
      </c>
    </row>
    <row r="1633" spans="1:5" ht="18" x14ac:dyDescent="0.35">
      <c r="A1633" s="5" t="s">
        <v>918</v>
      </c>
      <c r="B1633" s="50" t="s">
        <v>32</v>
      </c>
      <c r="C1633" s="7">
        <v>4.1289999999999996</v>
      </c>
      <c r="D1633" s="7">
        <v>30.44</v>
      </c>
      <c r="E1633" s="85">
        <f t="shared" ref="E1633:E1638" si="143">C1633*D1633</f>
        <v>125.68675999999999</v>
      </c>
    </row>
    <row r="1634" spans="1:5" ht="18" x14ac:dyDescent="0.35">
      <c r="A1634" s="5" t="s">
        <v>920</v>
      </c>
      <c r="B1634" s="50" t="s">
        <v>33</v>
      </c>
      <c r="C1634" s="7">
        <v>71.221999999999994</v>
      </c>
      <c r="D1634" s="7">
        <v>17.059999999999999</v>
      </c>
      <c r="E1634" s="85">
        <f t="shared" si="143"/>
        <v>1215.0473199999999</v>
      </c>
    </row>
    <row r="1635" spans="1:5" ht="18" x14ac:dyDescent="0.35">
      <c r="A1635" s="5" t="s">
        <v>919</v>
      </c>
      <c r="B1635" s="50" t="s">
        <v>137</v>
      </c>
      <c r="C1635" s="7">
        <v>4</v>
      </c>
      <c r="D1635" s="7">
        <v>17.190000000000001</v>
      </c>
      <c r="E1635" s="85">
        <f t="shared" si="143"/>
        <v>68.760000000000005</v>
      </c>
    </row>
    <row r="1636" spans="1:5" ht="18" x14ac:dyDescent="0.35">
      <c r="A1636" s="5"/>
      <c r="B1636" s="50" t="s">
        <v>35</v>
      </c>
      <c r="C1636" s="7">
        <v>4</v>
      </c>
      <c r="D1636" s="7">
        <v>2.91</v>
      </c>
      <c r="E1636" s="85">
        <f t="shared" si="143"/>
        <v>11.64</v>
      </c>
    </row>
    <row r="1637" spans="1:5" ht="18" x14ac:dyDescent="0.35">
      <c r="A1637" s="5"/>
      <c r="B1637" s="50" t="s">
        <v>36</v>
      </c>
      <c r="C1637" s="7">
        <v>4</v>
      </c>
      <c r="D1637" s="7">
        <v>0.61</v>
      </c>
      <c r="E1637" s="85">
        <f t="shared" si="143"/>
        <v>2.44</v>
      </c>
    </row>
    <row r="1638" spans="1:5" ht="18" x14ac:dyDescent="0.35">
      <c r="A1638" s="5"/>
      <c r="B1638" s="50" t="s">
        <v>37</v>
      </c>
      <c r="C1638" s="54">
        <v>3</v>
      </c>
      <c r="D1638" s="86">
        <v>98</v>
      </c>
      <c r="E1638" s="85">
        <f t="shared" si="143"/>
        <v>294</v>
      </c>
    </row>
    <row r="1639" spans="1:5" ht="18" x14ac:dyDescent="0.35">
      <c r="A1639" s="5"/>
      <c r="B1639" s="5"/>
      <c r="C1639" s="54"/>
      <c r="D1639" s="54"/>
      <c r="E1639" s="85">
        <f>SUM(E1633:E1638)</f>
        <v>1717.5740800000001</v>
      </c>
    </row>
    <row r="1642" spans="1:5" ht="21" x14ac:dyDescent="0.4">
      <c r="A1642" s="40" t="s">
        <v>921</v>
      </c>
      <c r="B1642" s="40"/>
      <c r="C1642" s="40"/>
      <c r="D1642" s="12"/>
      <c r="E1642" s="12"/>
    </row>
    <row r="1643" spans="1:5" ht="18" x14ac:dyDescent="0.35">
      <c r="A1643" s="5"/>
      <c r="B1643" s="5"/>
      <c r="C1643" s="7" t="s">
        <v>28</v>
      </c>
      <c r="D1643" s="7" t="s">
        <v>29</v>
      </c>
      <c r="E1643" s="7" t="s">
        <v>30</v>
      </c>
    </row>
    <row r="1644" spans="1:5" ht="18" x14ac:dyDescent="0.35">
      <c r="A1644" s="5" t="s">
        <v>341</v>
      </c>
      <c r="B1644" s="50" t="s">
        <v>32</v>
      </c>
      <c r="C1644" s="7">
        <v>2.6589999999999998</v>
      </c>
      <c r="D1644" s="7">
        <v>30.44</v>
      </c>
      <c r="E1644" s="85">
        <f t="shared" ref="E1644:E1649" si="144">C1644*D1644</f>
        <v>80.939959999999999</v>
      </c>
    </row>
    <row r="1645" spans="1:5" ht="18" x14ac:dyDescent="0.35">
      <c r="A1645" s="5" t="s">
        <v>624</v>
      </c>
      <c r="B1645" s="50" t="s">
        <v>33</v>
      </c>
      <c r="C1645" s="7">
        <v>30.690999999999999</v>
      </c>
      <c r="D1645" s="7">
        <v>17.059999999999999</v>
      </c>
      <c r="E1645" s="85">
        <f t="shared" si="144"/>
        <v>523.58845999999994</v>
      </c>
    </row>
    <row r="1646" spans="1:5" ht="18" x14ac:dyDescent="0.35">
      <c r="A1646" s="5" t="s">
        <v>742</v>
      </c>
      <c r="B1646" s="50" t="s">
        <v>137</v>
      </c>
      <c r="C1646" s="7">
        <v>1.5</v>
      </c>
      <c r="D1646" s="7">
        <v>17.190000000000001</v>
      </c>
      <c r="E1646" s="85">
        <f t="shared" si="144"/>
        <v>25.785000000000004</v>
      </c>
    </row>
    <row r="1647" spans="1:5" ht="18" x14ac:dyDescent="0.35">
      <c r="A1647" s="5"/>
      <c r="B1647" s="50" t="s">
        <v>35</v>
      </c>
      <c r="C1647" s="7">
        <v>4</v>
      </c>
      <c r="D1647" s="7">
        <v>2.91</v>
      </c>
      <c r="E1647" s="85">
        <f t="shared" si="144"/>
        <v>11.64</v>
      </c>
    </row>
    <row r="1648" spans="1:5" ht="18" x14ac:dyDescent="0.35">
      <c r="A1648" s="5"/>
      <c r="B1648" s="50" t="s">
        <v>36</v>
      </c>
      <c r="C1648" s="7">
        <v>4</v>
      </c>
      <c r="D1648" s="7">
        <v>0.61</v>
      </c>
      <c r="E1648" s="85">
        <f t="shared" si="144"/>
        <v>2.44</v>
      </c>
    </row>
    <row r="1649" spans="1:5" ht="18" x14ac:dyDescent="0.35">
      <c r="A1649" s="5"/>
      <c r="B1649" s="50" t="s">
        <v>37</v>
      </c>
      <c r="C1649" s="54">
        <v>1</v>
      </c>
      <c r="D1649" s="86">
        <v>98</v>
      </c>
      <c r="E1649" s="85">
        <f t="shared" si="144"/>
        <v>98</v>
      </c>
    </row>
    <row r="1650" spans="1:5" ht="18" x14ac:dyDescent="0.35">
      <c r="A1650" s="5"/>
      <c r="B1650" s="5"/>
      <c r="C1650" s="54"/>
      <c r="D1650" s="54"/>
      <c r="E1650" s="85">
        <f>SUM(E1644:E1649)</f>
        <v>742.39341999999999</v>
      </c>
    </row>
    <row r="1653" spans="1:5" ht="21" x14ac:dyDescent="0.4">
      <c r="A1653" s="40" t="s">
        <v>921</v>
      </c>
      <c r="B1653" s="40"/>
      <c r="C1653" s="40"/>
      <c r="D1653" s="12"/>
      <c r="E1653" s="12"/>
    </row>
    <row r="1654" spans="1:5" ht="18" x14ac:dyDescent="0.35">
      <c r="A1654" s="5"/>
      <c r="B1654" s="5"/>
      <c r="C1654" s="7" t="s">
        <v>28</v>
      </c>
      <c r="D1654" s="7" t="s">
        <v>29</v>
      </c>
      <c r="E1654" s="7" t="s">
        <v>30</v>
      </c>
    </row>
    <row r="1655" spans="1:5" ht="18" x14ac:dyDescent="0.35">
      <c r="A1655" s="5" t="s">
        <v>922</v>
      </c>
      <c r="B1655" s="50" t="s">
        <v>32</v>
      </c>
      <c r="C1655" s="7">
        <v>1.923</v>
      </c>
      <c r="D1655" s="7">
        <v>30.44</v>
      </c>
      <c r="E1655" s="85">
        <f t="shared" ref="E1655:E1660" si="145">C1655*D1655</f>
        <v>58.536120000000004</v>
      </c>
    </row>
    <row r="1656" spans="1:5" ht="18" x14ac:dyDescent="0.35">
      <c r="A1656" s="5" t="s">
        <v>464</v>
      </c>
      <c r="B1656" s="50" t="s">
        <v>33</v>
      </c>
      <c r="C1656" s="7">
        <v>12.863</v>
      </c>
      <c r="D1656" s="7">
        <v>17.059999999999999</v>
      </c>
      <c r="E1656" s="85">
        <f t="shared" si="145"/>
        <v>219.44277999999997</v>
      </c>
    </row>
    <row r="1657" spans="1:5" ht="18" x14ac:dyDescent="0.35">
      <c r="A1657" s="5" t="s">
        <v>757</v>
      </c>
      <c r="B1657" s="50" t="s">
        <v>137</v>
      </c>
      <c r="C1657" s="7">
        <v>0.75</v>
      </c>
      <c r="D1657" s="7">
        <v>17.190000000000001</v>
      </c>
      <c r="E1657" s="85">
        <f t="shared" si="145"/>
        <v>12.892500000000002</v>
      </c>
    </row>
    <row r="1658" spans="1:5" ht="18" x14ac:dyDescent="0.35">
      <c r="A1658" s="5"/>
      <c r="B1658" s="50" t="s">
        <v>35</v>
      </c>
      <c r="C1658" s="7">
        <v>4</v>
      </c>
      <c r="D1658" s="7">
        <v>2.91</v>
      </c>
      <c r="E1658" s="85">
        <f t="shared" si="145"/>
        <v>11.64</v>
      </c>
    </row>
    <row r="1659" spans="1:5" ht="18" x14ac:dyDescent="0.35">
      <c r="A1659" s="5"/>
      <c r="B1659" s="50" t="s">
        <v>36</v>
      </c>
      <c r="C1659" s="7">
        <v>4</v>
      </c>
      <c r="D1659" s="7">
        <v>0.61</v>
      </c>
      <c r="E1659" s="85">
        <f t="shared" si="145"/>
        <v>2.44</v>
      </c>
    </row>
    <row r="1660" spans="1:5" ht="18" x14ac:dyDescent="0.35">
      <c r="A1660" s="5"/>
      <c r="B1660" s="50" t="s">
        <v>37</v>
      </c>
      <c r="C1660" s="54">
        <v>1</v>
      </c>
      <c r="D1660" s="86">
        <v>98</v>
      </c>
      <c r="E1660" s="85">
        <f t="shared" si="145"/>
        <v>98</v>
      </c>
    </row>
    <row r="1661" spans="1:5" ht="18" x14ac:dyDescent="0.35">
      <c r="A1661" s="5"/>
      <c r="B1661" s="5"/>
      <c r="C1661" s="54"/>
      <c r="D1661" s="54"/>
      <c r="E1661" s="85">
        <f>SUM(E1655:E1660)</f>
        <v>402.95139999999992</v>
      </c>
    </row>
    <row r="1663" spans="1:5" ht="21" x14ac:dyDescent="0.4">
      <c r="A1663" s="40" t="s">
        <v>923</v>
      </c>
      <c r="B1663" s="40"/>
      <c r="C1663" s="84"/>
      <c r="D1663" s="12"/>
      <c r="E1663" s="83"/>
    </row>
    <row r="1664" spans="1:5" x14ac:dyDescent="0.3">
      <c r="C1664" s="12"/>
      <c r="D1664" s="12"/>
      <c r="E1664" s="12"/>
    </row>
    <row r="1665" spans="1:5" ht="18" x14ac:dyDescent="0.35">
      <c r="A1665" s="5"/>
      <c r="B1665" s="5"/>
      <c r="C1665" s="7" t="s">
        <v>28</v>
      </c>
      <c r="D1665" s="7" t="s">
        <v>29</v>
      </c>
      <c r="E1665" s="7" t="s">
        <v>30</v>
      </c>
    </row>
    <row r="1666" spans="1:5" ht="18" x14ac:dyDescent="0.35">
      <c r="A1666" s="5" t="s">
        <v>41</v>
      </c>
      <c r="B1666" s="50" t="s">
        <v>32</v>
      </c>
      <c r="C1666" s="7">
        <v>1.3979999999999999</v>
      </c>
      <c r="D1666" s="7">
        <v>29.12</v>
      </c>
      <c r="E1666" s="85">
        <f t="shared" ref="E1666:E1671" si="146">C1666*D1666</f>
        <v>40.709759999999996</v>
      </c>
    </row>
    <row r="1667" spans="1:5" ht="18" x14ac:dyDescent="0.35">
      <c r="A1667" s="5" t="s">
        <v>238</v>
      </c>
      <c r="B1667" s="50" t="s">
        <v>33</v>
      </c>
      <c r="C1667" s="7">
        <v>2.0579999999999998</v>
      </c>
      <c r="D1667" s="7">
        <v>14.94</v>
      </c>
      <c r="E1667" s="85">
        <f t="shared" si="146"/>
        <v>30.746519999999997</v>
      </c>
    </row>
    <row r="1668" spans="1:5" ht="18" x14ac:dyDescent="0.35">
      <c r="A1668" s="5" t="s">
        <v>799</v>
      </c>
      <c r="B1668" s="50" t="s">
        <v>43</v>
      </c>
      <c r="C1668" s="7">
        <v>2</v>
      </c>
      <c r="D1668" s="7">
        <v>1.1499999999999999</v>
      </c>
      <c r="E1668" s="85">
        <f t="shared" si="146"/>
        <v>2.2999999999999998</v>
      </c>
    </row>
    <row r="1669" spans="1:5" ht="18" x14ac:dyDescent="0.35">
      <c r="A1669" s="5"/>
      <c r="B1669" s="50" t="s">
        <v>34</v>
      </c>
      <c r="C1669" s="7"/>
      <c r="D1669" s="7">
        <v>14.61</v>
      </c>
      <c r="E1669" s="85">
        <f t="shared" si="146"/>
        <v>0</v>
      </c>
    </row>
    <row r="1670" spans="1:5" ht="18" x14ac:dyDescent="0.35">
      <c r="A1670" s="5"/>
      <c r="B1670" s="50" t="s">
        <v>35</v>
      </c>
      <c r="C1670" s="7">
        <v>4</v>
      </c>
      <c r="D1670" s="7">
        <v>2.89</v>
      </c>
      <c r="E1670" s="85">
        <f t="shared" si="146"/>
        <v>11.56</v>
      </c>
    </row>
    <row r="1671" spans="1:5" ht="18" x14ac:dyDescent="0.35">
      <c r="A1671" s="5"/>
      <c r="B1671" s="50" t="s">
        <v>36</v>
      </c>
      <c r="C1671" s="7">
        <v>4</v>
      </c>
      <c r="D1671" s="7">
        <v>0.6</v>
      </c>
      <c r="E1671" s="85">
        <f t="shared" si="146"/>
        <v>2.4</v>
      </c>
    </row>
    <row r="1672" spans="1:5" ht="18" x14ac:dyDescent="0.35">
      <c r="A1672" s="5"/>
      <c r="B1672" s="5"/>
      <c r="C1672" s="54"/>
      <c r="D1672" s="54"/>
      <c r="E1672" s="89">
        <f>SUM(E1666:E1671)</f>
        <v>87.716279999999998</v>
      </c>
    </row>
    <row r="1673" spans="1:5" ht="18" x14ac:dyDescent="0.35">
      <c r="A1673" s="5"/>
      <c r="B1673" s="50" t="s">
        <v>37</v>
      </c>
      <c r="C1673" s="54">
        <v>0.2</v>
      </c>
      <c r="D1673" s="54">
        <v>85</v>
      </c>
      <c r="E1673" s="85">
        <f>C1673*D1673</f>
        <v>17</v>
      </c>
    </row>
    <row r="1674" spans="1:5" ht="18" x14ac:dyDescent="0.35">
      <c r="A1674" s="5"/>
      <c r="B1674" s="5"/>
      <c r="C1674" s="54"/>
      <c r="D1674" s="54"/>
      <c r="E1674" s="85">
        <f>SUM(E1672:E1673)</f>
        <v>104.71628</v>
      </c>
    </row>
    <row r="1676" spans="1:5" ht="21" x14ac:dyDescent="0.4">
      <c r="A1676" s="40" t="s">
        <v>599</v>
      </c>
      <c r="B1676" s="40"/>
      <c r="C1676" s="84"/>
    </row>
    <row r="1677" spans="1:5" ht="18" x14ac:dyDescent="0.35">
      <c r="A1677" s="5"/>
      <c r="B1677" s="5"/>
      <c r="C1677" s="7" t="s">
        <v>28</v>
      </c>
      <c r="D1677" s="7" t="s">
        <v>29</v>
      </c>
      <c r="E1677" s="7" t="s">
        <v>30</v>
      </c>
    </row>
    <row r="1678" spans="1:5" ht="18" x14ac:dyDescent="0.35">
      <c r="A1678" s="5" t="s">
        <v>924</v>
      </c>
      <c r="B1678" s="50" t="s">
        <v>32</v>
      </c>
      <c r="C1678" s="7">
        <v>5.5990000000000002</v>
      </c>
      <c r="D1678" s="7">
        <v>30.44</v>
      </c>
      <c r="E1678" s="85">
        <f t="shared" ref="E1678:E1683" si="147">C1678*D1678</f>
        <v>170.43356</v>
      </c>
    </row>
    <row r="1679" spans="1:5" ht="18" x14ac:dyDescent="0.35">
      <c r="A1679" s="5" t="s">
        <v>377</v>
      </c>
      <c r="B1679" s="50" t="s">
        <v>33</v>
      </c>
      <c r="C1679" s="7">
        <v>83.474999999999994</v>
      </c>
      <c r="D1679" s="7">
        <v>16.170000000000002</v>
      </c>
      <c r="E1679" s="85">
        <f t="shared" si="147"/>
        <v>1349.7907500000001</v>
      </c>
    </row>
    <row r="1680" spans="1:5" ht="18" x14ac:dyDescent="0.35">
      <c r="A1680" s="5" t="s">
        <v>925</v>
      </c>
      <c r="B1680" s="50" t="s">
        <v>128</v>
      </c>
      <c r="C1680" s="7">
        <v>4</v>
      </c>
      <c r="D1680" s="7">
        <v>2.2400000000000002</v>
      </c>
      <c r="E1680" s="85">
        <f t="shared" si="147"/>
        <v>8.9600000000000009</v>
      </c>
    </row>
    <row r="1681" spans="1:5" ht="18" x14ac:dyDescent="0.35">
      <c r="A1681" s="5"/>
      <c r="B1681" s="50" t="s">
        <v>34</v>
      </c>
      <c r="C1681" s="7">
        <v>4</v>
      </c>
      <c r="D1681" s="7">
        <v>14.61</v>
      </c>
      <c r="E1681" s="85">
        <f t="shared" si="147"/>
        <v>58.44</v>
      </c>
    </row>
    <row r="1682" spans="1:5" ht="18" x14ac:dyDescent="0.35">
      <c r="A1682" s="5"/>
      <c r="B1682" s="50" t="s">
        <v>35</v>
      </c>
      <c r="C1682" s="7">
        <v>12</v>
      </c>
      <c r="D1682" s="7">
        <v>2.89</v>
      </c>
      <c r="E1682" s="85">
        <f t="shared" si="147"/>
        <v>34.68</v>
      </c>
    </row>
    <row r="1683" spans="1:5" ht="18" x14ac:dyDescent="0.35">
      <c r="A1683" s="5"/>
      <c r="B1683" s="50" t="s">
        <v>36</v>
      </c>
      <c r="C1683" s="7">
        <v>4</v>
      </c>
      <c r="D1683" s="7">
        <v>0.61</v>
      </c>
      <c r="E1683" s="85">
        <f t="shared" si="147"/>
        <v>2.44</v>
      </c>
    </row>
    <row r="1684" spans="1:5" ht="18" x14ac:dyDescent="0.35">
      <c r="A1684" s="5"/>
      <c r="B1684" s="5"/>
      <c r="C1684" s="54"/>
      <c r="D1684" s="54"/>
      <c r="E1684" s="89">
        <f>SUM(E1678:E1683)</f>
        <v>1624.7443100000003</v>
      </c>
    </row>
    <row r="1685" spans="1:5" ht="18" x14ac:dyDescent="0.35">
      <c r="A1685" s="5"/>
      <c r="B1685" s="50" t="s">
        <v>37</v>
      </c>
      <c r="C1685" s="54">
        <v>4</v>
      </c>
      <c r="D1685" s="54">
        <v>101.32</v>
      </c>
      <c r="E1685" s="85">
        <f>C1685*D1685</f>
        <v>405.28</v>
      </c>
    </row>
    <row r="1686" spans="1:5" ht="18" x14ac:dyDescent="0.35">
      <c r="A1686" s="5"/>
      <c r="B1686" s="5"/>
      <c r="C1686" s="54"/>
      <c r="D1686" s="54"/>
      <c r="E1686" s="85">
        <f>SUM(E1684:E1685)</f>
        <v>2030.0243100000002</v>
      </c>
    </row>
    <row r="1688" spans="1:5" ht="21" x14ac:dyDescent="0.4">
      <c r="A1688" s="40" t="s">
        <v>926</v>
      </c>
      <c r="B1688" s="40"/>
      <c r="C1688" s="40"/>
      <c r="D1688" s="12"/>
      <c r="E1688" s="12"/>
    </row>
    <row r="1689" spans="1:5" ht="18" x14ac:dyDescent="0.35">
      <c r="A1689" s="5"/>
      <c r="B1689" s="5"/>
      <c r="C1689" s="7" t="s">
        <v>28</v>
      </c>
      <c r="D1689" s="7" t="s">
        <v>29</v>
      </c>
      <c r="E1689" s="7" t="s">
        <v>30</v>
      </c>
    </row>
    <row r="1690" spans="1:5" ht="18" x14ac:dyDescent="0.35">
      <c r="A1690" s="5" t="s">
        <v>927</v>
      </c>
      <c r="B1690" s="50" t="s">
        <v>32</v>
      </c>
      <c r="C1690" s="7">
        <v>1.5669999999999999</v>
      </c>
      <c r="D1690" s="7">
        <v>30.44</v>
      </c>
      <c r="E1690" s="85">
        <f t="shared" ref="E1690:E1695" si="148">C1690*D1690</f>
        <v>47.699480000000001</v>
      </c>
    </row>
    <row r="1691" spans="1:5" ht="18" x14ac:dyDescent="0.35">
      <c r="A1691" s="5" t="s">
        <v>229</v>
      </c>
      <c r="B1691" s="50" t="s">
        <v>33</v>
      </c>
      <c r="C1691" s="7">
        <v>4.5359999999999996</v>
      </c>
      <c r="D1691" s="7">
        <v>17.059999999999999</v>
      </c>
      <c r="E1691" s="85">
        <f t="shared" si="148"/>
        <v>77.38415999999998</v>
      </c>
    </row>
    <row r="1692" spans="1:5" ht="18" x14ac:dyDescent="0.35">
      <c r="A1692" s="5" t="s">
        <v>846</v>
      </c>
      <c r="B1692" s="50" t="s">
        <v>137</v>
      </c>
      <c r="C1692" s="7">
        <v>0.28000000000000003</v>
      </c>
      <c r="D1692" s="7">
        <v>17.190000000000001</v>
      </c>
      <c r="E1692" s="85">
        <f t="shared" si="148"/>
        <v>4.813200000000001</v>
      </c>
    </row>
    <row r="1693" spans="1:5" ht="18" x14ac:dyDescent="0.35">
      <c r="A1693" s="5"/>
      <c r="B1693" s="50" t="s">
        <v>35</v>
      </c>
      <c r="C1693" s="7">
        <v>4</v>
      </c>
      <c r="D1693" s="7">
        <v>2.91</v>
      </c>
      <c r="E1693" s="85">
        <f t="shared" si="148"/>
        <v>11.64</v>
      </c>
    </row>
    <row r="1694" spans="1:5" ht="18" x14ac:dyDescent="0.35">
      <c r="A1694" s="5"/>
      <c r="B1694" s="50" t="s">
        <v>36</v>
      </c>
      <c r="C1694" s="7">
        <v>4</v>
      </c>
      <c r="D1694" s="7">
        <v>0.61</v>
      </c>
      <c r="E1694" s="85">
        <f t="shared" si="148"/>
        <v>2.44</v>
      </c>
    </row>
    <row r="1695" spans="1:5" ht="18" x14ac:dyDescent="0.35">
      <c r="A1695" s="5"/>
      <c r="B1695" s="50" t="s">
        <v>37</v>
      </c>
      <c r="C1695" s="54">
        <v>0.5</v>
      </c>
      <c r="D1695" s="86">
        <v>98</v>
      </c>
      <c r="E1695" s="85">
        <f t="shared" si="148"/>
        <v>49</v>
      </c>
    </row>
    <row r="1696" spans="1:5" ht="18" x14ac:dyDescent="0.35">
      <c r="A1696" s="5"/>
      <c r="B1696" s="5"/>
      <c r="C1696" s="54"/>
      <c r="D1696" s="54"/>
      <c r="E1696" s="85">
        <f>SUM(E1690:E1695)</f>
        <v>192.97683999999998</v>
      </c>
    </row>
    <row r="1699" spans="1:11" ht="21" x14ac:dyDescent="0.4">
      <c r="A1699" s="40" t="s">
        <v>928</v>
      </c>
      <c r="B1699" s="40"/>
      <c r="C1699" s="40"/>
      <c r="D1699" s="12"/>
      <c r="E1699" s="12"/>
      <c r="G1699" s="40" t="s">
        <v>599</v>
      </c>
      <c r="H1699" s="40"/>
      <c r="I1699" s="84"/>
    </row>
    <row r="1700" spans="1:11" ht="18" x14ac:dyDescent="0.35">
      <c r="A1700" s="5"/>
      <c r="B1700" s="5"/>
      <c r="C1700" s="7" t="s">
        <v>28</v>
      </c>
      <c r="D1700" s="7" t="s">
        <v>29</v>
      </c>
      <c r="E1700" s="7" t="s">
        <v>30</v>
      </c>
      <c r="G1700" s="5"/>
      <c r="H1700" s="5"/>
      <c r="I1700" s="7" t="s">
        <v>28</v>
      </c>
      <c r="J1700" s="7" t="s">
        <v>29</v>
      </c>
      <c r="K1700" s="7" t="s">
        <v>30</v>
      </c>
    </row>
    <row r="1701" spans="1:11" ht="18" x14ac:dyDescent="0.35">
      <c r="A1701" s="5" t="s">
        <v>929</v>
      </c>
      <c r="B1701" s="50" t="s">
        <v>32</v>
      </c>
      <c r="C1701" s="7">
        <v>2.9740000000000002</v>
      </c>
      <c r="D1701" s="7">
        <v>30.44</v>
      </c>
      <c r="E1701" s="85">
        <f t="shared" ref="E1701:E1706" si="149">C1701*D1701</f>
        <v>90.528560000000013</v>
      </c>
      <c r="G1701" s="5" t="s">
        <v>929</v>
      </c>
      <c r="H1701" s="50" t="s">
        <v>32</v>
      </c>
      <c r="I1701" s="7">
        <v>2.9740000000000002</v>
      </c>
      <c r="J1701" s="7">
        <v>30.44</v>
      </c>
      <c r="K1701" s="85">
        <f t="shared" ref="K1701:K1706" si="150">I1701*J1701</f>
        <v>90.528560000000013</v>
      </c>
    </row>
    <row r="1702" spans="1:11" ht="18" x14ac:dyDescent="0.35">
      <c r="A1702" s="5" t="s">
        <v>464</v>
      </c>
      <c r="B1702" s="50" t="s">
        <v>33</v>
      </c>
      <c r="C1702" s="7">
        <v>25.986999999999998</v>
      </c>
      <c r="D1702" s="7">
        <v>17.059999999999999</v>
      </c>
      <c r="E1702" s="85">
        <f t="shared" si="149"/>
        <v>443.33821999999992</v>
      </c>
      <c r="G1702" s="5" t="s">
        <v>648</v>
      </c>
      <c r="H1702" s="50" t="s">
        <v>33</v>
      </c>
      <c r="I1702" s="7">
        <v>18.710999999999999</v>
      </c>
      <c r="J1702" s="7">
        <v>16.170000000000002</v>
      </c>
      <c r="K1702" s="85">
        <f t="shared" si="150"/>
        <v>302.55687</v>
      </c>
    </row>
    <row r="1703" spans="1:11" ht="18" x14ac:dyDescent="0.35">
      <c r="A1703" s="5" t="s">
        <v>930</v>
      </c>
      <c r="B1703" s="50" t="s">
        <v>137</v>
      </c>
      <c r="C1703" s="7">
        <v>1.1000000000000001</v>
      </c>
      <c r="D1703" s="7">
        <v>17.190000000000001</v>
      </c>
      <c r="E1703" s="85">
        <f t="shared" si="149"/>
        <v>18.909000000000002</v>
      </c>
      <c r="G1703" s="5" t="s">
        <v>932</v>
      </c>
      <c r="H1703" s="50" t="s">
        <v>657</v>
      </c>
      <c r="I1703" s="7">
        <v>2</v>
      </c>
      <c r="J1703" s="7">
        <v>1.81</v>
      </c>
      <c r="K1703" s="85">
        <f t="shared" si="150"/>
        <v>3.62</v>
      </c>
    </row>
    <row r="1704" spans="1:11" ht="18" x14ac:dyDescent="0.35">
      <c r="A1704" s="5"/>
      <c r="B1704" s="50" t="s">
        <v>35</v>
      </c>
      <c r="C1704" s="7">
        <v>4</v>
      </c>
      <c r="D1704" s="7">
        <v>2.91</v>
      </c>
      <c r="E1704" s="85">
        <f t="shared" si="149"/>
        <v>11.64</v>
      </c>
      <c r="G1704" s="5"/>
      <c r="H1704" s="50" t="s">
        <v>34</v>
      </c>
      <c r="I1704" s="7">
        <v>1.1000000000000001</v>
      </c>
      <c r="J1704" s="7">
        <v>14.61</v>
      </c>
      <c r="K1704" s="85">
        <f t="shared" si="150"/>
        <v>16.071000000000002</v>
      </c>
    </row>
    <row r="1705" spans="1:11" ht="18" x14ac:dyDescent="0.35">
      <c r="A1705" s="5"/>
      <c r="B1705" s="50" t="s">
        <v>36</v>
      </c>
      <c r="C1705" s="7">
        <v>4</v>
      </c>
      <c r="D1705" s="7">
        <v>0.61</v>
      </c>
      <c r="E1705" s="85">
        <f t="shared" si="149"/>
        <v>2.44</v>
      </c>
      <c r="G1705" s="5"/>
      <c r="H1705" s="50" t="s">
        <v>35</v>
      </c>
      <c r="I1705" s="7">
        <v>4</v>
      </c>
      <c r="J1705" s="7">
        <v>2.89</v>
      </c>
      <c r="K1705" s="85">
        <f t="shared" si="150"/>
        <v>11.56</v>
      </c>
    </row>
    <row r="1706" spans="1:11" ht="18" x14ac:dyDescent="0.35">
      <c r="A1706" s="5"/>
      <c r="B1706" s="50" t="s">
        <v>37</v>
      </c>
      <c r="C1706" s="54">
        <v>1</v>
      </c>
      <c r="D1706" s="86">
        <v>65</v>
      </c>
      <c r="E1706" s="85">
        <f t="shared" si="149"/>
        <v>65</v>
      </c>
      <c r="G1706" s="5"/>
      <c r="H1706" s="50" t="s">
        <v>36</v>
      </c>
      <c r="I1706" s="7">
        <v>4</v>
      </c>
      <c r="J1706" s="7">
        <v>0.61</v>
      </c>
      <c r="K1706" s="85">
        <f t="shared" si="150"/>
        <v>2.44</v>
      </c>
    </row>
    <row r="1707" spans="1:11" ht="18" x14ac:dyDescent="0.35">
      <c r="A1707" s="5"/>
      <c r="B1707" s="5"/>
      <c r="C1707" s="54"/>
      <c r="D1707" s="54"/>
      <c r="E1707" s="85">
        <f>SUM(E1701:E1706)</f>
        <v>631.85577999999998</v>
      </c>
      <c r="G1707" s="5"/>
      <c r="H1707" s="5"/>
      <c r="I1707" s="54"/>
      <c r="J1707" s="54"/>
      <c r="K1707" s="89">
        <f>SUM(K1701:K1706)</f>
        <v>426.77643000000006</v>
      </c>
    </row>
    <row r="1708" spans="1:11" ht="18" x14ac:dyDescent="0.35">
      <c r="G1708" s="5"/>
      <c r="H1708" s="50" t="s">
        <v>37</v>
      </c>
      <c r="I1708" s="54">
        <v>1</v>
      </c>
      <c r="J1708" s="54">
        <v>65</v>
      </c>
      <c r="K1708" s="85">
        <f>I1708*J1708</f>
        <v>65</v>
      </c>
    </row>
    <row r="1709" spans="1:11" ht="18" x14ac:dyDescent="0.35">
      <c r="G1709" s="5"/>
      <c r="H1709" s="5"/>
      <c r="I1709" s="54"/>
      <c r="J1709" s="54"/>
      <c r="K1709" s="85">
        <f>SUM(K1707:K1708)</f>
        <v>491.77643000000006</v>
      </c>
    </row>
    <row r="1710" spans="1:11" ht="21" x14ac:dyDescent="0.4">
      <c r="A1710" s="40" t="s">
        <v>783</v>
      </c>
      <c r="B1710" s="40"/>
      <c r="C1710" s="40"/>
      <c r="D1710" s="12"/>
      <c r="E1710" s="12"/>
    </row>
    <row r="1711" spans="1:11" ht="21" x14ac:dyDescent="0.4">
      <c r="A1711" s="5"/>
      <c r="B1711" s="5"/>
      <c r="C1711" s="7" t="s">
        <v>28</v>
      </c>
      <c r="D1711" s="7" t="s">
        <v>29</v>
      </c>
      <c r="E1711" s="7" t="s">
        <v>30</v>
      </c>
      <c r="G1711" s="40" t="s">
        <v>599</v>
      </c>
      <c r="H1711" s="40"/>
      <c r="I1711" s="84"/>
    </row>
    <row r="1712" spans="1:11" ht="18" x14ac:dyDescent="0.35">
      <c r="A1712" s="5" t="s">
        <v>77</v>
      </c>
      <c r="B1712" s="50" t="s">
        <v>32</v>
      </c>
      <c r="C1712" s="7">
        <v>1.8180000000000001</v>
      </c>
      <c r="D1712" s="7">
        <v>30.44</v>
      </c>
      <c r="E1712" s="85">
        <f t="shared" ref="E1712:E1717" si="151">C1712*D1712</f>
        <v>55.339920000000006</v>
      </c>
      <c r="G1712" s="5"/>
      <c r="H1712" s="5"/>
      <c r="I1712" s="7" t="s">
        <v>28</v>
      </c>
      <c r="J1712" s="7" t="s">
        <v>29</v>
      </c>
      <c r="K1712" s="7" t="s">
        <v>30</v>
      </c>
    </row>
    <row r="1713" spans="1:11" ht="18" x14ac:dyDescent="0.35">
      <c r="A1713" s="5" t="s">
        <v>53</v>
      </c>
      <c r="B1713" s="50" t="s">
        <v>33</v>
      </c>
      <c r="C1713" s="7">
        <v>8.673</v>
      </c>
      <c r="D1713" s="7">
        <v>17.059999999999999</v>
      </c>
      <c r="E1713" s="85">
        <f t="shared" si="151"/>
        <v>147.96137999999999</v>
      </c>
      <c r="G1713" s="5" t="s">
        <v>77</v>
      </c>
      <c r="H1713" s="50" t="s">
        <v>32</v>
      </c>
      <c r="I1713" s="7">
        <v>1.8180000000000001</v>
      </c>
      <c r="J1713" s="7">
        <v>30.44</v>
      </c>
      <c r="K1713" s="85">
        <f t="shared" ref="K1713:K1718" si="152">I1713*J1713</f>
        <v>55.339920000000006</v>
      </c>
    </row>
    <row r="1714" spans="1:11" ht="18" x14ac:dyDescent="0.35">
      <c r="A1714" s="5" t="s">
        <v>913</v>
      </c>
      <c r="B1714" s="50" t="s">
        <v>137</v>
      </c>
      <c r="C1714" s="7">
        <v>0.42</v>
      </c>
      <c r="D1714" s="7">
        <v>17.190000000000001</v>
      </c>
      <c r="E1714" s="85">
        <f t="shared" si="151"/>
        <v>7.2198000000000002</v>
      </c>
      <c r="G1714" s="5" t="s">
        <v>178</v>
      </c>
      <c r="H1714" s="50" t="s">
        <v>33</v>
      </c>
      <c r="I1714" s="7">
        <v>5.5750000000000002</v>
      </c>
      <c r="J1714" s="7">
        <v>16.170000000000002</v>
      </c>
      <c r="K1714" s="85">
        <f t="shared" si="152"/>
        <v>90.147750000000016</v>
      </c>
    </row>
    <row r="1715" spans="1:11" ht="18" x14ac:dyDescent="0.35">
      <c r="A1715" s="5"/>
      <c r="B1715" s="50" t="s">
        <v>35</v>
      </c>
      <c r="C1715" s="7">
        <v>4</v>
      </c>
      <c r="D1715" s="7">
        <v>2.91</v>
      </c>
      <c r="E1715" s="85">
        <f t="shared" si="151"/>
        <v>11.64</v>
      </c>
      <c r="G1715" s="5" t="s">
        <v>933</v>
      </c>
      <c r="H1715" s="50" t="s">
        <v>85</v>
      </c>
      <c r="I1715" s="7">
        <v>2</v>
      </c>
      <c r="J1715" s="7">
        <v>1.48</v>
      </c>
      <c r="K1715" s="85">
        <f t="shared" si="152"/>
        <v>2.96</v>
      </c>
    </row>
    <row r="1716" spans="1:11" ht="18" x14ac:dyDescent="0.35">
      <c r="A1716" s="5"/>
      <c r="B1716" s="50" t="s">
        <v>36</v>
      </c>
      <c r="C1716" s="7">
        <v>4</v>
      </c>
      <c r="D1716" s="7">
        <v>0.61</v>
      </c>
      <c r="E1716" s="85">
        <f t="shared" si="151"/>
        <v>2.44</v>
      </c>
      <c r="G1716" s="5"/>
      <c r="H1716" s="50" t="s">
        <v>34</v>
      </c>
      <c r="I1716" s="7">
        <v>0.21</v>
      </c>
      <c r="J1716" s="7">
        <v>14.61</v>
      </c>
      <c r="K1716" s="85">
        <f t="shared" si="152"/>
        <v>3.0680999999999998</v>
      </c>
    </row>
    <row r="1717" spans="1:11" ht="18" x14ac:dyDescent="0.35">
      <c r="A1717" s="5"/>
      <c r="B1717" s="50" t="s">
        <v>37</v>
      </c>
      <c r="C1717" s="54">
        <v>0.5</v>
      </c>
      <c r="D1717" s="86">
        <v>65</v>
      </c>
      <c r="E1717" s="85">
        <f t="shared" si="151"/>
        <v>32.5</v>
      </c>
      <c r="G1717" s="5"/>
      <c r="H1717" s="50" t="s">
        <v>35</v>
      </c>
      <c r="I1717" s="7">
        <v>4</v>
      </c>
      <c r="J1717" s="7">
        <v>2.89</v>
      </c>
      <c r="K1717" s="85">
        <f t="shared" si="152"/>
        <v>11.56</v>
      </c>
    </row>
    <row r="1718" spans="1:11" ht="18" x14ac:dyDescent="0.35">
      <c r="A1718" s="5"/>
      <c r="B1718" s="5"/>
      <c r="C1718" s="54"/>
      <c r="D1718" s="54"/>
      <c r="E1718" s="85">
        <f>SUM(E1712:E1717)</f>
        <v>257.10109999999997</v>
      </c>
      <c r="G1718" s="5"/>
      <c r="H1718" s="50" t="s">
        <v>36</v>
      </c>
      <c r="I1718" s="7">
        <v>4</v>
      </c>
      <c r="J1718" s="7">
        <v>0.61</v>
      </c>
      <c r="K1718" s="85">
        <f t="shared" si="152"/>
        <v>2.44</v>
      </c>
    </row>
    <row r="1719" spans="1:11" ht="18" x14ac:dyDescent="0.35">
      <c r="G1719" s="5"/>
      <c r="H1719" s="5"/>
      <c r="I1719" s="54"/>
      <c r="J1719" s="54"/>
      <c r="K1719" s="89">
        <f>SUM(K1713:K1718)</f>
        <v>165.51577000000003</v>
      </c>
    </row>
    <row r="1720" spans="1:11" ht="21" x14ac:dyDescent="0.4">
      <c r="A1720" s="40" t="s">
        <v>634</v>
      </c>
      <c r="B1720" s="40"/>
      <c r="C1720" s="40"/>
      <c r="D1720" s="12"/>
      <c r="E1720" s="12"/>
      <c r="G1720" s="5"/>
      <c r="H1720" s="50" t="s">
        <v>37</v>
      </c>
      <c r="I1720" s="54">
        <v>0.5</v>
      </c>
      <c r="J1720" s="54">
        <v>65</v>
      </c>
      <c r="K1720" s="85">
        <f>I1720*J1720</f>
        <v>32.5</v>
      </c>
    </row>
    <row r="1721" spans="1:11" ht="18" x14ac:dyDescent="0.35">
      <c r="A1721" s="5"/>
      <c r="B1721" s="5"/>
      <c r="C1721" s="7" t="s">
        <v>28</v>
      </c>
      <c r="D1721" s="7" t="s">
        <v>29</v>
      </c>
      <c r="E1721" s="7" t="s">
        <v>30</v>
      </c>
      <c r="G1721" s="5"/>
      <c r="H1721" s="5"/>
      <c r="I1721" s="54"/>
      <c r="J1721" s="54"/>
      <c r="K1721" s="85">
        <f>SUM(K1719:K1720)</f>
        <v>198.01577000000003</v>
      </c>
    </row>
    <row r="1722" spans="1:11" ht="18" x14ac:dyDescent="0.35">
      <c r="A1722" s="5" t="s">
        <v>81</v>
      </c>
      <c r="B1722" s="50" t="s">
        <v>32</v>
      </c>
      <c r="C1722" s="7">
        <v>2.6589999999999998</v>
      </c>
      <c r="D1722" s="7">
        <v>30.44</v>
      </c>
      <c r="E1722" s="85">
        <f t="shared" ref="E1722:E1727" si="153">C1722*D1722</f>
        <v>80.939959999999999</v>
      </c>
    </row>
    <row r="1723" spans="1:11" ht="21" x14ac:dyDescent="0.4">
      <c r="A1723" s="5" t="s">
        <v>53</v>
      </c>
      <c r="B1723" s="50" t="s">
        <v>33</v>
      </c>
      <c r="C1723" s="7">
        <v>14.553000000000001</v>
      </c>
      <c r="D1723" s="7">
        <v>17.059999999999999</v>
      </c>
      <c r="E1723" s="85">
        <f t="shared" si="153"/>
        <v>248.27418</v>
      </c>
      <c r="G1723" s="40" t="s">
        <v>599</v>
      </c>
      <c r="H1723" s="40"/>
      <c r="I1723" s="84"/>
    </row>
    <row r="1724" spans="1:11" ht="18" x14ac:dyDescent="0.35">
      <c r="A1724" s="5" t="s">
        <v>859</v>
      </c>
      <c r="B1724" s="50" t="s">
        <v>137</v>
      </c>
      <c r="C1724" s="7">
        <v>0.63</v>
      </c>
      <c r="D1724" s="7">
        <v>17.190000000000001</v>
      </c>
      <c r="E1724" s="85">
        <f t="shared" si="153"/>
        <v>10.829700000000001</v>
      </c>
      <c r="G1724" s="5"/>
      <c r="H1724" s="5"/>
      <c r="I1724" s="7" t="s">
        <v>28</v>
      </c>
      <c r="J1724" s="7" t="s">
        <v>29</v>
      </c>
      <c r="K1724" s="7" t="s">
        <v>30</v>
      </c>
    </row>
    <row r="1725" spans="1:11" ht="18" x14ac:dyDescent="0.35">
      <c r="A1725" s="5"/>
      <c r="B1725" s="50" t="s">
        <v>35</v>
      </c>
      <c r="C1725" s="7">
        <v>4</v>
      </c>
      <c r="D1725" s="7">
        <v>2.91</v>
      </c>
      <c r="E1725" s="85">
        <f t="shared" si="153"/>
        <v>11.64</v>
      </c>
      <c r="G1725" s="5" t="s">
        <v>81</v>
      </c>
      <c r="H1725" s="50" t="s">
        <v>32</v>
      </c>
      <c r="I1725" s="7">
        <v>2.6589999999999998</v>
      </c>
      <c r="J1725" s="7">
        <v>30.44</v>
      </c>
      <c r="K1725" s="85">
        <f t="shared" ref="K1725:K1730" si="154">I1725*J1725</f>
        <v>80.939959999999999</v>
      </c>
    </row>
    <row r="1726" spans="1:11" ht="18" x14ac:dyDescent="0.35">
      <c r="A1726" s="5"/>
      <c r="B1726" s="50" t="s">
        <v>36</v>
      </c>
      <c r="C1726" s="7">
        <v>4</v>
      </c>
      <c r="D1726" s="7">
        <v>0.61</v>
      </c>
      <c r="E1726" s="85">
        <f t="shared" si="153"/>
        <v>2.44</v>
      </c>
      <c r="G1726" s="5" t="s">
        <v>178</v>
      </c>
      <c r="H1726" s="50" t="s">
        <v>33</v>
      </c>
      <c r="I1726" s="7">
        <v>9.3550000000000004</v>
      </c>
      <c r="J1726" s="7">
        <v>16.170000000000002</v>
      </c>
      <c r="K1726" s="85">
        <f t="shared" si="154"/>
        <v>151.27035000000004</v>
      </c>
    </row>
    <row r="1727" spans="1:11" ht="18" x14ac:dyDescent="0.35">
      <c r="A1727" s="5"/>
      <c r="B1727" s="50" t="s">
        <v>37</v>
      </c>
      <c r="C1727" s="54">
        <v>1</v>
      </c>
      <c r="D1727" s="86">
        <v>65</v>
      </c>
      <c r="E1727" s="85">
        <f t="shared" si="153"/>
        <v>65</v>
      </c>
      <c r="G1727" s="5" t="s">
        <v>935</v>
      </c>
      <c r="H1727" s="50" t="s">
        <v>85</v>
      </c>
      <c r="I1727" s="7">
        <v>2</v>
      </c>
      <c r="J1727" s="7">
        <v>1.48</v>
      </c>
      <c r="K1727" s="85">
        <f t="shared" si="154"/>
        <v>2.96</v>
      </c>
    </row>
    <row r="1728" spans="1:11" ht="18" x14ac:dyDescent="0.35">
      <c r="A1728" s="5"/>
      <c r="B1728" s="5"/>
      <c r="C1728" s="54"/>
      <c r="D1728" s="54"/>
      <c r="E1728" s="85">
        <f>SUM(E1722:E1727)</f>
        <v>419.12383999999997</v>
      </c>
      <c r="G1728" s="5"/>
      <c r="H1728" s="50" t="s">
        <v>34</v>
      </c>
      <c r="I1728" s="7">
        <v>0.63</v>
      </c>
      <c r="J1728" s="7">
        <v>14.61</v>
      </c>
      <c r="K1728" s="85">
        <f t="shared" si="154"/>
        <v>9.2042999999999999</v>
      </c>
    </row>
    <row r="1729" spans="1:11" ht="18" x14ac:dyDescent="0.35">
      <c r="G1729" s="5"/>
      <c r="H1729" s="50" t="s">
        <v>35</v>
      </c>
      <c r="I1729" s="7">
        <v>4</v>
      </c>
      <c r="J1729" s="7">
        <v>2.89</v>
      </c>
      <c r="K1729" s="85">
        <f t="shared" si="154"/>
        <v>11.56</v>
      </c>
    </row>
    <row r="1730" spans="1:11" ht="18" x14ac:dyDescent="0.35">
      <c r="G1730" s="5"/>
      <c r="H1730" s="50" t="s">
        <v>36</v>
      </c>
      <c r="I1730" s="7">
        <v>4</v>
      </c>
      <c r="J1730" s="7">
        <v>0.61</v>
      </c>
      <c r="K1730" s="85">
        <f t="shared" si="154"/>
        <v>2.44</v>
      </c>
    </row>
    <row r="1731" spans="1:11" ht="21" x14ac:dyDescent="0.4">
      <c r="A1731" s="40" t="s">
        <v>934</v>
      </c>
      <c r="B1731" s="40"/>
      <c r="C1731" s="40"/>
      <c r="D1731" s="12"/>
      <c r="E1731" s="12"/>
      <c r="G1731" s="5"/>
      <c r="H1731" s="5"/>
      <c r="I1731" s="54"/>
      <c r="J1731" s="54"/>
      <c r="K1731" s="89">
        <f>SUM(K1725:K1730)</f>
        <v>258.37461000000008</v>
      </c>
    </row>
    <row r="1732" spans="1:11" ht="18" x14ac:dyDescent="0.35">
      <c r="A1732" s="5"/>
      <c r="B1732" s="5"/>
      <c r="C1732" s="7" t="s">
        <v>28</v>
      </c>
      <c r="D1732" s="7" t="s">
        <v>29</v>
      </c>
      <c r="E1732" s="7" t="s">
        <v>30</v>
      </c>
      <c r="G1732" s="5"/>
      <c r="H1732" s="50" t="s">
        <v>37</v>
      </c>
      <c r="I1732" s="54">
        <v>0.6</v>
      </c>
      <c r="J1732" s="54">
        <v>65</v>
      </c>
      <c r="K1732" s="85">
        <f>I1732*J1732</f>
        <v>39</v>
      </c>
    </row>
    <row r="1733" spans="1:11" ht="18" x14ac:dyDescent="0.35">
      <c r="A1733" s="5" t="s">
        <v>80</v>
      </c>
      <c r="B1733" s="50" t="s">
        <v>32</v>
      </c>
      <c r="C1733" s="7">
        <v>2.4489999999999998</v>
      </c>
      <c r="D1733" s="7">
        <v>30.44</v>
      </c>
      <c r="E1733" s="85">
        <f t="shared" ref="E1733:E1738" si="155">C1733*D1733</f>
        <v>74.547560000000004</v>
      </c>
      <c r="G1733" s="5"/>
      <c r="H1733" s="5"/>
      <c r="I1733" s="54"/>
      <c r="J1733" s="54"/>
      <c r="K1733" s="85">
        <f>SUM(K1731:K1732)</f>
        <v>297.37461000000008</v>
      </c>
    </row>
    <row r="1734" spans="1:11" ht="18" x14ac:dyDescent="0.35">
      <c r="A1734" s="5" t="s">
        <v>53</v>
      </c>
      <c r="B1734" s="50" t="s">
        <v>33</v>
      </c>
      <c r="C1734" s="7">
        <v>13.083</v>
      </c>
      <c r="D1734" s="7">
        <v>17.059999999999999</v>
      </c>
      <c r="E1734" s="85">
        <f t="shared" si="155"/>
        <v>223.19597999999999</v>
      </c>
    </row>
    <row r="1735" spans="1:11" ht="21" x14ac:dyDescent="0.4">
      <c r="A1735" s="5" t="s">
        <v>931</v>
      </c>
      <c r="B1735" s="50" t="s">
        <v>137</v>
      </c>
      <c r="C1735" s="7">
        <v>0.63</v>
      </c>
      <c r="D1735" s="7">
        <v>17.190000000000001</v>
      </c>
      <c r="E1735" s="85">
        <f t="shared" si="155"/>
        <v>10.829700000000001</v>
      </c>
      <c r="G1735" s="40" t="s">
        <v>599</v>
      </c>
      <c r="H1735" s="40"/>
      <c r="I1735" s="84"/>
    </row>
    <row r="1736" spans="1:11" ht="18" x14ac:dyDescent="0.35">
      <c r="A1736" s="5"/>
      <c r="B1736" s="50" t="s">
        <v>35</v>
      </c>
      <c r="C1736" s="7">
        <v>4</v>
      </c>
      <c r="D1736" s="7">
        <v>2.91</v>
      </c>
      <c r="E1736" s="85">
        <f t="shared" si="155"/>
        <v>11.64</v>
      </c>
      <c r="G1736" s="5"/>
      <c r="H1736" s="5"/>
      <c r="I1736" s="7" t="s">
        <v>28</v>
      </c>
      <c r="J1736" s="7" t="s">
        <v>29</v>
      </c>
      <c r="K1736" s="7" t="s">
        <v>30</v>
      </c>
    </row>
    <row r="1737" spans="1:11" ht="18" x14ac:dyDescent="0.35">
      <c r="A1737" s="5"/>
      <c r="B1737" s="50" t="s">
        <v>36</v>
      </c>
      <c r="C1737" s="7">
        <v>4</v>
      </c>
      <c r="D1737" s="7">
        <v>0.61</v>
      </c>
      <c r="E1737" s="85">
        <f t="shared" si="155"/>
        <v>2.44</v>
      </c>
      <c r="G1737" s="5" t="s">
        <v>80</v>
      </c>
      <c r="H1737" s="50" t="s">
        <v>32</v>
      </c>
      <c r="I1737" s="7">
        <v>2.4489999999999998</v>
      </c>
      <c r="J1737" s="7">
        <v>30.44</v>
      </c>
      <c r="K1737" s="85">
        <f t="shared" ref="K1737:K1742" si="156">I1737*J1737</f>
        <v>74.547560000000004</v>
      </c>
    </row>
    <row r="1738" spans="1:11" ht="18" x14ac:dyDescent="0.35">
      <c r="A1738" s="5"/>
      <c r="B1738" s="50" t="s">
        <v>37</v>
      </c>
      <c r="C1738" s="54">
        <v>0.5</v>
      </c>
      <c r="D1738" s="86">
        <v>65</v>
      </c>
      <c r="E1738" s="85">
        <f t="shared" si="155"/>
        <v>32.5</v>
      </c>
      <c r="G1738" s="5" t="s">
        <v>178</v>
      </c>
      <c r="H1738" s="50" t="s">
        <v>33</v>
      </c>
      <c r="I1738" s="7">
        <v>8.41</v>
      </c>
      <c r="J1738" s="7">
        <v>16.170000000000002</v>
      </c>
      <c r="K1738" s="85">
        <f t="shared" si="156"/>
        <v>135.98970000000003</v>
      </c>
    </row>
    <row r="1739" spans="1:11" ht="18" x14ac:dyDescent="0.35">
      <c r="A1739" s="5"/>
      <c r="B1739" s="5"/>
      <c r="C1739" s="54"/>
      <c r="D1739" s="54"/>
      <c r="E1739" s="85">
        <f>SUM(E1733:E1738)</f>
        <v>355.15323999999998</v>
      </c>
      <c r="G1739" s="5" t="s">
        <v>936</v>
      </c>
      <c r="H1739" s="50" t="s">
        <v>85</v>
      </c>
      <c r="I1739" s="7">
        <v>2</v>
      </c>
      <c r="J1739" s="7">
        <v>1.48</v>
      </c>
      <c r="K1739" s="85">
        <f t="shared" si="156"/>
        <v>2.96</v>
      </c>
    </row>
    <row r="1740" spans="1:11" ht="18" x14ac:dyDescent="0.35">
      <c r="G1740" s="5"/>
      <c r="H1740" s="50" t="s">
        <v>34</v>
      </c>
      <c r="I1740" s="7">
        <v>0.42</v>
      </c>
      <c r="J1740" s="7">
        <v>14.61</v>
      </c>
      <c r="K1740" s="85">
        <f t="shared" si="156"/>
        <v>6.1361999999999997</v>
      </c>
    </row>
    <row r="1741" spans="1:11" ht="18" x14ac:dyDescent="0.35">
      <c r="G1741" s="5"/>
      <c r="H1741" s="50" t="s">
        <v>35</v>
      </c>
      <c r="I1741" s="7">
        <v>4</v>
      </c>
      <c r="J1741" s="7">
        <v>2.89</v>
      </c>
      <c r="K1741" s="85">
        <f t="shared" si="156"/>
        <v>11.56</v>
      </c>
    </row>
    <row r="1742" spans="1:11" ht="21" x14ac:dyDescent="0.4">
      <c r="A1742" s="40" t="s">
        <v>599</v>
      </c>
      <c r="B1742" s="40"/>
      <c r="C1742" s="84"/>
      <c r="G1742" s="5"/>
      <c r="H1742" s="50" t="s">
        <v>36</v>
      </c>
      <c r="I1742" s="7">
        <v>4</v>
      </c>
      <c r="J1742" s="7">
        <v>0.61</v>
      </c>
      <c r="K1742" s="85">
        <f t="shared" si="156"/>
        <v>2.44</v>
      </c>
    </row>
    <row r="1743" spans="1:11" ht="18" x14ac:dyDescent="0.35">
      <c r="A1743" s="5"/>
      <c r="B1743" s="5"/>
      <c r="C1743" s="7" t="s">
        <v>28</v>
      </c>
      <c r="D1743" s="7" t="s">
        <v>29</v>
      </c>
      <c r="E1743" s="7" t="s">
        <v>30</v>
      </c>
      <c r="F1743" s="59"/>
      <c r="G1743" s="5"/>
      <c r="H1743" s="5"/>
      <c r="I1743" s="54"/>
      <c r="J1743" s="54"/>
      <c r="K1743" s="89">
        <f>SUM(K1737:K1742)</f>
        <v>233.63346000000004</v>
      </c>
    </row>
    <row r="1744" spans="1:11" ht="18" x14ac:dyDescent="0.35">
      <c r="A1744" s="5" t="s">
        <v>940</v>
      </c>
      <c r="B1744" s="50" t="s">
        <v>32</v>
      </c>
      <c r="C1744" s="7">
        <v>1.998</v>
      </c>
      <c r="D1744" s="7">
        <v>30.44</v>
      </c>
      <c r="E1744" s="85">
        <f t="shared" ref="E1744:E1749" si="157">C1744*D1744</f>
        <v>60.819120000000005</v>
      </c>
      <c r="F1744" s="59"/>
      <c r="G1744" s="5"/>
      <c r="H1744" s="50" t="s">
        <v>37</v>
      </c>
      <c r="I1744" s="54">
        <v>0.6</v>
      </c>
      <c r="J1744" s="54">
        <v>98</v>
      </c>
      <c r="K1744" s="85">
        <f>I1744*J1744</f>
        <v>58.8</v>
      </c>
    </row>
    <row r="1745" spans="1:11" ht="18" x14ac:dyDescent="0.35">
      <c r="A1745" s="5" t="s">
        <v>171</v>
      </c>
      <c r="B1745" s="50" t="s">
        <v>33</v>
      </c>
      <c r="C1745" s="7">
        <v>1.722</v>
      </c>
      <c r="D1745" s="7">
        <v>16.170000000000002</v>
      </c>
      <c r="E1745" s="85">
        <f t="shared" si="157"/>
        <v>27.844740000000002</v>
      </c>
      <c r="F1745" s="59"/>
      <c r="G1745" s="5"/>
      <c r="H1745" s="5"/>
      <c r="I1745" s="54"/>
      <c r="J1745" s="54"/>
      <c r="K1745" s="85">
        <f>SUM(K1743:K1744)</f>
        <v>292.43346000000003</v>
      </c>
    </row>
    <row r="1746" spans="1:11" ht="18" x14ac:dyDescent="0.35">
      <c r="A1746" s="5" t="s">
        <v>799</v>
      </c>
      <c r="B1746" s="50" t="s">
        <v>42</v>
      </c>
      <c r="C1746" s="7">
        <v>2</v>
      </c>
      <c r="D1746" s="7">
        <v>1.1499999999999999</v>
      </c>
      <c r="E1746" s="85">
        <f t="shared" si="157"/>
        <v>2.2999999999999998</v>
      </c>
      <c r="F1746" s="59"/>
    </row>
    <row r="1747" spans="1:11" ht="18" x14ac:dyDescent="0.35">
      <c r="A1747" s="5"/>
      <c r="B1747" s="50" t="s">
        <v>34</v>
      </c>
      <c r="C1747" s="7">
        <v>0.11</v>
      </c>
      <c r="D1747" s="7">
        <v>14.61</v>
      </c>
      <c r="E1747" s="85">
        <f t="shared" si="157"/>
        <v>1.6071</v>
      </c>
      <c r="F1747" s="59"/>
    </row>
    <row r="1748" spans="1:11" ht="18" x14ac:dyDescent="0.35">
      <c r="A1748" s="5"/>
      <c r="B1748" s="50" t="s">
        <v>35</v>
      </c>
      <c r="C1748" s="7">
        <v>4</v>
      </c>
      <c r="D1748" s="7">
        <v>2.89</v>
      </c>
      <c r="E1748" s="85">
        <f t="shared" si="157"/>
        <v>11.56</v>
      </c>
      <c r="F1748" s="59"/>
    </row>
    <row r="1749" spans="1:11" ht="18" x14ac:dyDescent="0.35">
      <c r="A1749" s="5"/>
      <c r="B1749" s="50" t="s">
        <v>36</v>
      </c>
      <c r="C1749" s="7">
        <v>4</v>
      </c>
      <c r="D1749" s="7">
        <v>0.61</v>
      </c>
      <c r="E1749" s="85">
        <f t="shared" si="157"/>
        <v>2.44</v>
      </c>
      <c r="F1749" s="59"/>
    </row>
    <row r="1750" spans="1:11" ht="18" x14ac:dyDescent="0.35">
      <c r="A1750" s="5"/>
      <c r="B1750" s="5"/>
      <c r="C1750" s="54"/>
      <c r="D1750" s="54"/>
      <c r="E1750" s="89">
        <f>SUM(E1744:E1749)</f>
        <v>106.57096</v>
      </c>
      <c r="F1750" s="59"/>
    </row>
    <row r="1751" spans="1:11" ht="18" x14ac:dyDescent="0.35">
      <c r="A1751" s="5"/>
      <c r="B1751" s="50" t="s">
        <v>37</v>
      </c>
      <c r="C1751" s="54">
        <v>0.2</v>
      </c>
      <c r="D1751" s="54">
        <v>85</v>
      </c>
      <c r="E1751" s="85">
        <f>C1751*D1751</f>
        <v>17</v>
      </c>
      <c r="F1751" s="59"/>
    </row>
    <row r="1752" spans="1:11" ht="18" x14ac:dyDescent="0.35">
      <c r="A1752" s="5"/>
      <c r="B1752" s="5"/>
      <c r="C1752" s="54"/>
      <c r="D1752" s="54"/>
      <c r="E1752" s="85">
        <f>SUM(E1750:E1751)</f>
        <v>123.57096</v>
      </c>
      <c r="F1752" s="59"/>
    </row>
    <row r="1753" spans="1:11" ht="18" x14ac:dyDescent="0.35">
      <c r="A1753" s="96"/>
      <c r="B1753" s="96"/>
      <c r="C1753" s="87"/>
      <c r="D1753" s="87"/>
      <c r="E1753" s="94"/>
      <c r="F1753" s="59"/>
    </row>
    <row r="1755" spans="1:11" ht="21" x14ac:dyDescent="0.4">
      <c r="A1755" s="40" t="s">
        <v>614</v>
      </c>
      <c r="B1755" s="40"/>
      <c r="C1755" s="84"/>
      <c r="D1755" s="12"/>
      <c r="E1755" s="83"/>
    </row>
    <row r="1756" spans="1:11" x14ac:dyDescent="0.3">
      <c r="C1756" s="12"/>
      <c r="D1756" s="12"/>
      <c r="E1756" s="12"/>
    </row>
    <row r="1757" spans="1:11" ht="18" x14ac:dyDescent="0.35">
      <c r="A1757" s="5"/>
      <c r="B1757" s="5"/>
      <c r="C1757" s="7" t="s">
        <v>28</v>
      </c>
      <c r="D1757" s="7" t="s">
        <v>29</v>
      </c>
      <c r="E1757" s="7" t="s">
        <v>30</v>
      </c>
    </row>
    <row r="1758" spans="1:11" ht="18" x14ac:dyDescent="0.35">
      <c r="A1758" s="5" t="s">
        <v>109</v>
      </c>
      <c r="B1758" s="50" t="s">
        <v>32</v>
      </c>
      <c r="C1758" s="7">
        <v>2.8690000000000002</v>
      </c>
      <c r="D1758" s="7">
        <v>29.24</v>
      </c>
      <c r="E1758" s="85">
        <f t="shared" ref="E1758:E1765" si="158">C1758*D1758</f>
        <v>83.889560000000003</v>
      </c>
    </row>
    <row r="1759" spans="1:11" ht="18" x14ac:dyDescent="0.35">
      <c r="A1759" s="5" t="s">
        <v>217</v>
      </c>
      <c r="B1759" s="50" t="s">
        <v>33</v>
      </c>
      <c r="C1759" s="7">
        <v>14.553000000000001</v>
      </c>
      <c r="D1759" s="7">
        <v>14.94</v>
      </c>
      <c r="E1759" s="85">
        <f t="shared" si="158"/>
        <v>217.42182</v>
      </c>
    </row>
    <row r="1760" spans="1:11" ht="18" x14ac:dyDescent="0.35">
      <c r="A1760" s="102" t="s">
        <v>377</v>
      </c>
      <c r="B1760" s="50" t="s">
        <v>33</v>
      </c>
      <c r="C1760" s="7">
        <v>15.225</v>
      </c>
      <c r="D1760" s="7">
        <v>14.94</v>
      </c>
      <c r="E1760" s="85">
        <f t="shared" si="158"/>
        <v>227.4615</v>
      </c>
    </row>
    <row r="1761" spans="1:5" ht="18" x14ac:dyDescent="0.35">
      <c r="A1761" s="5" t="s">
        <v>761</v>
      </c>
      <c r="B1761" s="50" t="s">
        <v>113</v>
      </c>
      <c r="C1761" s="7">
        <v>4</v>
      </c>
      <c r="D1761" s="7">
        <v>2.2400000000000002</v>
      </c>
      <c r="E1761" s="85">
        <f t="shared" si="158"/>
        <v>8.9600000000000009</v>
      </c>
    </row>
    <row r="1762" spans="1:5" ht="18" x14ac:dyDescent="0.35">
      <c r="A1762" s="5"/>
      <c r="B1762" s="103" t="s">
        <v>86</v>
      </c>
      <c r="C1762" s="86">
        <v>2</v>
      </c>
      <c r="D1762" s="86">
        <v>1.68</v>
      </c>
      <c r="E1762" s="104">
        <f t="shared" si="158"/>
        <v>3.36</v>
      </c>
    </row>
    <row r="1763" spans="1:5" ht="18" x14ac:dyDescent="0.35">
      <c r="A1763" s="5"/>
      <c r="B1763" s="50" t="s">
        <v>34</v>
      </c>
      <c r="C1763" s="7">
        <v>1</v>
      </c>
      <c r="D1763" s="7">
        <v>14.61</v>
      </c>
      <c r="E1763" s="85">
        <f t="shared" si="158"/>
        <v>14.61</v>
      </c>
    </row>
    <row r="1764" spans="1:5" ht="18" x14ac:dyDescent="0.35">
      <c r="A1764" s="5"/>
      <c r="B1764" s="50" t="s">
        <v>35</v>
      </c>
      <c r="C1764" s="7">
        <v>4</v>
      </c>
      <c r="D1764" s="7">
        <v>2.89</v>
      </c>
      <c r="E1764" s="85">
        <f t="shared" si="158"/>
        <v>11.56</v>
      </c>
    </row>
    <row r="1765" spans="1:5" ht="18" x14ac:dyDescent="0.35">
      <c r="A1765" s="5"/>
      <c r="B1765" s="50" t="s">
        <v>36</v>
      </c>
      <c r="C1765" s="7">
        <v>4</v>
      </c>
      <c r="D1765" s="7">
        <v>0.6</v>
      </c>
      <c r="E1765" s="85">
        <f t="shared" si="158"/>
        <v>2.4</v>
      </c>
    </row>
    <row r="1766" spans="1:5" ht="18" x14ac:dyDescent="0.35">
      <c r="B1766" s="5"/>
      <c r="C1766" s="54"/>
      <c r="D1766" s="54"/>
      <c r="E1766" s="89">
        <f>SUM(E1758:E1765)</f>
        <v>569.66287999999997</v>
      </c>
    </row>
    <row r="1767" spans="1:5" ht="18" x14ac:dyDescent="0.35">
      <c r="B1767" s="50" t="s">
        <v>37</v>
      </c>
      <c r="C1767" s="54">
        <v>1.5</v>
      </c>
      <c r="D1767" s="54">
        <v>85</v>
      </c>
      <c r="E1767" s="85">
        <f>C1767*D1767</f>
        <v>127.5</v>
      </c>
    </row>
    <row r="1768" spans="1:5" ht="18" x14ac:dyDescent="0.35">
      <c r="B1768" s="5"/>
      <c r="C1768" s="54"/>
      <c r="D1768" s="54"/>
      <c r="E1768" s="85">
        <f>SUM(E1766:E1767)</f>
        <v>697.16287999999997</v>
      </c>
    </row>
    <row r="1770" spans="1:5" ht="21" x14ac:dyDescent="0.4">
      <c r="A1770" s="40" t="s">
        <v>943</v>
      </c>
      <c r="B1770" s="40"/>
      <c r="C1770" s="40"/>
      <c r="D1770" s="12"/>
      <c r="E1770" s="12"/>
    </row>
    <row r="1771" spans="1:5" ht="18" x14ac:dyDescent="0.35">
      <c r="A1771" s="5"/>
      <c r="B1771" s="5"/>
      <c r="C1771" s="7" t="s">
        <v>28</v>
      </c>
      <c r="D1771" s="7" t="s">
        <v>29</v>
      </c>
      <c r="E1771" s="7" t="s">
        <v>30</v>
      </c>
    </row>
    <row r="1772" spans="1:5" ht="18" x14ac:dyDescent="0.35">
      <c r="A1772" s="5" t="s">
        <v>121</v>
      </c>
      <c r="B1772" s="50" t="s">
        <v>32</v>
      </c>
      <c r="C1772" s="7">
        <v>2.6589999999999998</v>
      </c>
      <c r="D1772" s="7">
        <v>29.12</v>
      </c>
      <c r="E1772" s="85">
        <f t="shared" ref="E1772:E1777" si="159">C1772*D1772</f>
        <v>77.430080000000004</v>
      </c>
    </row>
    <row r="1773" spans="1:5" ht="18" x14ac:dyDescent="0.35">
      <c r="A1773" s="5" t="s">
        <v>56</v>
      </c>
      <c r="B1773" s="50" t="s">
        <v>33</v>
      </c>
      <c r="C1773" s="7">
        <v>24.055</v>
      </c>
      <c r="D1773" s="7">
        <v>15.25</v>
      </c>
      <c r="E1773" s="85">
        <f t="shared" si="159"/>
        <v>366.83875</v>
      </c>
    </row>
    <row r="1774" spans="1:5" ht="18" x14ac:dyDescent="0.35">
      <c r="A1774" s="5" t="s">
        <v>944</v>
      </c>
      <c r="B1774" s="50" t="s">
        <v>137</v>
      </c>
      <c r="C1774" s="7">
        <v>1.2</v>
      </c>
      <c r="D1774" s="7">
        <v>17.190000000000001</v>
      </c>
      <c r="E1774" s="85">
        <f t="shared" si="159"/>
        <v>20.628</v>
      </c>
    </row>
    <row r="1775" spans="1:5" ht="18" x14ac:dyDescent="0.35">
      <c r="A1775" s="5"/>
      <c r="B1775" s="50" t="s">
        <v>35</v>
      </c>
      <c r="C1775" s="7">
        <v>4</v>
      </c>
      <c r="D1775" s="7">
        <v>2.91</v>
      </c>
      <c r="E1775" s="85">
        <f t="shared" si="159"/>
        <v>11.64</v>
      </c>
    </row>
    <row r="1776" spans="1:5" ht="18" x14ac:dyDescent="0.35">
      <c r="A1776" s="5"/>
      <c r="B1776" s="50" t="s">
        <v>36</v>
      </c>
      <c r="C1776" s="7">
        <v>4</v>
      </c>
      <c r="D1776" s="7">
        <v>0.61</v>
      </c>
      <c r="E1776" s="85">
        <f t="shared" si="159"/>
        <v>2.44</v>
      </c>
    </row>
    <row r="1777" spans="1:12" ht="18" x14ac:dyDescent="0.35">
      <c r="A1777" s="5"/>
      <c r="B1777" s="50" t="s">
        <v>37</v>
      </c>
      <c r="C1777" s="54">
        <v>1</v>
      </c>
      <c r="D1777" s="86">
        <v>98</v>
      </c>
      <c r="E1777" s="85">
        <f t="shared" si="159"/>
        <v>98</v>
      </c>
    </row>
    <row r="1778" spans="1:12" ht="18" x14ac:dyDescent="0.35">
      <c r="A1778" s="5"/>
      <c r="B1778" s="5"/>
      <c r="C1778" s="54"/>
      <c r="D1778" s="54"/>
      <c r="E1778" s="85">
        <f>SUM(E1772:E1777)</f>
        <v>576.97682999999995</v>
      </c>
    </row>
    <row r="1780" spans="1:12" ht="21" x14ac:dyDescent="0.4">
      <c r="A1780" s="40" t="s">
        <v>945</v>
      </c>
      <c r="B1780" s="40"/>
      <c r="C1780" s="40"/>
      <c r="D1780" s="12"/>
      <c r="E1780" s="12"/>
      <c r="H1780" s="40" t="s">
        <v>951</v>
      </c>
      <c r="I1780" s="40"/>
      <c r="J1780" s="40"/>
      <c r="K1780" s="12"/>
      <c r="L1780" s="12"/>
    </row>
    <row r="1781" spans="1:12" ht="18" x14ac:dyDescent="0.35">
      <c r="A1781" s="5"/>
      <c r="B1781" s="5"/>
      <c r="C1781" s="7" t="s">
        <v>28</v>
      </c>
      <c r="D1781" s="7" t="s">
        <v>29</v>
      </c>
      <c r="E1781" s="7" t="s">
        <v>30</v>
      </c>
      <c r="H1781" s="5"/>
      <c r="I1781" s="5"/>
      <c r="J1781" s="7" t="s">
        <v>28</v>
      </c>
      <c r="K1781" s="7" t="s">
        <v>29</v>
      </c>
      <c r="L1781" s="7" t="s">
        <v>30</v>
      </c>
    </row>
    <row r="1782" spans="1:12" ht="18" x14ac:dyDescent="0.35">
      <c r="A1782" s="5" t="s">
        <v>946</v>
      </c>
      <c r="B1782" s="50" t="s">
        <v>32</v>
      </c>
      <c r="C1782" s="7">
        <v>1.1879999999999999</v>
      </c>
      <c r="D1782" s="7">
        <v>30.44</v>
      </c>
      <c r="E1782" s="85">
        <f t="shared" ref="E1782:E1787" si="160">C1782*D1782</f>
        <v>36.16272</v>
      </c>
      <c r="H1782" s="5" t="s">
        <v>150</v>
      </c>
      <c r="I1782" s="50" t="s">
        <v>32</v>
      </c>
      <c r="J1782" s="7">
        <v>0.92600000000000005</v>
      </c>
      <c r="K1782" s="7">
        <v>30.44</v>
      </c>
      <c r="L1782" s="85">
        <f t="shared" ref="L1782:L1787" si="161">J1782*K1782</f>
        <v>28.187440000000002</v>
      </c>
    </row>
    <row r="1783" spans="1:12" ht="18" x14ac:dyDescent="0.35">
      <c r="A1783" s="5" t="s">
        <v>948</v>
      </c>
      <c r="B1783" s="50" t="s">
        <v>33</v>
      </c>
      <c r="C1783" s="7">
        <v>4.2839999999999998</v>
      </c>
      <c r="D1783" s="7">
        <v>17.059999999999999</v>
      </c>
      <c r="E1783" s="85">
        <f t="shared" si="160"/>
        <v>73.085039999999992</v>
      </c>
      <c r="H1783" s="5" t="s">
        <v>39</v>
      </c>
      <c r="I1783" s="50" t="s">
        <v>33</v>
      </c>
      <c r="J1783" s="7">
        <v>1.218</v>
      </c>
      <c r="K1783" s="7">
        <v>17.059999999999999</v>
      </c>
      <c r="L1783" s="85">
        <f t="shared" si="161"/>
        <v>20.779079999999997</v>
      </c>
    </row>
    <row r="1784" spans="1:12" ht="18" x14ac:dyDescent="0.35">
      <c r="A1784" s="5" t="s">
        <v>759</v>
      </c>
      <c r="B1784" s="50" t="s">
        <v>137</v>
      </c>
      <c r="C1784" s="7">
        <v>0.5</v>
      </c>
      <c r="D1784" s="7">
        <v>17.190000000000001</v>
      </c>
      <c r="E1784" s="85">
        <f t="shared" si="160"/>
        <v>8.5950000000000006</v>
      </c>
      <c r="H1784" s="5" t="s">
        <v>952</v>
      </c>
      <c r="I1784" s="50" t="s">
        <v>137</v>
      </c>
      <c r="J1784" s="7">
        <v>0.17</v>
      </c>
      <c r="K1784" s="7">
        <v>17.190000000000001</v>
      </c>
      <c r="L1784" s="85">
        <f t="shared" si="161"/>
        <v>2.9223000000000003</v>
      </c>
    </row>
    <row r="1785" spans="1:12" ht="18" x14ac:dyDescent="0.35">
      <c r="A1785" s="5"/>
      <c r="B1785" s="50" t="s">
        <v>35</v>
      </c>
      <c r="C1785" s="7">
        <v>4</v>
      </c>
      <c r="D1785" s="7">
        <v>2.91</v>
      </c>
      <c r="E1785" s="85">
        <f t="shared" si="160"/>
        <v>11.64</v>
      </c>
      <c r="H1785" s="5"/>
      <c r="I1785" s="50" t="s">
        <v>35</v>
      </c>
      <c r="J1785" s="7">
        <v>4</v>
      </c>
      <c r="K1785" s="7">
        <v>2.91</v>
      </c>
      <c r="L1785" s="85">
        <f t="shared" si="161"/>
        <v>11.64</v>
      </c>
    </row>
    <row r="1786" spans="1:12" ht="18" x14ac:dyDescent="0.35">
      <c r="A1786" s="5"/>
      <c r="B1786" s="50" t="s">
        <v>36</v>
      </c>
      <c r="C1786" s="7">
        <v>4</v>
      </c>
      <c r="D1786" s="7">
        <v>0.61</v>
      </c>
      <c r="E1786" s="85">
        <f t="shared" si="160"/>
        <v>2.44</v>
      </c>
      <c r="H1786" s="5"/>
      <c r="I1786" s="50" t="s">
        <v>36</v>
      </c>
      <c r="J1786" s="7">
        <v>4</v>
      </c>
      <c r="K1786" s="7">
        <v>0.61</v>
      </c>
      <c r="L1786" s="85">
        <f t="shared" si="161"/>
        <v>2.44</v>
      </c>
    </row>
    <row r="1787" spans="1:12" ht="18" x14ac:dyDescent="0.35">
      <c r="A1787" s="5"/>
      <c r="B1787" s="50" t="s">
        <v>37</v>
      </c>
      <c r="C1787" s="54">
        <v>0.5</v>
      </c>
      <c r="D1787" s="86">
        <v>95</v>
      </c>
      <c r="E1787" s="85">
        <f t="shared" si="160"/>
        <v>47.5</v>
      </c>
      <c r="H1787" s="5"/>
      <c r="I1787" s="50" t="s">
        <v>37</v>
      </c>
      <c r="J1787" s="54">
        <v>0.25</v>
      </c>
      <c r="K1787" s="86">
        <v>85</v>
      </c>
      <c r="L1787" s="85">
        <f t="shared" si="161"/>
        <v>21.25</v>
      </c>
    </row>
    <row r="1788" spans="1:12" ht="18" x14ac:dyDescent="0.35">
      <c r="A1788" s="5"/>
      <c r="B1788" s="5"/>
      <c r="C1788" s="54"/>
      <c r="D1788" s="54"/>
      <c r="E1788" s="85">
        <f>SUM(E1782:E1787)</f>
        <v>179.42275999999998</v>
      </c>
      <c r="H1788" s="5"/>
      <c r="I1788" s="5"/>
      <c r="J1788" s="54"/>
      <c r="K1788" s="54"/>
      <c r="L1788" s="85">
        <f>SUM(L1782:L1787)</f>
        <v>87.218820000000008</v>
      </c>
    </row>
    <row r="1791" spans="1:12" ht="21" x14ac:dyDescent="0.4">
      <c r="A1791" s="40" t="s">
        <v>947</v>
      </c>
      <c r="B1791" s="40"/>
      <c r="C1791" s="40"/>
      <c r="D1791" s="12"/>
      <c r="E1791" s="12"/>
      <c r="H1791" s="40" t="s">
        <v>951</v>
      </c>
      <c r="I1791" s="40"/>
      <c r="J1791" s="40"/>
      <c r="K1791" s="12"/>
      <c r="L1791" s="12"/>
    </row>
    <row r="1792" spans="1:12" ht="18" x14ac:dyDescent="0.35">
      <c r="A1792" s="5"/>
      <c r="B1792" s="5"/>
      <c r="C1792" s="7" t="s">
        <v>28</v>
      </c>
      <c r="D1792" s="7" t="s">
        <v>29</v>
      </c>
      <c r="E1792" s="7" t="s">
        <v>30</v>
      </c>
      <c r="H1792" s="5"/>
      <c r="I1792" s="5"/>
      <c r="J1792" s="7" t="s">
        <v>28</v>
      </c>
      <c r="K1792" s="7" t="s">
        <v>29</v>
      </c>
      <c r="L1792" s="7" t="s">
        <v>30</v>
      </c>
    </row>
    <row r="1793" spans="1:12" ht="18" x14ac:dyDescent="0.35">
      <c r="A1793" s="5" t="s">
        <v>179</v>
      </c>
      <c r="B1793" s="50" t="s">
        <v>32</v>
      </c>
      <c r="C1793" s="7">
        <v>1.714</v>
      </c>
      <c r="D1793" s="7">
        <v>29.12</v>
      </c>
      <c r="E1793" s="85">
        <f t="shared" ref="E1793:E1798" si="162">C1793*D1793</f>
        <v>49.911680000000004</v>
      </c>
      <c r="H1793" s="5" t="s">
        <v>172</v>
      </c>
      <c r="I1793" s="50" t="s">
        <v>32</v>
      </c>
      <c r="J1793" s="7">
        <v>1.3460000000000001</v>
      </c>
      <c r="K1793" s="7">
        <v>30.44</v>
      </c>
      <c r="L1793" s="85">
        <f t="shared" ref="L1793:L1798" si="163">J1793*K1793</f>
        <v>40.972240000000006</v>
      </c>
    </row>
    <row r="1794" spans="1:12" ht="18" x14ac:dyDescent="0.35">
      <c r="A1794" s="5" t="s">
        <v>221</v>
      </c>
      <c r="B1794" s="50" t="s">
        <v>33</v>
      </c>
      <c r="C1794" s="7">
        <v>8.7460000000000004</v>
      </c>
      <c r="D1794" s="7">
        <v>15.25</v>
      </c>
      <c r="E1794" s="85">
        <f t="shared" si="162"/>
        <v>133.37649999999999</v>
      </c>
      <c r="H1794" s="5" t="s">
        <v>39</v>
      </c>
      <c r="I1794" s="50" t="s">
        <v>33</v>
      </c>
      <c r="J1794" s="7">
        <v>2.0579999999999998</v>
      </c>
      <c r="K1794" s="7">
        <v>17.059999999999999</v>
      </c>
      <c r="L1794" s="85">
        <f t="shared" si="163"/>
        <v>35.109479999999998</v>
      </c>
    </row>
    <row r="1795" spans="1:12" ht="18" x14ac:dyDescent="0.35">
      <c r="A1795" s="5" t="s">
        <v>949</v>
      </c>
      <c r="B1795" s="50" t="s">
        <v>137</v>
      </c>
      <c r="C1795" s="7">
        <v>0.5</v>
      </c>
      <c r="D1795" s="7">
        <v>17.190000000000001</v>
      </c>
      <c r="E1795" s="85">
        <f t="shared" si="162"/>
        <v>8.5950000000000006</v>
      </c>
      <c r="H1795" s="5" t="s">
        <v>755</v>
      </c>
      <c r="I1795" s="50" t="s">
        <v>137</v>
      </c>
      <c r="J1795" s="7">
        <v>0.15</v>
      </c>
      <c r="K1795" s="7">
        <v>17.190000000000001</v>
      </c>
      <c r="L1795" s="85">
        <f t="shared" si="163"/>
        <v>2.5785</v>
      </c>
    </row>
    <row r="1796" spans="1:12" ht="18" x14ac:dyDescent="0.35">
      <c r="A1796" s="5"/>
      <c r="B1796" s="50" t="s">
        <v>35</v>
      </c>
      <c r="C1796" s="7">
        <v>4</v>
      </c>
      <c r="D1796" s="7">
        <v>2.91</v>
      </c>
      <c r="E1796" s="85">
        <f t="shared" si="162"/>
        <v>11.64</v>
      </c>
      <c r="H1796" s="5"/>
      <c r="I1796" s="50" t="s">
        <v>35</v>
      </c>
      <c r="J1796" s="7">
        <v>4</v>
      </c>
      <c r="K1796" s="7">
        <v>2.91</v>
      </c>
      <c r="L1796" s="85">
        <f t="shared" si="163"/>
        <v>11.64</v>
      </c>
    </row>
    <row r="1797" spans="1:12" ht="18" x14ac:dyDescent="0.35">
      <c r="A1797" s="5"/>
      <c r="B1797" s="50" t="s">
        <v>36</v>
      </c>
      <c r="C1797" s="7">
        <v>4</v>
      </c>
      <c r="D1797" s="7">
        <v>0.61</v>
      </c>
      <c r="E1797" s="85">
        <f t="shared" si="162"/>
        <v>2.44</v>
      </c>
      <c r="H1797" s="5"/>
      <c r="I1797" s="50" t="s">
        <v>36</v>
      </c>
      <c r="J1797" s="7">
        <v>4</v>
      </c>
      <c r="K1797" s="7">
        <v>0.61</v>
      </c>
      <c r="L1797" s="85">
        <f t="shared" si="163"/>
        <v>2.44</v>
      </c>
    </row>
    <row r="1798" spans="1:12" ht="18" x14ac:dyDescent="0.35">
      <c r="A1798" s="5"/>
      <c r="B1798" s="50" t="s">
        <v>37</v>
      </c>
      <c r="C1798" s="54">
        <v>0.5</v>
      </c>
      <c r="D1798" s="86">
        <v>85</v>
      </c>
      <c r="E1798" s="85">
        <f t="shared" si="162"/>
        <v>42.5</v>
      </c>
      <c r="H1798" s="5"/>
      <c r="I1798" s="50" t="s">
        <v>37</v>
      </c>
      <c r="J1798" s="54">
        <v>0.25</v>
      </c>
      <c r="K1798" s="86">
        <v>85</v>
      </c>
      <c r="L1798" s="85">
        <f t="shared" si="163"/>
        <v>21.25</v>
      </c>
    </row>
    <row r="1799" spans="1:12" ht="18" x14ac:dyDescent="0.35">
      <c r="A1799" s="5"/>
      <c r="B1799" s="5"/>
      <c r="C1799" s="54"/>
      <c r="D1799" s="54"/>
      <c r="E1799" s="85">
        <f>SUM(E1793:E1798)</f>
        <v>248.46318000000002</v>
      </c>
      <c r="H1799" s="5"/>
      <c r="I1799" s="5"/>
      <c r="J1799" s="54"/>
      <c r="K1799" s="54"/>
      <c r="L1799" s="85">
        <f>SUM(L1793:L1798)</f>
        <v>113.99022000000001</v>
      </c>
    </row>
    <row r="1802" spans="1:12" ht="21" x14ac:dyDescent="0.4">
      <c r="A1802" s="40" t="s">
        <v>947</v>
      </c>
      <c r="B1802" s="40"/>
      <c r="C1802" s="40"/>
      <c r="D1802" s="12"/>
      <c r="E1802" s="12"/>
      <c r="H1802" s="40" t="s">
        <v>955</v>
      </c>
      <c r="I1802" s="40"/>
      <c r="J1802" s="40"/>
      <c r="K1802" s="12"/>
      <c r="L1802" s="12"/>
    </row>
    <row r="1803" spans="1:12" ht="18" x14ac:dyDescent="0.35">
      <c r="A1803" s="5"/>
      <c r="B1803" s="5"/>
      <c r="C1803" s="7" t="s">
        <v>28</v>
      </c>
      <c r="D1803" s="7" t="s">
        <v>29</v>
      </c>
      <c r="E1803" s="7" t="s">
        <v>30</v>
      </c>
      <c r="H1803" s="5"/>
      <c r="I1803" s="5"/>
      <c r="J1803" s="7" t="s">
        <v>28</v>
      </c>
      <c r="K1803" s="7" t="s">
        <v>29</v>
      </c>
      <c r="L1803" s="7" t="s">
        <v>30</v>
      </c>
    </row>
    <row r="1804" spans="1:12" ht="18" x14ac:dyDescent="0.35">
      <c r="A1804" s="5" t="s">
        <v>189</v>
      </c>
      <c r="B1804" s="50" t="s">
        <v>32</v>
      </c>
      <c r="C1804" s="7">
        <v>1.923</v>
      </c>
      <c r="D1804" s="7">
        <v>29.12</v>
      </c>
      <c r="E1804" s="85">
        <f t="shared" ref="E1804:E1809" si="164">C1804*D1804</f>
        <v>55.997760000000007</v>
      </c>
      <c r="H1804" s="5" t="s">
        <v>183</v>
      </c>
      <c r="I1804" s="50" t="s">
        <v>32</v>
      </c>
      <c r="J1804" s="7">
        <v>1.556</v>
      </c>
      <c r="K1804" s="7">
        <v>30.44</v>
      </c>
      <c r="L1804" s="85">
        <f t="shared" ref="L1804:L1809" si="165">J1804*K1804</f>
        <v>47.364640000000001</v>
      </c>
    </row>
    <row r="1805" spans="1:12" ht="18" x14ac:dyDescent="0.35">
      <c r="A1805" s="5" t="s">
        <v>221</v>
      </c>
      <c r="B1805" s="50" t="s">
        <v>33</v>
      </c>
      <c r="C1805" s="7">
        <v>10.531000000000001</v>
      </c>
      <c r="D1805" s="7">
        <v>15.25</v>
      </c>
      <c r="E1805" s="85">
        <f t="shared" si="164"/>
        <v>160.59775000000002</v>
      </c>
      <c r="H1805" s="5" t="s">
        <v>39</v>
      </c>
      <c r="I1805" s="50" t="s">
        <v>33</v>
      </c>
      <c r="J1805" s="7">
        <v>2.4780000000000002</v>
      </c>
      <c r="K1805" s="7">
        <v>17.059999999999999</v>
      </c>
      <c r="L1805" s="85">
        <f t="shared" si="165"/>
        <v>42.274680000000004</v>
      </c>
    </row>
    <row r="1806" spans="1:12" ht="18" x14ac:dyDescent="0.35">
      <c r="A1806" s="5" t="s">
        <v>673</v>
      </c>
      <c r="B1806" s="50" t="s">
        <v>137</v>
      </c>
      <c r="C1806" s="7">
        <v>0.5</v>
      </c>
      <c r="D1806" s="7">
        <v>17.190000000000001</v>
      </c>
      <c r="E1806" s="85">
        <f t="shared" si="164"/>
        <v>8.5950000000000006</v>
      </c>
      <c r="H1806" s="5" t="s">
        <v>799</v>
      </c>
      <c r="I1806" s="50" t="s">
        <v>137</v>
      </c>
      <c r="J1806" s="7">
        <v>0.16</v>
      </c>
      <c r="K1806" s="7">
        <v>17.190000000000001</v>
      </c>
      <c r="L1806" s="85">
        <f t="shared" si="165"/>
        <v>2.7504000000000004</v>
      </c>
    </row>
    <row r="1807" spans="1:12" ht="18" x14ac:dyDescent="0.35">
      <c r="A1807" s="5"/>
      <c r="B1807" s="50" t="s">
        <v>35</v>
      </c>
      <c r="C1807" s="7">
        <v>4</v>
      </c>
      <c r="D1807" s="7">
        <v>2.91</v>
      </c>
      <c r="E1807" s="85">
        <f t="shared" si="164"/>
        <v>11.64</v>
      </c>
      <c r="H1807" s="5"/>
      <c r="I1807" s="50" t="s">
        <v>35</v>
      </c>
      <c r="J1807" s="7">
        <v>4</v>
      </c>
      <c r="K1807" s="7">
        <v>2.91</v>
      </c>
      <c r="L1807" s="85">
        <f t="shared" si="165"/>
        <v>11.64</v>
      </c>
    </row>
    <row r="1808" spans="1:12" ht="18" x14ac:dyDescent="0.35">
      <c r="A1808" s="5"/>
      <c r="B1808" s="50" t="s">
        <v>36</v>
      </c>
      <c r="C1808" s="7">
        <v>4</v>
      </c>
      <c r="D1808" s="7">
        <v>0.61</v>
      </c>
      <c r="E1808" s="85">
        <f t="shared" si="164"/>
        <v>2.44</v>
      </c>
      <c r="H1808" s="5"/>
      <c r="I1808" s="50" t="s">
        <v>36</v>
      </c>
      <c r="J1808" s="7">
        <v>4</v>
      </c>
      <c r="K1808" s="7">
        <v>0.61</v>
      </c>
      <c r="L1808" s="85">
        <f t="shared" si="165"/>
        <v>2.44</v>
      </c>
    </row>
    <row r="1809" spans="1:12" ht="18" x14ac:dyDescent="0.35">
      <c r="A1809" s="5"/>
      <c r="B1809" s="50" t="s">
        <v>37</v>
      </c>
      <c r="C1809" s="54">
        <v>0.5</v>
      </c>
      <c r="D1809" s="86">
        <v>85</v>
      </c>
      <c r="E1809" s="85">
        <f t="shared" si="164"/>
        <v>42.5</v>
      </c>
      <c r="H1809" s="5"/>
      <c r="I1809" s="50" t="s">
        <v>37</v>
      </c>
      <c r="J1809" s="54">
        <v>0.25</v>
      </c>
      <c r="K1809" s="86">
        <v>85</v>
      </c>
      <c r="L1809" s="85">
        <f t="shared" si="165"/>
        <v>21.25</v>
      </c>
    </row>
    <row r="1810" spans="1:12" ht="18" x14ac:dyDescent="0.35">
      <c r="A1810" s="5"/>
      <c r="B1810" s="5"/>
      <c r="C1810" s="54"/>
      <c r="D1810" s="54"/>
      <c r="E1810" s="85">
        <f>SUM(E1804:E1809)</f>
        <v>281.77051</v>
      </c>
      <c r="H1810" s="5"/>
      <c r="I1810" s="5"/>
      <c r="J1810" s="54"/>
      <c r="K1810" s="54"/>
      <c r="L1810" s="85">
        <f>SUM(L1804:L1809)</f>
        <v>127.71972</v>
      </c>
    </row>
    <row r="1813" spans="1:12" ht="21" x14ac:dyDescent="0.4">
      <c r="A1813" s="40" t="s">
        <v>947</v>
      </c>
      <c r="B1813" s="40"/>
      <c r="C1813" s="40"/>
      <c r="D1813" s="12"/>
      <c r="E1813" s="12"/>
      <c r="H1813" s="40" t="s">
        <v>956</v>
      </c>
      <c r="I1813" s="40"/>
      <c r="J1813" s="40"/>
      <c r="K1813" s="12"/>
      <c r="L1813" s="12"/>
    </row>
    <row r="1814" spans="1:12" ht="18" x14ac:dyDescent="0.35">
      <c r="A1814" s="5"/>
      <c r="B1814" s="5"/>
      <c r="C1814" s="7" t="s">
        <v>28</v>
      </c>
      <c r="D1814" s="7" t="s">
        <v>29</v>
      </c>
      <c r="E1814" s="7" t="s">
        <v>30</v>
      </c>
      <c r="H1814" s="5"/>
      <c r="I1814" s="5"/>
      <c r="J1814" s="7" t="s">
        <v>28</v>
      </c>
      <c r="K1814" s="7" t="s">
        <v>29</v>
      </c>
      <c r="L1814" s="7" t="s">
        <v>30</v>
      </c>
    </row>
    <row r="1815" spans="1:12" ht="18" x14ac:dyDescent="0.35">
      <c r="A1815" s="5" t="s">
        <v>210</v>
      </c>
      <c r="B1815" s="50" t="s">
        <v>32</v>
      </c>
      <c r="C1815" s="7">
        <v>2.343</v>
      </c>
      <c r="D1815" s="7">
        <v>29.12</v>
      </c>
      <c r="E1815" s="85">
        <f t="shared" ref="E1815:E1820" si="166">C1815*D1815</f>
        <v>68.228160000000003</v>
      </c>
      <c r="H1815" s="5" t="s">
        <v>193</v>
      </c>
      <c r="I1815" s="50" t="s">
        <v>32</v>
      </c>
      <c r="J1815" s="7">
        <v>1.766</v>
      </c>
      <c r="K1815" s="7">
        <v>30.44</v>
      </c>
      <c r="L1815" s="85">
        <f t="shared" ref="L1815:L1820" si="167">J1815*K1815</f>
        <v>53.757040000000003</v>
      </c>
    </row>
    <row r="1816" spans="1:12" ht="18" x14ac:dyDescent="0.35">
      <c r="A1816" s="5" t="s">
        <v>221</v>
      </c>
      <c r="B1816" s="50" t="s">
        <v>33</v>
      </c>
      <c r="C1816" s="7">
        <v>14.101000000000001</v>
      </c>
      <c r="D1816" s="7">
        <v>15.25</v>
      </c>
      <c r="E1816" s="85">
        <f t="shared" si="166"/>
        <v>215.04025000000001</v>
      </c>
      <c r="H1816" s="5" t="s">
        <v>39</v>
      </c>
      <c r="I1816" s="50" t="s">
        <v>33</v>
      </c>
      <c r="J1816" s="7">
        <v>2.8980000000000001</v>
      </c>
      <c r="K1816" s="7">
        <v>17.059999999999999</v>
      </c>
      <c r="L1816" s="85">
        <f t="shared" si="167"/>
        <v>49.439879999999995</v>
      </c>
    </row>
    <row r="1817" spans="1:12" ht="18" x14ac:dyDescent="0.35">
      <c r="A1817" s="5" t="s">
        <v>950</v>
      </c>
      <c r="B1817" s="50" t="s">
        <v>137</v>
      </c>
      <c r="C1817" s="7">
        <v>0.5</v>
      </c>
      <c r="D1817" s="7">
        <v>17.190000000000001</v>
      </c>
      <c r="E1817" s="85">
        <f t="shared" si="166"/>
        <v>8.5950000000000006</v>
      </c>
      <c r="H1817" s="5" t="s">
        <v>759</v>
      </c>
      <c r="I1817" s="50" t="s">
        <v>137</v>
      </c>
      <c r="J1817" s="7">
        <v>0.16</v>
      </c>
      <c r="K1817" s="7">
        <v>17.190000000000001</v>
      </c>
      <c r="L1817" s="85">
        <f t="shared" si="167"/>
        <v>2.7504000000000004</v>
      </c>
    </row>
    <row r="1818" spans="1:12" ht="18" x14ac:dyDescent="0.35">
      <c r="A1818" s="5"/>
      <c r="B1818" s="50" t="s">
        <v>35</v>
      </c>
      <c r="C1818" s="7">
        <v>4</v>
      </c>
      <c r="D1818" s="7">
        <v>2.91</v>
      </c>
      <c r="E1818" s="85">
        <f t="shared" si="166"/>
        <v>11.64</v>
      </c>
      <c r="H1818" s="5"/>
      <c r="I1818" s="50" t="s">
        <v>35</v>
      </c>
      <c r="J1818" s="7">
        <v>4</v>
      </c>
      <c r="K1818" s="7">
        <v>2.91</v>
      </c>
      <c r="L1818" s="85">
        <f t="shared" si="167"/>
        <v>11.64</v>
      </c>
    </row>
    <row r="1819" spans="1:12" ht="18" x14ac:dyDescent="0.35">
      <c r="A1819" s="5"/>
      <c r="B1819" s="50" t="s">
        <v>36</v>
      </c>
      <c r="C1819" s="7">
        <v>4</v>
      </c>
      <c r="D1819" s="7">
        <v>0.61</v>
      </c>
      <c r="E1819" s="85">
        <f t="shared" si="166"/>
        <v>2.44</v>
      </c>
      <c r="H1819" s="5"/>
      <c r="I1819" s="50" t="s">
        <v>36</v>
      </c>
      <c r="J1819" s="7">
        <v>4</v>
      </c>
      <c r="K1819" s="7">
        <v>0.61</v>
      </c>
      <c r="L1819" s="85">
        <f t="shared" si="167"/>
        <v>2.44</v>
      </c>
    </row>
    <row r="1820" spans="1:12" ht="18" x14ac:dyDescent="0.35">
      <c r="A1820" s="5"/>
      <c r="B1820" s="50" t="s">
        <v>37</v>
      </c>
      <c r="C1820" s="54">
        <v>0.5</v>
      </c>
      <c r="D1820" s="86">
        <v>85</v>
      </c>
      <c r="E1820" s="85">
        <f t="shared" si="166"/>
        <v>42.5</v>
      </c>
      <c r="H1820" s="5"/>
      <c r="I1820" s="50" t="s">
        <v>37</v>
      </c>
      <c r="J1820" s="54">
        <v>0.25</v>
      </c>
      <c r="K1820" s="86">
        <v>85</v>
      </c>
      <c r="L1820" s="85">
        <f t="shared" si="167"/>
        <v>21.25</v>
      </c>
    </row>
    <row r="1821" spans="1:12" ht="18" x14ac:dyDescent="0.35">
      <c r="A1821" s="5"/>
      <c r="B1821" s="5"/>
      <c r="C1821" s="54"/>
      <c r="D1821" s="54"/>
      <c r="E1821" s="85">
        <f>SUM(E1815:E1820)</f>
        <v>348.44341000000003</v>
      </c>
      <c r="H1821" s="5"/>
      <c r="I1821" s="5"/>
      <c r="J1821" s="54"/>
      <c r="K1821" s="54"/>
      <c r="L1821" s="85">
        <f>SUM(L1815:L1820)</f>
        <v>141.27732</v>
      </c>
    </row>
    <row r="1823" spans="1:12" ht="21" x14ac:dyDescent="0.4">
      <c r="A1823" s="40" t="s">
        <v>953</v>
      </c>
      <c r="B1823" s="40"/>
      <c r="C1823" s="40"/>
      <c r="D1823" s="12"/>
      <c r="E1823" s="12"/>
    </row>
    <row r="1824" spans="1:12" ht="21" x14ac:dyDescent="0.4">
      <c r="A1824" s="5"/>
      <c r="B1824" s="5"/>
      <c r="C1824" s="7" t="s">
        <v>28</v>
      </c>
      <c r="D1824" s="7" t="s">
        <v>29</v>
      </c>
      <c r="E1824" s="7" t="s">
        <v>30</v>
      </c>
      <c r="H1824" s="40" t="s">
        <v>957</v>
      </c>
      <c r="I1824" s="40"/>
      <c r="J1824" s="40"/>
      <c r="K1824" s="12"/>
      <c r="L1824" s="12"/>
    </row>
    <row r="1825" spans="1:12" ht="18" x14ac:dyDescent="0.35">
      <c r="A1825" s="5" t="s">
        <v>48</v>
      </c>
      <c r="B1825" s="50" t="s">
        <v>32</v>
      </c>
      <c r="C1825" s="7">
        <v>2.5659999999999998</v>
      </c>
      <c r="D1825" s="7">
        <v>29.12</v>
      </c>
      <c r="E1825" s="85">
        <f t="shared" ref="E1825:E1830" si="168">C1825*D1825</f>
        <v>74.721919999999997</v>
      </c>
      <c r="H1825" s="5"/>
      <c r="I1825" s="5"/>
      <c r="J1825" s="7" t="s">
        <v>28</v>
      </c>
      <c r="K1825" s="7" t="s">
        <v>29</v>
      </c>
      <c r="L1825" s="7" t="s">
        <v>30</v>
      </c>
    </row>
    <row r="1826" spans="1:12" ht="18" x14ac:dyDescent="0.35">
      <c r="A1826" s="5" t="s">
        <v>143</v>
      </c>
      <c r="B1826" s="50" t="s">
        <v>33</v>
      </c>
      <c r="C1826" s="7">
        <v>6.5339999999999998</v>
      </c>
      <c r="D1826" s="7">
        <v>15.25</v>
      </c>
      <c r="E1826" s="85">
        <f t="shared" si="168"/>
        <v>99.643500000000003</v>
      </c>
      <c r="H1826" s="5" t="s">
        <v>204</v>
      </c>
      <c r="I1826" s="50" t="s">
        <v>32</v>
      </c>
      <c r="J1826" s="7">
        <v>1.9770000000000001</v>
      </c>
      <c r="K1826" s="7">
        <v>30.44</v>
      </c>
      <c r="L1826" s="85">
        <f t="shared" ref="L1826:L1831" si="169">J1826*K1826</f>
        <v>60.179880000000004</v>
      </c>
    </row>
    <row r="1827" spans="1:12" ht="18" x14ac:dyDescent="0.35">
      <c r="A1827" s="5" t="s">
        <v>777</v>
      </c>
      <c r="B1827" s="50" t="s">
        <v>137</v>
      </c>
      <c r="C1827" s="7">
        <v>0.5</v>
      </c>
      <c r="D1827" s="7">
        <v>17.190000000000001</v>
      </c>
      <c r="E1827" s="85">
        <f t="shared" si="168"/>
        <v>8.5950000000000006</v>
      </c>
      <c r="H1827" s="5" t="s">
        <v>39</v>
      </c>
      <c r="I1827" s="50" t="s">
        <v>33</v>
      </c>
      <c r="J1827" s="7">
        <v>3.3180000000000001</v>
      </c>
      <c r="K1827" s="7">
        <v>17.059999999999999</v>
      </c>
      <c r="L1827" s="85">
        <f t="shared" si="169"/>
        <v>56.605079999999994</v>
      </c>
    </row>
    <row r="1828" spans="1:12" ht="18" x14ac:dyDescent="0.35">
      <c r="A1828" s="5"/>
      <c r="B1828" s="50" t="s">
        <v>35</v>
      </c>
      <c r="C1828" s="7">
        <v>4</v>
      </c>
      <c r="D1828" s="7">
        <v>2.91</v>
      </c>
      <c r="E1828" s="85">
        <f t="shared" si="168"/>
        <v>11.64</v>
      </c>
      <c r="H1828" s="5" t="s">
        <v>759</v>
      </c>
      <c r="I1828" s="50" t="s">
        <v>137</v>
      </c>
      <c r="J1828" s="7">
        <v>0.2</v>
      </c>
      <c r="K1828" s="7">
        <v>17.190000000000001</v>
      </c>
      <c r="L1828" s="85">
        <f t="shared" si="169"/>
        <v>3.4380000000000006</v>
      </c>
    </row>
    <row r="1829" spans="1:12" ht="18" x14ac:dyDescent="0.35">
      <c r="A1829" s="5"/>
      <c r="B1829" s="50" t="s">
        <v>36</v>
      </c>
      <c r="C1829" s="7">
        <v>4</v>
      </c>
      <c r="D1829" s="7">
        <v>0.61</v>
      </c>
      <c r="E1829" s="85">
        <f t="shared" si="168"/>
        <v>2.44</v>
      </c>
      <c r="H1829" s="5"/>
      <c r="I1829" s="50" t="s">
        <v>35</v>
      </c>
      <c r="J1829" s="7">
        <v>4</v>
      </c>
      <c r="K1829" s="7">
        <v>2.91</v>
      </c>
      <c r="L1829" s="85">
        <f t="shared" si="169"/>
        <v>11.64</v>
      </c>
    </row>
    <row r="1830" spans="1:12" ht="18" x14ac:dyDescent="0.35">
      <c r="A1830" s="5"/>
      <c r="B1830" s="50" t="s">
        <v>37</v>
      </c>
      <c r="C1830" s="54">
        <v>0.5</v>
      </c>
      <c r="D1830" s="86">
        <v>85</v>
      </c>
      <c r="E1830" s="85">
        <f t="shared" si="168"/>
        <v>42.5</v>
      </c>
      <c r="H1830" s="5"/>
      <c r="I1830" s="50" t="s">
        <v>36</v>
      </c>
      <c r="J1830" s="7">
        <v>4</v>
      </c>
      <c r="K1830" s="7">
        <v>0.61</v>
      </c>
      <c r="L1830" s="85">
        <f t="shared" si="169"/>
        <v>2.44</v>
      </c>
    </row>
    <row r="1831" spans="1:12" ht="18" x14ac:dyDescent="0.35">
      <c r="A1831" s="5"/>
      <c r="B1831" s="5"/>
      <c r="C1831" s="54"/>
      <c r="D1831" s="54"/>
      <c r="E1831" s="85">
        <f>SUM(E1825:E1830)</f>
        <v>239.54041999999998</v>
      </c>
      <c r="H1831" s="5"/>
      <c r="I1831" s="50" t="s">
        <v>37</v>
      </c>
      <c r="J1831" s="54">
        <v>0.25</v>
      </c>
      <c r="K1831" s="86">
        <v>85</v>
      </c>
      <c r="L1831" s="85">
        <f t="shared" si="169"/>
        <v>21.25</v>
      </c>
    </row>
    <row r="1832" spans="1:12" ht="18" x14ac:dyDescent="0.35">
      <c r="H1832" s="5"/>
      <c r="I1832" s="5"/>
      <c r="J1832" s="54"/>
      <c r="K1832" s="54"/>
      <c r="L1832" s="85">
        <f>SUM(L1826:L1831)</f>
        <v>155.55295999999998</v>
      </c>
    </row>
    <row r="1834" spans="1:12" ht="21" x14ac:dyDescent="0.4">
      <c r="A1834" s="40" t="s">
        <v>975</v>
      </c>
      <c r="B1834" s="40"/>
      <c r="C1834" s="40"/>
      <c r="D1834" s="12"/>
      <c r="E1834" s="12"/>
    </row>
    <row r="1835" spans="1:12" ht="21" x14ac:dyDescent="0.4">
      <c r="A1835" s="5"/>
      <c r="B1835" s="5"/>
      <c r="C1835" s="7" t="s">
        <v>28</v>
      </c>
      <c r="D1835" s="7" t="s">
        <v>29</v>
      </c>
      <c r="E1835" s="7" t="s">
        <v>30</v>
      </c>
      <c r="H1835" s="40" t="s">
        <v>958</v>
      </c>
      <c r="I1835" s="40"/>
      <c r="J1835" s="40"/>
      <c r="K1835" s="12"/>
      <c r="L1835" s="12"/>
    </row>
    <row r="1836" spans="1:12" ht="18" x14ac:dyDescent="0.35">
      <c r="A1836" s="5" t="s">
        <v>110</v>
      </c>
      <c r="B1836" s="50" t="s">
        <v>32</v>
      </c>
      <c r="C1836" s="7">
        <v>3.2879999999999998</v>
      </c>
      <c r="D1836" s="7">
        <v>29.12</v>
      </c>
      <c r="E1836" s="85">
        <f t="shared" ref="E1836:E1841" si="170">C1836*D1836</f>
        <v>95.746560000000002</v>
      </c>
      <c r="H1836" s="5"/>
      <c r="I1836" s="5"/>
      <c r="J1836" s="7" t="s">
        <v>28</v>
      </c>
      <c r="K1836" s="7" t="s">
        <v>29</v>
      </c>
      <c r="L1836" s="7" t="s">
        <v>30</v>
      </c>
    </row>
    <row r="1837" spans="1:12" ht="18" x14ac:dyDescent="0.35">
      <c r="A1837" s="5" t="s">
        <v>213</v>
      </c>
      <c r="B1837" s="50" t="s">
        <v>33</v>
      </c>
      <c r="C1837" s="7">
        <v>26.24</v>
      </c>
      <c r="D1837" s="7">
        <v>15.25</v>
      </c>
      <c r="E1837" s="85">
        <f t="shared" si="170"/>
        <v>400.15999999999997</v>
      </c>
      <c r="H1837" s="5" t="s">
        <v>224</v>
      </c>
      <c r="I1837" s="50" t="s">
        <v>32</v>
      </c>
      <c r="J1837" s="7">
        <v>2.1859999999999999</v>
      </c>
      <c r="K1837" s="7">
        <v>30.44</v>
      </c>
      <c r="L1837" s="85">
        <f t="shared" ref="L1837:L1842" si="171">J1837*K1837</f>
        <v>66.541840000000008</v>
      </c>
    </row>
    <row r="1838" spans="1:12" ht="18" x14ac:dyDescent="0.35">
      <c r="A1838" s="5" t="s">
        <v>540</v>
      </c>
      <c r="B1838" s="50" t="s">
        <v>137</v>
      </c>
      <c r="C1838" s="7">
        <v>1.32</v>
      </c>
      <c r="D1838" s="7">
        <v>17.190000000000001</v>
      </c>
      <c r="E1838" s="85">
        <f t="shared" si="170"/>
        <v>22.690800000000003</v>
      </c>
      <c r="H1838" s="5" t="s">
        <v>39</v>
      </c>
      <c r="I1838" s="50" t="s">
        <v>33</v>
      </c>
      <c r="J1838" s="7">
        <v>3.738</v>
      </c>
      <c r="K1838" s="7">
        <v>17.059999999999999</v>
      </c>
      <c r="L1838" s="85">
        <f t="shared" si="171"/>
        <v>63.770279999999993</v>
      </c>
    </row>
    <row r="1839" spans="1:12" ht="18" x14ac:dyDescent="0.35">
      <c r="A1839" s="5"/>
      <c r="B1839" s="50" t="s">
        <v>35</v>
      </c>
      <c r="C1839" s="7">
        <v>4</v>
      </c>
      <c r="D1839" s="7">
        <v>2.91</v>
      </c>
      <c r="E1839" s="85">
        <f t="shared" si="170"/>
        <v>11.64</v>
      </c>
      <c r="H1839" s="5" t="s">
        <v>959</v>
      </c>
      <c r="I1839" s="50" t="s">
        <v>137</v>
      </c>
      <c r="J1839" s="7">
        <v>0.21</v>
      </c>
      <c r="K1839" s="7">
        <v>17.190000000000001</v>
      </c>
      <c r="L1839" s="85">
        <f t="shared" si="171"/>
        <v>3.6099000000000001</v>
      </c>
    </row>
    <row r="1840" spans="1:12" ht="18" x14ac:dyDescent="0.35">
      <c r="A1840" s="5"/>
      <c r="B1840" s="50" t="s">
        <v>36</v>
      </c>
      <c r="C1840" s="7">
        <v>4</v>
      </c>
      <c r="D1840" s="7">
        <v>0.61</v>
      </c>
      <c r="E1840" s="85">
        <f t="shared" si="170"/>
        <v>2.44</v>
      </c>
      <c r="H1840" s="5"/>
      <c r="I1840" s="50" t="s">
        <v>35</v>
      </c>
      <c r="J1840" s="7">
        <v>4</v>
      </c>
      <c r="K1840" s="7">
        <v>2.91</v>
      </c>
      <c r="L1840" s="85">
        <f t="shared" si="171"/>
        <v>11.64</v>
      </c>
    </row>
    <row r="1841" spans="1:12" ht="18" x14ac:dyDescent="0.35">
      <c r="A1841" s="5"/>
      <c r="B1841" s="50" t="s">
        <v>37</v>
      </c>
      <c r="C1841" s="54">
        <v>1</v>
      </c>
      <c r="D1841" s="86">
        <v>85</v>
      </c>
      <c r="E1841" s="85">
        <f t="shared" si="170"/>
        <v>85</v>
      </c>
      <c r="H1841" s="5"/>
      <c r="I1841" s="50" t="s">
        <v>36</v>
      </c>
      <c r="J1841" s="7">
        <v>4</v>
      </c>
      <c r="K1841" s="7">
        <v>0.61</v>
      </c>
      <c r="L1841" s="85">
        <f t="shared" si="171"/>
        <v>2.44</v>
      </c>
    </row>
    <row r="1842" spans="1:12" ht="18" x14ac:dyDescent="0.35">
      <c r="A1842" s="5"/>
      <c r="B1842" s="5"/>
      <c r="C1842" s="54"/>
      <c r="D1842" s="54"/>
      <c r="E1842" s="85">
        <f>SUM(E1836:E1841)</f>
        <v>617.67736000000002</v>
      </c>
      <c r="H1842" s="5"/>
      <c r="I1842" s="50" t="s">
        <v>37</v>
      </c>
      <c r="J1842" s="54">
        <v>0.25</v>
      </c>
      <c r="K1842" s="86">
        <v>85</v>
      </c>
      <c r="L1842" s="85">
        <f t="shared" si="171"/>
        <v>21.25</v>
      </c>
    </row>
    <row r="1843" spans="1:12" ht="18" x14ac:dyDescent="0.35">
      <c r="H1843" s="5"/>
      <c r="I1843" s="5"/>
      <c r="J1843" s="54"/>
      <c r="K1843" s="54"/>
      <c r="L1843" s="85">
        <f>SUM(L1837:L1842)</f>
        <v>169.25202000000002</v>
      </c>
    </row>
    <row r="1845" spans="1:12" ht="21" x14ac:dyDescent="0.4">
      <c r="A1845" s="40" t="s">
        <v>953</v>
      </c>
      <c r="B1845" s="40"/>
      <c r="C1845" s="40"/>
      <c r="D1845" s="12"/>
      <c r="E1845" s="12"/>
    </row>
    <row r="1846" spans="1:12" ht="18" x14ac:dyDescent="0.35">
      <c r="A1846" s="5"/>
      <c r="B1846" s="5"/>
      <c r="C1846" s="7" t="s">
        <v>28</v>
      </c>
      <c r="D1846" s="7" t="s">
        <v>29</v>
      </c>
      <c r="E1846" s="7" t="s">
        <v>30</v>
      </c>
    </row>
    <row r="1847" spans="1:12" ht="18" x14ac:dyDescent="0.35">
      <c r="A1847" s="5" t="s">
        <v>124</v>
      </c>
      <c r="B1847" s="50" t="s">
        <v>32</v>
      </c>
      <c r="C1847" s="7">
        <v>3.4990000000000001</v>
      </c>
      <c r="D1847" s="7">
        <v>29.12</v>
      </c>
      <c r="E1847" s="85">
        <f t="shared" ref="E1847:E1852" si="172">C1847*D1847</f>
        <v>101.89088000000001</v>
      </c>
    </row>
    <row r="1848" spans="1:12" ht="18" x14ac:dyDescent="0.35">
      <c r="A1848" s="5" t="s">
        <v>56</v>
      </c>
      <c r="B1848" s="50" t="s">
        <v>33</v>
      </c>
      <c r="C1848" s="7">
        <v>36.235999999999997</v>
      </c>
      <c r="D1848" s="7">
        <v>15.25</v>
      </c>
      <c r="E1848" s="85">
        <f t="shared" si="172"/>
        <v>552.59899999999993</v>
      </c>
    </row>
    <row r="1849" spans="1:12" ht="18" x14ac:dyDescent="0.35">
      <c r="A1849" s="5" t="s">
        <v>954</v>
      </c>
      <c r="B1849" s="50" t="s">
        <v>137</v>
      </c>
      <c r="C1849" s="7">
        <v>1.76</v>
      </c>
      <c r="D1849" s="7">
        <v>17.190000000000001</v>
      </c>
      <c r="E1849" s="85">
        <f t="shared" si="172"/>
        <v>30.254400000000004</v>
      </c>
    </row>
    <row r="1850" spans="1:12" ht="18" x14ac:dyDescent="0.35">
      <c r="A1850" s="5"/>
      <c r="B1850" s="50" t="s">
        <v>35</v>
      </c>
      <c r="C1850" s="7">
        <v>4</v>
      </c>
      <c r="D1850" s="7">
        <v>2.91</v>
      </c>
      <c r="E1850" s="85">
        <f t="shared" si="172"/>
        <v>11.64</v>
      </c>
    </row>
    <row r="1851" spans="1:12" ht="18" x14ac:dyDescent="0.35">
      <c r="A1851" s="5"/>
      <c r="B1851" s="50" t="s">
        <v>36</v>
      </c>
      <c r="C1851" s="7">
        <v>4</v>
      </c>
      <c r="D1851" s="7">
        <v>0.61</v>
      </c>
      <c r="E1851" s="85">
        <f t="shared" si="172"/>
        <v>2.44</v>
      </c>
    </row>
    <row r="1852" spans="1:12" ht="18" x14ac:dyDescent="0.35">
      <c r="A1852" s="5"/>
      <c r="B1852" s="50" t="s">
        <v>37</v>
      </c>
      <c r="C1852" s="54">
        <v>1</v>
      </c>
      <c r="D1852" s="86">
        <v>85</v>
      </c>
      <c r="E1852" s="85">
        <f t="shared" si="172"/>
        <v>85</v>
      </c>
    </row>
    <row r="1853" spans="1:12" ht="18" x14ac:dyDescent="0.35">
      <c r="A1853" s="5"/>
      <c r="B1853" s="5"/>
      <c r="C1853" s="54"/>
      <c r="D1853" s="54"/>
      <c r="E1853" s="85">
        <f>SUM(E1847:E1852)</f>
        <v>783.82428000000004</v>
      </c>
    </row>
    <row r="1856" spans="1:12" ht="21" x14ac:dyDescent="0.4">
      <c r="A1856" s="40" t="s">
        <v>614</v>
      </c>
      <c r="B1856" s="40"/>
      <c r="C1856" s="84"/>
      <c r="D1856" s="12"/>
      <c r="E1856" s="83"/>
    </row>
    <row r="1857" spans="1:5" x14ac:dyDescent="0.3">
      <c r="C1857" s="12"/>
      <c r="D1857" s="12"/>
      <c r="E1857" s="12"/>
    </row>
    <row r="1858" spans="1:5" ht="18" x14ac:dyDescent="0.35">
      <c r="A1858" s="5"/>
      <c r="B1858" s="5"/>
      <c r="C1858" s="7" t="s">
        <v>28</v>
      </c>
      <c r="D1858" s="7" t="s">
        <v>29</v>
      </c>
      <c r="E1858" s="7" t="s">
        <v>30</v>
      </c>
    </row>
    <row r="1859" spans="1:5" ht="18" x14ac:dyDescent="0.35">
      <c r="A1859" s="5" t="s">
        <v>292</v>
      </c>
      <c r="B1859" s="50" t="s">
        <v>32</v>
      </c>
      <c r="C1859" s="7">
        <v>3.2879999999999998</v>
      </c>
      <c r="D1859" s="7">
        <v>29.24</v>
      </c>
      <c r="E1859" s="85">
        <f t="shared" ref="E1859:E1866" si="173">C1859*D1859</f>
        <v>96.141119999999987</v>
      </c>
    </row>
    <row r="1860" spans="1:5" ht="18" x14ac:dyDescent="0.35">
      <c r="A1860" s="5" t="s">
        <v>55</v>
      </c>
      <c r="B1860" s="50" t="s">
        <v>33</v>
      </c>
      <c r="C1860" s="7">
        <v>24.948</v>
      </c>
      <c r="D1860" s="7">
        <v>14.94</v>
      </c>
      <c r="E1860" s="85">
        <f t="shared" si="173"/>
        <v>372.72311999999999</v>
      </c>
    </row>
    <row r="1861" spans="1:5" ht="18" x14ac:dyDescent="0.35">
      <c r="A1861" s="102" t="s">
        <v>377</v>
      </c>
      <c r="B1861" s="50" t="s">
        <v>33</v>
      </c>
      <c r="C1861" s="7">
        <v>25.725000000000001</v>
      </c>
      <c r="D1861" s="7">
        <v>14.94</v>
      </c>
      <c r="E1861" s="85">
        <f t="shared" si="173"/>
        <v>384.33150000000001</v>
      </c>
    </row>
    <row r="1862" spans="1:5" ht="18" x14ac:dyDescent="0.35">
      <c r="A1862" s="5"/>
      <c r="B1862" s="50" t="s">
        <v>113</v>
      </c>
      <c r="C1862" s="7">
        <v>4</v>
      </c>
      <c r="D1862" s="7">
        <v>2.2400000000000002</v>
      </c>
      <c r="E1862" s="85">
        <f t="shared" si="173"/>
        <v>8.9600000000000009</v>
      </c>
    </row>
    <row r="1863" spans="1:5" ht="18" x14ac:dyDescent="0.35">
      <c r="A1863" s="5"/>
      <c r="B1863" s="103" t="s">
        <v>86</v>
      </c>
      <c r="C1863" s="86">
        <v>2</v>
      </c>
      <c r="D1863" s="86">
        <v>1.68</v>
      </c>
      <c r="E1863" s="104">
        <f t="shared" si="173"/>
        <v>3.36</v>
      </c>
    </row>
    <row r="1864" spans="1:5" ht="18" x14ac:dyDescent="0.35">
      <c r="A1864" s="5"/>
      <c r="B1864" s="50" t="s">
        <v>34</v>
      </c>
      <c r="C1864" s="7">
        <v>1</v>
      </c>
      <c r="D1864" s="7">
        <v>14.61</v>
      </c>
      <c r="E1864" s="85">
        <f t="shared" si="173"/>
        <v>14.61</v>
      </c>
    </row>
    <row r="1865" spans="1:5" ht="18" x14ac:dyDescent="0.35">
      <c r="A1865" s="5"/>
      <c r="B1865" s="50" t="s">
        <v>35</v>
      </c>
      <c r="C1865" s="7">
        <v>4</v>
      </c>
      <c r="D1865" s="7">
        <v>2.89</v>
      </c>
      <c r="E1865" s="85">
        <f t="shared" si="173"/>
        <v>11.56</v>
      </c>
    </row>
    <row r="1866" spans="1:5" ht="18" x14ac:dyDescent="0.35">
      <c r="A1866" s="5"/>
      <c r="B1866" s="50" t="s">
        <v>36</v>
      </c>
      <c r="C1866" s="7">
        <v>4</v>
      </c>
      <c r="D1866" s="7">
        <v>0.6</v>
      </c>
      <c r="E1866" s="85">
        <f t="shared" si="173"/>
        <v>2.4</v>
      </c>
    </row>
    <row r="1867" spans="1:5" ht="18" x14ac:dyDescent="0.35">
      <c r="B1867" s="5"/>
      <c r="C1867" s="54"/>
      <c r="D1867" s="54"/>
      <c r="E1867" s="89">
        <f>SUM(E1859:E1866)</f>
        <v>894.08573999999999</v>
      </c>
    </row>
    <row r="1868" spans="1:5" ht="18" x14ac:dyDescent="0.35">
      <c r="B1868" s="50" t="s">
        <v>37</v>
      </c>
      <c r="C1868" s="54">
        <v>1.5</v>
      </c>
      <c r="D1868" s="54">
        <v>85</v>
      </c>
      <c r="E1868" s="85">
        <f>C1868*D1868</f>
        <v>127.5</v>
      </c>
    </row>
    <row r="1869" spans="1:5" ht="18" x14ac:dyDescent="0.35">
      <c r="B1869" s="5"/>
      <c r="C1869" s="54"/>
      <c r="D1869" s="54"/>
      <c r="E1869" s="85">
        <f>SUM(E1867:E1868)</f>
        <v>1021.58574</v>
      </c>
    </row>
    <row r="1871" spans="1:5" ht="21" x14ac:dyDescent="0.4">
      <c r="A1871" s="40" t="s">
        <v>599</v>
      </c>
      <c r="B1871" s="40"/>
      <c r="C1871" s="84"/>
    </row>
    <row r="1872" spans="1:5" ht="18" x14ac:dyDescent="0.35">
      <c r="A1872" s="5"/>
      <c r="B1872" s="5"/>
      <c r="C1872" s="7" t="s">
        <v>28</v>
      </c>
      <c r="D1872" s="7" t="s">
        <v>29</v>
      </c>
      <c r="E1872" s="7" t="s">
        <v>30</v>
      </c>
    </row>
    <row r="1873" spans="1:5" ht="18" x14ac:dyDescent="0.35">
      <c r="A1873" s="5" t="s">
        <v>960</v>
      </c>
      <c r="B1873" s="50" t="s">
        <v>32</v>
      </c>
      <c r="C1873" s="7">
        <v>2.407</v>
      </c>
      <c r="D1873" s="7">
        <v>30.44</v>
      </c>
      <c r="E1873" s="85">
        <f t="shared" ref="E1873:E1878" si="174">C1873*D1873</f>
        <v>73.269080000000002</v>
      </c>
    </row>
    <row r="1874" spans="1:5" ht="18" x14ac:dyDescent="0.35">
      <c r="A1874" s="5" t="s">
        <v>699</v>
      </c>
      <c r="B1874" s="50" t="s">
        <v>33</v>
      </c>
      <c r="C1874" s="7">
        <v>14.468999999999999</v>
      </c>
      <c r="D1874" s="7">
        <v>16.170000000000002</v>
      </c>
      <c r="E1874" s="85">
        <f t="shared" si="174"/>
        <v>233.96373000000003</v>
      </c>
    </row>
    <row r="1875" spans="1:5" ht="18" x14ac:dyDescent="0.35">
      <c r="A1875" s="5" t="s">
        <v>761</v>
      </c>
      <c r="B1875" s="50" t="s">
        <v>113</v>
      </c>
      <c r="C1875" s="7">
        <v>2</v>
      </c>
      <c r="D1875" s="7">
        <v>2.2400000000000002</v>
      </c>
      <c r="E1875" s="85">
        <f t="shared" si="174"/>
        <v>4.4800000000000004</v>
      </c>
    </row>
    <row r="1876" spans="1:5" ht="18" x14ac:dyDescent="0.35">
      <c r="A1876" s="5"/>
      <c r="B1876" s="50" t="s">
        <v>34</v>
      </c>
      <c r="C1876" s="7">
        <v>0.56699999999999995</v>
      </c>
      <c r="D1876" s="7">
        <v>14.61</v>
      </c>
      <c r="E1876" s="85">
        <f t="shared" si="174"/>
        <v>8.2838699999999985</v>
      </c>
    </row>
    <row r="1877" spans="1:5" ht="18" x14ac:dyDescent="0.35">
      <c r="A1877" s="5"/>
      <c r="B1877" s="50" t="s">
        <v>35</v>
      </c>
      <c r="C1877" s="7">
        <v>4</v>
      </c>
      <c r="D1877" s="7">
        <v>2.89</v>
      </c>
      <c r="E1877" s="85">
        <f t="shared" si="174"/>
        <v>11.56</v>
      </c>
    </row>
    <row r="1878" spans="1:5" ht="18" x14ac:dyDescent="0.35">
      <c r="A1878" s="5"/>
      <c r="B1878" s="50" t="s">
        <v>36</v>
      </c>
      <c r="C1878" s="7">
        <v>4</v>
      </c>
      <c r="D1878" s="7">
        <v>0.61</v>
      </c>
      <c r="E1878" s="85">
        <f t="shared" si="174"/>
        <v>2.44</v>
      </c>
    </row>
    <row r="1879" spans="1:5" ht="18" x14ac:dyDescent="0.35">
      <c r="A1879" s="5"/>
      <c r="B1879" s="5"/>
      <c r="C1879" s="54"/>
      <c r="D1879" s="54"/>
      <c r="E1879" s="89">
        <f>SUM(E1873:E1878)</f>
        <v>333.99668000000003</v>
      </c>
    </row>
    <row r="1880" spans="1:5" ht="18" x14ac:dyDescent="0.35">
      <c r="A1880" s="5"/>
      <c r="B1880" s="50" t="s">
        <v>37</v>
      </c>
      <c r="C1880" s="54">
        <v>1</v>
      </c>
      <c r="D1880" s="54">
        <v>85</v>
      </c>
      <c r="E1880" s="85">
        <f>C1880*D1880</f>
        <v>85</v>
      </c>
    </row>
    <row r="1881" spans="1:5" ht="18" x14ac:dyDescent="0.35">
      <c r="A1881" s="5"/>
      <c r="B1881" s="5"/>
      <c r="C1881" s="54"/>
      <c r="D1881" s="54"/>
      <c r="E1881" s="85">
        <f>SUM(E1879:E1880)</f>
        <v>418.99668000000003</v>
      </c>
    </row>
    <row r="1885" spans="1:5" ht="21" x14ac:dyDescent="0.4">
      <c r="A1885" s="40" t="s">
        <v>599</v>
      </c>
      <c r="B1885" s="40"/>
      <c r="C1885" s="84"/>
    </row>
    <row r="1886" spans="1:5" ht="18" x14ac:dyDescent="0.35">
      <c r="A1886" s="5"/>
      <c r="B1886" s="5"/>
      <c r="C1886" s="7" t="s">
        <v>28</v>
      </c>
      <c r="D1886" s="7" t="s">
        <v>29</v>
      </c>
      <c r="E1886" s="7" t="s">
        <v>30</v>
      </c>
    </row>
    <row r="1887" spans="1:5" ht="18" x14ac:dyDescent="0.35">
      <c r="A1887" s="5" t="s">
        <v>961</v>
      </c>
      <c r="B1887" s="50" t="s">
        <v>32</v>
      </c>
      <c r="C1887" s="7">
        <v>2.3860000000000001</v>
      </c>
      <c r="D1887" s="7">
        <v>30.44</v>
      </c>
      <c r="E1887" s="85">
        <f t="shared" ref="E1887:E1892" si="175">C1887*D1887</f>
        <v>72.629840000000002</v>
      </c>
    </row>
    <row r="1888" spans="1:5" ht="18" x14ac:dyDescent="0.35">
      <c r="A1888" s="5" t="s">
        <v>962</v>
      </c>
      <c r="B1888" s="50" t="s">
        <v>33</v>
      </c>
      <c r="C1888" s="7">
        <v>9.5869999999999997</v>
      </c>
      <c r="D1888" s="7">
        <v>16.170000000000002</v>
      </c>
      <c r="E1888" s="85">
        <f t="shared" si="175"/>
        <v>155.02179000000001</v>
      </c>
    </row>
    <row r="1889" spans="1:5" ht="18" x14ac:dyDescent="0.35">
      <c r="A1889" s="5" t="s">
        <v>859</v>
      </c>
      <c r="B1889" s="50" t="s">
        <v>963</v>
      </c>
      <c r="C1889" s="7">
        <v>2</v>
      </c>
      <c r="D1889" s="7">
        <v>1.48</v>
      </c>
      <c r="E1889" s="85">
        <f t="shared" si="175"/>
        <v>2.96</v>
      </c>
    </row>
    <row r="1890" spans="1:5" ht="18" x14ac:dyDescent="0.35">
      <c r="A1890" s="5"/>
      <c r="B1890" s="50" t="s">
        <v>34</v>
      </c>
      <c r="C1890" s="7">
        <v>0.46</v>
      </c>
      <c r="D1890" s="7">
        <v>14.61</v>
      </c>
      <c r="E1890" s="85">
        <f t="shared" si="175"/>
        <v>6.7206000000000001</v>
      </c>
    </row>
    <row r="1891" spans="1:5" ht="18" x14ac:dyDescent="0.35">
      <c r="A1891" s="5"/>
      <c r="B1891" s="50" t="s">
        <v>35</v>
      </c>
      <c r="C1891" s="7">
        <v>4</v>
      </c>
      <c r="D1891" s="7">
        <v>2.89</v>
      </c>
      <c r="E1891" s="85">
        <f t="shared" si="175"/>
        <v>11.56</v>
      </c>
    </row>
    <row r="1892" spans="1:5" ht="18" x14ac:dyDescent="0.35">
      <c r="A1892" s="5"/>
      <c r="B1892" s="50" t="s">
        <v>36</v>
      </c>
      <c r="C1892" s="7">
        <v>4</v>
      </c>
      <c r="D1892" s="7">
        <v>0.61</v>
      </c>
      <c r="E1892" s="85">
        <f t="shared" si="175"/>
        <v>2.44</v>
      </c>
    </row>
    <row r="1893" spans="1:5" ht="18" x14ac:dyDescent="0.35">
      <c r="A1893" s="5"/>
      <c r="B1893" s="5"/>
      <c r="C1893" s="54"/>
      <c r="D1893" s="54"/>
      <c r="E1893" s="89">
        <f>SUM(E1887:E1892)</f>
        <v>251.33223000000001</v>
      </c>
    </row>
    <row r="1894" spans="1:5" ht="18" x14ac:dyDescent="0.35">
      <c r="A1894" s="5"/>
      <c r="B1894" s="50" t="s">
        <v>37</v>
      </c>
      <c r="C1894" s="54">
        <v>0.5</v>
      </c>
      <c r="D1894" s="54">
        <v>85</v>
      </c>
      <c r="E1894" s="85">
        <f>C1894*D1894</f>
        <v>42.5</v>
      </c>
    </row>
    <row r="1895" spans="1:5" ht="18" x14ac:dyDescent="0.35">
      <c r="A1895" s="5"/>
      <c r="B1895" s="5"/>
      <c r="C1895" s="54"/>
      <c r="D1895" s="54"/>
      <c r="E1895" s="85">
        <f>SUM(E1893:E1894)</f>
        <v>293.83222999999998</v>
      </c>
    </row>
    <row r="1898" spans="1:5" ht="21" x14ac:dyDescent="0.4">
      <c r="A1898" s="40" t="s">
        <v>964</v>
      </c>
      <c r="B1898" s="40"/>
      <c r="C1898" s="40"/>
      <c r="D1898" s="12"/>
      <c r="E1898" s="12"/>
    </row>
    <row r="1899" spans="1:5" ht="18" x14ac:dyDescent="0.35">
      <c r="A1899" s="5"/>
      <c r="B1899" s="5"/>
      <c r="C1899" s="7" t="s">
        <v>28</v>
      </c>
      <c r="D1899" s="7" t="s">
        <v>29</v>
      </c>
      <c r="E1899" s="7" t="s">
        <v>30</v>
      </c>
    </row>
    <row r="1900" spans="1:5" ht="18" x14ac:dyDescent="0.35">
      <c r="A1900" s="5" t="s">
        <v>965</v>
      </c>
      <c r="B1900" s="50" t="s">
        <v>32</v>
      </c>
      <c r="C1900" s="7">
        <v>3.0790000000000002</v>
      </c>
      <c r="D1900" s="7">
        <v>30.44</v>
      </c>
      <c r="E1900" s="85">
        <f t="shared" ref="E1900:E1905" si="176">C1900*D1900</f>
        <v>93.724760000000003</v>
      </c>
    </row>
    <row r="1901" spans="1:5" ht="18" x14ac:dyDescent="0.35">
      <c r="A1901" s="5" t="s">
        <v>167</v>
      </c>
      <c r="B1901" s="50" t="s">
        <v>33</v>
      </c>
      <c r="C1901" s="7">
        <v>24.033999999999999</v>
      </c>
      <c r="D1901" s="7">
        <v>17.059999999999999</v>
      </c>
      <c r="E1901" s="85">
        <f t="shared" si="176"/>
        <v>410.02003999999994</v>
      </c>
    </row>
    <row r="1902" spans="1:5" ht="18" x14ac:dyDescent="0.35">
      <c r="A1902" s="5" t="s">
        <v>966</v>
      </c>
      <c r="B1902" s="50" t="s">
        <v>137</v>
      </c>
      <c r="C1902" s="7">
        <v>1.26</v>
      </c>
      <c r="D1902" s="7">
        <v>17.190000000000001</v>
      </c>
      <c r="E1902" s="85">
        <f t="shared" si="176"/>
        <v>21.659400000000002</v>
      </c>
    </row>
    <row r="1903" spans="1:5" ht="18" x14ac:dyDescent="0.35">
      <c r="A1903" s="5"/>
      <c r="B1903" s="50" t="s">
        <v>35</v>
      </c>
      <c r="C1903" s="7">
        <v>4</v>
      </c>
      <c r="D1903" s="7">
        <v>2.91</v>
      </c>
      <c r="E1903" s="85">
        <f t="shared" si="176"/>
        <v>11.64</v>
      </c>
    </row>
    <row r="1904" spans="1:5" ht="18" x14ac:dyDescent="0.35">
      <c r="A1904" s="5"/>
      <c r="B1904" s="50" t="s">
        <v>36</v>
      </c>
      <c r="C1904" s="7">
        <v>4</v>
      </c>
      <c r="D1904" s="7">
        <v>0.61</v>
      </c>
      <c r="E1904" s="85">
        <f t="shared" si="176"/>
        <v>2.44</v>
      </c>
    </row>
    <row r="1905" spans="1:5" ht="18" x14ac:dyDescent="0.35">
      <c r="A1905" s="5"/>
      <c r="B1905" s="50" t="s">
        <v>37</v>
      </c>
      <c r="C1905" s="54">
        <v>1</v>
      </c>
      <c r="D1905" s="86">
        <v>85</v>
      </c>
      <c r="E1905" s="85">
        <f t="shared" si="176"/>
        <v>85</v>
      </c>
    </row>
    <row r="1906" spans="1:5" ht="18" x14ac:dyDescent="0.35">
      <c r="A1906" s="5"/>
      <c r="B1906" s="5"/>
      <c r="C1906" s="54"/>
      <c r="D1906" s="54"/>
      <c r="E1906" s="85">
        <f>SUM(E1900:E1905)</f>
        <v>624.48419999999999</v>
      </c>
    </row>
    <row r="1908" spans="1:5" ht="21" x14ac:dyDescent="0.4">
      <c r="A1908" s="40" t="s">
        <v>599</v>
      </c>
      <c r="B1908" s="40"/>
      <c r="C1908" s="84"/>
    </row>
    <row r="1909" spans="1:5" ht="18" x14ac:dyDescent="0.35">
      <c r="A1909" s="5"/>
      <c r="B1909" s="5"/>
      <c r="C1909" s="7" t="s">
        <v>28</v>
      </c>
      <c r="D1909" s="7" t="s">
        <v>29</v>
      </c>
      <c r="E1909" s="7" t="s">
        <v>30</v>
      </c>
    </row>
    <row r="1910" spans="1:5" ht="18" x14ac:dyDescent="0.35">
      <c r="A1910" s="5" t="s">
        <v>74</v>
      </c>
      <c r="B1910" s="50" t="s">
        <v>32</v>
      </c>
      <c r="C1910" s="7">
        <v>1.1879999999999999</v>
      </c>
      <c r="D1910" s="7">
        <v>30.44</v>
      </c>
      <c r="E1910" s="85">
        <f t="shared" ref="E1910:E1915" si="177">C1910*D1910</f>
        <v>36.16272</v>
      </c>
    </row>
    <row r="1911" spans="1:5" ht="18" x14ac:dyDescent="0.35">
      <c r="A1911" s="5" t="s">
        <v>178</v>
      </c>
      <c r="B1911" s="50" t="s">
        <v>33</v>
      </c>
      <c r="C1911" s="7">
        <v>2.74</v>
      </c>
      <c r="D1911" s="7">
        <v>16.170000000000002</v>
      </c>
      <c r="E1911" s="85">
        <f t="shared" si="177"/>
        <v>44.305800000000005</v>
      </c>
    </row>
    <row r="1912" spans="1:5" ht="18" x14ac:dyDescent="0.35">
      <c r="A1912" s="5" t="s">
        <v>759</v>
      </c>
      <c r="B1912" s="50" t="s">
        <v>85</v>
      </c>
      <c r="C1912" s="7">
        <v>2</v>
      </c>
      <c r="D1912" s="7">
        <v>1.48</v>
      </c>
      <c r="E1912" s="85">
        <f t="shared" si="177"/>
        <v>2.96</v>
      </c>
    </row>
    <row r="1913" spans="1:5" ht="18" x14ac:dyDescent="0.35">
      <c r="A1913" s="5"/>
      <c r="B1913" s="50" t="s">
        <v>34</v>
      </c>
      <c r="C1913" s="7"/>
      <c r="D1913" s="7">
        <v>14.61</v>
      </c>
      <c r="E1913" s="85">
        <f t="shared" si="177"/>
        <v>0</v>
      </c>
    </row>
    <row r="1914" spans="1:5" ht="18" x14ac:dyDescent="0.35">
      <c r="A1914" s="5"/>
      <c r="B1914" s="50" t="s">
        <v>35</v>
      </c>
      <c r="C1914" s="7">
        <v>4</v>
      </c>
      <c r="D1914" s="7">
        <v>2.89</v>
      </c>
      <c r="E1914" s="85">
        <f t="shared" si="177"/>
        <v>11.56</v>
      </c>
    </row>
    <row r="1915" spans="1:5" ht="18" x14ac:dyDescent="0.35">
      <c r="A1915" s="5"/>
      <c r="B1915" s="50" t="s">
        <v>36</v>
      </c>
      <c r="C1915" s="7">
        <v>4</v>
      </c>
      <c r="D1915" s="7">
        <v>0.61</v>
      </c>
      <c r="E1915" s="85">
        <f t="shared" si="177"/>
        <v>2.44</v>
      </c>
    </row>
    <row r="1916" spans="1:5" ht="18" x14ac:dyDescent="0.35">
      <c r="A1916" s="5"/>
      <c r="B1916" s="5"/>
      <c r="C1916" s="54"/>
      <c r="D1916" s="54"/>
      <c r="E1916" s="89">
        <f>SUM(E1910:E1915)</f>
        <v>97.428520000000006</v>
      </c>
    </row>
    <row r="1917" spans="1:5" ht="18" x14ac:dyDescent="0.35">
      <c r="A1917" s="5"/>
      <c r="B1917" s="50" t="s">
        <v>37</v>
      </c>
      <c r="C1917" s="54">
        <v>0.5</v>
      </c>
      <c r="D1917" s="54">
        <v>85</v>
      </c>
      <c r="E1917" s="85">
        <f>C1917*D1917</f>
        <v>42.5</v>
      </c>
    </row>
    <row r="1918" spans="1:5" ht="18" x14ac:dyDescent="0.35">
      <c r="A1918" s="5"/>
      <c r="B1918" s="5"/>
      <c r="C1918" s="54"/>
      <c r="D1918" s="54"/>
      <c r="E1918" s="85">
        <f>SUM(E1916:E1917)</f>
        <v>139.92851999999999</v>
      </c>
    </row>
    <row r="1921" spans="1:5" ht="21" x14ac:dyDescent="0.4">
      <c r="A1921" s="40" t="s">
        <v>599</v>
      </c>
      <c r="B1921" s="40"/>
      <c r="C1921" s="84"/>
    </row>
    <row r="1922" spans="1:5" ht="18" x14ac:dyDescent="0.35">
      <c r="A1922" s="5"/>
      <c r="B1922" s="5"/>
      <c r="C1922" s="7" t="s">
        <v>28</v>
      </c>
      <c r="D1922" s="7" t="s">
        <v>29</v>
      </c>
      <c r="E1922" s="7" t="s">
        <v>30</v>
      </c>
    </row>
    <row r="1923" spans="1:5" ht="18" x14ac:dyDescent="0.35">
      <c r="A1923" s="5" t="s">
        <v>77</v>
      </c>
      <c r="B1923" s="50" t="s">
        <v>32</v>
      </c>
      <c r="C1923" s="7">
        <v>1.1879999999999999</v>
      </c>
      <c r="D1923" s="7">
        <v>30.44</v>
      </c>
      <c r="E1923" s="85">
        <f t="shared" ref="E1923:E1928" si="178">C1923*D1923</f>
        <v>36.16272</v>
      </c>
    </row>
    <row r="1924" spans="1:5" ht="18" x14ac:dyDescent="0.35">
      <c r="A1924" s="5" t="s">
        <v>178</v>
      </c>
      <c r="B1924" s="50" t="s">
        <v>33</v>
      </c>
      <c r="C1924" s="7">
        <v>2.74</v>
      </c>
      <c r="D1924" s="7">
        <v>16.170000000000002</v>
      </c>
      <c r="E1924" s="85">
        <f t="shared" si="178"/>
        <v>44.305800000000005</v>
      </c>
    </row>
    <row r="1925" spans="1:5" ht="18" x14ac:dyDescent="0.35">
      <c r="A1925" s="5" t="s">
        <v>913</v>
      </c>
      <c r="B1925" s="50" t="s">
        <v>85</v>
      </c>
      <c r="C1925" s="7">
        <v>2</v>
      </c>
      <c r="D1925" s="7">
        <v>1.48</v>
      </c>
      <c r="E1925" s="85">
        <f t="shared" si="178"/>
        <v>2.96</v>
      </c>
    </row>
    <row r="1926" spans="1:5" ht="18" x14ac:dyDescent="0.35">
      <c r="A1926" s="5"/>
      <c r="B1926" s="50" t="s">
        <v>34</v>
      </c>
      <c r="C1926" s="7"/>
      <c r="D1926" s="7">
        <v>14.61</v>
      </c>
      <c r="E1926" s="85">
        <f t="shared" si="178"/>
        <v>0</v>
      </c>
    </row>
    <row r="1927" spans="1:5" ht="18" x14ac:dyDescent="0.35">
      <c r="A1927" s="5"/>
      <c r="B1927" s="50" t="s">
        <v>35</v>
      </c>
      <c r="C1927" s="7">
        <v>4</v>
      </c>
      <c r="D1927" s="7">
        <v>2.89</v>
      </c>
      <c r="E1927" s="85">
        <f t="shared" si="178"/>
        <v>11.56</v>
      </c>
    </row>
    <row r="1928" spans="1:5" ht="18" x14ac:dyDescent="0.35">
      <c r="A1928" s="5"/>
      <c r="B1928" s="50" t="s">
        <v>36</v>
      </c>
      <c r="C1928" s="7">
        <v>4</v>
      </c>
      <c r="D1928" s="7">
        <v>0.61</v>
      </c>
      <c r="E1928" s="85">
        <f t="shared" si="178"/>
        <v>2.44</v>
      </c>
    </row>
    <row r="1929" spans="1:5" ht="18" x14ac:dyDescent="0.35">
      <c r="A1929" s="5"/>
      <c r="B1929" s="5"/>
      <c r="C1929" s="54"/>
      <c r="D1929" s="54"/>
      <c r="E1929" s="89">
        <f>SUM(E1923:E1928)</f>
        <v>97.428520000000006</v>
      </c>
    </row>
    <row r="1930" spans="1:5" ht="18" x14ac:dyDescent="0.35">
      <c r="A1930" s="5"/>
      <c r="B1930" s="50" t="s">
        <v>37</v>
      </c>
      <c r="C1930" s="54">
        <v>0.5</v>
      </c>
      <c r="D1930" s="54">
        <v>85</v>
      </c>
      <c r="E1930" s="85">
        <f>C1930*D1930</f>
        <v>42.5</v>
      </c>
    </row>
    <row r="1931" spans="1:5" ht="18" x14ac:dyDescent="0.35">
      <c r="A1931" s="5"/>
      <c r="B1931" s="5"/>
      <c r="C1931" s="54"/>
      <c r="D1931" s="54"/>
      <c r="E1931" s="85">
        <f>SUM(E1929:E1930)</f>
        <v>139.92851999999999</v>
      </c>
    </row>
    <row r="1934" spans="1:5" ht="21" x14ac:dyDescent="0.4">
      <c r="A1934" s="40" t="s">
        <v>599</v>
      </c>
      <c r="B1934" s="40"/>
      <c r="C1934" s="84"/>
    </row>
    <row r="1935" spans="1:5" ht="18" x14ac:dyDescent="0.35">
      <c r="A1935" s="5"/>
      <c r="B1935" s="5"/>
      <c r="C1935" s="7" t="s">
        <v>28</v>
      </c>
      <c r="D1935" s="7" t="s">
        <v>29</v>
      </c>
      <c r="E1935" s="7" t="s">
        <v>30</v>
      </c>
    </row>
    <row r="1936" spans="1:5" ht="18" x14ac:dyDescent="0.35">
      <c r="A1936" s="5" t="s">
        <v>970</v>
      </c>
      <c r="B1936" s="50" t="s">
        <v>32</v>
      </c>
      <c r="C1936" s="7">
        <v>3.3940000000000001</v>
      </c>
      <c r="D1936" s="7">
        <v>30.44</v>
      </c>
      <c r="E1936" s="85">
        <f t="shared" ref="E1936:E1941" si="179">C1936*D1936</f>
        <v>103.31336</v>
      </c>
    </row>
    <row r="1937" spans="1:5" ht="18" x14ac:dyDescent="0.35">
      <c r="A1937" s="5" t="s">
        <v>397</v>
      </c>
      <c r="B1937" s="50" t="s">
        <v>33</v>
      </c>
      <c r="C1937" s="7">
        <v>32.130000000000003</v>
      </c>
      <c r="D1937" s="7">
        <v>16.170000000000002</v>
      </c>
      <c r="E1937" s="85">
        <f t="shared" si="179"/>
        <v>519.54210000000012</v>
      </c>
    </row>
    <row r="1938" spans="1:5" ht="18" x14ac:dyDescent="0.35">
      <c r="A1938" s="5" t="s">
        <v>971</v>
      </c>
      <c r="B1938" s="50" t="s">
        <v>87</v>
      </c>
      <c r="C1938" s="7">
        <v>4</v>
      </c>
      <c r="D1938" s="7">
        <v>1.82</v>
      </c>
      <c r="E1938" s="85">
        <f t="shared" si="179"/>
        <v>7.28</v>
      </c>
    </row>
    <row r="1939" spans="1:5" ht="18" x14ac:dyDescent="0.35">
      <c r="A1939" s="5"/>
      <c r="B1939" s="50" t="s">
        <v>34</v>
      </c>
      <c r="C1939" s="7">
        <v>1.68</v>
      </c>
      <c r="D1939" s="7">
        <v>14.61</v>
      </c>
      <c r="E1939" s="85">
        <f t="shared" si="179"/>
        <v>24.544799999999999</v>
      </c>
    </row>
    <row r="1940" spans="1:5" ht="18" x14ac:dyDescent="0.35">
      <c r="A1940" s="5"/>
      <c r="B1940" s="50" t="s">
        <v>35</v>
      </c>
      <c r="C1940" s="7">
        <v>4</v>
      </c>
      <c r="D1940" s="7">
        <v>2.89</v>
      </c>
      <c r="E1940" s="85">
        <f t="shared" si="179"/>
        <v>11.56</v>
      </c>
    </row>
    <row r="1941" spans="1:5" ht="18" x14ac:dyDescent="0.35">
      <c r="A1941" s="5"/>
      <c r="B1941" s="50" t="s">
        <v>36</v>
      </c>
      <c r="C1941" s="7">
        <v>4</v>
      </c>
      <c r="D1941" s="7">
        <v>0.61</v>
      </c>
      <c r="E1941" s="85">
        <f t="shared" si="179"/>
        <v>2.44</v>
      </c>
    </row>
    <row r="1942" spans="1:5" ht="18" x14ac:dyDescent="0.35">
      <c r="A1942" s="5"/>
      <c r="B1942" s="5"/>
      <c r="C1942" s="54"/>
      <c r="D1942" s="54"/>
      <c r="E1942" s="89">
        <f>SUM(E1936:E1941)</f>
        <v>668.68026000000009</v>
      </c>
    </row>
    <row r="1943" spans="1:5" ht="18" x14ac:dyDescent="0.35">
      <c r="A1943" s="5"/>
      <c r="B1943" s="50" t="s">
        <v>37</v>
      </c>
      <c r="C1943" s="54">
        <v>1.5</v>
      </c>
      <c r="D1943" s="54">
        <v>85</v>
      </c>
      <c r="E1943" s="85">
        <f>C1943*D1943</f>
        <v>127.5</v>
      </c>
    </row>
    <row r="1944" spans="1:5" ht="18" x14ac:dyDescent="0.35">
      <c r="A1944" s="5"/>
      <c r="B1944" s="5"/>
      <c r="C1944" s="54"/>
      <c r="D1944" s="54"/>
      <c r="E1944" s="85">
        <f>SUM(E1942:E1943)</f>
        <v>796.18026000000009</v>
      </c>
    </row>
    <row r="1947" spans="1:5" ht="21" x14ac:dyDescent="0.4">
      <c r="A1947" s="40" t="s">
        <v>599</v>
      </c>
      <c r="B1947" s="40"/>
      <c r="C1947" s="84"/>
    </row>
    <row r="1948" spans="1:5" ht="18" x14ac:dyDescent="0.35">
      <c r="A1948" s="5"/>
      <c r="B1948" s="5"/>
      <c r="C1948" s="7" t="s">
        <v>28</v>
      </c>
      <c r="D1948" s="7" t="s">
        <v>29</v>
      </c>
      <c r="E1948" s="7" t="s">
        <v>30</v>
      </c>
    </row>
    <row r="1949" spans="1:5" ht="18" x14ac:dyDescent="0.35">
      <c r="A1949" s="5" t="s">
        <v>82</v>
      </c>
      <c r="B1949" s="50" t="s">
        <v>32</v>
      </c>
      <c r="C1949" s="7">
        <v>3.0779999999999998</v>
      </c>
      <c r="D1949" s="7">
        <v>30.44</v>
      </c>
      <c r="E1949" s="85">
        <f t="shared" ref="E1949:E1954" si="180">C1949*D1949</f>
        <v>93.694320000000005</v>
      </c>
    </row>
    <row r="1950" spans="1:5" ht="18" x14ac:dyDescent="0.35">
      <c r="A1950" s="5" t="s">
        <v>178</v>
      </c>
      <c r="B1950" s="50" t="s">
        <v>33</v>
      </c>
      <c r="C1950" s="7">
        <v>11.244999999999999</v>
      </c>
      <c r="D1950" s="7">
        <v>16.170000000000002</v>
      </c>
      <c r="E1950" s="85">
        <f t="shared" si="180"/>
        <v>181.83165</v>
      </c>
    </row>
    <row r="1951" spans="1:5" ht="18" x14ac:dyDescent="0.35">
      <c r="A1951" s="5" t="s">
        <v>976</v>
      </c>
      <c r="B1951" s="50" t="s">
        <v>85</v>
      </c>
      <c r="C1951" s="7">
        <v>2</v>
      </c>
      <c r="D1951" s="7">
        <v>1.48</v>
      </c>
      <c r="E1951" s="85">
        <f t="shared" si="180"/>
        <v>2.96</v>
      </c>
    </row>
    <row r="1952" spans="1:5" ht="18" x14ac:dyDescent="0.35">
      <c r="A1952" s="5"/>
      <c r="B1952" s="50" t="s">
        <v>34</v>
      </c>
      <c r="C1952" s="7">
        <v>0.84</v>
      </c>
      <c r="D1952" s="7">
        <v>14.61</v>
      </c>
      <c r="E1952" s="85">
        <f t="shared" si="180"/>
        <v>12.272399999999999</v>
      </c>
    </row>
    <row r="1953" spans="1:5" ht="18" x14ac:dyDescent="0.35">
      <c r="A1953" s="5"/>
      <c r="B1953" s="50" t="s">
        <v>35</v>
      </c>
      <c r="C1953" s="7">
        <v>4</v>
      </c>
      <c r="D1953" s="7">
        <v>2.89</v>
      </c>
      <c r="E1953" s="85">
        <f t="shared" si="180"/>
        <v>11.56</v>
      </c>
    </row>
    <row r="1954" spans="1:5" ht="18" x14ac:dyDescent="0.35">
      <c r="A1954" s="5"/>
      <c r="B1954" s="50" t="s">
        <v>36</v>
      </c>
      <c r="C1954" s="7">
        <v>4</v>
      </c>
      <c r="D1954" s="7">
        <v>0.61</v>
      </c>
      <c r="E1954" s="85">
        <f t="shared" si="180"/>
        <v>2.44</v>
      </c>
    </row>
    <row r="1955" spans="1:5" ht="18" x14ac:dyDescent="0.35">
      <c r="A1955" s="5"/>
      <c r="B1955" s="5"/>
      <c r="C1955" s="54"/>
      <c r="D1955" s="54"/>
      <c r="E1955" s="89">
        <f>SUM(E1949:E1954)</f>
        <v>304.75837000000001</v>
      </c>
    </row>
    <row r="1956" spans="1:5" ht="18" x14ac:dyDescent="0.35">
      <c r="A1956" s="5"/>
      <c r="B1956" s="50" t="s">
        <v>37</v>
      </c>
      <c r="C1956" s="54">
        <v>0.5</v>
      </c>
      <c r="D1956" s="54">
        <v>95</v>
      </c>
      <c r="E1956" s="85">
        <f>C1956*D1956</f>
        <v>47.5</v>
      </c>
    </row>
    <row r="1957" spans="1:5" ht="18" x14ac:dyDescent="0.35">
      <c r="A1957" s="5"/>
      <c r="B1957" s="5"/>
      <c r="C1957" s="54"/>
      <c r="D1957" s="54"/>
      <c r="E1957" s="85">
        <f>SUM(E1955:E1956)</f>
        <v>352.25837000000001</v>
      </c>
    </row>
    <row r="1960" spans="1:5" ht="21" x14ac:dyDescent="0.4">
      <c r="A1960" s="40" t="s">
        <v>977</v>
      </c>
      <c r="B1960" s="40"/>
      <c r="C1960" s="40"/>
      <c r="D1960" s="12"/>
      <c r="E1960" s="12"/>
    </row>
    <row r="1961" spans="1:5" ht="18" x14ac:dyDescent="0.35">
      <c r="A1961" s="5"/>
      <c r="B1961" s="5"/>
      <c r="C1961" s="7" t="s">
        <v>28</v>
      </c>
      <c r="D1961" s="7" t="s">
        <v>29</v>
      </c>
      <c r="E1961" s="7" t="s">
        <v>30</v>
      </c>
    </row>
    <row r="1962" spans="1:5" ht="18" x14ac:dyDescent="0.35">
      <c r="A1962" s="5" t="s">
        <v>110</v>
      </c>
      <c r="B1962" s="50" t="s">
        <v>32</v>
      </c>
      <c r="C1962" s="7">
        <v>3.2879999999999998</v>
      </c>
      <c r="D1962" s="7">
        <v>30.44</v>
      </c>
      <c r="E1962" s="85">
        <f t="shared" ref="E1962:E1967" si="181">C1962*D1962</f>
        <v>100.08672</v>
      </c>
    </row>
    <row r="1963" spans="1:5" ht="18" x14ac:dyDescent="0.35">
      <c r="A1963" s="5" t="s">
        <v>167</v>
      </c>
      <c r="B1963" s="50" t="s">
        <v>33</v>
      </c>
      <c r="C1963" s="7">
        <v>26.239000000000001</v>
      </c>
      <c r="D1963" s="7">
        <v>17.059999999999999</v>
      </c>
      <c r="E1963" s="85">
        <f t="shared" si="181"/>
        <v>447.63733999999999</v>
      </c>
    </row>
    <row r="1964" spans="1:5" ht="18" x14ac:dyDescent="0.35">
      <c r="A1964" s="5" t="s">
        <v>820</v>
      </c>
      <c r="B1964" s="50" t="s">
        <v>137</v>
      </c>
      <c r="C1964" s="7">
        <v>0.6</v>
      </c>
      <c r="D1964" s="7">
        <v>17.190000000000001</v>
      </c>
      <c r="E1964" s="85">
        <f t="shared" si="181"/>
        <v>10.314</v>
      </c>
    </row>
    <row r="1965" spans="1:5" ht="18" x14ac:dyDescent="0.35">
      <c r="A1965" s="5"/>
      <c r="B1965" s="50" t="s">
        <v>35</v>
      </c>
      <c r="C1965" s="7">
        <v>4</v>
      </c>
      <c r="D1965" s="7">
        <v>2.91</v>
      </c>
      <c r="E1965" s="85">
        <f t="shared" si="181"/>
        <v>11.64</v>
      </c>
    </row>
    <row r="1966" spans="1:5" ht="18" x14ac:dyDescent="0.35">
      <c r="A1966" s="5"/>
      <c r="B1966" s="50" t="s">
        <v>36</v>
      </c>
      <c r="C1966" s="7">
        <v>4</v>
      </c>
      <c r="D1966" s="7">
        <v>0.61</v>
      </c>
      <c r="E1966" s="85">
        <f t="shared" si="181"/>
        <v>2.44</v>
      </c>
    </row>
    <row r="1967" spans="1:5" ht="18" x14ac:dyDescent="0.35">
      <c r="A1967" s="5"/>
      <c r="B1967" s="50" t="s">
        <v>37</v>
      </c>
      <c r="C1967" s="54">
        <v>1</v>
      </c>
      <c r="D1967" s="86">
        <v>85</v>
      </c>
      <c r="E1967" s="85">
        <f t="shared" si="181"/>
        <v>85</v>
      </c>
    </row>
    <row r="1968" spans="1:5" ht="18" x14ac:dyDescent="0.35">
      <c r="A1968" s="5"/>
      <c r="B1968" s="5"/>
      <c r="C1968" s="54"/>
      <c r="D1968" s="54"/>
      <c r="E1968" s="85">
        <f>SUM(E1962:E1967)</f>
        <v>657.11806000000001</v>
      </c>
    </row>
    <row r="1971" spans="1:5" ht="21" x14ac:dyDescent="0.4">
      <c r="A1971" s="40" t="s">
        <v>978</v>
      </c>
      <c r="B1971" s="40"/>
      <c r="C1971" s="40"/>
      <c r="D1971" s="12"/>
      <c r="E1971" s="12"/>
    </row>
    <row r="1972" spans="1:5" ht="18" x14ac:dyDescent="0.35">
      <c r="A1972" s="5"/>
      <c r="B1972" s="5"/>
      <c r="C1972" s="7" t="s">
        <v>28</v>
      </c>
      <c r="D1972" s="7" t="s">
        <v>29</v>
      </c>
      <c r="E1972" s="7" t="s">
        <v>30</v>
      </c>
    </row>
    <row r="1973" spans="1:5" ht="18" x14ac:dyDescent="0.35">
      <c r="A1973" s="5" t="s">
        <v>82</v>
      </c>
      <c r="B1973" s="50" t="s">
        <v>32</v>
      </c>
      <c r="C1973" s="7">
        <v>3.0790000000000002</v>
      </c>
      <c r="D1973" s="7">
        <v>30.44</v>
      </c>
      <c r="E1973" s="85">
        <f t="shared" ref="E1973:E1978" si="182">C1973*D1973</f>
        <v>93.724760000000003</v>
      </c>
    </row>
    <row r="1974" spans="1:5" ht="18" x14ac:dyDescent="0.35">
      <c r="A1974" s="5" t="s">
        <v>53</v>
      </c>
      <c r="B1974" s="50" t="s">
        <v>33</v>
      </c>
      <c r="C1974" s="7">
        <v>17.492999999999999</v>
      </c>
      <c r="D1974" s="7">
        <v>17.059999999999999</v>
      </c>
      <c r="E1974" s="85">
        <f t="shared" si="182"/>
        <v>298.43057999999996</v>
      </c>
    </row>
    <row r="1975" spans="1:5" ht="18" x14ac:dyDescent="0.35">
      <c r="A1975" s="5" t="s">
        <v>979</v>
      </c>
      <c r="B1975" s="50" t="s">
        <v>137</v>
      </c>
      <c r="C1975" s="7">
        <v>0.45</v>
      </c>
      <c r="D1975" s="7">
        <v>17.190000000000001</v>
      </c>
      <c r="E1975" s="85">
        <f t="shared" si="182"/>
        <v>7.7355000000000009</v>
      </c>
    </row>
    <row r="1976" spans="1:5" ht="18" x14ac:dyDescent="0.35">
      <c r="A1976" s="5"/>
      <c r="B1976" s="50" t="s">
        <v>35</v>
      </c>
      <c r="C1976" s="7">
        <v>4</v>
      </c>
      <c r="D1976" s="7">
        <v>2.91</v>
      </c>
      <c r="E1976" s="85">
        <f t="shared" si="182"/>
        <v>11.64</v>
      </c>
    </row>
    <row r="1977" spans="1:5" ht="18" x14ac:dyDescent="0.35">
      <c r="A1977" s="5"/>
      <c r="B1977" s="50" t="s">
        <v>36</v>
      </c>
      <c r="C1977" s="7">
        <v>4</v>
      </c>
      <c r="D1977" s="7">
        <v>0.61</v>
      </c>
      <c r="E1977" s="85">
        <f t="shared" si="182"/>
        <v>2.44</v>
      </c>
    </row>
    <row r="1978" spans="1:5" ht="18" x14ac:dyDescent="0.35">
      <c r="A1978" s="5"/>
      <c r="B1978" s="50" t="s">
        <v>37</v>
      </c>
      <c r="C1978" s="54">
        <v>1</v>
      </c>
      <c r="D1978" s="86">
        <v>85</v>
      </c>
      <c r="E1978" s="85">
        <f t="shared" si="182"/>
        <v>85</v>
      </c>
    </row>
    <row r="1979" spans="1:5" ht="18" x14ac:dyDescent="0.35">
      <c r="A1979" s="5"/>
      <c r="B1979" s="5"/>
      <c r="C1979" s="54"/>
      <c r="D1979" s="54"/>
      <c r="E1979" s="85">
        <f>SUM(E1973:E1978)</f>
        <v>498.97083999999995</v>
      </c>
    </row>
    <row r="1982" spans="1:5" ht="21" x14ac:dyDescent="0.4">
      <c r="A1982" s="40" t="s">
        <v>634</v>
      </c>
      <c r="B1982" s="40"/>
      <c r="C1982" s="40"/>
      <c r="D1982" s="12"/>
      <c r="E1982" s="12"/>
    </row>
    <row r="1983" spans="1:5" ht="18" x14ac:dyDescent="0.35">
      <c r="A1983" s="5"/>
      <c r="B1983" s="5"/>
      <c r="C1983" s="7" t="s">
        <v>28</v>
      </c>
      <c r="D1983" s="7" t="s">
        <v>29</v>
      </c>
      <c r="E1983" s="7" t="s">
        <v>30</v>
      </c>
    </row>
    <row r="1984" spans="1:5" ht="18" x14ac:dyDescent="0.35">
      <c r="A1984" s="5" t="s">
        <v>81</v>
      </c>
      <c r="B1984" s="50" t="s">
        <v>32</v>
      </c>
      <c r="C1984" s="7">
        <v>2.6579999999999999</v>
      </c>
      <c r="D1984" s="7">
        <v>30.44</v>
      </c>
      <c r="E1984" s="85">
        <f t="shared" ref="E1984:E1989" si="183">C1984*D1984</f>
        <v>80.909520000000001</v>
      </c>
    </row>
    <row r="1985" spans="1:6" ht="18" x14ac:dyDescent="0.35">
      <c r="A1985" s="5" t="s">
        <v>53</v>
      </c>
      <c r="B1985" s="50" t="s">
        <v>33</v>
      </c>
      <c r="C1985" s="7">
        <v>14.553000000000001</v>
      </c>
      <c r="D1985" s="7">
        <v>17.059999999999999</v>
      </c>
      <c r="E1985" s="85">
        <f t="shared" si="183"/>
        <v>248.27418</v>
      </c>
    </row>
    <row r="1986" spans="1:6" ht="18" x14ac:dyDescent="0.35">
      <c r="A1986" s="5" t="s">
        <v>980</v>
      </c>
      <c r="B1986" s="50" t="s">
        <v>137</v>
      </c>
      <c r="C1986" s="7">
        <v>0.63</v>
      </c>
      <c r="D1986" s="7">
        <v>17.190000000000001</v>
      </c>
      <c r="E1986" s="85">
        <f t="shared" si="183"/>
        <v>10.829700000000001</v>
      </c>
    </row>
    <row r="1987" spans="1:6" ht="18" x14ac:dyDescent="0.35">
      <c r="A1987" s="5"/>
      <c r="B1987" s="50" t="s">
        <v>35</v>
      </c>
      <c r="C1987" s="7">
        <v>4</v>
      </c>
      <c r="D1987" s="7">
        <v>2.91</v>
      </c>
      <c r="E1987" s="85">
        <f t="shared" si="183"/>
        <v>11.64</v>
      </c>
    </row>
    <row r="1988" spans="1:6" ht="18" x14ac:dyDescent="0.35">
      <c r="A1988" s="5"/>
      <c r="B1988" s="50" t="s">
        <v>36</v>
      </c>
      <c r="C1988" s="7">
        <v>4</v>
      </c>
      <c r="D1988" s="7">
        <v>0.61</v>
      </c>
      <c r="E1988" s="85">
        <f t="shared" si="183"/>
        <v>2.44</v>
      </c>
    </row>
    <row r="1989" spans="1:6" ht="18" x14ac:dyDescent="0.35">
      <c r="A1989" s="5"/>
      <c r="B1989" s="50" t="s">
        <v>37</v>
      </c>
      <c r="C1989" s="54">
        <v>1</v>
      </c>
      <c r="D1989" s="86">
        <v>85</v>
      </c>
      <c r="E1989" s="85">
        <f t="shared" si="183"/>
        <v>85</v>
      </c>
    </row>
    <row r="1990" spans="1:6" ht="18" x14ac:dyDescent="0.35">
      <c r="A1990" s="5"/>
      <c r="B1990" s="5"/>
      <c r="C1990" s="54"/>
      <c r="D1990" s="54"/>
      <c r="E1990" s="85">
        <f>SUM(E1984:E1989)</f>
        <v>439.09339999999997</v>
      </c>
    </row>
    <row r="1993" spans="1:6" ht="21" x14ac:dyDescent="0.4">
      <c r="A1993" s="40" t="s">
        <v>981</v>
      </c>
      <c r="B1993" s="40"/>
      <c r="C1993" s="40"/>
      <c r="D1993" s="12"/>
      <c r="E1993" s="12"/>
    </row>
    <row r="1994" spans="1:6" ht="18" x14ac:dyDescent="0.35">
      <c r="A1994" s="5"/>
      <c r="B1994" s="5"/>
      <c r="C1994" s="7" t="s">
        <v>28</v>
      </c>
      <c r="D1994" s="7" t="s">
        <v>29</v>
      </c>
      <c r="E1994" s="7" t="s">
        <v>30</v>
      </c>
    </row>
    <row r="1995" spans="1:6" ht="18" x14ac:dyDescent="0.35">
      <c r="A1995" s="5" t="s">
        <v>66</v>
      </c>
      <c r="B1995" s="50" t="s">
        <v>32</v>
      </c>
      <c r="C1995" s="7">
        <v>1.504</v>
      </c>
      <c r="D1995" s="7">
        <v>29.12</v>
      </c>
      <c r="E1995" s="85">
        <f t="shared" ref="E1995:E2000" si="184">C1995*D1995</f>
        <v>43.796480000000003</v>
      </c>
    </row>
    <row r="1996" spans="1:6" ht="18" x14ac:dyDescent="0.35">
      <c r="A1996" s="5" t="s">
        <v>212</v>
      </c>
      <c r="B1996" s="50" t="s">
        <v>33</v>
      </c>
      <c r="C1996" s="7">
        <v>5.1449999999999996</v>
      </c>
      <c r="D1996" s="7">
        <v>15.25</v>
      </c>
      <c r="E1996" s="85">
        <f t="shared" si="184"/>
        <v>78.461249999999993</v>
      </c>
    </row>
    <row r="1997" spans="1:6" ht="18" x14ac:dyDescent="0.35">
      <c r="A1997" s="5" t="s">
        <v>959</v>
      </c>
      <c r="B1997" s="50" t="s">
        <v>137</v>
      </c>
      <c r="C1997" s="7">
        <v>0.31</v>
      </c>
      <c r="D1997" s="7">
        <v>17.190000000000001</v>
      </c>
      <c r="E1997" s="85">
        <f t="shared" si="184"/>
        <v>5.3289</v>
      </c>
    </row>
    <row r="1998" spans="1:6" ht="18" x14ac:dyDescent="0.35">
      <c r="A1998" s="5"/>
      <c r="B1998" s="50" t="s">
        <v>35</v>
      </c>
      <c r="C1998" s="7">
        <v>4</v>
      </c>
      <c r="D1998" s="7">
        <v>2.91</v>
      </c>
      <c r="E1998" s="85">
        <f t="shared" si="184"/>
        <v>11.64</v>
      </c>
    </row>
    <row r="1999" spans="1:6" ht="18" x14ac:dyDescent="0.35">
      <c r="A1999" s="5"/>
      <c r="B1999" s="50" t="s">
        <v>36</v>
      </c>
      <c r="C1999" s="7">
        <v>4</v>
      </c>
      <c r="D1999" s="7">
        <v>0.61</v>
      </c>
      <c r="E1999" s="85">
        <f t="shared" si="184"/>
        <v>2.44</v>
      </c>
      <c r="F1999" s="9">
        <f>SUM(E1995:E1999)</f>
        <v>141.66663</v>
      </c>
    </row>
    <row r="2000" spans="1:6" ht="18" x14ac:dyDescent="0.35">
      <c r="A2000" s="5"/>
      <c r="B2000" s="50" t="s">
        <v>37</v>
      </c>
      <c r="C2000" s="54">
        <v>0.5</v>
      </c>
      <c r="D2000" s="86">
        <v>200</v>
      </c>
      <c r="E2000" s="85">
        <f t="shared" si="184"/>
        <v>100</v>
      </c>
    </row>
    <row r="2001" spans="1:5" ht="18" x14ac:dyDescent="0.35">
      <c r="A2001" s="5"/>
      <c r="B2001" s="5"/>
      <c r="C2001" s="54"/>
      <c r="D2001" s="54"/>
      <c r="E2001" s="85">
        <f>SUM(E1995:E2000)</f>
        <v>241.66663</v>
      </c>
    </row>
    <row r="2005" spans="1:5" ht="21" x14ac:dyDescent="0.4">
      <c r="A2005" s="40" t="s">
        <v>982</v>
      </c>
      <c r="B2005" s="40"/>
      <c r="C2005" s="40"/>
      <c r="D2005" s="12"/>
      <c r="E2005" s="12"/>
    </row>
    <row r="2006" spans="1:5" ht="18" x14ac:dyDescent="0.35">
      <c r="A2006" s="5"/>
      <c r="B2006" s="5"/>
      <c r="C2006" s="7" t="s">
        <v>28</v>
      </c>
      <c r="D2006" s="7" t="s">
        <v>29</v>
      </c>
      <c r="E2006" s="7" t="s">
        <v>30</v>
      </c>
    </row>
    <row r="2007" spans="1:5" ht="18" x14ac:dyDescent="0.35">
      <c r="A2007" s="5" t="s">
        <v>76</v>
      </c>
      <c r="B2007" s="50" t="s">
        <v>32</v>
      </c>
      <c r="C2007" s="7">
        <v>1.6080000000000001</v>
      </c>
      <c r="D2007" s="7">
        <v>29.12</v>
      </c>
      <c r="E2007" s="85">
        <f t="shared" ref="E2007:E2012" si="185">C2007*D2007</f>
        <v>46.824960000000004</v>
      </c>
    </row>
    <row r="2008" spans="1:5" ht="18" x14ac:dyDescent="0.35">
      <c r="A2008" s="5" t="s">
        <v>53</v>
      </c>
      <c r="B2008" s="50" t="s">
        <v>33</v>
      </c>
      <c r="C2008" s="7">
        <v>7.2030000000000003</v>
      </c>
      <c r="D2008" s="7">
        <v>15.25</v>
      </c>
      <c r="E2008" s="85">
        <f t="shared" si="185"/>
        <v>109.84575000000001</v>
      </c>
    </row>
    <row r="2009" spans="1:5" ht="18" x14ac:dyDescent="0.35">
      <c r="A2009" s="5" t="s">
        <v>746</v>
      </c>
      <c r="B2009" s="50" t="s">
        <v>137</v>
      </c>
      <c r="C2009" s="7">
        <v>0.42</v>
      </c>
      <c r="D2009" s="7">
        <v>17.190000000000001</v>
      </c>
      <c r="E2009" s="85">
        <f t="shared" si="185"/>
        <v>7.2198000000000002</v>
      </c>
    </row>
    <row r="2010" spans="1:5" ht="18" x14ac:dyDescent="0.35">
      <c r="A2010" s="5"/>
      <c r="B2010" s="50" t="s">
        <v>35</v>
      </c>
      <c r="C2010" s="7">
        <v>4</v>
      </c>
      <c r="D2010" s="7">
        <v>2.91</v>
      </c>
      <c r="E2010" s="85">
        <f t="shared" si="185"/>
        <v>11.64</v>
      </c>
    </row>
    <row r="2011" spans="1:5" ht="18" x14ac:dyDescent="0.35">
      <c r="A2011" s="5"/>
      <c r="B2011" s="50" t="s">
        <v>36</v>
      </c>
      <c r="C2011" s="7">
        <v>4</v>
      </c>
      <c r="D2011" s="7">
        <v>0.61</v>
      </c>
      <c r="E2011" s="85">
        <f t="shared" si="185"/>
        <v>2.44</v>
      </c>
    </row>
    <row r="2012" spans="1:5" ht="18" x14ac:dyDescent="0.35">
      <c r="A2012" s="5"/>
      <c r="B2012" s="50" t="s">
        <v>37</v>
      </c>
      <c r="C2012" s="54">
        <v>0.5</v>
      </c>
      <c r="D2012" s="86">
        <v>85</v>
      </c>
      <c r="E2012" s="85">
        <f t="shared" si="185"/>
        <v>42.5</v>
      </c>
    </row>
    <row r="2013" spans="1:5" ht="18" x14ac:dyDescent="0.35">
      <c r="A2013" s="5"/>
      <c r="B2013" s="5"/>
      <c r="C2013" s="54"/>
      <c r="D2013" s="54"/>
      <c r="E2013" s="85">
        <f>SUM(E2007:E2012)</f>
        <v>220.47050999999999</v>
      </c>
    </row>
    <row r="2016" spans="1:5" ht="21" x14ac:dyDescent="0.4">
      <c r="A2016" s="40" t="s">
        <v>983</v>
      </c>
      <c r="B2016" s="40"/>
      <c r="C2016" s="40"/>
      <c r="D2016" s="12"/>
      <c r="E2016" s="12"/>
    </row>
    <row r="2017" spans="1:5" ht="18" x14ac:dyDescent="0.35">
      <c r="A2017" s="5"/>
      <c r="B2017" s="5"/>
      <c r="C2017" s="7" t="s">
        <v>28</v>
      </c>
      <c r="D2017" s="7" t="s">
        <v>29</v>
      </c>
      <c r="E2017" s="7" t="s">
        <v>30</v>
      </c>
    </row>
    <row r="2018" spans="1:5" ht="18" x14ac:dyDescent="0.35">
      <c r="A2018" s="5" t="s">
        <v>41</v>
      </c>
      <c r="B2018" s="50" t="s">
        <v>32</v>
      </c>
      <c r="C2018" s="7">
        <v>1.3979999999999999</v>
      </c>
      <c r="D2018" s="7">
        <v>29.12</v>
      </c>
      <c r="E2018" s="85">
        <f t="shared" ref="E2018:E2023" si="186">C2018*D2018</f>
        <v>40.709759999999996</v>
      </c>
    </row>
    <row r="2019" spans="1:5" ht="18" x14ac:dyDescent="0.35">
      <c r="A2019" s="5" t="s">
        <v>63</v>
      </c>
      <c r="B2019" s="50" t="s">
        <v>33</v>
      </c>
      <c r="C2019" s="7">
        <v>3.0870000000000002</v>
      </c>
      <c r="D2019" s="7">
        <v>15.25</v>
      </c>
      <c r="E2019" s="85">
        <f t="shared" si="186"/>
        <v>47.076750000000004</v>
      </c>
    </row>
    <row r="2020" spans="1:5" ht="18" x14ac:dyDescent="0.35">
      <c r="A2020" s="5" t="s">
        <v>799</v>
      </c>
      <c r="B2020" s="50" t="s">
        <v>137</v>
      </c>
      <c r="C2020" s="7">
        <v>0.21</v>
      </c>
      <c r="D2020" s="7">
        <v>17.190000000000001</v>
      </c>
      <c r="E2020" s="85">
        <f t="shared" si="186"/>
        <v>3.6099000000000001</v>
      </c>
    </row>
    <row r="2021" spans="1:5" ht="18" x14ac:dyDescent="0.35">
      <c r="A2021" s="5"/>
      <c r="B2021" s="50" t="s">
        <v>35</v>
      </c>
      <c r="C2021" s="7">
        <v>4</v>
      </c>
      <c r="D2021" s="7">
        <v>2.91</v>
      </c>
      <c r="E2021" s="85">
        <f t="shared" si="186"/>
        <v>11.64</v>
      </c>
    </row>
    <row r="2022" spans="1:5" ht="18" x14ac:dyDescent="0.35">
      <c r="A2022" s="5"/>
      <c r="B2022" s="50" t="s">
        <v>36</v>
      </c>
      <c r="C2022" s="7">
        <v>4</v>
      </c>
      <c r="D2022" s="7">
        <v>0.61</v>
      </c>
      <c r="E2022" s="85">
        <f t="shared" si="186"/>
        <v>2.44</v>
      </c>
    </row>
    <row r="2023" spans="1:5" ht="18" x14ac:dyDescent="0.35">
      <c r="A2023" s="5"/>
      <c r="B2023" s="50" t="s">
        <v>37</v>
      </c>
      <c r="C2023" s="54">
        <v>0.5</v>
      </c>
      <c r="D2023" s="86">
        <v>85</v>
      </c>
      <c r="E2023" s="85">
        <f t="shared" si="186"/>
        <v>42.5</v>
      </c>
    </row>
    <row r="2024" spans="1:5" ht="18" x14ac:dyDescent="0.35">
      <c r="A2024" s="5"/>
      <c r="B2024" s="5"/>
      <c r="C2024" s="54"/>
      <c r="D2024" s="54"/>
      <c r="E2024" s="85">
        <f>SUM(E2018:E2023)</f>
        <v>147.97640999999999</v>
      </c>
    </row>
    <row r="2027" spans="1:5" ht="21" x14ac:dyDescent="0.4">
      <c r="A2027" s="40" t="s">
        <v>985</v>
      </c>
      <c r="B2027" s="40"/>
      <c r="C2027" s="40"/>
      <c r="D2027" s="12"/>
      <c r="E2027" s="12"/>
    </row>
    <row r="2028" spans="1:5" ht="18" x14ac:dyDescent="0.35">
      <c r="A2028" s="5"/>
      <c r="B2028" s="5"/>
      <c r="C2028" s="7" t="s">
        <v>28</v>
      </c>
      <c r="D2028" s="7" t="s">
        <v>29</v>
      </c>
      <c r="E2028" s="7" t="s">
        <v>30</v>
      </c>
    </row>
    <row r="2029" spans="1:5" ht="18" x14ac:dyDescent="0.35">
      <c r="A2029" s="5" t="s">
        <v>78</v>
      </c>
      <c r="B2029" s="50" t="s">
        <v>32</v>
      </c>
      <c r="C2029" s="7">
        <v>2.0289999999999999</v>
      </c>
      <c r="D2029" s="7">
        <v>29.12</v>
      </c>
      <c r="E2029" s="85">
        <f t="shared" ref="E2029:E2034" si="187">C2029*D2029</f>
        <v>59.084479999999999</v>
      </c>
    </row>
    <row r="2030" spans="1:5" ht="18" x14ac:dyDescent="0.35">
      <c r="A2030" s="5" t="s">
        <v>53</v>
      </c>
      <c r="B2030" s="50" t="s">
        <v>33</v>
      </c>
      <c r="C2030" s="7">
        <v>10.143000000000001</v>
      </c>
      <c r="D2030" s="7">
        <v>15.25</v>
      </c>
      <c r="E2030" s="85">
        <f t="shared" si="187"/>
        <v>154.68075000000002</v>
      </c>
    </row>
    <row r="2031" spans="1:5" ht="18" x14ac:dyDescent="0.35">
      <c r="A2031" s="5" t="s">
        <v>984</v>
      </c>
      <c r="B2031" s="50" t="s">
        <v>137</v>
      </c>
      <c r="C2031" s="7">
        <v>0.42</v>
      </c>
      <c r="D2031" s="7">
        <v>17.190000000000001</v>
      </c>
      <c r="E2031" s="85">
        <f t="shared" si="187"/>
        <v>7.2198000000000002</v>
      </c>
    </row>
    <row r="2032" spans="1:5" ht="18" x14ac:dyDescent="0.35">
      <c r="A2032" s="5"/>
      <c r="B2032" s="50" t="s">
        <v>35</v>
      </c>
      <c r="C2032" s="7">
        <v>4</v>
      </c>
      <c r="D2032" s="7">
        <v>2.91</v>
      </c>
      <c r="E2032" s="85">
        <f t="shared" si="187"/>
        <v>11.64</v>
      </c>
    </row>
    <row r="2033" spans="1:5" ht="18" x14ac:dyDescent="0.35">
      <c r="A2033" s="5"/>
      <c r="B2033" s="50" t="s">
        <v>36</v>
      </c>
      <c r="C2033" s="7">
        <v>4</v>
      </c>
      <c r="D2033" s="7">
        <v>0.61</v>
      </c>
      <c r="E2033" s="85">
        <f t="shared" si="187"/>
        <v>2.44</v>
      </c>
    </row>
    <row r="2034" spans="1:5" ht="18" x14ac:dyDescent="0.35">
      <c r="A2034" s="5"/>
      <c r="B2034" s="50" t="s">
        <v>37</v>
      </c>
      <c r="C2034" s="54">
        <v>0.55000000000000004</v>
      </c>
      <c r="D2034" s="86">
        <v>85</v>
      </c>
      <c r="E2034" s="85">
        <f t="shared" si="187"/>
        <v>46.750000000000007</v>
      </c>
    </row>
    <row r="2035" spans="1:5" ht="18" x14ac:dyDescent="0.35">
      <c r="A2035" s="5"/>
      <c r="B2035" s="5"/>
      <c r="C2035" s="54"/>
      <c r="D2035" s="54"/>
      <c r="E2035" s="85">
        <f>SUM(E2029:E2034)</f>
        <v>281.81503000000004</v>
      </c>
    </row>
    <row r="2038" spans="1:5" ht="21" x14ac:dyDescent="0.4">
      <c r="A2038" s="40" t="s">
        <v>986</v>
      </c>
      <c r="B2038" s="40"/>
      <c r="C2038" s="40"/>
      <c r="D2038" s="12"/>
      <c r="E2038" s="12"/>
    </row>
    <row r="2039" spans="1:5" ht="18" x14ac:dyDescent="0.35">
      <c r="A2039" s="5"/>
      <c r="B2039" s="5"/>
      <c r="C2039" s="7" t="s">
        <v>28</v>
      </c>
      <c r="D2039" s="7" t="s">
        <v>29</v>
      </c>
      <c r="E2039" s="7" t="s">
        <v>30</v>
      </c>
    </row>
    <row r="2040" spans="1:5" ht="18" x14ac:dyDescent="0.35">
      <c r="A2040" s="5" t="s">
        <v>40</v>
      </c>
      <c r="B2040" s="50" t="s">
        <v>32</v>
      </c>
      <c r="C2040" s="7">
        <v>1.1879999999999999</v>
      </c>
      <c r="D2040" s="7">
        <v>29.12</v>
      </c>
      <c r="E2040" s="85">
        <f t="shared" ref="E2040:E2045" si="188">C2040*D2040</f>
        <v>34.594560000000001</v>
      </c>
    </row>
    <row r="2041" spans="1:5" ht="18" x14ac:dyDescent="0.35">
      <c r="A2041" s="5" t="s">
        <v>63</v>
      </c>
      <c r="B2041" s="50" t="s">
        <v>33</v>
      </c>
      <c r="C2041" s="7">
        <v>2.4569999999999999</v>
      </c>
      <c r="D2041" s="7">
        <v>15.25</v>
      </c>
      <c r="E2041" s="85">
        <f t="shared" si="188"/>
        <v>37.469249999999995</v>
      </c>
    </row>
    <row r="2042" spans="1:5" ht="18" x14ac:dyDescent="0.35">
      <c r="A2042" s="5" t="s">
        <v>755</v>
      </c>
      <c r="B2042" s="50" t="s">
        <v>137</v>
      </c>
      <c r="C2042" s="7">
        <v>0.21</v>
      </c>
      <c r="D2042" s="7">
        <v>17.190000000000001</v>
      </c>
      <c r="E2042" s="85">
        <f t="shared" si="188"/>
        <v>3.6099000000000001</v>
      </c>
    </row>
    <row r="2043" spans="1:5" ht="18" x14ac:dyDescent="0.35">
      <c r="A2043" s="5"/>
      <c r="B2043" s="50" t="s">
        <v>35</v>
      </c>
      <c r="C2043" s="7">
        <v>4</v>
      </c>
      <c r="D2043" s="7">
        <v>2.91</v>
      </c>
      <c r="E2043" s="85">
        <f t="shared" si="188"/>
        <v>11.64</v>
      </c>
    </row>
    <row r="2044" spans="1:5" ht="18" x14ac:dyDescent="0.35">
      <c r="A2044" s="5"/>
      <c r="B2044" s="50" t="s">
        <v>36</v>
      </c>
      <c r="C2044" s="7">
        <v>4</v>
      </c>
      <c r="D2044" s="7">
        <v>0.61</v>
      </c>
      <c r="E2044" s="85">
        <f t="shared" si="188"/>
        <v>2.44</v>
      </c>
    </row>
    <row r="2045" spans="1:5" ht="18" x14ac:dyDescent="0.35">
      <c r="A2045" s="5"/>
      <c r="B2045" s="50" t="s">
        <v>37</v>
      </c>
      <c r="C2045" s="54">
        <v>0.35</v>
      </c>
      <c r="D2045" s="86">
        <v>85</v>
      </c>
      <c r="E2045" s="85">
        <f t="shared" si="188"/>
        <v>29.749999999999996</v>
      </c>
    </row>
    <row r="2046" spans="1:5" ht="18" x14ac:dyDescent="0.35">
      <c r="A2046" s="5"/>
      <c r="B2046" s="5"/>
      <c r="C2046" s="54"/>
      <c r="D2046" s="54"/>
      <c r="E2046" s="85">
        <f>SUM(E2040:E2045)</f>
        <v>119.50370999999998</v>
      </c>
    </row>
    <row r="2048" spans="1:5" ht="21" x14ac:dyDescent="0.4">
      <c r="A2048" s="40" t="s">
        <v>987</v>
      </c>
      <c r="B2048" s="40"/>
      <c r="C2048" s="40"/>
      <c r="D2048" s="12"/>
      <c r="E2048" s="12"/>
    </row>
    <row r="2049" spans="1:5" ht="18" x14ac:dyDescent="0.35">
      <c r="A2049" s="5"/>
      <c r="B2049" s="5"/>
      <c r="C2049" s="7" t="s">
        <v>28</v>
      </c>
      <c r="D2049" s="7" t="s">
        <v>29</v>
      </c>
      <c r="E2049" s="7" t="s">
        <v>30</v>
      </c>
    </row>
    <row r="2050" spans="1:5" ht="18" x14ac:dyDescent="0.35">
      <c r="A2050" s="5" t="s">
        <v>81</v>
      </c>
      <c r="B2050" s="50" t="s">
        <v>32</v>
      </c>
      <c r="C2050" s="7">
        <v>2.6579999999999999</v>
      </c>
      <c r="D2050" s="7">
        <v>29.12</v>
      </c>
      <c r="E2050" s="85">
        <f t="shared" ref="E2050:E2055" si="189">C2050*D2050</f>
        <v>77.400959999999998</v>
      </c>
    </row>
    <row r="2051" spans="1:5" ht="18" x14ac:dyDescent="0.35">
      <c r="A2051" s="5" t="s">
        <v>53</v>
      </c>
      <c r="B2051" s="50" t="s">
        <v>33</v>
      </c>
      <c r="C2051" s="7">
        <v>14.553000000000001</v>
      </c>
      <c r="D2051" s="7">
        <v>15.25</v>
      </c>
      <c r="E2051" s="85">
        <f t="shared" si="189"/>
        <v>221.93325000000002</v>
      </c>
    </row>
    <row r="2052" spans="1:5" ht="18" x14ac:dyDescent="0.35">
      <c r="A2052" s="5" t="s">
        <v>980</v>
      </c>
      <c r="B2052" s="50" t="s">
        <v>137</v>
      </c>
      <c r="C2052" s="7">
        <v>0.63</v>
      </c>
      <c r="D2052" s="7">
        <v>17.190000000000001</v>
      </c>
      <c r="E2052" s="85">
        <f t="shared" si="189"/>
        <v>10.829700000000001</v>
      </c>
    </row>
    <row r="2053" spans="1:5" ht="18" x14ac:dyDescent="0.35">
      <c r="A2053" s="5"/>
      <c r="B2053" s="50" t="s">
        <v>35</v>
      </c>
      <c r="C2053" s="7">
        <v>4</v>
      </c>
      <c r="D2053" s="7">
        <v>2.91</v>
      </c>
      <c r="E2053" s="85">
        <f t="shared" si="189"/>
        <v>11.64</v>
      </c>
    </row>
    <row r="2054" spans="1:5" ht="18" x14ac:dyDescent="0.35">
      <c r="A2054" s="5"/>
      <c r="B2054" s="50" t="s">
        <v>36</v>
      </c>
      <c r="C2054" s="7">
        <v>4</v>
      </c>
      <c r="D2054" s="7">
        <v>0.61</v>
      </c>
      <c r="E2054" s="85">
        <f t="shared" si="189"/>
        <v>2.44</v>
      </c>
    </row>
    <row r="2055" spans="1:5" ht="18" x14ac:dyDescent="0.35">
      <c r="A2055" s="5"/>
      <c r="B2055" s="50" t="s">
        <v>37</v>
      </c>
      <c r="C2055" s="54">
        <v>1</v>
      </c>
      <c r="D2055" s="86">
        <v>85</v>
      </c>
      <c r="E2055" s="85">
        <f t="shared" si="189"/>
        <v>85</v>
      </c>
    </row>
    <row r="2056" spans="1:5" ht="18" x14ac:dyDescent="0.35">
      <c r="A2056" s="5"/>
      <c r="B2056" s="5"/>
      <c r="C2056" s="54"/>
      <c r="D2056" s="54"/>
      <c r="E2056" s="85">
        <f>SUM(E2050:E2055)</f>
        <v>409.24390999999997</v>
      </c>
    </row>
    <row r="2059" spans="1:5" ht="21" x14ac:dyDescent="0.4">
      <c r="A2059" s="40" t="s">
        <v>988</v>
      </c>
      <c r="B2059" s="40"/>
      <c r="C2059" s="40"/>
      <c r="D2059" s="12"/>
      <c r="E2059" s="12"/>
    </row>
    <row r="2060" spans="1:5" ht="18" x14ac:dyDescent="0.35">
      <c r="A2060" s="5"/>
      <c r="B2060" s="5"/>
      <c r="C2060" s="7" t="s">
        <v>28</v>
      </c>
      <c r="D2060" s="7" t="s">
        <v>29</v>
      </c>
      <c r="E2060" s="7" t="s">
        <v>30</v>
      </c>
    </row>
    <row r="2061" spans="1:5" ht="18" x14ac:dyDescent="0.35">
      <c r="A2061" s="5" t="s">
        <v>890</v>
      </c>
      <c r="B2061" s="50" t="s">
        <v>32</v>
      </c>
      <c r="C2061" s="7">
        <v>2.8690000000000002</v>
      </c>
      <c r="D2061" s="7">
        <v>29.12</v>
      </c>
      <c r="E2061" s="85">
        <f t="shared" ref="E2061:E2066" si="190">C2061*D2061</f>
        <v>83.545280000000005</v>
      </c>
    </row>
    <row r="2062" spans="1:5" ht="18" x14ac:dyDescent="0.35">
      <c r="A2062" s="5" t="s">
        <v>53</v>
      </c>
      <c r="B2062" s="50" t="s">
        <v>33</v>
      </c>
      <c r="C2062" s="7">
        <v>16.023</v>
      </c>
      <c r="D2062" s="7">
        <v>15.25</v>
      </c>
      <c r="E2062" s="85">
        <f t="shared" si="190"/>
        <v>244.35075000000001</v>
      </c>
    </row>
    <row r="2063" spans="1:5" ht="18" x14ac:dyDescent="0.35">
      <c r="A2063" s="5" t="s">
        <v>980</v>
      </c>
      <c r="B2063" s="50" t="s">
        <v>137</v>
      </c>
      <c r="C2063" s="7">
        <v>0.63</v>
      </c>
      <c r="D2063" s="7">
        <v>17.190000000000001</v>
      </c>
      <c r="E2063" s="85">
        <f t="shared" si="190"/>
        <v>10.829700000000001</v>
      </c>
    </row>
    <row r="2064" spans="1:5" ht="18" x14ac:dyDescent="0.35">
      <c r="A2064" s="5"/>
      <c r="B2064" s="50" t="s">
        <v>35</v>
      </c>
      <c r="C2064" s="7">
        <v>4</v>
      </c>
      <c r="D2064" s="7">
        <v>2.91</v>
      </c>
      <c r="E2064" s="85">
        <f t="shared" si="190"/>
        <v>11.64</v>
      </c>
    </row>
    <row r="2065" spans="1:5" ht="18" x14ac:dyDescent="0.35">
      <c r="A2065" s="5"/>
      <c r="B2065" s="50" t="s">
        <v>36</v>
      </c>
      <c r="C2065" s="7">
        <v>4</v>
      </c>
      <c r="D2065" s="7">
        <v>0.61</v>
      </c>
      <c r="E2065" s="85">
        <f t="shared" si="190"/>
        <v>2.44</v>
      </c>
    </row>
    <row r="2066" spans="1:5" ht="18" x14ac:dyDescent="0.35">
      <c r="A2066" s="5"/>
      <c r="B2066" s="50" t="s">
        <v>37</v>
      </c>
      <c r="C2066" s="54">
        <v>1</v>
      </c>
      <c r="D2066" s="86">
        <v>85</v>
      </c>
      <c r="E2066" s="85">
        <f t="shared" si="190"/>
        <v>85</v>
      </c>
    </row>
    <row r="2067" spans="1:5" ht="18" x14ac:dyDescent="0.35">
      <c r="A2067" s="5"/>
      <c r="B2067" s="5"/>
      <c r="C2067" s="54"/>
      <c r="D2067" s="54"/>
      <c r="E2067" s="85">
        <f>SUM(E2061:E2066)</f>
        <v>437.80572999999998</v>
      </c>
    </row>
    <row r="2070" spans="1:5" ht="21" x14ac:dyDescent="0.4">
      <c r="A2070" s="40" t="s">
        <v>599</v>
      </c>
      <c r="B2070" s="40"/>
      <c r="C2070" s="84"/>
    </row>
    <row r="2071" spans="1:5" ht="18" x14ac:dyDescent="0.35">
      <c r="A2071" s="5"/>
      <c r="B2071" s="5"/>
      <c r="C2071" s="7" t="s">
        <v>28</v>
      </c>
      <c r="D2071" s="7" t="s">
        <v>29</v>
      </c>
      <c r="E2071" s="7" t="s">
        <v>30</v>
      </c>
    </row>
    <row r="2072" spans="1:5" ht="18" x14ac:dyDescent="0.35">
      <c r="A2072" s="5" t="s">
        <v>989</v>
      </c>
      <c r="B2072" s="50" t="s">
        <v>32</v>
      </c>
      <c r="C2072" s="7">
        <v>1.042</v>
      </c>
      <c r="D2072" s="7">
        <v>30.44</v>
      </c>
      <c r="E2072" s="85">
        <f t="shared" ref="E2072:E2077" si="191">C2072*D2072</f>
        <v>31.718480000000003</v>
      </c>
    </row>
    <row r="2073" spans="1:5" ht="18" x14ac:dyDescent="0.35">
      <c r="A2073" s="5" t="s">
        <v>171</v>
      </c>
      <c r="B2073" s="50" t="s">
        <v>33</v>
      </c>
      <c r="C2073" s="7">
        <v>0.77700000000000002</v>
      </c>
      <c r="D2073" s="7">
        <v>16.170000000000002</v>
      </c>
      <c r="E2073" s="85">
        <f t="shared" si="191"/>
        <v>12.564090000000002</v>
      </c>
    </row>
    <row r="2074" spans="1:5" ht="18" x14ac:dyDescent="0.35">
      <c r="A2074" s="5" t="s">
        <v>990</v>
      </c>
      <c r="B2074" s="50" t="s">
        <v>991</v>
      </c>
      <c r="C2074" s="7">
        <v>2</v>
      </c>
      <c r="D2074" s="7">
        <v>1.1499999999999999</v>
      </c>
      <c r="E2074" s="85">
        <f t="shared" si="191"/>
        <v>2.2999999999999998</v>
      </c>
    </row>
    <row r="2075" spans="1:5" ht="18" x14ac:dyDescent="0.35">
      <c r="A2075" s="5"/>
      <c r="B2075" s="50" t="s">
        <v>34</v>
      </c>
      <c r="C2075" s="7"/>
      <c r="D2075" s="7">
        <v>14.61</v>
      </c>
      <c r="E2075" s="85">
        <f t="shared" si="191"/>
        <v>0</v>
      </c>
    </row>
    <row r="2076" spans="1:5" ht="18" x14ac:dyDescent="0.35">
      <c r="A2076" s="5"/>
      <c r="B2076" s="50" t="s">
        <v>35</v>
      </c>
      <c r="C2076" s="7">
        <v>4</v>
      </c>
      <c r="D2076" s="7">
        <v>2.91</v>
      </c>
      <c r="E2076" s="85">
        <f t="shared" si="191"/>
        <v>11.64</v>
      </c>
    </row>
    <row r="2077" spans="1:5" ht="18" x14ac:dyDescent="0.35">
      <c r="A2077" s="5"/>
      <c r="B2077" s="50" t="s">
        <v>36</v>
      </c>
      <c r="C2077" s="7">
        <v>4</v>
      </c>
      <c r="D2077" s="7">
        <v>0.61</v>
      </c>
      <c r="E2077" s="85">
        <f t="shared" si="191"/>
        <v>2.44</v>
      </c>
    </row>
    <row r="2078" spans="1:5" ht="18" x14ac:dyDescent="0.35">
      <c r="A2078" s="5"/>
      <c r="B2078" s="5"/>
      <c r="C2078" s="54"/>
      <c r="D2078" s="54"/>
      <c r="E2078" s="89">
        <f>SUM(E2072:E2077)</f>
        <v>60.662570000000002</v>
      </c>
    </row>
    <row r="2079" spans="1:5" ht="18" x14ac:dyDescent="0.35">
      <c r="A2079" s="5"/>
      <c r="B2079" s="50" t="s">
        <v>37</v>
      </c>
      <c r="C2079" s="54">
        <v>0.25</v>
      </c>
      <c r="D2079" s="54">
        <v>85</v>
      </c>
      <c r="E2079" s="85">
        <f>C2079*D2079</f>
        <v>21.25</v>
      </c>
    </row>
    <row r="2080" spans="1:5" ht="18" x14ac:dyDescent="0.35">
      <c r="A2080" s="5"/>
      <c r="B2080" s="5"/>
      <c r="C2080" s="54"/>
      <c r="D2080" s="54"/>
      <c r="E2080" s="85">
        <f>SUM(E2078:E2079)</f>
        <v>81.912570000000002</v>
      </c>
    </row>
    <row r="2082" spans="1:5" ht="21" x14ac:dyDescent="0.4">
      <c r="A2082" s="40" t="s">
        <v>986</v>
      </c>
      <c r="B2082" s="40"/>
      <c r="C2082" s="40"/>
      <c r="D2082" s="12"/>
      <c r="E2082" s="12"/>
    </row>
    <row r="2083" spans="1:5" ht="18" x14ac:dyDescent="0.35">
      <c r="A2083" s="5"/>
      <c r="B2083" s="5"/>
      <c r="C2083" s="7" t="s">
        <v>28</v>
      </c>
      <c r="D2083" s="7" t="s">
        <v>29</v>
      </c>
      <c r="E2083" s="7" t="s">
        <v>30</v>
      </c>
    </row>
    <row r="2084" spans="1:5" ht="18" x14ac:dyDescent="0.35">
      <c r="A2084" s="5" t="s">
        <v>40</v>
      </c>
      <c r="B2084" s="50" t="s">
        <v>32</v>
      </c>
      <c r="C2084" s="7">
        <v>1.1879999999999999</v>
      </c>
      <c r="D2084" s="7">
        <v>30.44</v>
      </c>
      <c r="E2084" s="85">
        <f t="shared" ref="E2084:E2089" si="192">C2084*D2084</f>
        <v>36.16272</v>
      </c>
    </row>
    <row r="2085" spans="1:5" ht="18" x14ac:dyDescent="0.35">
      <c r="A2085" s="5" t="s">
        <v>63</v>
      </c>
      <c r="B2085" s="50" t="s">
        <v>33</v>
      </c>
      <c r="C2085" s="7">
        <v>2.4569999999999999</v>
      </c>
      <c r="D2085" s="7">
        <v>17.059999999999999</v>
      </c>
      <c r="E2085" s="85">
        <f t="shared" si="192"/>
        <v>41.916419999999995</v>
      </c>
    </row>
    <row r="2086" spans="1:5" ht="18" x14ac:dyDescent="0.35">
      <c r="A2086" s="5" t="s">
        <v>755</v>
      </c>
      <c r="B2086" s="50" t="s">
        <v>137</v>
      </c>
      <c r="C2086" s="7">
        <v>0.21</v>
      </c>
      <c r="D2086" s="7">
        <v>17.190000000000001</v>
      </c>
      <c r="E2086" s="85">
        <f t="shared" si="192"/>
        <v>3.6099000000000001</v>
      </c>
    </row>
    <row r="2087" spans="1:5" ht="18" x14ac:dyDescent="0.35">
      <c r="A2087" s="5"/>
      <c r="B2087" s="50" t="s">
        <v>35</v>
      </c>
      <c r="C2087" s="7">
        <v>4</v>
      </c>
      <c r="D2087" s="7">
        <v>2.91</v>
      </c>
      <c r="E2087" s="85">
        <f t="shared" si="192"/>
        <v>11.64</v>
      </c>
    </row>
    <row r="2088" spans="1:5" ht="18" x14ac:dyDescent="0.35">
      <c r="A2088" s="5"/>
      <c r="B2088" s="50" t="s">
        <v>36</v>
      </c>
      <c r="C2088" s="7">
        <v>4</v>
      </c>
      <c r="D2088" s="7">
        <v>0.61</v>
      </c>
      <c r="E2088" s="85">
        <f t="shared" si="192"/>
        <v>2.44</v>
      </c>
    </row>
    <row r="2089" spans="1:5" ht="18" x14ac:dyDescent="0.35">
      <c r="A2089" s="5"/>
      <c r="B2089" s="50" t="s">
        <v>37</v>
      </c>
      <c r="C2089" s="54">
        <v>0.35</v>
      </c>
      <c r="D2089" s="86">
        <v>85</v>
      </c>
      <c r="E2089" s="85">
        <f t="shared" si="192"/>
        <v>29.749999999999996</v>
      </c>
    </row>
    <row r="2090" spans="1:5" ht="18" x14ac:dyDescent="0.35">
      <c r="A2090" s="5"/>
      <c r="B2090" s="5"/>
      <c r="C2090" s="54"/>
      <c r="D2090" s="54"/>
      <c r="E2090" s="85">
        <f>SUM(E2084:E2089)</f>
        <v>125.51903999999999</v>
      </c>
    </row>
    <row r="2093" spans="1:5" ht="21" x14ac:dyDescent="0.4">
      <c r="A2093" s="40" t="s">
        <v>995</v>
      </c>
      <c r="B2093" s="40"/>
      <c r="C2093" s="40"/>
      <c r="D2093" s="12"/>
      <c r="E2093" s="12"/>
    </row>
    <row r="2094" spans="1:5" ht="18" x14ac:dyDescent="0.35">
      <c r="A2094" s="5"/>
      <c r="B2094" s="5"/>
      <c r="C2094" s="7" t="s">
        <v>28</v>
      </c>
      <c r="D2094" s="7" t="s">
        <v>29</v>
      </c>
      <c r="E2094" s="7" t="s">
        <v>30</v>
      </c>
    </row>
    <row r="2095" spans="1:5" ht="18" x14ac:dyDescent="0.35">
      <c r="A2095" s="5" t="s">
        <v>993</v>
      </c>
      <c r="B2095" s="50" t="s">
        <v>32</v>
      </c>
      <c r="C2095" s="7">
        <v>1.71</v>
      </c>
      <c r="D2095" s="7">
        <v>30.44</v>
      </c>
      <c r="E2095" s="85">
        <f t="shared" ref="E2095:E2100" si="193">C2095*D2095</f>
        <v>52.052399999999999</v>
      </c>
    </row>
    <row r="2096" spans="1:5" ht="18" x14ac:dyDescent="0.35">
      <c r="A2096" s="5" t="s">
        <v>212</v>
      </c>
      <c r="B2096" s="50" t="s">
        <v>33</v>
      </c>
      <c r="C2096" s="7">
        <v>6.1740000000000004</v>
      </c>
      <c r="D2096" s="7">
        <v>17.059999999999999</v>
      </c>
      <c r="E2096" s="85">
        <f t="shared" si="193"/>
        <v>105.32844</v>
      </c>
    </row>
    <row r="2097" spans="1:5" ht="18" x14ac:dyDescent="0.35">
      <c r="A2097" s="5" t="s">
        <v>747</v>
      </c>
      <c r="B2097" s="50" t="s">
        <v>137</v>
      </c>
      <c r="C2097" s="7">
        <v>0.33</v>
      </c>
      <c r="D2097" s="7">
        <v>17.190000000000001</v>
      </c>
      <c r="E2097" s="85">
        <f t="shared" si="193"/>
        <v>5.6727000000000007</v>
      </c>
    </row>
    <row r="2098" spans="1:5" ht="18" x14ac:dyDescent="0.35">
      <c r="A2098" s="5"/>
      <c r="B2098" s="50" t="s">
        <v>35</v>
      </c>
      <c r="C2098" s="7">
        <v>4</v>
      </c>
      <c r="D2098" s="7">
        <v>2.91</v>
      </c>
      <c r="E2098" s="85">
        <f t="shared" si="193"/>
        <v>11.64</v>
      </c>
    </row>
    <row r="2099" spans="1:5" ht="18" x14ac:dyDescent="0.35">
      <c r="A2099" s="5"/>
      <c r="B2099" s="50" t="s">
        <v>36</v>
      </c>
      <c r="C2099" s="7">
        <v>4</v>
      </c>
      <c r="D2099" s="7">
        <v>0.61</v>
      </c>
      <c r="E2099" s="85">
        <f t="shared" si="193"/>
        <v>2.44</v>
      </c>
    </row>
    <row r="2100" spans="1:5" ht="18" x14ac:dyDescent="0.35">
      <c r="A2100" s="5"/>
      <c r="B2100" s="50" t="s">
        <v>37</v>
      </c>
      <c r="C2100" s="54">
        <v>0.5</v>
      </c>
      <c r="D2100" s="86">
        <v>85</v>
      </c>
      <c r="E2100" s="85">
        <f t="shared" si="193"/>
        <v>42.5</v>
      </c>
    </row>
    <row r="2101" spans="1:5" ht="18" x14ac:dyDescent="0.35">
      <c r="A2101" s="5"/>
      <c r="B2101" s="5"/>
      <c r="C2101" s="54"/>
      <c r="D2101" s="54"/>
      <c r="E2101" s="85">
        <f>SUM(E2095:E2100)</f>
        <v>219.63353999999998</v>
      </c>
    </row>
    <row r="2103" spans="1:5" ht="21" x14ac:dyDescent="0.4">
      <c r="A2103" s="40" t="s">
        <v>996</v>
      </c>
      <c r="B2103" s="40"/>
      <c r="C2103" s="40"/>
      <c r="D2103" s="12"/>
      <c r="E2103" s="12"/>
    </row>
    <row r="2104" spans="1:5" ht="18" x14ac:dyDescent="0.35">
      <c r="A2104" s="5"/>
      <c r="B2104" s="5"/>
      <c r="C2104" s="7" t="s">
        <v>28</v>
      </c>
      <c r="D2104" s="7" t="s">
        <v>29</v>
      </c>
      <c r="E2104" s="7" t="s">
        <v>30</v>
      </c>
    </row>
    <row r="2105" spans="1:5" ht="18" x14ac:dyDescent="0.35">
      <c r="A2105" s="5" t="s">
        <v>994</v>
      </c>
      <c r="B2105" s="50" t="s">
        <v>32</v>
      </c>
      <c r="C2105" s="7">
        <v>2.0449999999999999</v>
      </c>
      <c r="D2105" s="7">
        <v>30.44</v>
      </c>
      <c r="E2105" s="85">
        <f t="shared" ref="E2105:E2110" si="194">C2105*D2105</f>
        <v>62.2498</v>
      </c>
    </row>
    <row r="2106" spans="1:5" ht="18" x14ac:dyDescent="0.35">
      <c r="A2106" s="5" t="s">
        <v>63</v>
      </c>
      <c r="B2106" s="50" t="s">
        <v>33</v>
      </c>
      <c r="C2106" s="7">
        <v>5.0270000000000001</v>
      </c>
      <c r="D2106" s="7">
        <v>17.059999999999999</v>
      </c>
      <c r="E2106" s="85">
        <f t="shared" si="194"/>
        <v>85.760620000000003</v>
      </c>
    </row>
    <row r="2107" spans="1:5" ht="18" x14ac:dyDescent="0.35">
      <c r="A2107" s="5" t="s">
        <v>747</v>
      </c>
      <c r="B2107" s="50" t="s">
        <v>137</v>
      </c>
      <c r="C2107" s="7">
        <v>0.21</v>
      </c>
      <c r="D2107" s="7">
        <v>17.190000000000001</v>
      </c>
      <c r="E2107" s="85">
        <f t="shared" si="194"/>
        <v>3.6099000000000001</v>
      </c>
    </row>
    <row r="2108" spans="1:5" ht="18" x14ac:dyDescent="0.35">
      <c r="A2108" s="5"/>
      <c r="B2108" s="50" t="s">
        <v>35</v>
      </c>
      <c r="C2108" s="7">
        <v>4</v>
      </c>
      <c r="D2108" s="7">
        <v>2.91</v>
      </c>
      <c r="E2108" s="85">
        <f t="shared" si="194"/>
        <v>11.64</v>
      </c>
    </row>
    <row r="2109" spans="1:5" ht="18" x14ac:dyDescent="0.35">
      <c r="A2109" s="5"/>
      <c r="B2109" s="50" t="s">
        <v>36</v>
      </c>
      <c r="C2109" s="7">
        <v>4</v>
      </c>
      <c r="D2109" s="7">
        <v>0.61</v>
      </c>
      <c r="E2109" s="85">
        <f t="shared" si="194"/>
        <v>2.44</v>
      </c>
    </row>
    <row r="2110" spans="1:5" ht="18" x14ac:dyDescent="0.35">
      <c r="A2110" s="5"/>
      <c r="B2110" s="50" t="s">
        <v>37</v>
      </c>
      <c r="C2110" s="54">
        <v>0.5</v>
      </c>
      <c r="D2110" s="86">
        <v>85</v>
      </c>
      <c r="E2110" s="85">
        <f t="shared" si="194"/>
        <v>42.5</v>
      </c>
    </row>
    <row r="2111" spans="1:5" ht="18" x14ac:dyDescent="0.35">
      <c r="A2111" s="5"/>
      <c r="B2111" s="5"/>
      <c r="C2111" s="54"/>
      <c r="D2111" s="54"/>
      <c r="E2111" s="85">
        <f>SUM(E2105:E2110)</f>
        <v>208.20032000000003</v>
      </c>
    </row>
    <row r="2113" spans="1:5" ht="21" x14ac:dyDescent="0.4">
      <c r="A2113" s="40" t="s">
        <v>996</v>
      </c>
      <c r="B2113" s="40"/>
      <c r="C2113" s="40"/>
      <c r="D2113" s="12"/>
      <c r="E2113" s="12"/>
    </row>
    <row r="2114" spans="1:5" ht="18" x14ac:dyDescent="0.35">
      <c r="A2114" s="5"/>
      <c r="B2114" s="5"/>
      <c r="C2114" s="7" t="s">
        <v>28</v>
      </c>
      <c r="D2114" s="7" t="s">
        <v>29</v>
      </c>
      <c r="E2114" s="7" t="s">
        <v>30</v>
      </c>
    </row>
    <row r="2115" spans="1:5" ht="18" x14ac:dyDescent="0.35">
      <c r="A2115" s="5" t="s">
        <v>386</v>
      </c>
      <c r="B2115" s="50" t="s">
        <v>32</v>
      </c>
      <c r="C2115" s="7">
        <v>2.133</v>
      </c>
      <c r="D2115" s="7">
        <v>30.44</v>
      </c>
      <c r="E2115" s="85">
        <f t="shared" ref="E2115:E2120" si="195">C2115*D2115</f>
        <v>64.928520000000006</v>
      </c>
    </row>
    <row r="2116" spans="1:5" ht="18" x14ac:dyDescent="0.35">
      <c r="A2116" s="5" t="s">
        <v>63</v>
      </c>
      <c r="B2116" s="50" t="s">
        <v>33</v>
      </c>
      <c r="C2116" s="7">
        <v>5.2919999999999998</v>
      </c>
      <c r="D2116" s="7">
        <v>17.059999999999999</v>
      </c>
      <c r="E2116" s="85">
        <f t="shared" si="195"/>
        <v>90.281519999999986</v>
      </c>
    </row>
    <row r="2117" spans="1:5" ht="18" x14ac:dyDescent="0.35">
      <c r="A2117" s="5" t="s">
        <v>747</v>
      </c>
      <c r="B2117" s="50" t="s">
        <v>137</v>
      </c>
      <c r="C2117" s="7">
        <v>0.31</v>
      </c>
      <c r="D2117" s="7">
        <v>17.190000000000001</v>
      </c>
      <c r="E2117" s="85">
        <f t="shared" si="195"/>
        <v>5.3289</v>
      </c>
    </row>
    <row r="2118" spans="1:5" ht="18" x14ac:dyDescent="0.35">
      <c r="A2118" s="5"/>
      <c r="B2118" s="50" t="s">
        <v>35</v>
      </c>
      <c r="C2118" s="7">
        <v>4</v>
      </c>
      <c r="D2118" s="7">
        <v>2.91</v>
      </c>
      <c r="E2118" s="85">
        <f t="shared" si="195"/>
        <v>11.64</v>
      </c>
    </row>
    <row r="2119" spans="1:5" ht="18" x14ac:dyDescent="0.35">
      <c r="A2119" s="5"/>
      <c r="B2119" s="50" t="s">
        <v>36</v>
      </c>
      <c r="C2119" s="7">
        <v>4</v>
      </c>
      <c r="D2119" s="7">
        <v>0.61</v>
      </c>
      <c r="E2119" s="85">
        <f t="shared" si="195"/>
        <v>2.44</v>
      </c>
    </row>
    <row r="2120" spans="1:5" ht="18" x14ac:dyDescent="0.35">
      <c r="A2120" s="5"/>
      <c r="B2120" s="50" t="s">
        <v>37</v>
      </c>
      <c r="C2120" s="54">
        <v>0.6</v>
      </c>
      <c r="D2120" s="86">
        <v>85</v>
      </c>
      <c r="E2120" s="85">
        <f t="shared" si="195"/>
        <v>51</v>
      </c>
    </row>
    <row r="2121" spans="1:5" ht="18" x14ac:dyDescent="0.35">
      <c r="A2121" s="5"/>
      <c r="B2121" s="5"/>
      <c r="C2121" s="54"/>
      <c r="D2121" s="54"/>
      <c r="E2121" s="85">
        <f>SUM(E2115:E2120)</f>
        <v>225.61894000000001</v>
      </c>
    </row>
    <row r="2123" spans="1:5" ht="21" x14ac:dyDescent="0.4">
      <c r="A2123" s="40" t="s">
        <v>599</v>
      </c>
      <c r="B2123" s="40"/>
      <c r="C2123" s="84"/>
    </row>
    <row r="2124" spans="1:5" ht="18" x14ac:dyDescent="0.35">
      <c r="A2124" s="5"/>
      <c r="B2124" s="5"/>
      <c r="C2124" s="7" t="s">
        <v>28</v>
      </c>
      <c r="D2124" s="7" t="s">
        <v>29</v>
      </c>
      <c r="E2124" s="7" t="s">
        <v>30</v>
      </c>
    </row>
    <row r="2125" spans="1:5" ht="18" x14ac:dyDescent="0.35">
      <c r="A2125" s="5" t="s">
        <v>999</v>
      </c>
      <c r="B2125" s="50" t="s">
        <v>32</v>
      </c>
      <c r="C2125" s="7">
        <v>2.0920000000000001</v>
      </c>
      <c r="D2125" s="7">
        <v>30.44</v>
      </c>
      <c r="E2125" s="85">
        <f t="shared" ref="E2125:E2130" si="196">C2125*D2125</f>
        <v>63.680480000000003</v>
      </c>
    </row>
    <row r="2126" spans="1:5" ht="18" x14ac:dyDescent="0.35">
      <c r="A2126" s="5" t="s">
        <v>143</v>
      </c>
      <c r="B2126" s="50" t="s">
        <v>33</v>
      </c>
      <c r="C2126" s="7">
        <v>4.851</v>
      </c>
      <c r="D2126" s="7">
        <v>16.170000000000002</v>
      </c>
      <c r="E2126" s="85">
        <f t="shared" si="196"/>
        <v>78.440670000000011</v>
      </c>
    </row>
    <row r="2127" spans="1:5" ht="18" x14ac:dyDescent="0.35">
      <c r="A2127" s="5" t="s">
        <v>1000</v>
      </c>
      <c r="B2127" s="50" t="s">
        <v>84</v>
      </c>
      <c r="C2127" s="7">
        <v>2</v>
      </c>
      <c r="D2127" s="7">
        <v>1.6</v>
      </c>
      <c r="E2127" s="85">
        <f t="shared" si="196"/>
        <v>3.2</v>
      </c>
    </row>
    <row r="2128" spans="1:5" ht="18" x14ac:dyDescent="0.35">
      <c r="A2128" s="5"/>
      <c r="B2128" s="50" t="s">
        <v>34</v>
      </c>
      <c r="C2128" s="7"/>
      <c r="D2128" s="7">
        <v>14.61</v>
      </c>
      <c r="E2128" s="85">
        <f t="shared" si="196"/>
        <v>0</v>
      </c>
    </row>
    <row r="2129" spans="1:5" ht="18" x14ac:dyDescent="0.35">
      <c r="A2129" s="5"/>
      <c r="B2129" s="50" t="s">
        <v>35</v>
      </c>
      <c r="C2129" s="7">
        <v>4</v>
      </c>
      <c r="D2129" s="7">
        <v>2.91</v>
      </c>
      <c r="E2129" s="85">
        <f t="shared" si="196"/>
        <v>11.64</v>
      </c>
    </row>
    <row r="2130" spans="1:5" ht="18" x14ac:dyDescent="0.35">
      <c r="A2130" s="5"/>
      <c r="B2130" s="50" t="s">
        <v>36</v>
      </c>
      <c r="C2130" s="7">
        <v>4</v>
      </c>
      <c r="D2130" s="7">
        <v>0.61</v>
      </c>
      <c r="E2130" s="85">
        <f t="shared" si="196"/>
        <v>2.44</v>
      </c>
    </row>
    <row r="2131" spans="1:5" ht="18" x14ac:dyDescent="0.35">
      <c r="A2131" s="5"/>
      <c r="B2131" s="5"/>
      <c r="C2131" s="54"/>
      <c r="D2131" s="54"/>
      <c r="E2131" s="89">
        <f>SUM(E2125:E2130)</f>
        <v>159.40114999999997</v>
      </c>
    </row>
    <row r="2132" spans="1:5" ht="18" x14ac:dyDescent="0.35">
      <c r="A2132" s="5"/>
      <c r="B2132" s="50" t="s">
        <v>37</v>
      </c>
      <c r="C2132" s="54">
        <v>1</v>
      </c>
      <c r="D2132" s="54">
        <v>95</v>
      </c>
      <c r="E2132" s="85">
        <f>C2132*D2132</f>
        <v>95</v>
      </c>
    </row>
    <row r="2133" spans="1:5" ht="18" x14ac:dyDescent="0.35">
      <c r="A2133" s="5"/>
      <c r="B2133" s="5"/>
      <c r="C2133" s="54"/>
      <c r="D2133" s="54"/>
      <c r="E2133" s="85">
        <f>SUM(E2131:E2132)</f>
        <v>254.40114999999997</v>
      </c>
    </row>
    <row r="2136" spans="1:5" ht="21" x14ac:dyDescent="0.4">
      <c r="A2136" s="40" t="s">
        <v>599</v>
      </c>
      <c r="B2136" s="40"/>
      <c r="C2136" s="84"/>
    </row>
    <row r="2137" spans="1:5" ht="18" x14ac:dyDescent="0.35">
      <c r="A2137" s="5"/>
      <c r="B2137" s="5"/>
      <c r="C2137" s="7" t="s">
        <v>28</v>
      </c>
      <c r="D2137" s="7" t="s">
        <v>29</v>
      </c>
      <c r="E2137" s="7" t="s">
        <v>30</v>
      </c>
    </row>
    <row r="2138" spans="1:5" ht="18" x14ac:dyDescent="0.35">
      <c r="A2138" s="5" t="s">
        <v>67</v>
      </c>
      <c r="B2138" s="50" t="s">
        <v>32</v>
      </c>
      <c r="C2138" s="7">
        <v>1.714</v>
      </c>
      <c r="D2138" s="7">
        <v>30.44</v>
      </c>
      <c r="E2138" s="85">
        <f t="shared" ref="E2138:E2143" si="197">C2138*D2138</f>
        <v>52.174160000000001</v>
      </c>
    </row>
    <row r="2139" spans="1:5" ht="18" x14ac:dyDescent="0.35">
      <c r="A2139" s="5" t="s">
        <v>143</v>
      </c>
      <c r="B2139" s="50" t="s">
        <v>33</v>
      </c>
      <c r="C2139" s="7">
        <v>3.718</v>
      </c>
      <c r="D2139" s="7">
        <v>16.170000000000002</v>
      </c>
      <c r="E2139" s="85">
        <f t="shared" si="197"/>
        <v>60.120060000000009</v>
      </c>
    </row>
    <row r="2140" spans="1:5" ht="18" x14ac:dyDescent="0.35">
      <c r="A2140" s="5" t="s">
        <v>1000</v>
      </c>
      <c r="B2140" s="50" t="s">
        <v>84</v>
      </c>
      <c r="C2140" s="7">
        <v>2</v>
      </c>
      <c r="D2140" s="7">
        <v>1.6</v>
      </c>
      <c r="E2140" s="85">
        <f t="shared" si="197"/>
        <v>3.2</v>
      </c>
    </row>
    <row r="2141" spans="1:5" ht="18" x14ac:dyDescent="0.35">
      <c r="A2141" s="5"/>
      <c r="B2141" s="50" t="s">
        <v>34</v>
      </c>
      <c r="C2141" s="7"/>
      <c r="D2141" s="7">
        <v>14.61</v>
      </c>
      <c r="E2141" s="85">
        <f t="shared" si="197"/>
        <v>0</v>
      </c>
    </row>
    <row r="2142" spans="1:5" ht="18" x14ac:dyDescent="0.35">
      <c r="A2142" s="5"/>
      <c r="B2142" s="50" t="s">
        <v>35</v>
      </c>
      <c r="C2142" s="7">
        <v>4</v>
      </c>
      <c r="D2142" s="7">
        <v>2.91</v>
      </c>
      <c r="E2142" s="85">
        <f t="shared" si="197"/>
        <v>11.64</v>
      </c>
    </row>
    <row r="2143" spans="1:5" ht="18" x14ac:dyDescent="0.35">
      <c r="A2143" s="5"/>
      <c r="B2143" s="50" t="s">
        <v>36</v>
      </c>
      <c r="C2143" s="7">
        <v>4</v>
      </c>
      <c r="D2143" s="7">
        <v>0.61</v>
      </c>
      <c r="E2143" s="85">
        <f t="shared" si="197"/>
        <v>2.44</v>
      </c>
    </row>
    <row r="2144" spans="1:5" ht="18" x14ac:dyDescent="0.35">
      <c r="A2144" s="5"/>
      <c r="B2144" s="5"/>
      <c r="C2144" s="54"/>
      <c r="D2144" s="54"/>
      <c r="E2144" s="89">
        <f>SUM(E2138:E2143)</f>
        <v>129.57422000000003</v>
      </c>
    </row>
    <row r="2145" spans="1:5" ht="18" x14ac:dyDescent="0.35">
      <c r="A2145" s="5"/>
      <c r="B2145" s="50" t="s">
        <v>37</v>
      </c>
      <c r="C2145" s="54">
        <v>0.6</v>
      </c>
      <c r="D2145" s="54">
        <v>95</v>
      </c>
      <c r="E2145" s="85">
        <f>C2145*D2145</f>
        <v>57</v>
      </c>
    </row>
    <row r="2146" spans="1:5" ht="18" x14ac:dyDescent="0.35">
      <c r="A2146" s="5"/>
      <c r="B2146" s="5"/>
      <c r="C2146" s="54"/>
      <c r="D2146" s="54"/>
      <c r="E2146" s="85">
        <f>SUM(E2144:E2145)</f>
        <v>186.57422000000003</v>
      </c>
    </row>
    <row r="2149" spans="1:5" ht="21" x14ac:dyDescent="0.4">
      <c r="A2149" s="40" t="s">
        <v>599</v>
      </c>
      <c r="B2149" s="40"/>
      <c r="C2149" s="84"/>
    </row>
    <row r="2150" spans="1:5" ht="18" x14ac:dyDescent="0.35">
      <c r="A2150" s="5"/>
      <c r="B2150" s="5"/>
      <c r="C2150" s="7" t="s">
        <v>28</v>
      </c>
      <c r="D2150" s="7" t="s">
        <v>29</v>
      </c>
      <c r="E2150" s="7" t="s">
        <v>30</v>
      </c>
    </row>
    <row r="2151" spans="1:5" ht="18" x14ac:dyDescent="0.35">
      <c r="A2151" s="5" t="s">
        <v>311</v>
      </c>
      <c r="B2151" s="50" t="s">
        <v>32</v>
      </c>
      <c r="C2151" s="7">
        <v>2.028</v>
      </c>
      <c r="D2151" s="7">
        <v>30.44</v>
      </c>
      <c r="E2151" s="85">
        <f t="shared" ref="E2151:E2156" si="198">C2151*D2151</f>
        <v>61.732320000000001</v>
      </c>
    </row>
    <row r="2152" spans="1:5" ht="18" x14ac:dyDescent="0.35">
      <c r="A2152" s="5" t="s">
        <v>1003</v>
      </c>
      <c r="B2152" s="50" t="s">
        <v>33</v>
      </c>
      <c r="C2152" s="7">
        <v>10.625999999999999</v>
      </c>
      <c r="D2152" s="7">
        <v>16.170000000000002</v>
      </c>
      <c r="E2152" s="85">
        <f t="shared" si="198"/>
        <v>171.82242000000002</v>
      </c>
    </row>
    <row r="2153" spans="1:5" ht="18" x14ac:dyDescent="0.35">
      <c r="A2153" s="5"/>
      <c r="B2153" s="50" t="s">
        <v>1004</v>
      </c>
      <c r="C2153" s="7">
        <v>2</v>
      </c>
      <c r="D2153" s="7">
        <v>2.2400000000000002</v>
      </c>
      <c r="E2153" s="85">
        <f t="shared" si="198"/>
        <v>4.4800000000000004</v>
      </c>
    </row>
    <row r="2154" spans="1:5" ht="18" x14ac:dyDescent="0.35">
      <c r="A2154" s="5"/>
      <c r="B2154" s="50" t="s">
        <v>34</v>
      </c>
      <c r="C2154" s="7"/>
      <c r="D2154" s="7">
        <v>14.61</v>
      </c>
      <c r="E2154" s="85">
        <f t="shared" si="198"/>
        <v>0</v>
      </c>
    </row>
    <row r="2155" spans="1:5" ht="18" x14ac:dyDescent="0.35">
      <c r="A2155" s="5"/>
      <c r="B2155" s="50" t="s">
        <v>35</v>
      </c>
      <c r="C2155" s="7">
        <v>4</v>
      </c>
      <c r="D2155" s="7">
        <v>2.91</v>
      </c>
      <c r="E2155" s="85">
        <f t="shared" si="198"/>
        <v>11.64</v>
      </c>
    </row>
    <row r="2156" spans="1:5" ht="18" x14ac:dyDescent="0.35">
      <c r="A2156" s="5"/>
      <c r="B2156" s="50" t="s">
        <v>36</v>
      </c>
      <c r="C2156" s="7">
        <v>4</v>
      </c>
      <c r="D2156" s="7">
        <v>0.61</v>
      </c>
      <c r="E2156" s="85">
        <f t="shared" si="198"/>
        <v>2.44</v>
      </c>
    </row>
    <row r="2157" spans="1:5" ht="18" x14ac:dyDescent="0.35">
      <c r="A2157" s="5"/>
      <c r="B2157" s="5"/>
      <c r="C2157" s="54"/>
      <c r="D2157" s="54"/>
      <c r="E2157" s="89">
        <f>SUM(E2151:E2156)</f>
        <v>252.11474000000004</v>
      </c>
    </row>
    <row r="2158" spans="1:5" ht="18" x14ac:dyDescent="0.35">
      <c r="A2158" s="5"/>
      <c r="B2158" s="50" t="s">
        <v>37</v>
      </c>
      <c r="C2158" s="54">
        <v>0.6</v>
      </c>
      <c r="D2158" s="54">
        <v>95</v>
      </c>
      <c r="E2158" s="85">
        <f>C2158*D2158</f>
        <v>57</v>
      </c>
    </row>
    <row r="2159" spans="1:5" ht="18" x14ac:dyDescent="0.35">
      <c r="A2159" s="5"/>
      <c r="B2159" s="5"/>
      <c r="C2159" s="54"/>
      <c r="D2159" s="54"/>
      <c r="E2159" s="85">
        <f>SUM(E2157:E2158)</f>
        <v>309.11474000000004</v>
      </c>
    </row>
    <row r="2162" spans="1:5" ht="21" x14ac:dyDescent="0.4">
      <c r="A2162" s="40" t="s">
        <v>1005</v>
      </c>
      <c r="B2162" s="40"/>
      <c r="C2162" s="40"/>
      <c r="D2162" s="12"/>
      <c r="E2162" s="12"/>
    </row>
    <row r="2163" spans="1:5" ht="18" x14ac:dyDescent="0.35">
      <c r="A2163" s="5"/>
      <c r="B2163" s="5"/>
      <c r="C2163" s="7" t="s">
        <v>28</v>
      </c>
      <c r="D2163" s="7" t="s">
        <v>29</v>
      </c>
      <c r="E2163" s="7" t="s">
        <v>30</v>
      </c>
    </row>
    <row r="2164" spans="1:5" ht="18" x14ac:dyDescent="0.35">
      <c r="A2164" s="5" t="s">
        <v>1006</v>
      </c>
      <c r="B2164" s="50" t="s">
        <v>32</v>
      </c>
      <c r="C2164" s="7">
        <v>3.456</v>
      </c>
      <c r="D2164" s="7">
        <v>30.44</v>
      </c>
      <c r="E2164" s="85">
        <f t="shared" ref="E2164:E2169" si="199">C2164*D2164</f>
        <v>105.20064000000001</v>
      </c>
    </row>
    <row r="2165" spans="1:5" ht="18" x14ac:dyDescent="0.35">
      <c r="A2165" s="5" t="s">
        <v>246</v>
      </c>
      <c r="B2165" s="50" t="s">
        <v>33</v>
      </c>
      <c r="C2165" s="7">
        <v>1.6060000000000001</v>
      </c>
      <c r="D2165" s="7">
        <v>17.059999999999999</v>
      </c>
      <c r="E2165" s="85">
        <f t="shared" si="199"/>
        <v>27.39836</v>
      </c>
    </row>
    <row r="2166" spans="1:5" ht="18" x14ac:dyDescent="0.35">
      <c r="A2166" s="5" t="s">
        <v>759</v>
      </c>
      <c r="B2166" s="50" t="s">
        <v>137</v>
      </c>
      <c r="C2166" s="7">
        <v>0.13</v>
      </c>
      <c r="D2166" s="7">
        <v>17.190000000000001</v>
      </c>
      <c r="E2166" s="85">
        <f t="shared" si="199"/>
        <v>2.2347000000000001</v>
      </c>
    </row>
    <row r="2167" spans="1:5" ht="18" x14ac:dyDescent="0.35">
      <c r="A2167" s="5"/>
      <c r="B2167" s="50" t="s">
        <v>35</v>
      </c>
      <c r="C2167" s="7">
        <v>4</v>
      </c>
      <c r="D2167" s="7">
        <v>2.91</v>
      </c>
      <c r="E2167" s="85">
        <f t="shared" si="199"/>
        <v>11.64</v>
      </c>
    </row>
    <row r="2168" spans="1:5" ht="18" x14ac:dyDescent="0.35">
      <c r="A2168" s="5"/>
      <c r="B2168" s="50" t="s">
        <v>36</v>
      </c>
      <c r="C2168" s="7">
        <v>4</v>
      </c>
      <c r="D2168" s="7">
        <v>0.61</v>
      </c>
      <c r="E2168" s="85">
        <f t="shared" si="199"/>
        <v>2.44</v>
      </c>
    </row>
    <row r="2169" spans="1:5" ht="18" x14ac:dyDescent="0.35">
      <c r="A2169" s="5"/>
      <c r="B2169" s="50" t="s">
        <v>37</v>
      </c>
      <c r="C2169" s="54">
        <v>1</v>
      </c>
      <c r="D2169" s="86">
        <v>95</v>
      </c>
      <c r="E2169" s="85">
        <f t="shared" si="199"/>
        <v>95</v>
      </c>
    </row>
    <row r="2170" spans="1:5" ht="18" x14ac:dyDescent="0.35">
      <c r="A2170" s="5"/>
      <c r="B2170" s="5"/>
      <c r="C2170" s="54"/>
      <c r="D2170" s="54"/>
      <c r="E2170" s="85">
        <f>SUM(E2164:E2169)</f>
        <v>243.91370000000001</v>
      </c>
    </row>
    <row r="2173" spans="1:5" ht="21" x14ac:dyDescent="0.4">
      <c r="A2173" s="40" t="s">
        <v>1007</v>
      </c>
      <c r="B2173" s="40"/>
      <c r="C2173" s="40"/>
      <c r="D2173" s="12"/>
      <c r="E2173" s="12"/>
    </row>
    <row r="2174" spans="1:5" ht="18" x14ac:dyDescent="0.35">
      <c r="A2174" s="5"/>
      <c r="B2174" s="5"/>
      <c r="C2174" s="7" t="s">
        <v>28</v>
      </c>
      <c r="D2174" s="7" t="s">
        <v>29</v>
      </c>
      <c r="E2174" s="7" t="s">
        <v>30</v>
      </c>
    </row>
    <row r="2175" spans="1:5" ht="18" x14ac:dyDescent="0.35">
      <c r="A2175" s="5" t="s">
        <v>202</v>
      </c>
      <c r="B2175" s="50" t="s">
        <v>32</v>
      </c>
      <c r="C2175" s="7">
        <v>1.903</v>
      </c>
      <c r="D2175" s="7">
        <v>30.44</v>
      </c>
      <c r="E2175" s="85">
        <f t="shared" ref="E2175:E2180" si="200">C2175*D2175</f>
        <v>57.927320000000002</v>
      </c>
    </row>
    <row r="2176" spans="1:5" ht="18" x14ac:dyDescent="0.35">
      <c r="A2176" s="5" t="s">
        <v>246</v>
      </c>
      <c r="B2176" s="50" t="s">
        <v>33</v>
      </c>
      <c r="C2176" s="7">
        <v>0.83</v>
      </c>
      <c r="D2176" s="7">
        <v>17.059999999999999</v>
      </c>
      <c r="E2176" s="85">
        <f t="shared" si="200"/>
        <v>14.159799999999999</v>
      </c>
    </row>
    <row r="2177" spans="1:5" ht="18" x14ac:dyDescent="0.35">
      <c r="A2177" s="5" t="s">
        <v>619</v>
      </c>
      <c r="B2177" s="50" t="s">
        <v>137</v>
      </c>
      <c r="C2177" s="7">
        <v>0.08</v>
      </c>
      <c r="D2177" s="7">
        <v>17.190000000000001</v>
      </c>
      <c r="E2177" s="85">
        <f t="shared" si="200"/>
        <v>1.3752000000000002</v>
      </c>
    </row>
    <row r="2178" spans="1:5" ht="18" x14ac:dyDescent="0.35">
      <c r="A2178" s="5"/>
      <c r="B2178" s="50" t="s">
        <v>35</v>
      </c>
      <c r="C2178" s="7">
        <v>4</v>
      </c>
      <c r="D2178" s="7">
        <v>2.91</v>
      </c>
      <c r="E2178" s="85">
        <f t="shared" si="200"/>
        <v>11.64</v>
      </c>
    </row>
    <row r="2179" spans="1:5" ht="18" x14ac:dyDescent="0.35">
      <c r="A2179" s="5"/>
      <c r="B2179" s="50" t="s">
        <v>36</v>
      </c>
      <c r="C2179" s="7">
        <v>4</v>
      </c>
      <c r="D2179" s="7">
        <v>0.61</v>
      </c>
      <c r="E2179" s="85">
        <f t="shared" si="200"/>
        <v>2.44</v>
      </c>
    </row>
    <row r="2180" spans="1:5" ht="18" x14ac:dyDescent="0.35">
      <c r="A2180" s="5"/>
      <c r="B2180" s="50" t="s">
        <v>37</v>
      </c>
      <c r="C2180" s="54">
        <v>0.5</v>
      </c>
      <c r="D2180" s="86">
        <v>95</v>
      </c>
      <c r="E2180" s="85">
        <f t="shared" si="200"/>
        <v>47.5</v>
      </c>
    </row>
    <row r="2181" spans="1:5" ht="18" x14ac:dyDescent="0.35">
      <c r="A2181" s="5"/>
      <c r="B2181" s="5"/>
      <c r="C2181" s="54"/>
      <c r="D2181" s="54"/>
      <c r="E2181" s="85">
        <f>SUM(E2175:E2180)</f>
        <v>135.04232000000002</v>
      </c>
    </row>
    <row r="2184" spans="1:5" ht="21" x14ac:dyDescent="0.4">
      <c r="A2184" s="40" t="s">
        <v>1008</v>
      </c>
      <c r="B2184" s="40"/>
      <c r="C2184" s="40"/>
    </row>
    <row r="2185" spans="1:5" ht="18" x14ac:dyDescent="0.35">
      <c r="A2185" s="5" t="s">
        <v>1009</v>
      </c>
      <c r="B2185" s="5"/>
      <c r="C2185" s="7" t="s">
        <v>28</v>
      </c>
      <c r="D2185" s="7" t="s">
        <v>29</v>
      </c>
      <c r="E2185" s="7" t="s">
        <v>30</v>
      </c>
    </row>
    <row r="2186" spans="1:5" ht="18" x14ac:dyDescent="0.35">
      <c r="A2186" s="5" t="s">
        <v>238</v>
      </c>
      <c r="B2186" s="50" t="s">
        <v>32</v>
      </c>
      <c r="C2186" s="7">
        <v>1.3149999999999999</v>
      </c>
      <c r="D2186" s="7">
        <v>29.12</v>
      </c>
      <c r="E2186" s="85">
        <f t="shared" ref="E2186:E2191" si="201">C2186*D2186</f>
        <v>38.2928</v>
      </c>
    </row>
    <row r="2187" spans="1:5" ht="18" x14ac:dyDescent="0.35">
      <c r="A2187" s="5" t="s">
        <v>1010</v>
      </c>
      <c r="B2187" s="50" t="s">
        <v>33</v>
      </c>
      <c r="C2187" s="7">
        <v>1.89</v>
      </c>
      <c r="D2187" s="7">
        <v>14.94</v>
      </c>
      <c r="E2187" s="85">
        <f t="shared" si="201"/>
        <v>28.236599999999999</v>
      </c>
    </row>
    <row r="2188" spans="1:5" ht="18" x14ac:dyDescent="0.35">
      <c r="B2188" s="50" t="s">
        <v>43</v>
      </c>
      <c r="C2188" s="7">
        <v>2</v>
      </c>
      <c r="D2188" s="7">
        <v>1.1499999999999999</v>
      </c>
      <c r="E2188" s="85">
        <f t="shared" si="201"/>
        <v>2.2999999999999998</v>
      </c>
    </row>
    <row r="2189" spans="1:5" ht="18" x14ac:dyDescent="0.35">
      <c r="A2189" s="5"/>
      <c r="B2189" s="50" t="s">
        <v>34</v>
      </c>
      <c r="C2189" s="7"/>
      <c r="D2189" s="7">
        <v>18.05</v>
      </c>
      <c r="E2189" s="85">
        <f t="shared" si="201"/>
        <v>0</v>
      </c>
    </row>
    <row r="2190" spans="1:5" ht="18" x14ac:dyDescent="0.35">
      <c r="A2190" s="5"/>
      <c r="B2190" s="50" t="s">
        <v>35</v>
      </c>
      <c r="C2190" s="7">
        <v>4</v>
      </c>
      <c r="D2190" s="7">
        <v>2.89</v>
      </c>
      <c r="E2190" s="85">
        <f t="shared" si="201"/>
        <v>11.56</v>
      </c>
    </row>
    <row r="2191" spans="1:5" ht="18" x14ac:dyDescent="0.35">
      <c r="A2191" s="5"/>
      <c r="B2191" s="50" t="s">
        <v>36</v>
      </c>
      <c r="C2191" s="7">
        <v>4</v>
      </c>
      <c r="D2191" s="7">
        <v>0.6</v>
      </c>
      <c r="E2191" s="85">
        <f t="shared" si="201"/>
        <v>2.4</v>
      </c>
    </row>
    <row r="2192" spans="1:5" ht="18" x14ac:dyDescent="0.35">
      <c r="A2192" s="5"/>
      <c r="B2192" s="5"/>
      <c r="C2192" s="54"/>
      <c r="D2192" s="54"/>
      <c r="E2192" s="89">
        <f>SUM(E2186:E2191)</f>
        <v>82.789400000000001</v>
      </c>
    </row>
    <row r="2193" spans="1:5" ht="18" x14ac:dyDescent="0.35">
      <c r="A2193" s="5"/>
      <c r="B2193" s="50" t="s">
        <v>37</v>
      </c>
      <c r="C2193" s="54">
        <v>0.5</v>
      </c>
      <c r="D2193" s="54">
        <v>95</v>
      </c>
      <c r="E2193" s="85">
        <f>C2193*D2193</f>
        <v>47.5</v>
      </c>
    </row>
    <row r="2194" spans="1:5" ht="18" x14ac:dyDescent="0.35">
      <c r="A2194" s="5"/>
      <c r="B2194" s="5"/>
      <c r="C2194" s="54"/>
      <c r="D2194" s="100"/>
      <c r="E2194" s="85">
        <f>SUM(E2192:E2193)</f>
        <v>130.2894</v>
      </c>
    </row>
    <row r="2196" spans="1:5" ht="21" x14ac:dyDescent="0.4">
      <c r="A2196" s="40" t="s">
        <v>1012</v>
      </c>
      <c r="B2196" s="40"/>
      <c r="C2196" s="84"/>
    </row>
    <row r="2197" spans="1:5" ht="18" x14ac:dyDescent="0.35">
      <c r="A2197" s="5"/>
      <c r="B2197" s="5"/>
      <c r="C2197" s="7" t="s">
        <v>28</v>
      </c>
      <c r="D2197" s="7" t="s">
        <v>29</v>
      </c>
      <c r="E2197" s="7" t="s">
        <v>30</v>
      </c>
    </row>
    <row r="2198" spans="1:5" ht="18" x14ac:dyDescent="0.35">
      <c r="A2198" s="5" t="s">
        <v>1011</v>
      </c>
      <c r="B2198" s="50" t="s">
        <v>32</v>
      </c>
      <c r="C2198" s="7">
        <v>1.819</v>
      </c>
      <c r="D2198" s="7">
        <v>30.44</v>
      </c>
      <c r="E2198" s="85">
        <f t="shared" ref="E2198:E2203" si="202">C2198*D2198</f>
        <v>55.370359999999998</v>
      </c>
    </row>
    <row r="2199" spans="1:5" ht="18" x14ac:dyDescent="0.35">
      <c r="A2199" s="5" t="s">
        <v>171</v>
      </c>
      <c r="B2199" s="50" t="s">
        <v>33</v>
      </c>
      <c r="C2199" s="7">
        <v>1.554</v>
      </c>
      <c r="D2199" s="7">
        <v>16.170000000000002</v>
      </c>
      <c r="E2199" s="85">
        <f t="shared" si="202"/>
        <v>25.128180000000004</v>
      </c>
    </row>
    <row r="2200" spans="1:5" ht="18" x14ac:dyDescent="0.35">
      <c r="A2200" s="5"/>
      <c r="B2200" s="50" t="s">
        <v>991</v>
      </c>
      <c r="C2200" s="7">
        <v>2</v>
      </c>
      <c r="D2200" s="7">
        <v>1.1499999999999999</v>
      </c>
      <c r="E2200" s="85">
        <f t="shared" si="202"/>
        <v>2.2999999999999998</v>
      </c>
    </row>
    <row r="2201" spans="1:5" ht="18" x14ac:dyDescent="0.35">
      <c r="A2201" s="5"/>
      <c r="B2201" s="50" t="s">
        <v>34</v>
      </c>
      <c r="C2201" s="7">
        <v>0.05</v>
      </c>
      <c r="D2201" s="7">
        <v>14.61</v>
      </c>
      <c r="E2201" s="85">
        <f t="shared" si="202"/>
        <v>0.73050000000000004</v>
      </c>
    </row>
    <row r="2202" spans="1:5" ht="18" x14ac:dyDescent="0.35">
      <c r="A2202" s="5"/>
      <c r="B2202" s="50" t="s">
        <v>35</v>
      </c>
      <c r="C2202" s="7">
        <v>4</v>
      </c>
      <c r="D2202" s="7">
        <v>2.91</v>
      </c>
      <c r="E2202" s="85">
        <f t="shared" si="202"/>
        <v>11.64</v>
      </c>
    </row>
    <row r="2203" spans="1:5" ht="18" x14ac:dyDescent="0.35">
      <c r="A2203" s="5"/>
      <c r="B2203" s="50" t="s">
        <v>36</v>
      </c>
      <c r="C2203" s="7">
        <v>4</v>
      </c>
      <c r="D2203" s="7">
        <v>0.61</v>
      </c>
      <c r="E2203" s="85">
        <f t="shared" si="202"/>
        <v>2.44</v>
      </c>
    </row>
    <row r="2204" spans="1:5" ht="18" x14ac:dyDescent="0.35">
      <c r="A2204" s="5"/>
      <c r="B2204" s="5"/>
      <c r="C2204" s="54"/>
      <c r="D2204" s="54"/>
      <c r="E2204" s="89">
        <f>SUM(E2198:E2203)</f>
        <v>97.609040000000007</v>
      </c>
    </row>
    <row r="2205" spans="1:5" ht="18" x14ac:dyDescent="0.35">
      <c r="A2205" s="5"/>
      <c r="B2205" s="50" t="s">
        <v>37</v>
      </c>
      <c r="C2205" s="54">
        <v>0.5</v>
      </c>
      <c r="D2205" s="54">
        <v>95</v>
      </c>
      <c r="E2205" s="85">
        <f>C2205*D2205</f>
        <v>47.5</v>
      </c>
    </row>
    <row r="2206" spans="1:5" ht="18" x14ac:dyDescent="0.35">
      <c r="A2206" s="5"/>
      <c r="B2206" s="5"/>
      <c r="C2206" s="54"/>
      <c r="D2206" s="54"/>
      <c r="E2206" s="85">
        <f>SUM(E2204:E2205)</f>
        <v>145.10903999999999</v>
      </c>
    </row>
    <row r="2209" spans="1:5" ht="21" x14ac:dyDescent="0.4">
      <c r="A2209" s="40" t="s">
        <v>1014</v>
      </c>
      <c r="B2209" s="40"/>
      <c r="C2209" s="84"/>
    </row>
    <row r="2210" spans="1:5" ht="18" x14ac:dyDescent="0.35">
      <c r="A2210" s="5"/>
      <c r="B2210" s="5"/>
      <c r="C2210" s="7" t="s">
        <v>28</v>
      </c>
      <c r="D2210" s="7" t="s">
        <v>29</v>
      </c>
      <c r="E2210" s="7" t="s">
        <v>30</v>
      </c>
    </row>
    <row r="2211" spans="1:5" ht="18" x14ac:dyDescent="0.35">
      <c r="A2211" s="5" t="s">
        <v>1013</v>
      </c>
      <c r="B2211" s="50" t="s">
        <v>32</v>
      </c>
      <c r="C2211" s="7">
        <v>1.9770000000000001</v>
      </c>
      <c r="D2211" s="7">
        <v>30.44</v>
      </c>
      <c r="E2211" s="85">
        <f t="shared" ref="E2211:E2216" si="203">C2211*D2211</f>
        <v>60.179880000000004</v>
      </c>
    </row>
    <row r="2212" spans="1:5" ht="18" x14ac:dyDescent="0.35">
      <c r="A2212" s="5" t="s">
        <v>171</v>
      </c>
      <c r="B2212" s="50" t="s">
        <v>33</v>
      </c>
      <c r="C2212" s="7">
        <v>1.722</v>
      </c>
      <c r="D2212" s="7">
        <v>16.170000000000002</v>
      </c>
      <c r="E2212" s="85">
        <f t="shared" si="203"/>
        <v>27.844740000000002</v>
      </c>
    </row>
    <row r="2213" spans="1:5" ht="18" x14ac:dyDescent="0.35">
      <c r="A2213" s="5"/>
      <c r="B2213" s="50" t="s">
        <v>991</v>
      </c>
      <c r="C2213" s="7">
        <v>2</v>
      </c>
      <c r="D2213" s="7">
        <v>1.1499999999999999</v>
      </c>
      <c r="E2213" s="85">
        <f t="shared" si="203"/>
        <v>2.2999999999999998</v>
      </c>
    </row>
    <row r="2214" spans="1:5" ht="18" x14ac:dyDescent="0.35">
      <c r="A2214" s="5"/>
      <c r="B2214" s="50" t="s">
        <v>34</v>
      </c>
      <c r="C2214" s="7">
        <v>0.1</v>
      </c>
      <c r="D2214" s="7">
        <v>14.61</v>
      </c>
      <c r="E2214" s="85">
        <f t="shared" si="203"/>
        <v>1.4610000000000001</v>
      </c>
    </row>
    <row r="2215" spans="1:5" ht="18" x14ac:dyDescent="0.35">
      <c r="A2215" s="5"/>
      <c r="B2215" s="50" t="s">
        <v>35</v>
      </c>
      <c r="C2215" s="7">
        <v>4</v>
      </c>
      <c r="D2215" s="7">
        <v>2.91</v>
      </c>
      <c r="E2215" s="85">
        <f t="shared" si="203"/>
        <v>11.64</v>
      </c>
    </row>
    <row r="2216" spans="1:5" ht="18" x14ac:dyDescent="0.35">
      <c r="A2216" s="5"/>
      <c r="B2216" s="50" t="s">
        <v>36</v>
      </c>
      <c r="C2216" s="7">
        <v>4</v>
      </c>
      <c r="D2216" s="7">
        <v>0.61</v>
      </c>
      <c r="E2216" s="85">
        <f t="shared" si="203"/>
        <v>2.44</v>
      </c>
    </row>
    <row r="2217" spans="1:5" ht="18" x14ac:dyDescent="0.35">
      <c r="A2217" s="5"/>
      <c r="B2217" s="5"/>
      <c r="C2217" s="54"/>
      <c r="D2217" s="54"/>
      <c r="E2217" s="89">
        <f>SUM(E2211:E2216)</f>
        <v>105.86561999999999</v>
      </c>
    </row>
    <row r="2218" spans="1:5" ht="18" x14ac:dyDescent="0.35">
      <c r="A2218" s="5"/>
      <c r="B2218" s="50" t="s">
        <v>37</v>
      </c>
      <c r="C2218" s="54">
        <v>0.5</v>
      </c>
      <c r="D2218" s="54">
        <v>95</v>
      </c>
      <c r="E2218" s="85">
        <f>C2218*D2218</f>
        <v>47.5</v>
      </c>
    </row>
    <row r="2219" spans="1:5" ht="18" x14ac:dyDescent="0.35">
      <c r="A2219" s="5"/>
      <c r="B2219" s="5"/>
      <c r="C2219" s="54"/>
      <c r="D2219" s="54"/>
      <c r="E2219" s="85">
        <f>SUM(E2217:E2218)</f>
        <v>153.36561999999998</v>
      </c>
    </row>
    <row r="2222" spans="1:5" ht="21" x14ac:dyDescent="0.4">
      <c r="A2222" s="40" t="s">
        <v>1015</v>
      </c>
      <c r="B2222" s="40"/>
      <c r="C2222" s="84"/>
    </row>
    <row r="2223" spans="1:5" ht="18" x14ac:dyDescent="0.35">
      <c r="A2223" s="5"/>
      <c r="B2223" s="5"/>
      <c r="C2223" s="7" t="s">
        <v>28</v>
      </c>
      <c r="D2223" s="7" t="s">
        <v>29</v>
      </c>
      <c r="E2223" s="7" t="s">
        <v>30</v>
      </c>
    </row>
    <row r="2224" spans="1:5" ht="18" x14ac:dyDescent="0.35">
      <c r="A2224" s="5" t="s">
        <v>1016</v>
      </c>
      <c r="B2224" s="50" t="s">
        <v>32</v>
      </c>
      <c r="C2224" s="7">
        <v>3.0990000000000002</v>
      </c>
      <c r="D2224" s="7">
        <v>30.44</v>
      </c>
      <c r="E2224" s="85">
        <f t="shared" ref="E2224:E2229" si="204">C2224*D2224</f>
        <v>94.333560000000006</v>
      </c>
    </row>
    <row r="2225" spans="1:5" ht="18" x14ac:dyDescent="0.35">
      <c r="A2225" s="5" t="s">
        <v>171</v>
      </c>
      <c r="B2225" s="50" t="s">
        <v>33</v>
      </c>
      <c r="C2225" s="7">
        <v>2.835</v>
      </c>
      <c r="D2225" s="7">
        <v>16.170000000000002</v>
      </c>
      <c r="E2225" s="85">
        <f t="shared" si="204"/>
        <v>45.841950000000004</v>
      </c>
    </row>
    <row r="2226" spans="1:5" ht="18" x14ac:dyDescent="0.35">
      <c r="A2226" s="5"/>
      <c r="B2226" s="50" t="s">
        <v>991</v>
      </c>
      <c r="C2226" s="7">
        <v>2</v>
      </c>
      <c r="D2226" s="7">
        <v>1.1499999999999999</v>
      </c>
      <c r="E2226" s="85">
        <f t="shared" si="204"/>
        <v>2.2999999999999998</v>
      </c>
    </row>
    <row r="2227" spans="1:5" ht="18" x14ac:dyDescent="0.35">
      <c r="A2227" s="5"/>
      <c r="B2227" s="50" t="s">
        <v>34</v>
      </c>
      <c r="C2227" s="7">
        <v>0.15</v>
      </c>
      <c r="D2227" s="7">
        <v>14.61</v>
      </c>
      <c r="E2227" s="85">
        <f t="shared" si="204"/>
        <v>2.1915</v>
      </c>
    </row>
    <row r="2228" spans="1:5" ht="18" x14ac:dyDescent="0.35">
      <c r="A2228" s="5"/>
      <c r="B2228" s="50" t="s">
        <v>35</v>
      </c>
      <c r="C2228" s="7">
        <v>4</v>
      </c>
      <c r="D2228" s="7">
        <v>2.91</v>
      </c>
      <c r="E2228" s="85">
        <f t="shared" si="204"/>
        <v>11.64</v>
      </c>
    </row>
    <row r="2229" spans="1:5" ht="18" x14ac:dyDescent="0.35">
      <c r="A2229" s="5"/>
      <c r="B2229" s="50" t="s">
        <v>36</v>
      </c>
      <c r="C2229" s="7">
        <v>4</v>
      </c>
      <c r="D2229" s="7">
        <v>0.61</v>
      </c>
      <c r="E2229" s="85">
        <f t="shared" si="204"/>
        <v>2.44</v>
      </c>
    </row>
    <row r="2230" spans="1:5" ht="18" x14ac:dyDescent="0.35">
      <c r="A2230" s="5"/>
      <c r="B2230" s="5"/>
      <c r="C2230" s="54"/>
      <c r="D2230" s="54"/>
      <c r="E2230" s="89">
        <f>SUM(E2224:E2229)</f>
        <v>158.74700999999999</v>
      </c>
    </row>
    <row r="2231" spans="1:5" ht="18" x14ac:dyDescent="0.35">
      <c r="A2231" s="5"/>
      <c r="B2231" s="50" t="s">
        <v>37</v>
      </c>
      <c r="C2231" s="54">
        <v>0.5</v>
      </c>
      <c r="D2231" s="54">
        <v>95</v>
      </c>
      <c r="E2231" s="85">
        <f>C2231*D2231</f>
        <v>47.5</v>
      </c>
    </row>
    <row r="2232" spans="1:5" ht="18" x14ac:dyDescent="0.35">
      <c r="A2232" s="5"/>
      <c r="B2232" s="5"/>
      <c r="C2232" s="54"/>
      <c r="D2232" s="54"/>
      <c r="E2232" s="85">
        <f>SUM(E2230:E2231)</f>
        <v>206.24700999999999</v>
      </c>
    </row>
    <row r="2234" spans="1:5" ht="21" x14ac:dyDescent="0.4">
      <c r="A2234" s="40" t="s">
        <v>1017</v>
      </c>
      <c r="B2234" s="40"/>
      <c r="C2234" s="84"/>
    </row>
    <row r="2235" spans="1:5" ht="18" x14ac:dyDescent="0.35">
      <c r="A2235" s="5"/>
      <c r="B2235" s="5"/>
      <c r="C2235" s="7" t="s">
        <v>28</v>
      </c>
      <c r="D2235" s="7" t="s">
        <v>29</v>
      </c>
      <c r="E2235" s="7" t="s">
        <v>30</v>
      </c>
    </row>
    <row r="2236" spans="1:5" ht="18" x14ac:dyDescent="0.35">
      <c r="A2236" s="5" t="s">
        <v>1018</v>
      </c>
      <c r="B2236" s="50" t="s">
        <v>32</v>
      </c>
      <c r="C2236" s="7">
        <v>2.1019999999999999</v>
      </c>
      <c r="D2236" s="7">
        <v>30.44</v>
      </c>
      <c r="E2236" s="85">
        <f t="shared" ref="E2236:E2241" si="205">C2236*D2236</f>
        <v>63.984879999999997</v>
      </c>
    </row>
    <row r="2237" spans="1:5" ht="18" x14ac:dyDescent="0.35">
      <c r="A2237" s="5" t="s">
        <v>238</v>
      </c>
      <c r="B2237" s="50" t="s">
        <v>33</v>
      </c>
      <c r="C2237" s="7">
        <v>3.4860000000000002</v>
      </c>
      <c r="D2237" s="7">
        <v>16.170000000000002</v>
      </c>
      <c r="E2237" s="85">
        <f t="shared" si="205"/>
        <v>56.368620000000007</v>
      </c>
    </row>
    <row r="2238" spans="1:5" ht="18" x14ac:dyDescent="0.35">
      <c r="A2238" s="5" t="s">
        <v>705</v>
      </c>
      <c r="B2238" s="50" t="s">
        <v>1019</v>
      </c>
      <c r="C2238" s="7">
        <v>2</v>
      </c>
      <c r="D2238" s="7">
        <v>1.1499999999999999</v>
      </c>
      <c r="E2238" s="85">
        <f t="shared" si="205"/>
        <v>2.2999999999999998</v>
      </c>
    </row>
    <row r="2239" spans="1:5" ht="18" x14ac:dyDescent="0.35">
      <c r="A2239" s="5"/>
      <c r="B2239" s="50" t="s">
        <v>34</v>
      </c>
      <c r="C2239" s="7">
        <v>0.2</v>
      </c>
      <c r="D2239" s="7">
        <v>14.61</v>
      </c>
      <c r="E2239" s="85">
        <f t="shared" si="205"/>
        <v>2.9220000000000002</v>
      </c>
    </row>
    <row r="2240" spans="1:5" ht="18" x14ac:dyDescent="0.35">
      <c r="A2240" s="5"/>
      <c r="B2240" s="50" t="s">
        <v>35</v>
      </c>
      <c r="C2240" s="7">
        <v>4</v>
      </c>
      <c r="D2240" s="7">
        <v>2.91</v>
      </c>
      <c r="E2240" s="85">
        <f t="shared" si="205"/>
        <v>11.64</v>
      </c>
    </row>
    <row r="2241" spans="1:5" ht="18" x14ac:dyDescent="0.35">
      <c r="A2241" s="5"/>
      <c r="B2241" s="50" t="s">
        <v>36</v>
      </c>
      <c r="C2241" s="7">
        <v>4</v>
      </c>
      <c r="D2241" s="7">
        <v>0.61</v>
      </c>
      <c r="E2241" s="85">
        <f t="shared" si="205"/>
        <v>2.44</v>
      </c>
    </row>
    <row r="2242" spans="1:5" ht="18" x14ac:dyDescent="0.35">
      <c r="A2242" s="5"/>
      <c r="B2242" s="5"/>
      <c r="C2242" s="54"/>
      <c r="D2242" s="54"/>
      <c r="E2242" s="89">
        <f>SUM(E2236:E2241)</f>
        <v>139.65549999999999</v>
      </c>
    </row>
    <row r="2243" spans="1:5" ht="18" x14ac:dyDescent="0.35">
      <c r="A2243" s="5"/>
      <c r="B2243" s="50" t="s">
        <v>37</v>
      </c>
      <c r="C2243" s="54">
        <v>0.5</v>
      </c>
      <c r="D2243" s="54">
        <v>95</v>
      </c>
      <c r="E2243" s="85">
        <f>C2243*D2243</f>
        <v>47.5</v>
      </c>
    </row>
    <row r="2244" spans="1:5" ht="18" x14ac:dyDescent="0.35">
      <c r="A2244" s="5"/>
      <c r="B2244" s="5"/>
      <c r="C2244" s="54"/>
      <c r="D2244" s="54"/>
      <c r="E2244" s="85">
        <f>SUM(E2242:E2243)</f>
        <v>187.15549999999999</v>
      </c>
    </row>
    <row r="2246" spans="1:5" ht="21" x14ac:dyDescent="0.4">
      <c r="A2246" s="40" t="s">
        <v>602</v>
      </c>
      <c r="B2246" s="40"/>
      <c r="C2246" s="84"/>
      <c r="D2246" s="12"/>
      <c r="E2246" s="12"/>
    </row>
    <row r="2247" spans="1:5" ht="21" x14ac:dyDescent="0.4">
      <c r="A2247" s="40"/>
      <c r="B2247" s="40"/>
      <c r="C2247" s="84"/>
      <c r="D2247" s="12"/>
      <c r="E2247" s="12"/>
    </row>
    <row r="2248" spans="1:5" ht="18" x14ac:dyDescent="0.35">
      <c r="A2248" s="5"/>
      <c r="B2248" s="5"/>
      <c r="C2248" s="7" t="s">
        <v>28</v>
      </c>
      <c r="D2248" s="7" t="s">
        <v>29</v>
      </c>
      <c r="E2248" s="7" t="s">
        <v>30</v>
      </c>
    </row>
    <row r="2249" spans="1:5" ht="18" x14ac:dyDescent="0.35">
      <c r="A2249" s="5" t="s">
        <v>358</v>
      </c>
      <c r="B2249" s="50" t="s">
        <v>32</v>
      </c>
      <c r="C2249" s="7">
        <v>3.9180000000000001</v>
      </c>
      <c r="D2249" s="7">
        <v>45.07</v>
      </c>
      <c r="E2249" s="85">
        <f t="shared" ref="E2249:E2256" si="206">C2249*D2249</f>
        <v>176.58426</v>
      </c>
    </row>
    <row r="2250" spans="1:5" ht="18" x14ac:dyDescent="0.35">
      <c r="A2250" s="5" t="s">
        <v>1020</v>
      </c>
      <c r="B2250" s="50" t="s">
        <v>33</v>
      </c>
      <c r="C2250" s="7">
        <v>39.500999999999998</v>
      </c>
      <c r="D2250" s="7">
        <v>16.170000000000002</v>
      </c>
      <c r="E2250" s="85">
        <f t="shared" si="206"/>
        <v>638.73117000000002</v>
      </c>
    </row>
    <row r="2251" spans="1:5" ht="18" x14ac:dyDescent="0.35">
      <c r="A2251" s="5" t="s">
        <v>310</v>
      </c>
      <c r="B2251" s="50" t="s">
        <v>33</v>
      </c>
      <c r="C2251" s="7">
        <v>41.475000000000001</v>
      </c>
      <c r="D2251" s="7">
        <v>16.170000000000002</v>
      </c>
      <c r="E2251" s="85">
        <f t="shared" si="206"/>
        <v>670.65075000000013</v>
      </c>
    </row>
    <row r="2252" spans="1:5" ht="18" x14ac:dyDescent="0.35">
      <c r="A2252" s="5" t="s">
        <v>1021</v>
      </c>
      <c r="B2252" s="50" t="s">
        <v>128</v>
      </c>
      <c r="C2252" s="7">
        <v>4</v>
      </c>
      <c r="D2252" s="7">
        <v>1.81</v>
      </c>
      <c r="E2252" s="85">
        <f t="shared" si="206"/>
        <v>7.24</v>
      </c>
    </row>
    <row r="2253" spans="1:5" ht="18" x14ac:dyDescent="0.35">
      <c r="A2253" s="5"/>
      <c r="B2253" s="50" t="s">
        <v>88</v>
      </c>
      <c r="C2253" s="88">
        <v>4</v>
      </c>
      <c r="D2253" s="88">
        <v>2.2400000000000002</v>
      </c>
      <c r="E2253" s="90">
        <f t="shared" si="206"/>
        <v>8.9600000000000009</v>
      </c>
    </row>
    <row r="2254" spans="1:5" ht="18" x14ac:dyDescent="0.35">
      <c r="A2254" s="5"/>
      <c r="B2254" s="50" t="s">
        <v>34</v>
      </c>
      <c r="C2254" s="7">
        <v>1.68</v>
      </c>
      <c r="D2254" s="7">
        <v>13.67</v>
      </c>
      <c r="E2254" s="85">
        <f t="shared" si="206"/>
        <v>22.965599999999998</v>
      </c>
    </row>
    <row r="2255" spans="1:5" ht="18" x14ac:dyDescent="0.35">
      <c r="A2255" s="5"/>
      <c r="B2255" s="50" t="s">
        <v>35</v>
      </c>
      <c r="C2255" s="7">
        <v>4</v>
      </c>
      <c r="D2255" s="7">
        <v>2.89</v>
      </c>
      <c r="E2255" s="85">
        <f t="shared" si="206"/>
        <v>11.56</v>
      </c>
    </row>
    <row r="2256" spans="1:5" ht="18" x14ac:dyDescent="0.35">
      <c r="A2256" s="5"/>
      <c r="B2256" s="50" t="s">
        <v>36</v>
      </c>
      <c r="C2256" s="7">
        <v>4</v>
      </c>
      <c r="D2256" s="7">
        <v>0.6</v>
      </c>
      <c r="E2256" s="85">
        <f t="shared" si="206"/>
        <v>2.4</v>
      </c>
    </row>
    <row r="2257" spans="1:5" ht="18" x14ac:dyDescent="0.35">
      <c r="A2257" s="5"/>
      <c r="B2257" s="5"/>
      <c r="C2257" s="54"/>
      <c r="D2257" s="54"/>
      <c r="E2257" s="89">
        <f>SUM(E2249:E2256)</f>
        <v>1539.0917800000002</v>
      </c>
    </row>
    <row r="2258" spans="1:5" ht="18" x14ac:dyDescent="0.35">
      <c r="A2258" s="5"/>
      <c r="B2258" s="50" t="s">
        <v>37</v>
      </c>
      <c r="C2258" s="54">
        <v>4</v>
      </c>
      <c r="D2258" s="54">
        <v>101</v>
      </c>
      <c r="E2258" s="85">
        <f>C2258*D2258</f>
        <v>404</v>
      </c>
    </row>
    <row r="2259" spans="1:5" ht="18" x14ac:dyDescent="0.35">
      <c r="A2259" s="5"/>
      <c r="B2259" s="5"/>
      <c r="C2259" s="54"/>
      <c r="D2259" s="54"/>
      <c r="E2259" s="85">
        <f>SUM(E2257:E2258)</f>
        <v>1943.0917800000002</v>
      </c>
    </row>
    <row r="2261" spans="1:5" ht="21" x14ac:dyDescent="0.4">
      <c r="A2261" s="40" t="s">
        <v>1022</v>
      </c>
      <c r="B2261" s="40"/>
      <c r="C2261" s="84"/>
    </row>
    <row r="2262" spans="1:5" ht="18" x14ac:dyDescent="0.35">
      <c r="A2262" s="5"/>
      <c r="B2262" s="5"/>
      <c r="C2262" s="7" t="s">
        <v>28</v>
      </c>
      <c r="D2262" s="7" t="s">
        <v>29</v>
      </c>
      <c r="E2262" s="7" t="s">
        <v>30</v>
      </c>
    </row>
    <row r="2263" spans="1:5" ht="18" x14ac:dyDescent="0.35">
      <c r="A2263" s="5" t="s">
        <v>48</v>
      </c>
      <c r="B2263" s="50" t="s">
        <v>32</v>
      </c>
      <c r="C2263" s="7">
        <v>2.448</v>
      </c>
      <c r="D2263" s="7">
        <v>29.12</v>
      </c>
      <c r="E2263" s="85">
        <f t="shared" ref="E2263:E2268" si="207">C2263*D2263</f>
        <v>71.285759999999996</v>
      </c>
    </row>
    <row r="2264" spans="1:5" ht="18" x14ac:dyDescent="0.35">
      <c r="A2264" s="5" t="s">
        <v>238</v>
      </c>
      <c r="B2264" s="50" t="s">
        <v>33</v>
      </c>
      <c r="C2264" s="7">
        <v>4.1580000000000004</v>
      </c>
      <c r="D2264" s="7">
        <v>14.94</v>
      </c>
      <c r="E2264" s="85">
        <f t="shared" si="207"/>
        <v>62.120520000000006</v>
      </c>
    </row>
    <row r="2265" spans="1:5" ht="18" x14ac:dyDescent="0.35">
      <c r="A2265" s="5" t="s">
        <v>621</v>
      </c>
      <c r="B2265" s="50" t="s">
        <v>42</v>
      </c>
      <c r="C2265" s="7">
        <v>2</v>
      </c>
      <c r="D2265" s="7">
        <v>1.1499999999999999</v>
      </c>
      <c r="E2265" s="85">
        <f t="shared" si="207"/>
        <v>2.2999999999999998</v>
      </c>
    </row>
    <row r="2266" spans="1:5" ht="18" x14ac:dyDescent="0.35">
      <c r="A2266" s="5"/>
      <c r="B2266" s="50" t="s">
        <v>34</v>
      </c>
      <c r="C2266" s="7">
        <v>0.42</v>
      </c>
      <c r="D2266" s="7">
        <v>14.61</v>
      </c>
      <c r="E2266" s="85">
        <f t="shared" si="207"/>
        <v>6.1361999999999997</v>
      </c>
    </row>
    <row r="2267" spans="1:5" ht="18" x14ac:dyDescent="0.35">
      <c r="A2267" s="5"/>
      <c r="B2267" s="50" t="s">
        <v>35</v>
      </c>
      <c r="C2267" s="7">
        <v>4</v>
      </c>
      <c r="D2267" s="7">
        <v>2.91</v>
      </c>
      <c r="E2267" s="85">
        <f t="shared" si="207"/>
        <v>11.64</v>
      </c>
    </row>
    <row r="2268" spans="1:5" ht="18" x14ac:dyDescent="0.35">
      <c r="A2268" s="5"/>
      <c r="B2268" s="50" t="s">
        <v>36</v>
      </c>
      <c r="C2268" s="7">
        <v>4</v>
      </c>
      <c r="D2268" s="7">
        <v>0.61</v>
      </c>
      <c r="E2268" s="85">
        <f t="shared" si="207"/>
        <v>2.44</v>
      </c>
    </row>
    <row r="2269" spans="1:5" ht="18" x14ac:dyDescent="0.35">
      <c r="A2269" s="5"/>
      <c r="B2269" s="5"/>
      <c r="C2269" s="54"/>
      <c r="D2269" s="54"/>
      <c r="E2269" s="89">
        <f>SUM(E2263:E2268)</f>
        <v>155.92248000000001</v>
      </c>
    </row>
    <row r="2270" spans="1:5" ht="18" x14ac:dyDescent="0.35">
      <c r="A2270" s="5"/>
      <c r="B2270" s="50" t="s">
        <v>37</v>
      </c>
      <c r="C2270" s="54">
        <v>0.5</v>
      </c>
      <c r="D2270" s="54">
        <v>185</v>
      </c>
      <c r="E2270" s="85">
        <f>C2270*D2270</f>
        <v>92.5</v>
      </c>
    </row>
    <row r="2271" spans="1:5" ht="18" x14ac:dyDescent="0.35">
      <c r="A2271" s="5"/>
      <c r="B2271" s="5"/>
      <c r="C2271" s="54"/>
      <c r="D2271" s="54"/>
      <c r="E2271" s="85">
        <f>SUM(E2269:E2270)</f>
        <v>248.42248000000001</v>
      </c>
    </row>
    <row r="2274" spans="1:5" ht="21" x14ac:dyDescent="0.4">
      <c r="A2274" s="40" t="s">
        <v>602</v>
      </c>
      <c r="B2274" s="40"/>
      <c r="C2274" s="84"/>
      <c r="D2274" s="12"/>
      <c r="E2274" s="12"/>
    </row>
    <row r="2275" spans="1:5" ht="21" x14ac:dyDescent="0.4">
      <c r="A2275" s="40"/>
      <c r="B2275" s="40"/>
      <c r="C2275" s="84"/>
      <c r="D2275" s="12"/>
      <c r="E2275" s="12"/>
    </row>
    <row r="2276" spans="1:5" ht="18" x14ac:dyDescent="0.35">
      <c r="A2276" s="5"/>
      <c r="B2276" s="5"/>
      <c r="C2276" s="7" t="s">
        <v>28</v>
      </c>
      <c r="D2276" s="7" t="s">
        <v>29</v>
      </c>
      <c r="E2276" s="7" t="s">
        <v>30</v>
      </c>
    </row>
    <row r="2277" spans="1:5" ht="18" x14ac:dyDescent="0.35">
      <c r="A2277" s="5" t="s">
        <v>73</v>
      </c>
      <c r="B2277" s="50" t="s">
        <v>32</v>
      </c>
      <c r="C2277" s="7">
        <v>0.97899999999999998</v>
      </c>
      <c r="D2277" s="7">
        <v>45.07</v>
      </c>
      <c r="E2277" s="85">
        <f t="shared" ref="E2277:E2284" si="208">C2277*D2277</f>
        <v>44.123530000000002</v>
      </c>
    </row>
    <row r="2278" spans="1:5" ht="18" x14ac:dyDescent="0.35">
      <c r="A2278" s="5" t="s">
        <v>52</v>
      </c>
      <c r="B2278" s="50" t="s">
        <v>33</v>
      </c>
      <c r="C2278" s="7">
        <v>1.7949999999999999</v>
      </c>
      <c r="D2278" s="7">
        <v>16.170000000000002</v>
      </c>
      <c r="E2278" s="85">
        <f t="shared" si="208"/>
        <v>29.025150000000004</v>
      </c>
    </row>
    <row r="2279" spans="1:5" ht="18" x14ac:dyDescent="0.35">
      <c r="A2279" s="5" t="s">
        <v>52</v>
      </c>
      <c r="B2279" s="50" t="s">
        <v>33</v>
      </c>
      <c r="C2279" s="7">
        <v>1.7949999999999999</v>
      </c>
      <c r="D2279" s="7">
        <v>16.170000000000002</v>
      </c>
      <c r="E2279" s="85">
        <f t="shared" si="208"/>
        <v>29.025150000000004</v>
      </c>
    </row>
    <row r="2280" spans="1:5" ht="18" x14ac:dyDescent="0.35">
      <c r="A2280" s="5" t="s">
        <v>677</v>
      </c>
      <c r="B2280" s="50" t="s">
        <v>97</v>
      </c>
      <c r="C2280" s="7">
        <v>4</v>
      </c>
      <c r="D2280" s="7">
        <v>1.48</v>
      </c>
      <c r="E2280" s="85">
        <f t="shared" si="208"/>
        <v>5.92</v>
      </c>
    </row>
    <row r="2281" spans="1:5" ht="18" x14ac:dyDescent="0.35">
      <c r="A2281" s="5"/>
      <c r="B2281" s="50" t="s">
        <v>97</v>
      </c>
      <c r="C2281" s="88">
        <v>4</v>
      </c>
      <c r="D2281" s="88">
        <v>1.48</v>
      </c>
      <c r="E2281" s="90">
        <f t="shared" si="208"/>
        <v>5.92</v>
      </c>
    </row>
    <row r="2282" spans="1:5" ht="18" x14ac:dyDescent="0.35">
      <c r="A2282" s="5"/>
      <c r="B2282" s="50" t="s">
        <v>34</v>
      </c>
      <c r="C2282" s="7"/>
      <c r="D2282" s="7">
        <v>13.67</v>
      </c>
      <c r="E2282" s="85">
        <f t="shared" si="208"/>
        <v>0</v>
      </c>
    </row>
    <row r="2283" spans="1:5" ht="18" x14ac:dyDescent="0.35">
      <c r="A2283" s="5"/>
      <c r="B2283" s="50" t="s">
        <v>35</v>
      </c>
      <c r="C2283" s="7">
        <v>4</v>
      </c>
      <c r="D2283" s="7">
        <v>2.89</v>
      </c>
      <c r="E2283" s="85">
        <f t="shared" si="208"/>
        <v>11.56</v>
      </c>
    </row>
    <row r="2284" spans="1:5" ht="18" x14ac:dyDescent="0.35">
      <c r="A2284" s="5"/>
      <c r="B2284" s="50" t="s">
        <v>36</v>
      </c>
      <c r="C2284" s="7">
        <v>4</v>
      </c>
      <c r="D2284" s="7">
        <v>0.6</v>
      </c>
      <c r="E2284" s="85">
        <f t="shared" si="208"/>
        <v>2.4</v>
      </c>
    </row>
    <row r="2285" spans="1:5" ht="18" x14ac:dyDescent="0.35">
      <c r="A2285" s="5"/>
      <c r="B2285" s="5"/>
      <c r="C2285" s="54"/>
      <c r="D2285" s="54"/>
      <c r="E2285" s="89">
        <f>SUM(E2277:E2284)</f>
        <v>127.97383000000002</v>
      </c>
    </row>
    <row r="2286" spans="1:5" ht="18" x14ac:dyDescent="0.35">
      <c r="A2286" s="5"/>
      <c r="B2286" s="50" t="s">
        <v>37</v>
      </c>
      <c r="C2286" s="54">
        <v>0.5</v>
      </c>
      <c r="D2286" s="54">
        <v>200</v>
      </c>
      <c r="E2286" s="85">
        <f>C2286*D2286</f>
        <v>100</v>
      </c>
    </row>
    <row r="2287" spans="1:5" ht="18" x14ac:dyDescent="0.35">
      <c r="A2287" s="5"/>
      <c r="B2287" s="5"/>
      <c r="C2287" s="54"/>
      <c r="D2287" s="54"/>
      <c r="E2287" s="85">
        <f>SUM(E2285:E2286)</f>
        <v>227.97383000000002</v>
      </c>
    </row>
    <row r="2291" spans="1:17" ht="21" x14ac:dyDescent="0.4">
      <c r="A2291" s="40" t="s">
        <v>1027</v>
      </c>
      <c r="B2291" s="40"/>
      <c r="C2291" s="84"/>
      <c r="G2291" s="40" t="s">
        <v>1035</v>
      </c>
      <c r="H2291" s="40"/>
      <c r="I2291" s="84"/>
      <c r="M2291" s="40" t="s">
        <v>1043</v>
      </c>
      <c r="N2291" s="40"/>
      <c r="O2291" s="84"/>
    </row>
    <row r="2292" spans="1:17" ht="18" x14ac:dyDescent="0.35">
      <c r="A2292" s="5"/>
      <c r="B2292" s="5"/>
      <c r="C2292" s="7" t="s">
        <v>28</v>
      </c>
      <c r="D2292" s="7" t="s">
        <v>29</v>
      </c>
      <c r="E2292" s="7" t="s">
        <v>30</v>
      </c>
      <c r="G2292" s="5"/>
      <c r="H2292" s="5"/>
      <c r="I2292" s="7" t="s">
        <v>28</v>
      </c>
      <c r="J2292" s="7" t="s">
        <v>29</v>
      </c>
      <c r="K2292" s="7" t="s">
        <v>30</v>
      </c>
      <c r="M2292" s="5"/>
      <c r="N2292" s="5"/>
      <c r="O2292" s="7" t="s">
        <v>28</v>
      </c>
      <c r="P2292" s="7" t="s">
        <v>29</v>
      </c>
      <c r="Q2292" s="7" t="s">
        <v>30</v>
      </c>
    </row>
    <row r="2293" spans="1:17" ht="18" x14ac:dyDescent="0.35">
      <c r="A2293" s="5" t="s">
        <v>421</v>
      </c>
      <c r="B2293" s="50" t="s">
        <v>32</v>
      </c>
      <c r="C2293" s="7">
        <v>4.3390000000000004</v>
      </c>
      <c r="D2293" s="7">
        <v>30.44</v>
      </c>
      <c r="E2293" s="85">
        <f t="shared" ref="E2293:E2298" si="209">C2293*D2293</f>
        <v>132.07916000000003</v>
      </c>
      <c r="G2293" s="5" t="s">
        <v>185</v>
      </c>
      <c r="H2293" s="50" t="s">
        <v>32</v>
      </c>
      <c r="I2293" s="7">
        <v>1.5880000000000001</v>
      </c>
      <c r="J2293" s="7">
        <v>30.44</v>
      </c>
      <c r="K2293" s="85">
        <f t="shared" ref="K2293:K2298" si="210">I2293*J2293</f>
        <v>48.338720000000002</v>
      </c>
      <c r="M2293" s="5" t="s">
        <v>107</v>
      </c>
      <c r="N2293" s="50" t="s">
        <v>32</v>
      </c>
      <c r="O2293" s="7">
        <v>2.448</v>
      </c>
      <c r="P2293" s="7">
        <v>30.44</v>
      </c>
      <c r="Q2293" s="85">
        <f t="shared" ref="Q2293:Q2298" si="211">O2293*P2293</f>
        <v>74.517120000000006</v>
      </c>
    </row>
    <row r="2294" spans="1:17" ht="18" x14ac:dyDescent="0.35">
      <c r="A2294" s="5" t="s">
        <v>377</v>
      </c>
      <c r="B2294" s="50" t="s">
        <v>33</v>
      </c>
      <c r="C2294" s="7">
        <v>51.975000000000001</v>
      </c>
      <c r="D2294" s="7">
        <v>16.170000000000002</v>
      </c>
      <c r="E2294" s="85">
        <f t="shared" si="209"/>
        <v>840.4357500000001</v>
      </c>
      <c r="G2294" s="5" t="s">
        <v>238</v>
      </c>
      <c r="H2294" s="50" t="s">
        <v>33</v>
      </c>
      <c r="I2294" s="7">
        <v>2.4780000000000002</v>
      </c>
      <c r="J2294" s="7">
        <v>16.170000000000002</v>
      </c>
      <c r="K2294" s="85">
        <f t="shared" si="210"/>
        <v>40.069260000000007</v>
      </c>
      <c r="M2294" s="5" t="s">
        <v>217</v>
      </c>
      <c r="N2294" s="50" t="s">
        <v>33</v>
      </c>
      <c r="O2294" s="7">
        <v>11.613</v>
      </c>
      <c r="P2294" s="7">
        <v>16.170000000000002</v>
      </c>
      <c r="Q2294" s="85">
        <f t="shared" si="211"/>
        <v>187.78221000000002</v>
      </c>
    </row>
    <row r="2295" spans="1:17" ht="18" x14ac:dyDescent="0.35">
      <c r="A2295" s="5" t="s">
        <v>597</v>
      </c>
      <c r="B2295" s="50" t="s">
        <v>100</v>
      </c>
      <c r="C2295" s="7">
        <v>4</v>
      </c>
      <c r="D2295" s="7">
        <v>2.2400000000000002</v>
      </c>
      <c r="E2295" s="85">
        <f t="shared" si="209"/>
        <v>8.9600000000000009</v>
      </c>
      <c r="G2295" s="5" t="s">
        <v>850</v>
      </c>
      <c r="H2295" s="50" t="s">
        <v>42</v>
      </c>
      <c r="I2295" s="7">
        <v>2</v>
      </c>
      <c r="J2295" s="7">
        <v>1.1499999999999999</v>
      </c>
      <c r="K2295" s="85">
        <f t="shared" si="210"/>
        <v>2.2999999999999998</v>
      </c>
      <c r="M2295" s="5" t="s">
        <v>976</v>
      </c>
      <c r="N2295" s="50" t="s">
        <v>86</v>
      </c>
      <c r="O2295" s="7">
        <v>2</v>
      </c>
      <c r="P2295" s="7">
        <v>1.7</v>
      </c>
      <c r="Q2295" s="85">
        <f t="shared" si="211"/>
        <v>3.4</v>
      </c>
    </row>
    <row r="2296" spans="1:17" ht="18" x14ac:dyDescent="0.35">
      <c r="A2296" s="5" t="s">
        <v>1033</v>
      </c>
      <c r="B2296" s="50" t="s">
        <v>34</v>
      </c>
      <c r="C2296" s="7">
        <v>2</v>
      </c>
      <c r="D2296" s="7">
        <v>14.61</v>
      </c>
      <c r="E2296" s="85">
        <f t="shared" si="209"/>
        <v>29.22</v>
      </c>
      <c r="G2296" s="5">
        <v>3500</v>
      </c>
      <c r="H2296" s="50" t="s">
        <v>34</v>
      </c>
      <c r="I2296" s="7">
        <v>0.1</v>
      </c>
      <c r="J2296" s="7">
        <v>14.61</v>
      </c>
      <c r="K2296" s="85">
        <f t="shared" si="210"/>
        <v>1.4610000000000001</v>
      </c>
      <c r="M2296" s="5">
        <v>3500</v>
      </c>
      <c r="N2296" s="50" t="s">
        <v>34</v>
      </c>
      <c r="O2296" s="7">
        <v>0.315</v>
      </c>
      <c r="P2296" s="7">
        <v>14.61</v>
      </c>
      <c r="Q2296" s="85">
        <f t="shared" si="211"/>
        <v>4.60215</v>
      </c>
    </row>
    <row r="2297" spans="1:17" ht="18" x14ac:dyDescent="0.35">
      <c r="A2297" s="5"/>
      <c r="B2297" s="50" t="s">
        <v>35</v>
      </c>
      <c r="C2297" s="7">
        <v>8</v>
      </c>
      <c r="D2297" s="7">
        <v>2.91</v>
      </c>
      <c r="E2297" s="85">
        <f t="shared" si="209"/>
        <v>23.28</v>
      </c>
      <c r="G2297" s="5"/>
      <c r="H2297" s="50" t="s">
        <v>35</v>
      </c>
      <c r="I2297" s="7">
        <v>4</v>
      </c>
      <c r="J2297" s="7">
        <v>2.91</v>
      </c>
      <c r="K2297" s="85">
        <f t="shared" si="210"/>
        <v>11.64</v>
      </c>
      <c r="M2297" s="5"/>
      <c r="N2297" s="50" t="s">
        <v>35</v>
      </c>
      <c r="O2297" s="7">
        <v>4</v>
      </c>
      <c r="P2297" s="7">
        <v>2.91</v>
      </c>
      <c r="Q2297" s="85">
        <f t="shared" si="211"/>
        <v>11.64</v>
      </c>
    </row>
    <row r="2298" spans="1:17" ht="18" x14ac:dyDescent="0.35">
      <c r="A2298" s="5"/>
      <c r="B2298" s="50" t="s">
        <v>36</v>
      </c>
      <c r="C2298" s="7">
        <v>4</v>
      </c>
      <c r="D2298" s="7">
        <v>0.61</v>
      </c>
      <c r="E2298" s="85">
        <f t="shared" si="209"/>
        <v>2.44</v>
      </c>
      <c r="G2298" s="5"/>
      <c r="H2298" s="50" t="s">
        <v>36</v>
      </c>
      <c r="I2298" s="7">
        <v>4</v>
      </c>
      <c r="J2298" s="7">
        <v>0.61</v>
      </c>
      <c r="K2298" s="85">
        <f t="shared" si="210"/>
        <v>2.44</v>
      </c>
      <c r="M2298" s="5"/>
      <c r="N2298" s="50" t="s">
        <v>36</v>
      </c>
      <c r="O2298" s="7">
        <v>4</v>
      </c>
      <c r="P2298" s="7">
        <v>0.61</v>
      </c>
      <c r="Q2298" s="85">
        <f t="shared" si="211"/>
        <v>2.44</v>
      </c>
    </row>
    <row r="2299" spans="1:17" ht="18" x14ac:dyDescent="0.35">
      <c r="A2299" s="5"/>
      <c r="B2299" s="5"/>
      <c r="C2299" s="54"/>
      <c r="D2299" s="54"/>
      <c r="E2299" s="89">
        <f>SUM(E2293:E2298)</f>
        <v>1036.4149100000002</v>
      </c>
      <c r="G2299" s="5"/>
      <c r="H2299" s="5"/>
      <c r="I2299" s="54"/>
      <c r="J2299" s="54"/>
      <c r="K2299" s="89">
        <f>SUM(K2293:K2298)</f>
        <v>106.24898</v>
      </c>
      <c r="M2299" s="5"/>
      <c r="N2299" s="5"/>
      <c r="O2299" s="54"/>
      <c r="P2299" s="54"/>
      <c r="Q2299" s="89">
        <f>SUM(Q2293:Q2298)</f>
        <v>284.38148000000001</v>
      </c>
    </row>
    <row r="2300" spans="1:17" ht="18" x14ac:dyDescent="0.35">
      <c r="A2300" s="5"/>
      <c r="B2300" s="5"/>
      <c r="C2300" s="54"/>
      <c r="D2300" s="54"/>
      <c r="E2300" s="89">
        <f>E2299+E2299*40%</f>
        <v>1450.9808740000003</v>
      </c>
      <c r="G2300" s="5"/>
      <c r="H2300" s="5"/>
      <c r="I2300" s="54"/>
      <c r="J2300" s="54"/>
      <c r="K2300" s="89">
        <f>K2299+K2299*40%</f>
        <v>148.74857200000002</v>
      </c>
      <c r="M2300" s="5"/>
      <c r="N2300" s="5"/>
      <c r="O2300" s="54"/>
      <c r="P2300" s="54"/>
      <c r="Q2300" s="89">
        <f>Q2299+Q2299*40%</f>
        <v>398.134072</v>
      </c>
    </row>
    <row r="2301" spans="1:17" ht="18" x14ac:dyDescent="0.35">
      <c r="A2301" s="5"/>
      <c r="B2301" s="50" t="s">
        <v>37</v>
      </c>
      <c r="C2301" s="54">
        <v>3</v>
      </c>
      <c r="D2301" s="54">
        <v>200</v>
      </c>
      <c r="E2301" s="85">
        <f>C2301*D2301</f>
        <v>600</v>
      </c>
      <c r="G2301" s="5"/>
      <c r="H2301" s="50" t="s">
        <v>37</v>
      </c>
      <c r="I2301" s="54">
        <v>0.2</v>
      </c>
      <c r="J2301" s="54">
        <v>200</v>
      </c>
      <c r="K2301" s="85">
        <f>I2301*J2301</f>
        <v>40</v>
      </c>
      <c r="M2301" s="5"/>
      <c r="N2301" s="50" t="s">
        <v>37</v>
      </c>
      <c r="O2301" s="54">
        <v>1</v>
      </c>
      <c r="P2301" s="54">
        <v>200</v>
      </c>
      <c r="Q2301" s="85">
        <f>O2301*P2301</f>
        <v>200</v>
      </c>
    </row>
    <row r="2302" spans="1:17" ht="18" x14ac:dyDescent="0.35">
      <c r="A2302" s="5"/>
      <c r="B2302" s="5"/>
      <c r="C2302" s="54"/>
      <c r="D2302" s="54"/>
      <c r="E2302" s="85">
        <f>E2301+E2300</f>
        <v>2050.9808740000003</v>
      </c>
      <c r="F2302" t="s">
        <v>418</v>
      </c>
      <c r="G2302" s="5"/>
      <c r="H2302" s="5"/>
      <c r="I2302" s="54"/>
      <c r="J2302" s="54"/>
      <c r="K2302" s="85">
        <f>K2301+K2300</f>
        <v>188.74857200000002</v>
      </c>
      <c r="M2302" s="5"/>
      <c r="N2302" s="5"/>
      <c r="O2302" s="54"/>
      <c r="P2302" s="54"/>
      <c r="Q2302" s="85">
        <f>Q2301+Q2300</f>
        <v>598.13407200000006</v>
      </c>
    </row>
    <row r="2304" spans="1:17" ht="21" x14ac:dyDescent="0.4">
      <c r="A2304" s="40" t="s">
        <v>1028</v>
      </c>
      <c r="B2304" s="40"/>
      <c r="C2304" s="84"/>
      <c r="D2304" s="12"/>
      <c r="E2304" s="12"/>
      <c r="G2304" s="40" t="s">
        <v>1036</v>
      </c>
      <c r="H2304" s="40"/>
      <c r="I2304" s="84"/>
      <c r="J2304" s="12"/>
      <c r="K2304" s="12"/>
      <c r="M2304" s="40" t="s">
        <v>1039</v>
      </c>
      <c r="N2304" s="40"/>
      <c r="O2304" s="84"/>
      <c r="P2304" s="12"/>
      <c r="Q2304" s="12"/>
    </row>
    <row r="2305" spans="1:17" ht="21" x14ac:dyDescent="0.4">
      <c r="A2305" s="40"/>
      <c r="B2305" s="40"/>
      <c r="C2305" s="84"/>
      <c r="D2305" s="12"/>
      <c r="E2305" s="12"/>
      <c r="G2305" s="40"/>
      <c r="H2305" s="40"/>
      <c r="I2305" s="84"/>
      <c r="J2305" s="12"/>
      <c r="K2305" s="12"/>
      <c r="M2305" s="40"/>
      <c r="N2305" s="40"/>
      <c r="O2305" s="84"/>
      <c r="P2305" s="12"/>
      <c r="Q2305" s="12"/>
    </row>
    <row r="2306" spans="1:17" ht="18" x14ac:dyDescent="0.35">
      <c r="A2306" s="5"/>
      <c r="B2306" s="5"/>
      <c r="C2306" s="7" t="s">
        <v>28</v>
      </c>
      <c r="D2306" s="7" t="s">
        <v>29</v>
      </c>
      <c r="E2306" s="7" t="s">
        <v>30</v>
      </c>
      <c r="G2306" s="5"/>
      <c r="H2306" s="5"/>
      <c r="I2306" s="7" t="s">
        <v>28</v>
      </c>
      <c r="J2306" s="7" t="s">
        <v>29</v>
      </c>
      <c r="K2306" s="7" t="s">
        <v>30</v>
      </c>
      <c r="M2306" s="5"/>
      <c r="N2306" s="5"/>
      <c r="O2306" s="7" t="s">
        <v>28</v>
      </c>
      <c r="P2306" s="7" t="s">
        <v>29</v>
      </c>
      <c r="Q2306" s="7" t="s">
        <v>30</v>
      </c>
    </row>
    <row r="2307" spans="1:17" ht="18" x14ac:dyDescent="0.35">
      <c r="A2307" s="5" t="s">
        <v>421</v>
      </c>
      <c r="B2307" s="50" t="s">
        <v>32</v>
      </c>
      <c r="C2307" s="7">
        <v>4.3390000000000004</v>
      </c>
      <c r="D2307" s="7">
        <v>45.07</v>
      </c>
      <c r="E2307" s="85">
        <f t="shared" ref="E2307:E2314" si="212">C2307*D2307</f>
        <v>195.55873000000003</v>
      </c>
      <c r="G2307" s="5" t="s">
        <v>185</v>
      </c>
      <c r="H2307" s="50" t="s">
        <v>32</v>
      </c>
      <c r="I2307" s="7">
        <v>1.5880000000000001</v>
      </c>
      <c r="J2307" s="7">
        <v>45.07</v>
      </c>
      <c r="K2307" s="85">
        <f t="shared" ref="K2307:K2314" si="213">I2307*J2307</f>
        <v>71.571160000000006</v>
      </c>
      <c r="M2307" s="5" t="s">
        <v>291</v>
      </c>
      <c r="N2307" s="50" t="s">
        <v>32</v>
      </c>
      <c r="O2307" s="7">
        <v>2.6589999999999998</v>
      </c>
      <c r="P2307" s="7">
        <v>45.07</v>
      </c>
      <c r="Q2307" s="85">
        <f t="shared" ref="Q2307:Q2314" si="214">O2307*P2307</f>
        <v>119.84112999999999</v>
      </c>
    </row>
    <row r="2308" spans="1:17" ht="18" x14ac:dyDescent="0.35">
      <c r="A2308" s="5" t="s">
        <v>310</v>
      </c>
      <c r="B2308" s="50" t="s">
        <v>33</v>
      </c>
      <c r="C2308" s="7">
        <v>51.975000000000001</v>
      </c>
      <c r="D2308" s="7">
        <v>16.170000000000002</v>
      </c>
      <c r="E2308" s="85">
        <f t="shared" si="212"/>
        <v>840.4357500000001</v>
      </c>
      <c r="G2308" s="5" t="s">
        <v>39</v>
      </c>
      <c r="H2308" s="50" t="s">
        <v>33</v>
      </c>
      <c r="I2308" s="7">
        <v>2.4780000000000002</v>
      </c>
      <c r="J2308" s="7">
        <v>16.170000000000002</v>
      </c>
      <c r="K2308" s="85">
        <f t="shared" si="213"/>
        <v>40.069260000000007</v>
      </c>
      <c r="M2308" s="5" t="s">
        <v>168</v>
      </c>
      <c r="N2308" s="50" t="s">
        <v>33</v>
      </c>
      <c r="O2308" s="7">
        <v>17.965</v>
      </c>
      <c r="P2308" s="7">
        <v>16.170000000000002</v>
      </c>
      <c r="Q2308" s="85">
        <f t="shared" si="214"/>
        <v>290.49405000000002</v>
      </c>
    </row>
    <row r="2309" spans="1:17" ht="18" x14ac:dyDescent="0.35">
      <c r="A2309" s="5" t="s">
        <v>310</v>
      </c>
      <c r="B2309" s="50" t="s">
        <v>33</v>
      </c>
      <c r="C2309" s="7">
        <v>51.975000000000001</v>
      </c>
      <c r="D2309" s="7">
        <v>16.170000000000002</v>
      </c>
      <c r="E2309" s="85">
        <f t="shared" si="212"/>
        <v>840.4357500000001</v>
      </c>
      <c r="G2309" s="5" t="s">
        <v>168</v>
      </c>
      <c r="H2309" s="50" t="s">
        <v>33</v>
      </c>
      <c r="I2309" s="7">
        <v>2.4359999999999999</v>
      </c>
      <c r="J2309" s="7">
        <v>16.170000000000002</v>
      </c>
      <c r="K2309" s="85">
        <f t="shared" si="213"/>
        <v>39.390120000000003</v>
      </c>
      <c r="M2309" s="5" t="s">
        <v>168</v>
      </c>
      <c r="N2309" s="50" t="s">
        <v>33</v>
      </c>
      <c r="O2309" s="7">
        <v>17.965</v>
      </c>
      <c r="P2309" s="7">
        <v>16.170000000000002</v>
      </c>
      <c r="Q2309" s="85">
        <f t="shared" si="214"/>
        <v>290.49405000000002</v>
      </c>
    </row>
    <row r="2310" spans="1:17" ht="18" x14ac:dyDescent="0.35">
      <c r="A2310" s="5" t="s">
        <v>597</v>
      </c>
      <c r="B2310" s="50" t="s">
        <v>94</v>
      </c>
      <c r="C2310" s="7">
        <v>4</v>
      </c>
      <c r="D2310" s="7">
        <v>2.2400000000000002</v>
      </c>
      <c r="E2310" s="85">
        <f t="shared" si="212"/>
        <v>8.9600000000000009</v>
      </c>
      <c r="G2310" s="5" t="s">
        <v>1037</v>
      </c>
      <c r="H2310" s="50" t="s">
        <v>89</v>
      </c>
      <c r="I2310" s="7">
        <v>2</v>
      </c>
      <c r="J2310" s="7">
        <v>2.2400000000000002</v>
      </c>
      <c r="K2310" s="85">
        <f t="shared" si="213"/>
        <v>4.4800000000000004</v>
      </c>
      <c r="M2310" s="5" t="s">
        <v>597</v>
      </c>
      <c r="N2310" s="50" t="s">
        <v>89</v>
      </c>
      <c r="O2310" s="7">
        <v>2</v>
      </c>
      <c r="P2310" s="7">
        <v>3.39</v>
      </c>
      <c r="Q2310" s="85">
        <f t="shared" si="214"/>
        <v>6.78</v>
      </c>
    </row>
    <row r="2311" spans="1:17" ht="18" x14ac:dyDescent="0.35">
      <c r="A2311" s="5" t="s">
        <v>1038</v>
      </c>
      <c r="B2311" s="50" t="s">
        <v>94</v>
      </c>
      <c r="C2311" s="88">
        <v>4</v>
      </c>
      <c r="D2311" s="88">
        <v>2.2400000000000002</v>
      </c>
      <c r="E2311" s="90">
        <f t="shared" si="212"/>
        <v>8.9600000000000009</v>
      </c>
      <c r="G2311" s="5" t="s">
        <v>1038</v>
      </c>
      <c r="H2311" s="50" t="s">
        <v>43</v>
      </c>
      <c r="I2311" s="88">
        <v>2</v>
      </c>
      <c r="J2311" s="88">
        <v>1.1499999999999999</v>
      </c>
      <c r="K2311" s="90">
        <f t="shared" si="213"/>
        <v>2.2999999999999998</v>
      </c>
      <c r="M2311" s="5" t="s">
        <v>681</v>
      </c>
      <c r="N2311" s="50" t="s">
        <v>89</v>
      </c>
      <c r="O2311" s="88">
        <v>2</v>
      </c>
      <c r="P2311" s="88">
        <v>3.39</v>
      </c>
      <c r="Q2311" s="90">
        <f t="shared" si="214"/>
        <v>6.78</v>
      </c>
    </row>
    <row r="2312" spans="1:17" ht="18" x14ac:dyDescent="0.35">
      <c r="A2312" s="5"/>
      <c r="B2312" s="50" t="s">
        <v>34</v>
      </c>
      <c r="C2312" s="7">
        <v>2</v>
      </c>
      <c r="D2312" s="7">
        <v>13.67</v>
      </c>
      <c r="E2312" s="85">
        <f t="shared" si="212"/>
        <v>27.34</v>
      </c>
      <c r="G2312" s="5"/>
      <c r="H2312" s="50" t="s">
        <v>34</v>
      </c>
      <c r="I2312" s="7">
        <v>0.1</v>
      </c>
      <c r="J2312" s="7">
        <v>13.67</v>
      </c>
      <c r="K2312" s="85">
        <f t="shared" si="213"/>
        <v>1.367</v>
      </c>
      <c r="M2312" s="5">
        <v>4500</v>
      </c>
      <c r="N2312" s="50" t="s">
        <v>34</v>
      </c>
      <c r="O2312" s="7">
        <v>0.63</v>
      </c>
      <c r="P2312" s="7">
        <v>13.67</v>
      </c>
      <c r="Q2312" s="85">
        <f t="shared" si="214"/>
        <v>8.6120999999999999</v>
      </c>
    </row>
    <row r="2313" spans="1:17" ht="18" x14ac:dyDescent="0.35">
      <c r="A2313" s="5"/>
      <c r="B2313" s="50" t="s">
        <v>35</v>
      </c>
      <c r="C2313" s="7">
        <v>8</v>
      </c>
      <c r="D2313" s="7">
        <v>2.89</v>
      </c>
      <c r="E2313" s="85">
        <f t="shared" si="212"/>
        <v>23.12</v>
      </c>
      <c r="G2313" s="5"/>
      <c r="H2313" s="50" t="s">
        <v>35</v>
      </c>
      <c r="I2313" s="7">
        <v>4</v>
      </c>
      <c r="J2313" s="7">
        <v>2.89</v>
      </c>
      <c r="K2313" s="85">
        <f t="shared" si="213"/>
        <v>11.56</v>
      </c>
      <c r="M2313" s="5"/>
      <c r="N2313" s="50" t="s">
        <v>35</v>
      </c>
      <c r="O2313" s="7">
        <v>4</v>
      </c>
      <c r="P2313" s="7">
        <v>2.89</v>
      </c>
      <c r="Q2313" s="85">
        <f t="shared" si="214"/>
        <v>11.56</v>
      </c>
    </row>
    <row r="2314" spans="1:17" ht="18" x14ac:dyDescent="0.35">
      <c r="A2314" s="5"/>
      <c r="B2314" s="50" t="s">
        <v>36</v>
      </c>
      <c r="C2314" s="7">
        <v>4</v>
      </c>
      <c r="D2314" s="7">
        <v>0.6</v>
      </c>
      <c r="E2314" s="85">
        <f t="shared" si="212"/>
        <v>2.4</v>
      </c>
      <c r="G2314" s="5"/>
      <c r="H2314" s="50" t="s">
        <v>36</v>
      </c>
      <c r="I2314" s="7">
        <v>4</v>
      </c>
      <c r="J2314" s="7">
        <v>0.6</v>
      </c>
      <c r="K2314" s="85">
        <f t="shared" si="213"/>
        <v>2.4</v>
      </c>
      <c r="M2314" s="5"/>
      <c r="N2314" s="50" t="s">
        <v>36</v>
      </c>
      <c r="O2314" s="7">
        <v>4</v>
      </c>
      <c r="P2314" s="7">
        <v>0.6</v>
      </c>
      <c r="Q2314" s="85">
        <f t="shared" si="214"/>
        <v>2.4</v>
      </c>
    </row>
    <row r="2315" spans="1:17" ht="18" x14ac:dyDescent="0.35">
      <c r="A2315" s="5"/>
      <c r="B2315" s="5"/>
      <c r="C2315" s="54"/>
      <c r="D2315" s="54"/>
      <c r="E2315" s="89">
        <f>SUM(E2307:E2314)</f>
        <v>1947.2102300000001</v>
      </c>
      <c r="G2315" s="5"/>
      <c r="H2315" s="5"/>
      <c r="I2315" s="54"/>
      <c r="J2315" s="54"/>
      <c r="K2315" s="89">
        <f>SUM(K2307:K2314)</f>
        <v>173.13754</v>
      </c>
      <c r="M2315" s="5"/>
      <c r="N2315" s="5"/>
      <c r="O2315" s="54"/>
      <c r="P2315" s="54"/>
      <c r="Q2315" s="89">
        <f>SUM(Q2307:Q2314)</f>
        <v>736.96132999999998</v>
      </c>
    </row>
    <row r="2316" spans="1:17" ht="18" x14ac:dyDescent="0.35">
      <c r="A2316" s="5"/>
      <c r="B2316" s="5"/>
      <c r="C2316" s="54"/>
      <c r="D2316" s="105">
        <v>0.4</v>
      </c>
      <c r="E2316" s="89">
        <f>E2315+E2315*40%</f>
        <v>2726.0943220000004</v>
      </c>
      <c r="G2316" s="5"/>
      <c r="H2316" s="5"/>
      <c r="I2316" s="54"/>
      <c r="J2316" s="105">
        <v>0.4</v>
      </c>
      <c r="K2316" s="89">
        <f>K2315+K2315*40%</f>
        <v>242.39255600000001</v>
      </c>
      <c r="M2316" s="5"/>
      <c r="N2316" s="5"/>
      <c r="O2316" s="54"/>
      <c r="P2316" s="105">
        <v>0.4</v>
      </c>
      <c r="Q2316" s="89">
        <f>Q2315+Q2315*40%</f>
        <v>1031.745862</v>
      </c>
    </row>
    <row r="2317" spans="1:17" ht="18" x14ac:dyDescent="0.35">
      <c r="A2317" s="5"/>
      <c r="B2317" s="50" t="s">
        <v>37</v>
      </c>
      <c r="C2317" s="54">
        <v>4</v>
      </c>
      <c r="D2317" s="54">
        <v>200</v>
      </c>
      <c r="E2317" s="85">
        <f>C2317*D2317</f>
        <v>800</v>
      </c>
      <c r="G2317" s="5"/>
      <c r="H2317" s="50" t="s">
        <v>37</v>
      </c>
      <c r="I2317" s="54">
        <v>0.5</v>
      </c>
      <c r="J2317" s="54">
        <v>200</v>
      </c>
      <c r="K2317" s="85">
        <f>I2317*J2317</f>
        <v>100</v>
      </c>
      <c r="M2317" s="5"/>
      <c r="N2317" s="50" t="s">
        <v>37</v>
      </c>
      <c r="O2317" s="54">
        <v>2</v>
      </c>
      <c r="P2317" s="54">
        <v>200</v>
      </c>
      <c r="Q2317" s="85">
        <f>O2317*P2317</f>
        <v>400</v>
      </c>
    </row>
    <row r="2318" spans="1:17" ht="18" x14ac:dyDescent="0.35">
      <c r="A2318" s="5"/>
      <c r="B2318" s="5"/>
      <c r="C2318" s="54"/>
      <c r="D2318" s="54"/>
      <c r="E2318" s="85">
        <f>E2316+E2317</f>
        <v>3526.0943220000004</v>
      </c>
      <c r="G2318" s="5"/>
      <c r="H2318" s="5"/>
      <c r="I2318" s="54"/>
      <c r="J2318" s="54"/>
      <c r="K2318" s="85">
        <f>K2316+K2317</f>
        <v>342.39255600000001</v>
      </c>
      <c r="M2318" s="5"/>
      <c r="N2318" s="5"/>
      <c r="O2318" s="54"/>
      <c r="P2318" s="54"/>
      <c r="Q2318" s="85">
        <f>Q2316+Q2317</f>
        <v>1431.745862</v>
      </c>
    </row>
    <row r="2320" spans="1:17" ht="21" x14ac:dyDescent="0.4">
      <c r="A2320" s="40" t="s">
        <v>1029</v>
      </c>
      <c r="B2320" s="40"/>
      <c r="C2320" s="40"/>
      <c r="G2320" s="40" t="s">
        <v>1034</v>
      </c>
      <c r="H2320" s="40"/>
      <c r="I2320" s="40"/>
      <c r="M2320" s="40" t="s">
        <v>1040</v>
      </c>
      <c r="N2320" s="40"/>
      <c r="O2320" s="40"/>
    </row>
    <row r="2321" spans="1:17" ht="18" x14ac:dyDescent="0.35">
      <c r="A2321" s="5" t="s">
        <v>421</v>
      </c>
      <c r="B2321" s="5"/>
      <c r="C2321" s="7" t="s">
        <v>28</v>
      </c>
      <c r="D2321" s="7" t="s">
        <v>29</v>
      </c>
      <c r="E2321" s="7" t="s">
        <v>30</v>
      </c>
      <c r="G2321" s="5" t="s">
        <v>236</v>
      </c>
      <c r="H2321" s="5"/>
      <c r="I2321" s="7" t="s">
        <v>28</v>
      </c>
      <c r="J2321" s="7" t="s">
        <v>29</v>
      </c>
      <c r="K2321" s="7" t="s">
        <v>30</v>
      </c>
      <c r="M2321" s="5" t="s">
        <v>123</v>
      </c>
      <c r="N2321" s="5"/>
      <c r="O2321" s="7" t="s">
        <v>28</v>
      </c>
      <c r="P2321" s="7" t="s">
        <v>29</v>
      </c>
      <c r="Q2321" s="7" t="s">
        <v>30</v>
      </c>
    </row>
    <row r="2322" spans="1:17" ht="18" x14ac:dyDescent="0.35">
      <c r="A2322" s="5" t="s">
        <v>1030</v>
      </c>
      <c r="B2322" s="50" t="s">
        <v>32</v>
      </c>
      <c r="C2322" s="7">
        <v>4.3390000000000004</v>
      </c>
      <c r="D2322" s="7">
        <v>30.29</v>
      </c>
      <c r="E2322" s="85">
        <f>C2322*D2322</f>
        <v>131.42831000000001</v>
      </c>
      <c r="G2322" s="5" t="s">
        <v>214</v>
      </c>
      <c r="H2322" s="50" t="s">
        <v>32</v>
      </c>
      <c r="I2322" s="7">
        <v>2.3639999999999999</v>
      </c>
      <c r="J2322" s="7">
        <v>30.29</v>
      </c>
      <c r="K2322" s="85">
        <f>I2322*J2322</f>
        <v>71.605559999999997</v>
      </c>
      <c r="M2322" s="5" t="s">
        <v>56</v>
      </c>
      <c r="N2322" s="50" t="s">
        <v>32</v>
      </c>
      <c r="O2322" s="7">
        <v>3.0779999999999998</v>
      </c>
      <c r="P2322" s="7">
        <v>30.29</v>
      </c>
      <c r="Q2322" s="85">
        <f>O2322*P2322</f>
        <v>93.232619999999997</v>
      </c>
    </row>
    <row r="2323" spans="1:17" ht="18" x14ac:dyDescent="0.35">
      <c r="A2323" s="5" t="s">
        <v>597</v>
      </c>
      <c r="B2323" s="50" t="s">
        <v>33</v>
      </c>
      <c r="C2323" s="7">
        <v>49.896000000000001</v>
      </c>
      <c r="D2323" s="7">
        <v>17.059999999999999</v>
      </c>
      <c r="E2323" s="85">
        <f>C2323*D2323</f>
        <v>851.22575999999992</v>
      </c>
      <c r="G2323" s="5" t="s">
        <v>696</v>
      </c>
      <c r="H2323" s="50" t="s">
        <v>33</v>
      </c>
      <c r="I2323" s="7">
        <v>3.1179999999999999</v>
      </c>
      <c r="J2323" s="7">
        <v>17.059999999999999</v>
      </c>
      <c r="K2323" s="85">
        <f>I2323*J2323</f>
        <v>53.193079999999995</v>
      </c>
      <c r="M2323" s="5" t="s">
        <v>1041</v>
      </c>
      <c r="N2323" s="50" t="s">
        <v>33</v>
      </c>
      <c r="O2323" s="7">
        <v>30.145</v>
      </c>
      <c r="P2323" s="7">
        <v>17.059999999999999</v>
      </c>
      <c r="Q2323" s="85">
        <f>O2323*P2323</f>
        <v>514.27369999999996</v>
      </c>
    </row>
    <row r="2324" spans="1:17" ht="18" x14ac:dyDescent="0.35">
      <c r="A2324" s="102" t="s">
        <v>1042</v>
      </c>
      <c r="B2324" s="50" t="s">
        <v>1031</v>
      </c>
      <c r="C2324" s="7">
        <v>2</v>
      </c>
      <c r="D2324" s="7">
        <v>1.1499999999999999</v>
      </c>
      <c r="E2324" s="85">
        <f>C2324*D2324</f>
        <v>2.2999999999999998</v>
      </c>
      <c r="G2324" s="102" t="s">
        <v>1032</v>
      </c>
      <c r="H2324" s="50" t="s">
        <v>1031</v>
      </c>
      <c r="I2324" s="7">
        <v>0.24</v>
      </c>
      <c r="J2324" s="7">
        <v>1.1499999999999999</v>
      </c>
      <c r="K2324" s="85">
        <f>I2324*J2324</f>
        <v>0.27599999999999997</v>
      </c>
      <c r="M2324" s="102" t="s">
        <v>1042</v>
      </c>
      <c r="N2324" s="50" t="s">
        <v>1031</v>
      </c>
      <c r="O2324" s="7">
        <v>0.84</v>
      </c>
      <c r="P2324" s="7">
        <v>1.1499999999999999</v>
      </c>
      <c r="Q2324" s="85">
        <f>O2324*P2324</f>
        <v>0.96599999999999986</v>
      </c>
    </row>
    <row r="2325" spans="1:17" ht="18" x14ac:dyDescent="0.35">
      <c r="A2325" s="5"/>
      <c r="B2325" s="50" t="s">
        <v>35</v>
      </c>
      <c r="C2325" s="7">
        <v>8</v>
      </c>
      <c r="D2325" s="7">
        <v>2.89</v>
      </c>
      <c r="E2325" s="85">
        <f>C2325*D2325</f>
        <v>23.12</v>
      </c>
      <c r="G2325" s="5"/>
      <c r="H2325" s="50" t="s">
        <v>35</v>
      </c>
      <c r="I2325" s="7">
        <v>4</v>
      </c>
      <c r="J2325" s="7">
        <v>2.89</v>
      </c>
      <c r="K2325" s="85">
        <f>I2325*J2325</f>
        <v>11.56</v>
      </c>
      <c r="M2325" s="5"/>
      <c r="N2325" s="50" t="s">
        <v>35</v>
      </c>
      <c r="O2325" s="7">
        <v>4</v>
      </c>
      <c r="P2325" s="7">
        <v>2.89</v>
      </c>
      <c r="Q2325" s="85">
        <f>O2325*P2325</f>
        <v>11.56</v>
      </c>
    </row>
    <row r="2326" spans="1:17" ht="18" x14ac:dyDescent="0.35">
      <c r="A2326" s="5"/>
      <c r="B2326" s="50" t="s">
        <v>36</v>
      </c>
      <c r="C2326" s="7">
        <v>4</v>
      </c>
      <c r="D2326" s="7">
        <v>0.6</v>
      </c>
      <c r="E2326" s="85">
        <f>C2326*D2326</f>
        <v>2.4</v>
      </c>
      <c r="G2326" s="5"/>
      <c r="H2326" s="50" t="s">
        <v>36</v>
      </c>
      <c r="I2326" s="7">
        <v>4</v>
      </c>
      <c r="J2326" s="7">
        <v>0.6</v>
      </c>
      <c r="K2326" s="85">
        <f>I2326*J2326</f>
        <v>2.4</v>
      </c>
      <c r="M2326" s="5"/>
      <c r="N2326" s="50" t="s">
        <v>36</v>
      </c>
      <c r="O2326" s="7">
        <v>4</v>
      </c>
      <c r="P2326" s="7">
        <v>0.6</v>
      </c>
      <c r="Q2326" s="85">
        <f>O2326*P2326</f>
        <v>2.4</v>
      </c>
    </row>
    <row r="2327" spans="1:17" ht="18" x14ac:dyDescent="0.35">
      <c r="A2327" s="5"/>
      <c r="B2327" s="5"/>
      <c r="C2327" s="54"/>
      <c r="D2327" s="54"/>
      <c r="E2327" s="89">
        <f>SUM(E2322:E2326)</f>
        <v>1010.4740699999999</v>
      </c>
      <c r="G2327" s="5"/>
      <c r="H2327" s="5"/>
      <c r="I2327" s="54"/>
      <c r="J2327" s="54"/>
      <c r="K2327" s="89">
        <f>SUM(K2322:K2326)</f>
        <v>139.03464</v>
      </c>
      <c r="M2327" s="5"/>
      <c r="N2327" s="5"/>
      <c r="O2327" s="54"/>
      <c r="P2327" s="54"/>
      <c r="Q2327" s="89">
        <f>SUM(Q2322:Q2326)</f>
        <v>622.43231999999989</v>
      </c>
    </row>
    <row r="2328" spans="1:17" ht="18" x14ac:dyDescent="0.35">
      <c r="A2328" s="5"/>
      <c r="B2328" s="5"/>
      <c r="C2328" s="54"/>
      <c r="D2328" s="105">
        <v>0.4</v>
      </c>
      <c r="E2328" s="89">
        <f>E2327+E2327*40%</f>
        <v>1414.6636979999998</v>
      </c>
      <c r="G2328" s="5"/>
      <c r="H2328" s="5"/>
      <c r="I2328" s="54"/>
      <c r="J2328" s="105">
        <v>0.4</v>
      </c>
      <c r="K2328" s="89">
        <f>K2327+K2327*40%</f>
        <v>194.64849599999999</v>
      </c>
      <c r="M2328" s="5"/>
      <c r="N2328" s="5"/>
      <c r="O2328" s="54"/>
      <c r="P2328" s="105">
        <v>0.4</v>
      </c>
      <c r="Q2328" s="89">
        <f>Q2327+Q2327*40%</f>
        <v>871.4052479999998</v>
      </c>
    </row>
    <row r="2329" spans="1:17" ht="18" x14ac:dyDescent="0.35">
      <c r="A2329" s="5"/>
      <c r="B2329" s="50" t="s">
        <v>37</v>
      </c>
      <c r="C2329" s="54">
        <v>5</v>
      </c>
      <c r="D2329" s="54">
        <v>200</v>
      </c>
      <c r="E2329" s="85">
        <f>C2329*D2329</f>
        <v>1000</v>
      </c>
      <c r="G2329" s="5"/>
      <c r="H2329" s="50" t="s">
        <v>37</v>
      </c>
      <c r="I2329" s="54">
        <v>0.5</v>
      </c>
      <c r="J2329" s="54">
        <v>200</v>
      </c>
      <c r="K2329" s="85">
        <f>I2329*J2329</f>
        <v>100</v>
      </c>
      <c r="M2329" s="5"/>
      <c r="N2329" s="50" t="s">
        <v>37</v>
      </c>
      <c r="O2329" s="54">
        <v>2</v>
      </c>
      <c r="P2329" s="54">
        <v>200</v>
      </c>
      <c r="Q2329" s="85">
        <f>O2329*P2329</f>
        <v>400</v>
      </c>
    </row>
    <row r="2330" spans="1:17" ht="18" x14ac:dyDescent="0.35">
      <c r="A2330" s="5"/>
      <c r="B2330" s="5"/>
      <c r="C2330" s="54"/>
      <c r="D2330" s="100"/>
      <c r="E2330" s="85">
        <f>E2329+E2328</f>
        <v>2414.6636979999998</v>
      </c>
      <c r="G2330" s="5"/>
      <c r="H2330" s="5"/>
      <c r="I2330" s="54"/>
      <c r="J2330" s="100"/>
      <c r="K2330" s="85">
        <f>K2329+K2328</f>
        <v>294.64849600000002</v>
      </c>
      <c r="M2330" s="5"/>
      <c r="N2330" s="5"/>
      <c r="O2330" s="54"/>
      <c r="P2330" s="100"/>
      <c r="Q2330" s="85">
        <f>Q2329+Q2328</f>
        <v>1271.4052479999998</v>
      </c>
    </row>
    <row r="2333" spans="1:17" ht="21" x14ac:dyDescent="0.4">
      <c r="A2333" s="40" t="s">
        <v>1044</v>
      </c>
      <c r="B2333" s="40"/>
      <c r="C2333" s="40"/>
    </row>
    <row r="2334" spans="1:17" ht="18" x14ac:dyDescent="0.35">
      <c r="A2334" s="5" t="s">
        <v>207</v>
      </c>
      <c r="B2334" s="5"/>
      <c r="C2334" s="7" t="s">
        <v>28</v>
      </c>
      <c r="D2334" s="7" t="s">
        <v>29</v>
      </c>
      <c r="E2334" s="7" t="s">
        <v>30</v>
      </c>
    </row>
    <row r="2335" spans="1:17" ht="18" x14ac:dyDescent="0.35">
      <c r="A2335" s="5" t="s">
        <v>1045</v>
      </c>
      <c r="B2335" s="50" t="s">
        <v>32</v>
      </c>
      <c r="C2335" s="7">
        <v>2.0920000000000001</v>
      </c>
      <c r="D2335" s="7">
        <v>30.29</v>
      </c>
      <c r="E2335" s="85">
        <f>C2335*D2335</f>
        <v>63.366680000000002</v>
      </c>
    </row>
    <row r="2336" spans="1:17" ht="18" x14ac:dyDescent="0.35">
      <c r="A2336" s="5" t="s">
        <v>1046</v>
      </c>
      <c r="B2336" s="50" t="s">
        <v>33</v>
      </c>
      <c r="C2336" s="7">
        <v>6.6360000000000001</v>
      </c>
      <c r="D2336" s="7">
        <v>17.059999999999999</v>
      </c>
      <c r="E2336" s="85">
        <f>C2336*D2336</f>
        <v>113.21015999999999</v>
      </c>
    </row>
    <row r="2337" spans="1:5" ht="18" x14ac:dyDescent="0.35">
      <c r="A2337" s="102" t="s">
        <v>1047</v>
      </c>
      <c r="B2337" s="50" t="s">
        <v>1031</v>
      </c>
      <c r="C2337" s="7">
        <v>0.27300000000000002</v>
      </c>
      <c r="D2337" s="7">
        <v>1.1499999999999999</v>
      </c>
      <c r="E2337" s="85">
        <f>C2337*D2337</f>
        <v>0.31395000000000001</v>
      </c>
    </row>
    <row r="2338" spans="1:5" ht="18" x14ac:dyDescent="0.35">
      <c r="A2338" s="5"/>
      <c r="B2338" s="50" t="s">
        <v>216</v>
      </c>
      <c r="C2338" s="7">
        <v>4</v>
      </c>
      <c r="D2338" s="7">
        <v>2.89</v>
      </c>
      <c r="E2338" s="85">
        <f>C2338*D2338</f>
        <v>11.56</v>
      </c>
    </row>
    <row r="2339" spans="1:5" ht="18" x14ac:dyDescent="0.35">
      <c r="A2339" s="5"/>
      <c r="B2339" s="50" t="s">
        <v>36</v>
      </c>
      <c r="C2339" s="7">
        <v>4</v>
      </c>
      <c r="D2339" s="7">
        <v>0.6</v>
      </c>
      <c r="E2339" s="85">
        <f>C2339*D2339</f>
        <v>2.4</v>
      </c>
    </row>
    <row r="2340" spans="1:5" ht="18" x14ac:dyDescent="0.35">
      <c r="A2340" s="5"/>
      <c r="B2340" s="5"/>
      <c r="C2340" s="54"/>
      <c r="D2340" s="54"/>
      <c r="E2340" s="89">
        <f>SUM(E2335:E2339)</f>
        <v>190.85079000000002</v>
      </c>
    </row>
    <row r="2341" spans="1:5" ht="18" x14ac:dyDescent="0.35">
      <c r="A2341" s="5"/>
      <c r="B2341" s="5"/>
      <c r="C2341" s="54"/>
      <c r="D2341" s="105">
        <v>0.4</v>
      </c>
      <c r="E2341" s="89">
        <f>E2340+E2340*40%</f>
        <v>267.19110600000005</v>
      </c>
    </row>
    <row r="2342" spans="1:5" ht="18" x14ac:dyDescent="0.35">
      <c r="A2342" s="5"/>
      <c r="B2342" s="50" t="s">
        <v>37</v>
      </c>
      <c r="C2342" s="54">
        <v>0.5</v>
      </c>
      <c r="D2342" s="54">
        <v>200</v>
      </c>
      <c r="E2342" s="85">
        <f>C2342*D2342</f>
        <v>100</v>
      </c>
    </row>
    <row r="2343" spans="1:5" ht="18" x14ac:dyDescent="0.35">
      <c r="A2343" s="5"/>
      <c r="B2343" s="5"/>
      <c r="C2343" s="54"/>
      <c r="D2343" s="100"/>
      <c r="E2343" s="85">
        <f>E2342+E2341</f>
        <v>367.19110600000005</v>
      </c>
    </row>
    <row r="2346" spans="1:5" ht="21" x14ac:dyDescent="0.4">
      <c r="A2346" s="40" t="s">
        <v>1049</v>
      </c>
      <c r="B2346" s="40"/>
      <c r="C2346" s="84"/>
    </row>
    <row r="2347" spans="1:5" ht="18" x14ac:dyDescent="0.35">
      <c r="A2347" s="5"/>
      <c r="B2347" s="5"/>
      <c r="C2347" s="7" t="s">
        <v>28</v>
      </c>
      <c r="D2347" s="7" t="s">
        <v>29</v>
      </c>
      <c r="E2347" s="7" t="s">
        <v>30</v>
      </c>
    </row>
    <row r="2348" spans="1:5" ht="18" x14ac:dyDescent="0.35">
      <c r="A2348" s="5" t="s">
        <v>31</v>
      </c>
      <c r="B2348" s="50" t="s">
        <v>32</v>
      </c>
      <c r="C2348" s="7">
        <v>0.76900000000000002</v>
      </c>
      <c r="D2348" s="7">
        <v>30.44</v>
      </c>
      <c r="E2348" s="85">
        <f t="shared" ref="E2348:E2353" si="215">C2348*D2348</f>
        <v>23.408360000000002</v>
      </c>
    </row>
    <row r="2349" spans="1:5" ht="18" x14ac:dyDescent="0.35">
      <c r="A2349" s="5" t="s">
        <v>238</v>
      </c>
      <c r="B2349" s="50" t="s">
        <v>33</v>
      </c>
      <c r="C2349" s="7">
        <v>0.79800000000000004</v>
      </c>
      <c r="D2349" s="7">
        <v>16.170000000000002</v>
      </c>
      <c r="E2349" s="85">
        <f t="shared" si="215"/>
        <v>12.903660000000002</v>
      </c>
    </row>
    <row r="2350" spans="1:5" ht="18" x14ac:dyDescent="0.35">
      <c r="A2350" s="5" t="s">
        <v>1048</v>
      </c>
      <c r="B2350" s="50" t="s">
        <v>42</v>
      </c>
      <c r="C2350" s="7">
        <v>2</v>
      </c>
      <c r="D2350" s="7">
        <v>1.1499999999999999</v>
      </c>
      <c r="E2350" s="85">
        <f t="shared" si="215"/>
        <v>2.2999999999999998</v>
      </c>
    </row>
    <row r="2351" spans="1:5" ht="18" x14ac:dyDescent="0.35">
      <c r="A2351" s="5"/>
      <c r="B2351" s="50" t="s">
        <v>34</v>
      </c>
      <c r="C2351" s="7"/>
      <c r="D2351" s="7">
        <v>14.61</v>
      </c>
      <c r="E2351" s="85">
        <f t="shared" si="215"/>
        <v>0</v>
      </c>
    </row>
    <row r="2352" spans="1:5" ht="18" x14ac:dyDescent="0.35">
      <c r="A2352" s="5"/>
      <c r="B2352" s="50" t="s">
        <v>35</v>
      </c>
      <c r="C2352" s="7">
        <v>4</v>
      </c>
      <c r="D2352" s="7">
        <v>2.91</v>
      </c>
      <c r="E2352" s="85">
        <f t="shared" si="215"/>
        <v>11.64</v>
      </c>
    </row>
    <row r="2353" spans="1:5" ht="18" x14ac:dyDescent="0.35">
      <c r="A2353" s="5"/>
      <c r="B2353" s="50" t="s">
        <v>36</v>
      </c>
      <c r="C2353" s="7">
        <v>4</v>
      </c>
      <c r="D2353" s="7">
        <v>0.61</v>
      </c>
      <c r="E2353" s="85">
        <f t="shared" si="215"/>
        <v>2.44</v>
      </c>
    </row>
    <row r="2354" spans="1:5" ht="18" x14ac:dyDescent="0.35">
      <c r="A2354" s="5"/>
      <c r="B2354" s="5"/>
      <c r="C2354" s="54"/>
      <c r="D2354" s="54"/>
      <c r="E2354" s="89">
        <f>SUM(E2348:E2353)</f>
        <v>52.692019999999999</v>
      </c>
    </row>
    <row r="2355" spans="1:5" ht="18" x14ac:dyDescent="0.35">
      <c r="A2355" s="5"/>
      <c r="B2355" s="5"/>
      <c r="C2355" s="54"/>
      <c r="D2355" s="54"/>
      <c r="E2355" s="89"/>
    </row>
    <row r="2356" spans="1:5" ht="18" x14ac:dyDescent="0.35">
      <c r="A2356" s="5"/>
      <c r="B2356" s="50" t="s">
        <v>37</v>
      </c>
      <c r="C2356" s="54">
        <v>0.25</v>
      </c>
      <c r="D2356" s="54">
        <v>200</v>
      </c>
      <c r="E2356" s="85">
        <f>C2356*D2356</f>
        <v>50</v>
      </c>
    </row>
    <row r="2357" spans="1:5" ht="18" x14ac:dyDescent="0.35">
      <c r="A2357" s="5"/>
      <c r="B2357" s="5"/>
      <c r="C2357" s="54"/>
      <c r="D2357" s="54"/>
      <c r="E2357" s="85">
        <f>E2356+E2355</f>
        <v>50</v>
      </c>
    </row>
    <row r="2360" spans="1:5" ht="21" x14ac:dyDescent="0.4">
      <c r="A2360" s="40" t="s">
        <v>1050</v>
      </c>
      <c r="B2360" s="40"/>
      <c r="C2360" s="84"/>
    </row>
    <row r="2361" spans="1:5" ht="18" x14ac:dyDescent="0.35">
      <c r="A2361" s="5"/>
      <c r="B2361" s="5"/>
      <c r="C2361" s="7" t="s">
        <v>28</v>
      </c>
      <c r="D2361" s="7" t="s">
        <v>29</v>
      </c>
      <c r="E2361" s="7" t="s">
        <v>30</v>
      </c>
    </row>
    <row r="2362" spans="1:5" ht="18" x14ac:dyDescent="0.35">
      <c r="A2362" s="5" t="s">
        <v>38</v>
      </c>
      <c r="B2362" s="50" t="s">
        <v>32</v>
      </c>
      <c r="C2362" s="7">
        <v>0.97899999999999998</v>
      </c>
      <c r="D2362" s="7">
        <v>30.44</v>
      </c>
      <c r="E2362" s="85">
        <f t="shared" ref="E2362:E2367" si="216">C2362*D2362</f>
        <v>29.80076</v>
      </c>
    </row>
    <row r="2363" spans="1:5" ht="18" x14ac:dyDescent="0.35">
      <c r="A2363" s="5" t="s">
        <v>238</v>
      </c>
      <c r="B2363" s="50" t="s">
        <v>33</v>
      </c>
      <c r="C2363" s="7">
        <v>1.218</v>
      </c>
      <c r="D2363" s="7">
        <v>16.170000000000002</v>
      </c>
      <c r="E2363" s="85">
        <f t="shared" si="216"/>
        <v>19.695060000000002</v>
      </c>
    </row>
    <row r="2364" spans="1:5" ht="18" x14ac:dyDescent="0.35">
      <c r="A2364" s="5" t="s">
        <v>619</v>
      </c>
      <c r="B2364" s="50" t="s">
        <v>42</v>
      </c>
      <c r="C2364" s="7">
        <v>2</v>
      </c>
      <c r="D2364" s="7">
        <v>1.1499999999999999</v>
      </c>
      <c r="E2364" s="85">
        <f t="shared" si="216"/>
        <v>2.2999999999999998</v>
      </c>
    </row>
    <row r="2365" spans="1:5" ht="18" x14ac:dyDescent="0.35">
      <c r="A2365" s="5"/>
      <c r="B2365" s="50" t="s">
        <v>34</v>
      </c>
      <c r="C2365" s="7"/>
      <c r="D2365" s="7">
        <v>14.61</v>
      </c>
      <c r="E2365" s="85">
        <f t="shared" si="216"/>
        <v>0</v>
      </c>
    </row>
    <row r="2366" spans="1:5" ht="18" x14ac:dyDescent="0.35">
      <c r="A2366" s="5"/>
      <c r="B2366" s="50" t="s">
        <v>35</v>
      </c>
      <c r="C2366" s="7">
        <v>4</v>
      </c>
      <c r="D2366" s="7">
        <v>2.91</v>
      </c>
      <c r="E2366" s="85">
        <f t="shared" si="216"/>
        <v>11.64</v>
      </c>
    </row>
    <row r="2367" spans="1:5" ht="18" x14ac:dyDescent="0.35">
      <c r="A2367" s="5"/>
      <c r="B2367" s="50" t="s">
        <v>36</v>
      </c>
      <c r="C2367" s="7">
        <v>4</v>
      </c>
      <c r="D2367" s="7">
        <v>0.61</v>
      </c>
      <c r="E2367" s="85">
        <f t="shared" si="216"/>
        <v>2.44</v>
      </c>
    </row>
    <row r="2368" spans="1:5" ht="18" x14ac:dyDescent="0.35">
      <c r="A2368" s="5"/>
      <c r="B2368" s="5"/>
      <c r="C2368" s="54"/>
      <c r="D2368" s="54"/>
      <c r="E2368" s="89">
        <f>SUM(E2362:E2367)</f>
        <v>65.875820000000004</v>
      </c>
    </row>
    <row r="2369" spans="1:5" ht="18" x14ac:dyDescent="0.35">
      <c r="A2369" s="5"/>
      <c r="B2369" s="5"/>
      <c r="C2369" s="54"/>
      <c r="D2369" s="54"/>
      <c r="E2369" s="89"/>
    </row>
    <row r="2370" spans="1:5" ht="18" x14ac:dyDescent="0.35">
      <c r="A2370" s="5"/>
      <c r="B2370" s="50" t="s">
        <v>37</v>
      </c>
      <c r="C2370" s="54">
        <v>0.25</v>
      </c>
      <c r="D2370" s="54">
        <v>200</v>
      </c>
      <c r="E2370" s="85">
        <f>C2370*D2370</f>
        <v>50</v>
      </c>
    </row>
    <row r="2371" spans="1:5" ht="18" x14ac:dyDescent="0.35">
      <c r="A2371" s="5"/>
      <c r="B2371" s="5"/>
      <c r="C2371" s="54"/>
      <c r="D2371" s="54"/>
      <c r="E2371" s="85">
        <f>E2370+E2369</f>
        <v>50</v>
      </c>
    </row>
    <row r="2375" spans="1:5" ht="21" x14ac:dyDescent="0.4">
      <c r="A2375" s="40" t="s">
        <v>1051</v>
      </c>
      <c r="B2375" s="40"/>
      <c r="C2375" s="84"/>
    </row>
    <row r="2376" spans="1:5" ht="18" x14ac:dyDescent="0.35">
      <c r="A2376" s="5"/>
      <c r="B2376" s="5"/>
      <c r="C2376" s="7" t="s">
        <v>28</v>
      </c>
      <c r="D2376" s="7" t="s">
        <v>29</v>
      </c>
      <c r="E2376" s="7" t="s">
        <v>30</v>
      </c>
    </row>
    <row r="2377" spans="1:5" ht="18" x14ac:dyDescent="0.35">
      <c r="A2377" s="5" t="s">
        <v>40</v>
      </c>
      <c r="B2377" s="50" t="s">
        <v>32</v>
      </c>
      <c r="C2377" s="7">
        <v>1.1879999999999999</v>
      </c>
      <c r="D2377" s="7">
        <v>30.44</v>
      </c>
      <c r="E2377" s="85">
        <f t="shared" ref="E2377:E2382" si="217">C2377*D2377</f>
        <v>36.16272</v>
      </c>
    </row>
    <row r="2378" spans="1:5" ht="18" x14ac:dyDescent="0.35">
      <c r="A2378" s="5" t="s">
        <v>238</v>
      </c>
      <c r="B2378" s="50" t="s">
        <v>33</v>
      </c>
      <c r="C2378" s="7">
        <v>1.6379999999999999</v>
      </c>
      <c r="D2378" s="7">
        <v>16.170000000000002</v>
      </c>
      <c r="E2378" s="85">
        <f t="shared" si="217"/>
        <v>26.486460000000001</v>
      </c>
    </row>
    <row r="2379" spans="1:5" ht="18" x14ac:dyDescent="0.35">
      <c r="A2379" s="5" t="s">
        <v>677</v>
      </c>
      <c r="B2379" s="50" t="s">
        <v>42</v>
      </c>
      <c r="C2379" s="7">
        <v>2</v>
      </c>
      <c r="D2379" s="7">
        <v>1.1499999999999999</v>
      </c>
      <c r="E2379" s="85">
        <f t="shared" si="217"/>
        <v>2.2999999999999998</v>
      </c>
    </row>
    <row r="2380" spans="1:5" ht="18" x14ac:dyDescent="0.35">
      <c r="A2380" s="5"/>
      <c r="B2380" s="50" t="s">
        <v>34</v>
      </c>
      <c r="C2380" s="7"/>
      <c r="D2380" s="7">
        <v>14.61</v>
      </c>
      <c r="E2380" s="85">
        <f t="shared" si="217"/>
        <v>0</v>
      </c>
    </row>
    <row r="2381" spans="1:5" ht="18" x14ac:dyDescent="0.35">
      <c r="A2381" s="5"/>
      <c r="B2381" s="50" t="s">
        <v>35</v>
      </c>
      <c r="C2381" s="7">
        <v>4</v>
      </c>
      <c r="D2381" s="7">
        <v>2.91</v>
      </c>
      <c r="E2381" s="85">
        <f t="shared" si="217"/>
        <v>11.64</v>
      </c>
    </row>
    <row r="2382" spans="1:5" ht="18" x14ac:dyDescent="0.35">
      <c r="A2382" s="5"/>
      <c r="B2382" s="50" t="s">
        <v>36</v>
      </c>
      <c r="C2382" s="7">
        <v>4</v>
      </c>
      <c r="D2382" s="7">
        <v>0.61</v>
      </c>
      <c r="E2382" s="85">
        <f t="shared" si="217"/>
        <v>2.44</v>
      </c>
    </row>
    <row r="2383" spans="1:5" ht="18" x14ac:dyDescent="0.35">
      <c r="A2383" s="5"/>
      <c r="B2383" s="5"/>
      <c r="C2383" s="54"/>
      <c r="D2383" s="54"/>
      <c r="E2383" s="89">
        <f>SUM(E2377:E2382)</f>
        <v>79.029179999999997</v>
      </c>
    </row>
    <row r="2384" spans="1:5" ht="18" x14ac:dyDescent="0.35">
      <c r="A2384" s="5"/>
      <c r="B2384" s="5"/>
      <c r="C2384" s="54"/>
      <c r="D2384" s="54"/>
      <c r="E2384" s="89"/>
    </row>
    <row r="2385" spans="1:5" ht="18" x14ac:dyDescent="0.35">
      <c r="A2385" s="5"/>
      <c r="B2385" s="50" t="s">
        <v>37</v>
      </c>
      <c r="C2385" s="54">
        <v>0.25</v>
      </c>
      <c r="D2385" s="54">
        <v>200</v>
      </c>
      <c r="E2385" s="85">
        <f>C2385*D2385</f>
        <v>50</v>
      </c>
    </row>
    <row r="2386" spans="1:5" ht="18" x14ac:dyDescent="0.35">
      <c r="A2386" s="5"/>
      <c r="B2386" s="5"/>
      <c r="C2386" s="54"/>
      <c r="D2386" s="54"/>
      <c r="E2386" s="85">
        <f>E2385+E2384</f>
        <v>50</v>
      </c>
    </row>
    <row r="2389" spans="1:5" ht="21" x14ac:dyDescent="0.4">
      <c r="A2389" s="40" t="s">
        <v>1052</v>
      </c>
      <c r="B2389" s="40"/>
      <c r="C2389" s="84"/>
    </row>
    <row r="2390" spans="1:5" ht="18" x14ac:dyDescent="0.35">
      <c r="A2390" s="5"/>
      <c r="B2390" s="5"/>
      <c r="C2390" s="7" t="s">
        <v>28</v>
      </c>
      <c r="D2390" s="7" t="s">
        <v>29</v>
      </c>
      <c r="E2390" s="7" t="s">
        <v>30</v>
      </c>
    </row>
    <row r="2391" spans="1:5" ht="18" x14ac:dyDescent="0.35">
      <c r="A2391" s="5" t="s">
        <v>41</v>
      </c>
      <c r="B2391" s="50" t="s">
        <v>32</v>
      </c>
      <c r="C2391" s="7">
        <v>1.399</v>
      </c>
      <c r="D2391" s="7">
        <v>30.44</v>
      </c>
      <c r="E2391" s="85">
        <f t="shared" ref="E2391:E2396" si="218">C2391*D2391</f>
        <v>42.585560000000001</v>
      </c>
    </row>
    <row r="2392" spans="1:5" ht="18" x14ac:dyDescent="0.35">
      <c r="A2392" s="5" t="s">
        <v>238</v>
      </c>
      <c r="B2392" s="50" t="s">
        <v>33</v>
      </c>
      <c r="C2392" s="7">
        <v>2.0579999999999998</v>
      </c>
      <c r="D2392" s="7">
        <v>16.170000000000002</v>
      </c>
      <c r="E2392" s="85">
        <f t="shared" si="218"/>
        <v>33.277860000000004</v>
      </c>
    </row>
    <row r="2393" spans="1:5" ht="18" x14ac:dyDescent="0.35">
      <c r="A2393" s="5" t="s">
        <v>623</v>
      </c>
      <c r="B2393" s="50" t="s">
        <v>42</v>
      </c>
      <c r="C2393" s="7">
        <v>2</v>
      </c>
      <c r="D2393" s="7">
        <v>1.1499999999999999</v>
      </c>
      <c r="E2393" s="85">
        <f t="shared" si="218"/>
        <v>2.2999999999999998</v>
      </c>
    </row>
    <row r="2394" spans="1:5" ht="18" x14ac:dyDescent="0.35">
      <c r="A2394" s="5"/>
      <c r="B2394" s="50" t="s">
        <v>34</v>
      </c>
      <c r="C2394" s="7"/>
      <c r="D2394" s="7">
        <v>14.61</v>
      </c>
      <c r="E2394" s="85">
        <f t="shared" si="218"/>
        <v>0</v>
      </c>
    </row>
    <row r="2395" spans="1:5" ht="18" x14ac:dyDescent="0.35">
      <c r="A2395" s="5"/>
      <c r="B2395" s="50" t="s">
        <v>35</v>
      </c>
      <c r="C2395" s="7">
        <v>4</v>
      </c>
      <c r="D2395" s="7">
        <v>2.91</v>
      </c>
      <c r="E2395" s="85">
        <f t="shared" si="218"/>
        <v>11.64</v>
      </c>
    </row>
    <row r="2396" spans="1:5" ht="18" x14ac:dyDescent="0.35">
      <c r="A2396" s="5"/>
      <c r="B2396" s="50" t="s">
        <v>36</v>
      </c>
      <c r="C2396" s="7">
        <v>4</v>
      </c>
      <c r="D2396" s="7">
        <v>0.61</v>
      </c>
      <c r="E2396" s="85">
        <f t="shared" si="218"/>
        <v>2.44</v>
      </c>
    </row>
    <row r="2397" spans="1:5" ht="18" x14ac:dyDescent="0.35">
      <c r="A2397" s="5"/>
      <c r="B2397" s="5"/>
      <c r="C2397" s="54"/>
      <c r="D2397" s="54"/>
      <c r="E2397" s="89">
        <f>SUM(E2391:E2396)</f>
        <v>92.24342</v>
      </c>
    </row>
    <row r="2398" spans="1:5" ht="18" x14ac:dyDescent="0.35">
      <c r="A2398" s="5"/>
      <c r="B2398" s="5"/>
      <c r="C2398" s="54"/>
      <c r="D2398" s="54"/>
      <c r="E2398" s="89"/>
    </row>
    <row r="2399" spans="1:5" ht="18" x14ac:dyDescent="0.35">
      <c r="A2399" s="5"/>
      <c r="B2399" s="50" t="s">
        <v>37</v>
      </c>
      <c r="C2399" s="54">
        <v>0.25</v>
      </c>
      <c r="D2399" s="54">
        <v>200</v>
      </c>
      <c r="E2399" s="85">
        <f>C2399*D2399</f>
        <v>50</v>
      </c>
    </row>
    <row r="2400" spans="1:5" ht="18" x14ac:dyDescent="0.35">
      <c r="A2400" s="5"/>
      <c r="B2400" s="5"/>
      <c r="C2400" s="54"/>
      <c r="D2400" s="54"/>
      <c r="E2400" s="85">
        <f>E2399+E2398</f>
        <v>50</v>
      </c>
    </row>
    <row r="2403" spans="1:5" ht="21" x14ac:dyDescent="0.4">
      <c r="A2403" s="40" t="s">
        <v>1053</v>
      </c>
      <c r="B2403" s="40"/>
      <c r="C2403" s="84"/>
    </row>
    <row r="2404" spans="1:5" ht="18" x14ac:dyDescent="0.35">
      <c r="A2404" s="5"/>
      <c r="B2404" s="5"/>
      <c r="C2404" s="7" t="s">
        <v>28</v>
      </c>
      <c r="D2404" s="7" t="s">
        <v>29</v>
      </c>
      <c r="E2404" s="7" t="s">
        <v>30</v>
      </c>
    </row>
    <row r="2405" spans="1:5" ht="18" x14ac:dyDescent="0.35">
      <c r="A2405" s="5" t="s">
        <v>44</v>
      </c>
      <c r="B2405" s="50" t="s">
        <v>32</v>
      </c>
      <c r="C2405" s="7">
        <v>1.609</v>
      </c>
      <c r="D2405" s="7">
        <v>30.44</v>
      </c>
      <c r="E2405" s="85">
        <f t="shared" ref="E2405:E2410" si="219">C2405*D2405</f>
        <v>48.977960000000003</v>
      </c>
    </row>
    <row r="2406" spans="1:5" ht="18" x14ac:dyDescent="0.35">
      <c r="A2406" s="5" t="s">
        <v>238</v>
      </c>
      <c r="B2406" s="50" t="s">
        <v>33</v>
      </c>
      <c r="C2406" s="7">
        <v>2.4780000000000002</v>
      </c>
      <c r="D2406" s="7">
        <v>16.170000000000002</v>
      </c>
      <c r="E2406" s="85">
        <f t="shared" si="219"/>
        <v>40.069260000000007</v>
      </c>
    </row>
    <row r="2407" spans="1:5" ht="18" x14ac:dyDescent="0.35">
      <c r="A2407" s="5" t="s">
        <v>696</v>
      </c>
      <c r="B2407" s="50" t="s">
        <v>42</v>
      </c>
      <c r="C2407" s="7">
        <v>2</v>
      </c>
      <c r="D2407" s="7">
        <v>1.1499999999999999</v>
      </c>
      <c r="E2407" s="85">
        <f t="shared" si="219"/>
        <v>2.2999999999999998</v>
      </c>
    </row>
    <row r="2408" spans="1:5" ht="18" x14ac:dyDescent="0.35">
      <c r="A2408" s="5"/>
      <c r="B2408" s="50" t="s">
        <v>34</v>
      </c>
      <c r="C2408" s="7">
        <v>0.1</v>
      </c>
      <c r="D2408" s="7">
        <v>14.61</v>
      </c>
      <c r="E2408" s="85">
        <f t="shared" si="219"/>
        <v>1.4610000000000001</v>
      </c>
    </row>
    <row r="2409" spans="1:5" ht="18" x14ac:dyDescent="0.35">
      <c r="A2409" s="5"/>
      <c r="B2409" s="50" t="s">
        <v>35</v>
      </c>
      <c r="C2409" s="7">
        <v>4</v>
      </c>
      <c r="D2409" s="7">
        <v>2.91</v>
      </c>
      <c r="E2409" s="85">
        <f t="shared" si="219"/>
        <v>11.64</v>
      </c>
    </row>
    <row r="2410" spans="1:5" ht="18" x14ac:dyDescent="0.35">
      <c r="A2410" s="5"/>
      <c r="B2410" s="50" t="s">
        <v>36</v>
      </c>
      <c r="C2410" s="7">
        <v>4</v>
      </c>
      <c r="D2410" s="7">
        <v>0.61</v>
      </c>
      <c r="E2410" s="85">
        <f t="shared" si="219"/>
        <v>2.44</v>
      </c>
    </row>
    <row r="2411" spans="1:5" ht="18" x14ac:dyDescent="0.35">
      <c r="A2411" s="5"/>
      <c r="B2411" s="5"/>
      <c r="C2411" s="54"/>
      <c r="D2411" s="54"/>
      <c r="E2411" s="89">
        <f>SUM(E2405:E2410)</f>
        <v>106.88822</v>
      </c>
    </row>
    <row r="2412" spans="1:5" ht="18" x14ac:dyDescent="0.35">
      <c r="A2412" s="5"/>
      <c r="B2412" s="5"/>
      <c r="C2412" s="54"/>
      <c r="D2412" s="54" t="s">
        <v>1066</v>
      </c>
      <c r="E2412" s="89">
        <f>E2411+E2411*40%</f>
        <v>149.643508</v>
      </c>
    </row>
    <row r="2413" spans="1:5" ht="18" x14ac:dyDescent="0.35">
      <c r="A2413" s="5"/>
      <c r="B2413" s="50" t="s">
        <v>37</v>
      </c>
      <c r="C2413" s="54">
        <v>0.3</v>
      </c>
      <c r="D2413" s="54">
        <v>200</v>
      </c>
      <c r="E2413" s="85">
        <f>C2413*D2413</f>
        <v>60</v>
      </c>
    </row>
    <row r="2414" spans="1:5" ht="18" x14ac:dyDescent="0.35">
      <c r="A2414" s="5"/>
      <c r="B2414" s="5"/>
      <c r="C2414" s="54"/>
      <c r="D2414" s="54"/>
      <c r="E2414" s="85">
        <f>E2413+E2412</f>
        <v>209.643508</v>
      </c>
    </row>
    <row r="2417" spans="1:5" ht="21" x14ac:dyDescent="0.4">
      <c r="A2417" s="40" t="s">
        <v>1057</v>
      </c>
      <c r="B2417" s="40"/>
      <c r="C2417" s="84"/>
    </row>
    <row r="2418" spans="1:5" ht="18" x14ac:dyDescent="0.35">
      <c r="A2418" s="5"/>
      <c r="B2418" s="5"/>
      <c r="C2418" s="7" t="s">
        <v>28</v>
      </c>
      <c r="D2418" s="7" t="s">
        <v>29</v>
      </c>
      <c r="E2418" s="7" t="s">
        <v>30</v>
      </c>
    </row>
    <row r="2419" spans="1:5" ht="18" x14ac:dyDescent="0.35">
      <c r="A2419" s="5" t="s">
        <v>244</v>
      </c>
      <c r="B2419" s="50" t="s">
        <v>32</v>
      </c>
      <c r="C2419" s="7">
        <v>2.7639999999999998</v>
      </c>
      <c r="D2419" s="7">
        <v>30.44</v>
      </c>
      <c r="E2419" s="85">
        <f t="shared" ref="E2419:E2424" si="220">C2419*D2419</f>
        <v>84.136160000000004</v>
      </c>
    </row>
    <row r="2420" spans="1:5" ht="18" x14ac:dyDescent="0.35">
      <c r="A2420" s="5" t="s">
        <v>962</v>
      </c>
      <c r="B2420" s="50" t="s">
        <v>33</v>
      </c>
      <c r="C2420" s="7">
        <v>11.433999999999999</v>
      </c>
      <c r="D2420" s="7">
        <v>16.170000000000002</v>
      </c>
      <c r="E2420" s="85">
        <f t="shared" si="220"/>
        <v>184.88778000000002</v>
      </c>
    </row>
    <row r="2421" spans="1:5" ht="18" x14ac:dyDescent="0.35">
      <c r="A2421" s="5" t="s">
        <v>708</v>
      </c>
      <c r="B2421" s="50" t="s">
        <v>974</v>
      </c>
      <c r="C2421" s="7">
        <v>2</v>
      </c>
      <c r="D2421" s="7">
        <v>1.08</v>
      </c>
      <c r="E2421" s="85">
        <f t="shared" si="220"/>
        <v>2.16</v>
      </c>
    </row>
    <row r="2422" spans="1:5" ht="18" x14ac:dyDescent="0.35">
      <c r="A2422" s="5"/>
      <c r="B2422" s="50" t="s">
        <v>34</v>
      </c>
      <c r="C2422" s="7">
        <v>1</v>
      </c>
      <c r="D2422" s="7">
        <v>14.61</v>
      </c>
      <c r="E2422" s="85">
        <f t="shared" si="220"/>
        <v>14.61</v>
      </c>
    </row>
    <row r="2423" spans="1:5" ht="18" x14ac:dyDescent="0.35">
      <c r="A2423" s="5"/>
      <c r="B2423" s="50" t="s">
        <v>35</v>
      </c>
      <c r="C2423" s="7">
        <v>4</v>
      </c>
      <c r="D2423" s="7">
        <v>2.91</v>
      </c>
      <c r="E2423" s="85">
        <f t="shared" si="220"/>
        <v>11.64</v>
      </c>
    </row>
    <row r="2424" spans="1:5" ht="18" x14ac:dyDescent="0.35">
      <c r="A2424" s="5"/>
      <c r="B2424" s="50" t="s">
        <v>36</v>
      </c>
      <c r="C2424" s="7">
        <v>4</v>
      </c>
      <c r="D2424" s="7">
        <v>0.61</v>
      </c>
      <c r="E2424" s="85">
        <f t="shared" si="220"/>
        <v>2.44</v>
      </c>
    </row>
    <row r="2425" spans="1:5" ht="18" x14ac:dyDescent="0.35">
      <c r="A2425" s="5"/>
      <c r="B2425" s="5"/>
      <c r="C2425" s="54"/>
      <c r="D2425" s="54"/>
      <c r="E2425" s="89">
        <f>SUM(E2419:E2424)</f>
        <v>299.87394000000006</v>
      </c>
    </row>
    <row r="2426" spans="1:5" ht="18" x14ac:dyDescent="0.35">
      <c r="A2426" s="5"/>
      <c r="B2426" s="5"/>
      <c r="C2426" s="54"/>
      <c r="D2426" s="54"/>
      <c r="E2426" s="89"/>
    </row>
    <row r="2427" spans="1:5" ht="18" x14ac:dyDescent="0.35">
      <c r="A2427" s="5"/>
      <c r="B2427" s="50" t="s">
        <v>37</v>
      </c>
      <c r="C2427" s="54">
        <v>1</v>
      </c>
      <c r="D2427" s="54">
        <v>200</v>
      </c>
      <c r="E2427" s="85">
        <f>C2427*D2427</f>
        <v>200</v>
      </c>
    </row>
    <row r="2428" spans="1:5" ht="18" x14ac:dyDescent="0.35">
      <c r="A2428" s="5"/>
      <c r="B2428" s="5"/>
      <c r="C2428" s="54"/>
      <c r="D2428" s="54"/>
      <c r="E2428" s="85">
        <f>E2427+E2426</f>
        <v>200</v>
      </c>
    </row>
    <row r="2430" spans="1:5" ht="21" x14ac:dyDescent="0.4">
      <c r="A2430" s="40" t="s">
        <v>1061</v>
      </c>
      <c r="B2430" s="40"/>
      <c r="C2430" s="84"/>
    </row>
    <row r="2431" spans="1:5" ht="18" x14ac:dyDescent="0.35">
      <c r="A2431" s="5"/>
      <c r="B2431" s="5"/>
      <c r="C2431" s="7" t="s">
        <v>28</v>
      </c>
      <c r="D2431" s="7" t="s">
        <v>29</v>
      </c>
      <c r="E2431" s="7" t="s">
        <v>30</v>
      </c>
    </row>
    <row r="2432" spans="1:5" ht="18" x14ac:dyDescent="0.35">
      <c r="A2432" s="5" t="s">
        <v>48</v>
      </c>
      <c r="B2432" s="50" t="s">
        <v>32</v>
      </c>
      <c r="C2432" s="7">
        <v>2.448</v>
      </c>
      <c r="D2432" s="7">
        <v>30.44</v>
      </c>
      <c r="E2432" s="85">
        <f t="shared" ref="E2432:E2437" si="221">C2432*D2432</f>
        <v>74.517120000000006</v>
      </c>
    </row>
    <row r="2433" spans="1:5" ht="18" x14ac:dyDescent="0.35">
      <c r="A2433" s="5" t="s">
        <v>238</v>
      </c>
      <c r="B2433" s="50" t="s">
        <v>33</v>
      </c>
      <c r="C2433" s="7">
        <v>4.1580000000000004</v>
      </c>
      <c r="D2433" s="7">
        <v>16.170000000000002</v>
      </c>
      <c r="E2433" s="85">
        <f t="shared" si="221"/>
        <v>67.234860000000012</v>
      </c>
    </row>
    <row r="2434" spans="1:5" ht="18" x14ac:dyDescent="0.35">
      <c r="A2434" s="5" t="s">
        <v>777</v>
      </c>
      <c r="B2434" s="50" t="s">
        <v>42</v>
      </c>
      <c r="C2434" s="7">
        <v>2</v>
      </c>
      <c r="D2434" s="7">
        <v>1.1499999999999999</v>
      </c>
      <c r="E2434" s="85">
        <f t="shared" si="221"/>
        <v>2.2999999999999998</v>
      </c>
    </row>
    <row r="2435" spans="1:5" ht="18" x14ac:dyDescent="0.35">
      <c r="A2435" s="5"/>
      <c r="B2435" s="50" t="s">
        <v>34</v>
      </c>
      <c r="C2435" s="7">
        <v>0.5</v>
      </c>
      <c r="D2435" s="7">
        <v>14.61</v>
      </c>
      <c r="E2435" s="85">
        <f t="shared" si="221"/>
        <v>7.3049999999999997</v>
      </c>
    </row>
    <row r="2436" spans="1:5" ht="18" x14ac:dyDescent="0.35">
      <c r="A2436" s="5"/>
      <c r="B2436" s="50" t="s">
        <v>35</v>
      </c>
      <c r="C2436" s="7">
        <v>4</v>
      </c>
      <c r="D2436" s="7">
        <v>2.91</v>
      </c>
      <c r="E2436" s="85">
        <f t="shared" si="221"/>
        <v>11.64</v>
      </c>
    </row>
    <row r="2437" spans="1:5" ht="18" x14ac:dyDescent="0.35">
      <c r="A2437" s="5"/>
      <c r="B2437" s="50" t="s">
        <v>36</v>
      </c>
      <c r="C2437" s="7">
        <v>4</v>
      </c>
      <c r="D2437" s="7">
        <v>0.61</v>
      </c>
      <c r="E2437" s="85">
        <f t="shared" si="221"/>
        <v>2.44</v>
      </c>
    </row>
    <row r="2438" spans="1:5" ht="18" x14ac:dyDescent="0.35">
      <c r="A2438" s="5"/>
      <c r="B2438" s="5"/>
      <c r="C2438" s="54"/>
      <c r="D2438" s="54"/>
      <c r="E2438" s="89">
        <f>SUM(E2432:E2437)</f>
        <v>165.43698000000001</v>
      </c>
    </row>
    <row r="2440" spans="1:5" ht="21" x14ac:dyDescent="0.4">
      <c r="A2440" s="40" t="s">
        <v>1062</v>
      </c>
      <c r="B2440" s="40"/>
      <c r="C2440" s="84"/>
      <c r="D2440" s="12"/>
      <c r="E2440" s="12"/>
    </row>
    <row r="2441" spans="1:5" ht="21" x14ac:dyDescent="0.4">
      <c r="A2441" s="40"/>
      <c r="B2441" s="40"/>
      <c r="C2441" s="84"/>
      <c r="D2441" s="12"/>
      <c r="E2441" s="12"/>
    </row>
    <row r="2442" spans="1:5" ht="18" x14ac:dyDescent="0.35">
      <c r="A2442" s="5"/>
      <c r="B2442" s="5"/>
      <c r="C2442" s="7" t="s">
        <v>28</v>
      </c>
      <c r="D2442" s="7" t="s">
        <v>29</v>
      </c>
      <c r="E2442" s="7" t="s">
        <v>30</v>
      </c>
    </row>
    <row r="2443" spans="1:5" ht="18" x14ac:dyDescent="0.35">
      <c r="A2443" s="5" t="s">
        <v>48</v>
      </c>
      <c r="B2443" s="50" t="s">
        <v>32</v>
      </c>
      <c r="C2443" s="7">
        <v>2.448</v>
      </c>
      <c r="D2443" s="7">
        <v>45.07</v>
      </c>
      <c r="E2443" s="85">
        <f t="shared" ref="E2443:E2450" si="222">C2443*D2443</f>
        <v>110.33136</v>
      </c>
    </row>
    <row r="2444" spans="1:5" ht="18" x14ac:dyDescent="0.35">
      <c r="A2444" s="5" t="s">
        <v>39</v>
      </c>
      <c r="B2444" s="50" t="s">
        <v>33</v>
      </c>
      <c r="C2444" s="7">
        <v>4.1580000000000004</v>
      </c>
      <c r="D2444" s="7">
        <v>16.170000000000002</v>
      </c>
      <c r="E2444" s="85">
        <f t="shared" si="222"/>
        <v>67.234860000000012</v>
      </c>
    </row>
    <row r="2445" spans="1:5" ht="18" x14ac:dyDescent="0.35">
      <c r="A2445" s="5" t="s">
        <v>310</v>
      </c>
      <c r="B2445" s="50" t="s">
        <v>33</v>
      </c>
      <c r="C2445" s="7">
        <v>4.7249999999999996</v>
      </c>
      <c r="D2445" s="7">
        <v>16.170000000000002</v>
      </c>
      <c r="E2445" s="85">
        <f t="shared" si="222"/>
        <v>76.40325</v>
      </c>
    </row>
    <row r="2446" spans="1:5" ht="18" x14ac:dyDescent="0.35">
      <c r="A2446" s="5" t="s">
        <v>777</v>
      </c>
      <c r="B2446" s="50" t="s">
        <v>43</v>
      </c>
      <c r="C2446" s="7">
        <v>4</v>
      </c>
      <c r="D2446" s="7">
        <v>2.2400000000000002</v>
      </c>
      <c r="E2446" s="85">
        <f t="shared" si="222"/>
        <v>8.9600000000000009</v>
      </c>
    </row>
    <row r="2447" spans="1:5" ht="18" x14ac:dyDescent="0.35">
      <c r="A2447" s="5" t="s">
        <v>1038</v>
      </c>
      <c r="B2447" s="50" t="s">
        <v>88</v>
      </c>
      <c r="C2447" s="88">
        <v>4</v>
      </c>
      <c r="D2447" s="88">
        <v>2.2400000000000002</v>
      </c>
      <c r="E2447" s="90">
        <f t="shared" si="222"/>
        <v>8.9600000000000009</v>
      </c>
    </row>
    <row r="2448" spans="1:5" ht="18" x14ac:dyDescent="0.35">
      <c r="A2448" s="5"/>
      <c r="B2448" s="50" t="s">
        <v>34</v>
      </c>
      <c r="C2448" s="7">
        <v>0.5</v>
      </c>
      <c r="D2448" s="7">
        <v>13.67</v>
      </c>
      <c r="E2448" s="85">
        <f t="shared" si="222"/>
        <v>6.835</v>
      </c>
    </row>
    <row r="2449" spans="1:5" ht="18" x14ac:dyDescent="0.35">
      <c r="A2449" s="5"/>
      <c r="B2449" s="50" t="s">
        <v>35</v>
      </c>
      <c r="C2449" s="7">
        <v>4</v>
      </c>
      <c r="D2449" s="7">
        <v>2.89</v>
      </c>
      <c r="E2449" s="85">
        <f t="shared" si="222"/>
        <v>11.56</v>
      </c>
    </row>
    <row r="2450" spans="1:5" ht="18" x14ac:dyDescent="0.35">
      <c r="A2450" s="5"/>
      <c r="B2450" s="50" t="s">
        <v>36</v>
      </c>
      <c r="C2450" s="7">
        <v>4</v>
      </c>
      <c r="D2450" s="7">
        <v>0.6</v>
      </c>
      <c r="E2450" s="85">
        <f t="shared" si="222"/>
        <v>2.4</v>
      </c>
    </row>
    <row r="2451" spans="1:5" ht="18" x14ac:dyDescent="0.35">
      <c r="A2451" s="5"/>
      <c r="B2451" s="5"/>
      <c r="C2451" s="54"/>
      <c r="D2451" s="54"/>
      <c r="E2451" s="89">
        <f>SUM(E2443:E2450)</f>
        <v>292.68446999999992</v>
      </c>
    </row>
    <row r="2454" spans="1:5" ht="21" x14ac:dyDescent="0.4">
      <c r="A2454" s="40" t="s">
        <v>1057</v>
      </c>
      <c r="B2454" s="40"/>
      <c r="C2454" s="84"/>
    </row>
    <row r="2455" spans="1:5" ht="18" x14ac:dyDescent="0.35">
      <c r="A2455" s="5"/>
      <c r="B2455" s="5"/>
      <c r="C2455" s="7" t="s">
        <v>28</v>
      </c>
      <c r="D2455" s="7" t="s">
        <v>29</v>
      </c>
      <c r="E2455" s="7" t="s">
        <v>30</v>
      </c>
    </row>
    <row r="2456" spans="1:5" ht="18" x14ac:dyDescent="0.35">
      <c r="A2456" s="5" t="s">
        <v>109</v>
      </c>
      <c r="B2456" s="50" t="s">
        <v>32</v>
      </c>
      <c r="C2456" s="7">
        <v>2.8690000000000002</v>
      </c>
      <c r="D2456" s="7">
        <v>30.44</v>
      </c>
      <c r="E2456" s="85">
        <f t="shared" ref="E2456:E2461" si="223">C2456*D2456</f>
        <v>87.332360000000008</v>
      </c>
    </row>
    <row r="2457" spans="1:5" ht="18" x14ac:dyDescent="0.35">
      <c r="A2457" s="5" t="s">
        <v>217</v>
      </c>
      <c r="B2457" s="50" t="s">
        <v>33</v>
      </c>
      <c r="C2457" s="7">
        <v>14.553000000000001</v>
      </c>
      <c r="D2457" s="7">
        <v>16.170000000000002</v>
      </c>
      <c r="E2457" s="85">
        <f t="shared" si="223"/>
        <v>235.32201000000003</v>
      </c>
    </row>
    <row r="2458" spans="1:5" ht="18" x14ac:dyDescent="0.35">
      <c r="A2458" s="5" t="s">
        <v>672</v>
      </c>
      <c r="B2458" s="50" t="s">
        <v>86</v>
      </c>
      <c r="C2458" s="7">
        <v>2</v>
      </c>
      <c r="D2458" s="7">
        <v>1.7</v>
      </c>
      <c r="E2458" s="85">
        <f t="shared" si="223"/>
        <v>3.4</v>
      </c>
    </row>
    <row r="2459" spans="1:5" ht="18" x14ac:dyDescent="0.35">
      <c r="A2459" s="5"/>
      <c r="B2459" s="50" t="s">
        <v>34</v>
      </c>
      <c r="C2459" s="7">
        <v>1</v>
      </c>
      <c r="D2459" s="7">
        <v>14.61</v>
      </c>
      <c r="E2459" s="85">
        <f t="shared" si="223"/>
        <v>14.61</v>
      </c>
    </row>
    <row r="2460" spans="1:5" ht="18" x14ac:dyDescent="0.35">
      <c r="A2460" s="5"/>
      <c r="B2460" s="50" t="s">
        <v>35</v>
      </c>
      <c r="C2460" s="7">
        <v>4</v>
      </c>
      <c r="D2460" s="7">
        <v>2.91</v>
      </c>
      <c r="E2460" s="85">
        <f t="shared" si="223"/>
        <v>11.64</v>
      </c>
    </row>
    <row r="2461" spans="1:5" ht="18" x14ac:dyDescent="0.35">
      <c r="A2461" s="5"/>
      <c r="B2461" s="50" t="s">
        <v>36</v>
      </c>
      <c r="C2461" s="7">
        <v>4</v>
      </c>
      <c r="D2461" s="7">
        <v>0.61</v>
      </c>
      <c r="E2461" s="85">
        <f t="shared" si="223"/>
        <v>2.44</v>
      </c>
    </row>
    <row r="2462" spans="1:5" ht="18" x14ac:dyDescent="0.35">
      <c r="A2462" s="5"/>
      <c r="B2462" s="5"/>
      <c r="C2462" s="54"/>
      <c r="D2462" s="54"/>
      <c r="E2462" s="89">
        <f>SUM(E2456:E2461)</f>
        <v>354.74437</v>
      </c>
    </row>
    <row r="2463" spans="1:5" ht="18" x14ac:dyDescent="0.35">
      <c r="A2463" s="5"/>
      <c r="B2463" s="5"/>
      <c r="C2463" s="54"/>
      <c r="D2463" s="54" t="s">
        <v>1063</v>
      </c>
      <c r="E2463" s="89">
        <v>497</v>
      </c>
    </row>
    <row r="2464" spans="1:5" ht="18" x14ac:dyDescent="0.35">
      <c r="A2464" s="5"/>
      <c r="B2464" s="50" t="s">
        <v>37</v>
      </c>
      <c r="C2464" s="54">
        <v>1</v>
      </c>
      <c r="D2464" s="54">
        <v>200</v>
      </c>
      <c r="E2464" s="85">
        <f>C2464*D2464</f>
        <v>200</v>
      </c>
    </row>
    <row r="2465" spans="1:5" ht="18" x14ac:dyDescent="0.35">
      <c r="A2465" s="5"/>
      <c r="B2465" s="5"/>
      <c r="C2465" s="54"/>
      <c r="D2465" s="54"/>
      <c r="E2465" s="85">
        <f>E2464+E2463</f>
        <v>697</v>
      </c>
    </row>
    <row r="2468" spans="1:5" ht="21" x14ac:dyDescent="0.4">
      <c r="A2468" s="40" t="s">
        <v>601</v>
      </c>
      <c r="B2468" s="40"/>
      <c r="C2468" s="84"/>
      <c r="D2468" s="12"/>
      <c r="E2468" s="12"/>
    </row>
    <row r="2469" spans="1:5" ht="21" x14ac:dyDescent="0.4">
      <c r="A2469" s="40"/>
      <c r="B2469" s="40"/>
      <c r="C2469" s="84"/>
      <c r="D2469" s="12"/>
      <c r="E2469" s="12"/>
    </row>
    <row r="2470" spans="1:5" ht="18" x14ac:dyDescent="0.35">
      <c r="A2470" s="5"/>
      <c r="B2470" s="5"/>
      <c r="C2470" s="7" t="s">
        <v>28</v>
      </c>
      <c r="D2470" s="7" t="s">
        <v>29</v>
      </c>
      <c r="E2470" s="7" t="s">
        <v>30</v>
      </c>
    </row>
    <row r="2471" spans="1:5" ht="18" x14ac:dyDescent="0.35">
      <c r="A2471" s="5" t="s">
        <v>1064</v>
      </c>
      <c r="B2471" s="50" t="s">
        <v>32</v>
      </c>
      <c r="C2471" s="7">
        <v>3.7149999999999999</v>
      </c>
      <c r="D2471" s="7">
        <v>29.12</v>
      </c>
      <c r="E2471" s="85">
        <f t="shared" ref="E2471:E2478" si="224">C2471*D2471</f>
        <v>108.1808</v>
      </c>
    </row>
    <row r="2472" spans="1:5" ht="18" x14ac:dyDescent="0.35">
      <c r="A2472" s="5" t="s">
        <v>293</v>
      </c>
      <c r="B2472" s="50" t="s">
        <v>33</v>
      </c>
      <c r="C2472" s="7">
        <v>30.062999999999999</v>
      </c>
      <c r="D2472" s="7">
        <v>29.24</v>
      </c>
      <c r="E2472" s="85">
        <f t="shared" si="224"/>
        <v>879.04211999999995</v>
      </c>
    </row>
    <row r="2473" spans="1:5" ht="18" x14ac:dyDescent="0.35">
      <c r="A2473" s="5" t="s">
        <v>285</v>
      </c>
      <c r="B2473" s="50" t="s">
        <v>33</v>
      </c>
      <c r="C2473" s="7">
        <v>30.87</v>
      </c>
      <c r="D2473" s="7">
        <v>29.24</v>
      </c>
      <c r="E2473" s="85">
        <f t="shared" si="224"/>
        <v>902.63879999999995</v>
      </c>
    </row>
    <row r="2474" spans="1:5" ht="18" x14ac:dyDescent="0.35">
      <c r="A2474" s="5" t="s">
        <v>1067</v>
      </c>
      <c r="B2474" s="50" t="s">
        <v>88</v>
      </c>
      <c r="C2474" s="7">
        <v>4</v>
      </c>
      <c r="D2474" s="7">
        <v>2.2400000000000002</v>
      </c>
      <c r="E2474" s="85">
        <f t="shared" si="224"/>
        <v>8.9600000000000009</v>
      </c>
    </row>
    <row r="2475" spans="1:5" ht="18" x14ac:dyDescent="0.35">
      <c r="A2475" s="5"/>
      <c r="B2475" s="50" t="s">
        <v>1065</v>
      </c>
      <c r="C2475" s="88">
        <v>4</v>
      </c>
      <c r="D2475" s="88">
        <v>3.39</v>
      </c>
      <c r="E2475" s="90">
        <f t="shared" si="224"/>
        <v>13.56</v>
      </c>
    </row>
    <row r="2476" spans="1:5" ht="18" x14ac:dyDescent="0.35">
      <c r="A2476" s="5"/>
      <c r="B2476" s="50" t="s">
        <v>34</v>
      </c>
      <c r="C2476" s="7">
        <v>1.5</v>
      </c>
      <c r="D2476" s="7">
        <v>13.67</v>
      </c>
      <c r="E2476" s="85">
        <f t="shared" si="224"/>
        <v>20.504999999999999</v>
      </c>
    </row>
    <row r="2477" spans="1:5" ht="18" x14ac:dyDescent="0.35">
      <c r="A2477" s="5"/>
      <c r="B2477" s="50" t="s">
        <v>35</v>
      </c>
      <c r="C2477" s="7">
        <v>4</v>
      </c>
      <c r="D2477" s="7">
        <v>2.89</v>
      </c>
      <c r="E2477" s="85">
        <f t="shared" si="224"/>
        <v>11.56</v>
      </c>
    </row>
    <row r="2478" spans="1:5" ht="18" x14ac:dyDescent="0.35">
      <c r="A2478" s="5"/>
      <c r="B2478" s="50" t="s">
        <v>36</v>
      </c>
      <c r="C2478" s="7">
        <v>4</v>
      </c>
      <c r="D2478" s="7">
        <v>0.6</v>
      </c>
      <c r="E2478" s="85">
        <f t="shared" si="224"/>
        <v>2.4</v>
      </c>
    </row>
    <row r="2479" spans="1:5" ht="18" x14ac:dyDescent="0.35">
      <c r="A2479" s="5"/>
      <c r="B2479" s="5"/>
      <c r="C2479" s="54"/>
      <c r="D2479" s="54"/>
      <c r="E2479" s="89">
        <f>SUM(E2471:E2478)</f>
        <v>1946.84672</v>
      </c>
    </row>
    <row r="2480" spans="1:5" ht="18" x14ac:dyDescent="0.35">
      <c r="A2480" s="5"/>
      <c r="B2480" s="5"/>
      <c r="C2480" s="54"/>
      <c r="D2480" s="54" t="s">
        <v>1066</v>
      </c>
      <c r="E2480" s="89">
        <f>E2479+E2479*40%</f>
        <v>2725.5854079999999</v>
      </c>
    </row>
    <row r="2481" spans="1:5" ht="18" x14ac:dyDescent="0.35">
      <c r="A2481" s="5"/>
      <c r="B2481" s="50" t="s">
        <v>37</v>
      </c>
      <c r="C2481" s="54">
        <v>2</v>
      </c>
      <c r="D2481" s="54">
        <v>200</v>
      </c>
      <c r="E2481" s="85">
        <f>C2481*D2481</f>
        <v>400</v>
      </c>
    </row>
    <row r="2482" spans="1:5" ht="18" x14ac:dyDescent="0.35">
      <c r="A2482" s="5"/>
      <c r="B2482" s="5"/>
      <c r="C2482" s="54"/>
      <c r="D2482" s="54"/>
      <c r="E2482" s="85">
        <f>SUM(E2480:E2481)</f>
        <v>3125.5854079999999</v>
      </c>
    </row>
    <row r="2485" spans="1:5" ht="21" x14ac:dyDescent="0.4">
      <c r="A2485" s="40" t="s">
        <v>1068</v>
      </c>
      <c r="B2485" s="40"/>
      <c r="C2485" s="84"/>
    </row>
    <row r="2486" spans="1:5" ht="18" x14ac:dyDescent="0.35">
      <c r="A2486" s="5"/>
      <c r="B2486" s="5"/>
      <c r="C2486" s="7" t="s">
        <v>28</v>
      </c>
      <c r="D2486" s="7" t="s">
        <v>29</v>
      </c>
      <c r="E2486" s="7" t="s">
        <v>30</v>
      </c>
    </row>
    <row r="2487" spans="1:5" ht="18" x14ac:dyDescent="0.35">
      <c r="A2487" s="5" t="s">
        <v>1069</v>
      </c>
      <c r="B2487" s="50" t="s">
        <v>32</v>
      </c>
      <c r="C2487" s="7">
        <v>3.0150000000000001</v>
      </c>
      <c r="D2487" s="7">
        <v>30.44</v>
      </c>
      <c r="E2487" s="85">
        <f t="shared" ref="E2487:E2492" si="225">C2487*D2487</f>
        <v>91.776600000000002</v>
      </c>
    </row>
    <row r="2488" spans="1:5" ht="18" x14ac:dyDescent="0.35">
      <c r="A2488" s="5" t="s">
        <v>232</v>
      </c>
      <c r="B2488" s="50" t="s">
        <v>33</v>
      </c>
      <c r="C2488" s="7">
        <v>12.074999999999999</v>
      </c>
      <c r="D2488" s="7">
        <v>16.170000000000002</v>
      </c>
      <c r="E2488" s="85">
        <f t="shared" si="225"/>
        <v>195.25275000000002</v>
      </c>
    </row>
    <row r="2489" spans="1:5" ht="18" x14ac:dyDescent="0.35">
      <c r="A2489" s="5" t="s">
        <v>1070</v>
      </c>
      <c r="B2489" s="50" t="s">
        <v>1071</v>
      </c>
      <c r="C2489" s="7">
        <v>2</v>
      </c>
      <c r="D2489" s="7">
        <v>1.48</v>
      </c>
      <c r="E2489" s="85">
        <f t="shared" si="225"/>
        <v>2.96</v>
      </c>
    </row>
    <row r="2490" spans="1:5" ht="18" x14ac:dyDescent="0.35">
      <c r="A2490" s="5"/>
      <c r="B2490" s="50" t="s">
        <v>34</v>
      </c>
      <c r="C2490" s="7">
        <v>0.63</v>
      </c>
      <c r="D2490" s="7">
        <v>14.61</v>
      </c>
      <c r="E2490" s="85">
        <f t="shared" si="225"/>
        <v>9.2042999999999999</v>
      </c>
    </row>
    <row r="2491" spans="1:5" ht="18" x14ac:dyDescent="0.35">
      <c r="A2491" s="5"/>
      <c r="B2491" s="50" t="s">
        <v>35</v>
      </c>
      <c r="C2491" s="7">
        <v>4</v>
      </c>
      <c r="D2491" s="7">
        <v>2.91</v>
      </c>
      <c r="E2491" s="85">
        <f t="shared" si="225"/>
        <v>11.64</v>
      </c>
    </row>
    <row r="2492" spans="1:5" ht="18" x14ac:dyDescent="0.35">
      <c r="A2492" s="5"/>
      <c r="B2492" s="50" t="s">
        <v>36</v>
      </c>
      <c r="C2492" s="7">
        <v>4</v>
      </c>
      <c r="D2492" s="7">
        <v>0.61</v>
      </c>
      <c r="E2492" s="85">
        <f t="shared" si="225"/>
        <v>2.44</v>
      </c>
    </row>
    <row r="2493" spans="1:5" ht="18" x14ac:dyDescent="0.35">
      <c r="A2493" s="5"/>
      <c r="B2493" s="5"/>
      <c r="C2493" s="54"/>
      <c r="D2493" s="54"/>
      <c r="E2493" s="89">
        <f>SUM(E2487:E2492)</f>
        <v>313.27364999999998</v>
      </c>
    </row>
    <row r="2494" spans="1:5" ht="18" x14ac:dyDescent="0.35">
      <c r="A2494" s="5"/>
      <c r="B2494" s="5"/>
      <c r="C2494" s="54"/>
      <c r="D2494" s="54" t="s">
        <v>1063</v>
      </c>
      <c r="E2494" s="89">
        <f>E2493+E2493*40%</f>
        <v>438.58310999999998</v>
      </c>
    </row>
    <row r="2495" spans="1:5" ht="18" x14ac:dyDescent="0.35">
      <c r="A2495" s="5"/>
      <c r="B2495" s="50" t="s">
        <v>37</v>
      </c>
      <c r="C2495" s="54">
        <v>1</v>
      </c>
      <c r="D2495" s="54">
        <v>200</v>
      </c>
      <c r="E2495" s="85">
        <f>C2495*D2495</f>
        <v>200</v>
      </c>
    </row>
    <row r="2496" spans="1:5" ht="18" x14ac:dyDescent="0.35">
      <c r="A2496" s="5"/>
      <c r="B2496" s="5"/>
      <c r="C2496" s="54"/>
      <c r="D2496" s="54"/>
      <c r="E2496" s="85">
        <f>SUM(E2494:E2495)</f>
        <v>638.58311000000003</v>
      </c>
    </row>
    <row r="2498" spans="1:5" ht="21" x14ac:dyDescent="0.4">
      <c r="A2498" s="40" t="s">
        <v>601</v>
      </c>
      <c r="B2498" s="40"/>
      <c r="C2498" s="84"/>
      <c r="D2498" s="12"/>
      <c r="E2498" s="12"/>
    </row>
    <row r="2499" spans="1:5" ht="21" x14ac:dyDescent="0.4">
      <c r="A2499" s="40"/>
      <c r="B2499" s="40"/>
      <c r="C2499" s="84"/>
      <c r="D2499" s="12"/>
      <c r="E2499" s="12"/>
    </row>
    <row r="2500" spans="1:5" ht="18" x14ac:dyDescent="0.35">
      <c r="A2500" s="5"/>
      <c r="B2500" s="5"/>
      <c r="C2500" s="7" t="s">
        <v>28</v>
      </c>
      <c r="D2500" s="7" t="s">
        <v>29</v>
      </c>
      <c r="E2500" s="7" t="s">
        <v>30</v>
      </c>
    </row>
    <row r="2501" spans="1:5" ht="18" x14ac:dyDescent="0.35">
      <c r="A2501" s="5" t="s">
        <v>1072</v>
      </c>
      <c r="B2501" s="50" t="s">
        <v>32</v>
      </c>
      <c r="C2501" s="7">
        <v>3.7149999999999999</v>
      </c>
      <c r="D2501" s="7">
        <v>29.12</v>
      </c>
      <c r="E2501" s="85">
        <f t="shared" ref="E2501:E2508" si="226">C2501*D2501</f>
        <v>108.1808</v>
      </c>
    </row>
    <row r="2502" spans="1:5" ht="18" x14ac:dyDescent="0.35">
      <c r="A2502" s="5" t="s">
        <v>293</v>
      </c>
      <c r="B2502" s="50" t="s">
        <v>33</v>
      </c>
      <c r="C2502" s="7">
        <v>30.062999999999999</v>
      </c>
      <c r="D2502" s="7">
        <v>29.24</v>
      </c>
      <c r="E2502" s="85">
        <f t="shared" si="226"/>
        <v>879.04211999999995</v>
      </c>
    </row>
    <row r="2503" spans="1:5" ht="18" x14ac:dyDescent="0.35">
      <c r="A2503" s="5" t="s">
        <v>285</v>
      </c>
      <c r="B2503" s="50" t="s">
        <v>33</v>
      </c>
      <c r="C2503" s="7">
        <v>30.87</v>
      </c>
      <c r="D2503" s="7">
        <v>29.24</v>
      </c>
      <c r="E2503" s="85">
        <f t="shared" si="226"/>
        <v>902.63879999999995</v>
      </c>
    </row>
    <row r="2504" spans="1:5" ht="18" x14ac:dyDescent="0.35">
      <c r="A2504" s="5" t="s">
        <v>1067</v>
      </c>
      <c r="B2504" s="50" t="s">
        <v>88</v>
      </c>
      <c r="C2504" s="7">
        <v>4</v>
      </c>
      <c r="D2504" s="7">
        <v>2.2400000000000002</v>
      </c>
      <c r="E2504" s="85">
        <f t="shared" si="226"/>
        <v>8.9600000000000009</v>
      </c>
    </row>
    <row r="2505" spans="1:5" ht="18" x14ac:dyDescent="0.35">
      <c r="A2505" s="5"/>
      <c r="B2505" s="50" t="s">
        <v>1065</v>
      </c>
      <c r="C2505" s="88">
        <v>4</v>
      </c>
      <c r="D2505" s="88">
        <v>3.39</v>
      </c>
      <c r="E2505" s="90">
        <f t="shared" si="226"/>
        <v>13.56</v>
      </c>
    </row>
    <row r="2506" spans="1:5" ht="18" x14ac:dyDescent="0.35">
      <c r="A2506" s="5"/>
      <c r="B2506" s="50" t="s">
        <v>34</v>
      </c>
      <c r="C2506" s="7">
        <v>1.5</v>
      </c>
      <c r="D2506" s="7">
        <v>13.67</v>
      </c>
      <c r="E2506" s="85">
        <f t="shared" si="226"/>
        <v>20.504999999999999</v>
      </c>
    </row>
    <row r="2507" spans="1:5" ht="18" x14ac:dyDescent="0.35">
      <c r="A2507" s="5"/>
      <c r="B2507" s="50" t="s">
        <v>35</v>
      </c>
      <c r="C2507" s="7">
        <v>4</v>
      </c>
      <c r="D2507" s="7">
        <v>2.89</v>
      </c>
      <c r="E2507" s="85">
        <f t="shared" si="226"/>
        <v>11.56</v>
      </c>
    </row>
    <row r="2508" spans="1:5" ht="18" x14ac:dyDescent="0.35">
      <c r="A2508" s="5"/>
      <c r="B2508" s="50" t="s">
        <v>36</v>
      </c>
      <c r="C2508" s="7">
        <v>4</v>
      </c>
      <c r="D2508" s="7">
        <v>0.6</v>
      </c>
      <c r="E2508" s="85">
        <f t="shared" si="226"/>
        <v>2.4</v>
      </c>
    </row>
    <row r="2509" spans="1:5" ht="18" x14ac:dyDescent="0.35">
      <c r="A2509" s="5"/>
      <c r="B2509" s="5"/>
      <c r="C2509" s="54"/>
      <c r="D2509" s="54"/>
      <c r="E2509" s="89">
        <f>SUM(E2501:E2508)</f>
        <v>1946.84672</v>
      </c>
    </row>
    <row r="2510" spans="1:5" ht="18" x14ac:dyDescent="0.35">
      <c r="A2510" s="5"/>
      <c r="B2510" s="5"/>
      <c r="C2510" s="54"/>
      <c r="D2510" s="54" t="s">
        <v>1066</v>
      </c>
      <c r="E2510" s="89">
        <f>E2509+E2509*40%</f>
        <v>2725.5854079999999</v>
      </c>
    </row>
    <row r="2511" spans="1:5" ht="18" x14ac:dyDescent="0.35">
      <c r="A2511" s="5"/>
      <c r="B2511" s="50" t="s">
        <v>37</v>
      </c>
      <c r="C2511" s="54">
        <v>2</v>
      </c>
      <c r="D2511" s="54">
        <v>200</v>
      </c>
      <c r="E2511" s="85">
        <f>C2511*D2511</f>
        <v>400</v>
      </c>
    </row>
    <row r="2512" spans="1:5" ht="18" x14ac:dyDescent="0.35">
      <c r="A2512" s="5"/>
      <c r="B2512" s="5"/>
      <c r="C2512" s="54"/>
      <c r="D2512" s="54"/>
      <c r="E2512" s="85">
        <f>SUM(E2510:E2511)</f>
        <v>3125.5854079999999</v>
      </c>
    </row>
    <row r="2515" spans="1:5" ht="21" x14ac:dyDescent="0.4">
      <c r="A2515" s="40" t="s">
        <v>1068</v>
      </c>
      <c r="B2515" s="40"/>
      <c r="C2515" s="84"/>
    </row>
    <row r="2516" spans="1:5" ht="18" x14ac:dyDescent="0.35">
      <c r="A2516" s="5"/>
      <c r="B2516" s="5"/>
      <c r="C2516" s="7" t="s">
        <v>28</v>
      </c>
      <c r="D2516" s="7" t="s">
        <v>29</v>
      </c>
      <c r="E2516" s="7" t="s">
        <v>30</v>
      </c>
    </row>
    <row r="2517" spans="1:5" ht="18" x14ac:dyDescent="0.35">
      <c r="A2517" s="5" t="s">
        <v>78</v>
      </c>
      <c r="B2517" s="50" t="s">
        <v>32</v>
      </c>
      <c r="C2517" s="7">
        <v>2.028</v>
      </c>
      <c r="D2517" s="7">
        <v>30.44</v>
      </c>
      <c r="E2517" s="85">
        <f t="shared" ref="E2517:E2522" si="227">C2517*D2517</f>
        <v>61.732320000000001</v>
      </c>
    </row>
    <row r="2518" spans="1:5" ht="18" x14ac:dyDescent="0.35">
      <c r="A2518" s="5" t="s">
        <v>178</v>
      </c>
      <c r="B2518" s="50" t="s">
        <v>33</v>
      </c>
      <c r="C2518" s="7">
        <v>6.52</v>
      </c>
      <c r="D2518" s="7">
        <v>16.170000000000002</v>
      </c>
      <c r="E2518" s="85">
        <f t="shared" si="227"/>
        <v>105.42840000000001</v>
      </c>
    </row>
    <row r="2519" spans="1:5" ht="18" x14ac:dyDescent="0.35">
      <c r="A2519" s="5" t="s">
        <v>1073</v>
      </c>
      <c r="B2519" s="50" t="s">
        <v>85</v>
      </c>
      <c r="C2519" s="7">
        <v>2</v>
      </c>
      <c r="D2519" s="7">
        <v>1.48</v>
      </c>
      <c r="E2519" s="85">
        <f t="shared" si="227"/>
        <v>2.96</v>
      </c>
    </row>
    <row r="2520" spans="1:5" ht="18" x14ac:dyDescent="0.35">
      <c r="A2520" s="5" t="s">
        <v>1074</v>
      </c>
      <c r="B2520" s="50" t="s">
        <v>34</v>
      </c>
      <c r="C2520" s="7">
        <v>0.4</v>
      </c>
      <c r="D2520" s="7">
        <v>14.61</v>
      </c>
      <c r="E2520" s="85">
        <f t="shared" si="227"/>
        <v>5.8440000000000003</v>
      </c>
    </row>
    <row r="2521" spans="1:5" ht="18" x14ac:dyDescent="0.35">
      <c r="A2521" s="5"/>
      <c r="B2521" s="50" t="s">
        <v>35</v>
      </c>
      <c r="C2521" s="7">
        <v>4</v>
      </c>
      <c r="D2521" s="7">
        <v>2.91</v>
      </c>
      <c r="E2521" s="85">
        <f t="shared" si="227"/>
        <v>11.64</v>
      </c>
    </row>
    <row r="2522" spans="1:5" ht="18" x14ac:dyDescent="0.35">
      <c r="A2522" s="5"/>
      <c r="B2522" s="50" t="s">
        <v>36</v>
      </c>
      <c r="C2522" s="7">
        <v>4</v>
      </c>
      <c r="D2522" s="7">
        <v>0.61</v>
      </c>
      <c r="E2522" s="85">
        <f t="shared" si="227"/>
        <v>2.44</v>
      </c>
    </row>
    <row r="2523" spans="1:5" ht="18" x14ac:dyDescent="0.35">
      <c r="A2523" s="5"/>
      <c r="B2523" s="5"/>
      <c r="C2523" s="54"/>
      <c r="D2523" s="54"/>
      <c r="E2523" s="89">
        <f>SUM(E2517:E2522)</f>
        <v>190.04472000000004</v>
      </c>
    </row>
    <row r="2524" spans="1:5" ht="18" x14ac:dyDescent="0.35">
      <c r="A2524" s="5"/>
      <c r="B2524" s="5"/>
      <c r="C2524" s="54"/>
      <c r="D2524" s="54" t="s">
        <v>1063</v>
      </c>
      <c r="E2524" s="89">
        <f>E2523+E2523*40%</f>
        <v>266.06260800000007</v>
      </c>
    </row>
    <row r="2525" spans="1:5" ht="18" x14ac:dyDescent="0.35">
      <c r="A2525" s="5"/>
      <c r="B2525" s="50" t="s">
        <v>37</v>
      </c>
      <c r="C2525" s="54">
        <v>0.5</v>
      </c>
      <c r="D2525" s="54">
        <v>200</v>
      </c>
      <c r="E2525" s="85">
        <f>C2525*D2525</f>
        <v>100</v>
      </c>
    </row>
    <row r="2526" spans="1:5" ht="18" x14ac:dyDescent="0.35">
      <c r="A2526" s="5"/>
      <c r="B2526" s="5"/>
      <c r="C2526" s="54"/>
      <c r="D2526" s="54"/>
      <c r="E2526" s="85">
        <f>SUM(E2524:E2525)</f>
        <v>366.06260800000007</v>
      </c>
    </row>
    <row r="2529" spans="1:5" ht="21" x14ac:dyDescent="0.4">
      <c r="A2529" s="40" t="s">
        <v>1076</v>
      </c>
      <c r="B2529" s="40"/>
      <c r="C2529" s="84"/>
    </row>
    <row r="2530" spans="1:5" ht="18" x14ac:dyDescent="0.35">
      <c r="A2530" s="5"/>
      <c r="B2530" s="5"/>
      <c r="C2530" s="7" t="s">
        <v>28</v>
      </c>
      <c r="D2530" s="7" t="s">
        <v>29</v>
      </c>
      <c r="E2530" s="7" t="s">
        <v>30</v>
      </c>
    </row>
    <row r="2531" spans="1:5" ht="18" x14ac:dyDescent="0.35">
      <c r="A2531" s="5" t="s">
        <v>46</v>
      </c>
      <c r="B2531" s="50" t="s">
        <v>32</v>
      </c>
      <c r="C2531" s="7">
        <v>2.028</v>
      </c>
      <c r="D2531" s="7">
        <v>30.44</v>
      </c>
      <c r="E2531" s="85">
        <f t="shared" ref="E2531:E2536" si="228">C2531*D2531</f>
        <v>61.732320000000001</v>
      </c>
    </row>
    <row r="2532" spans="1:5" ht="18" x14ac:dyDescent="0.35">
      <c r="A2532" s="5" t="s">
        <v>238</v>
      </c>
      <c r="B2532" s="50" t="s">
        <v>33</v>
      </c>
      <c r="C2532" s="7">
        <v>3.3180000000000001</v>
      </c>
      <c r="D2532" s="7">
        <v>16.170000000000002</v>
      </c>
      <c r="E2532" s="85">
        <f t="shared" si="228"/>
        <v>53.652060000000006</v>
      </c>
    </row>
    <row r="2533" spans="1:5" ht="18" x14ac:dyDescent="0.35">
      <c r="A2533" s="5" t="s">
        <v>1077</v>
      </c>
      <c r="B2533" s="50" t="s">
        <v>42</v>
      </c>
      <c r="C2533" s="7">
        <v>2</v>
      </c>
      <c r="D2533" s="7">
        <v>1.1499999999999999</v>
      </c>
      <c r="E2533" s="85">
        <f t="shared" si="228"/>
        <v>2.2999999999999998</v>
      </c>
    </row>
    <row r="2534" spans="1:5" ht="18" x14ac:dyDescent="0.35">
      <c r="A2534" s="5" t="s">
        <v>1074</v>
      </c>
      <c r="B2534" s="50" t="s">
        <v>34</v>
      </c>
      <c r="C2534" s="7">
        <v>0.2</v>
      </c>
      <c r="D2534" s="7">
        <v>14.61</v>
      </c>
      <c r="E2534" s="85">
        <f t="shared" si="228"/>
        <v>2.9220000000000002</v>
      </c>
    </row>
    <row r="2535" spans="1:5" ht="18" x14ac:dyDescent="0.35">
      <c r="A2535" s="5"/>
      <c r="B2535" s="50" t="s">
        <v>35</v>
      </c>
      <c r="C2535" s="7">
        <v>4</v>
      </c>
      <c r="D2535" s="7">
        <v>2.91</v>
      </c>
      <c r="E2535" s="85">
        <f t="shared" si="228"/>
        <v>11.64</v>
      </c>
    </row>
    <row r="2536" spans="1:5" ht="18" x14ac:dyDescent="0.35">
      <c r="A2536" s="5"/>
      <c r="B2536" s="50" t="s">
        <v>36</v>
      </c>
      <c r="C2536" s="7">
        <v>4</v>
      </c>
      <c r="D2536" s="7">
        <v>0.61</v>
      </c>
      <c r="E2536" s="85">
        <f t="shared" si="228"/>
        <v>2.44</v>
      </c>
    </row>
    <row r="2537" spans="1:5" ht="18" x14ac:dyDescent="0.35">
      <c r="A2537" s="5"/>
      <c r="B2537" s="5"/>
      <c r="C2537" s="54"/>
      <c r="D2537" s="54"/>
      <c r="E2537" s="89">
        <f>SUM(E2531:E2536)</f>
        <v>134.68637999999999</v>
      </c>
    </row>
    <row r="2538" spans="1:5" ht="18" x14ac:dyDescent="0.35">
      <c r="A2538" s="5"/>
      <c r="B2538" s="5"/>
      <c r="C2538" s="54"/>
      <c r="D2538" s="54" t="s">
        <v>1063</v>
      </c>
      <c r="E2538" s="89">
        <f>E2537+E2537*40%</f>
        <v>188.56093199999998</v>
      </c>
    </row>
    <row r="2539" spans="1:5" ht="18" x14ac:dyDescent="0.35">
      <c r="A2539" s="5"/>
      <c r="B2539" s="50" t="s">
        <v>37</v>
      </c>
      <c r="C2539" s="54">
        <v>0.5</v>
      </c>
      <c r="D2539" s="54">
        <v>200</v>
      </c>
      <c r="E2539" s="85">
        <f>C2539*D2539</f>
        <v>100</v>
      </c>
    </row>
    <row r="2540" spans="1:5" ht="18" x14ac:dyDescent="0.35">
      <c r="A2540" s="5"/>
      <c r="B2540" s="5"/>
      <c r="C2540" s="54"/>
      <c r="D2540" s="54"/>
      <c r="E2540" s="85">
        <f>SUM(E2538:E2539)</f>
        <v>288.56093199999998</v>
      </c>
    </row>
    <row r="2542" spans="1:5" ht="21" x14ac:dyDescent="0.4">
      <c r="A2542" s="40" t="s">
        <v>1078</v>
      </c>
      <c r="B2542" s="40"/>
      <c r="C2542" s="84"/>
      <c r="D2542" s="12"/>
      <c r="E2542" s="12"/>
    </row>
    <row r="2543" spans="1:5" ht="21" x14ac:dyDescent="0.4">
      <c r="A2543" s="40"/>
      <c r="B2543" s="40"/>
      <c r="C2543" s="84"/>
      <c r="D2543" s="12"/>
      <c r="E2543" s="12"/>
    </row>
    <row r="2544" spans="1:5" ht="18" x14ac:dyDescent="0.35">
      <c r="A2544" s="5"/>
      <c r="B2544" s="5"/>
      <c r="C2544" s="7" t="s">
        <v>28</v>
      </c>
      <c r="D2544" s="7" t="s">
        <v>29</v>
      </c>
      <c r="E2544" s="7" t="s">
        <v>30</v>
      </c>
    </row>
    <row r="2545" spans="1:5" ht="18" x14ac:dyDescent="0.35">
      <c r="A2545" s="5" t="s">
        <v>41</v>
      </c>
      <c r="B2545" s="50" t="s">
        <v>32</v>
      </c>
      <c r="C2545" s="7">
        <v>1.3979999999999999</v>
      </c>
      <c r="D2545" s="7">
        <v>45.07</v>
      </c>
      <c r="E2545" s="85">
        <f t="shared" ref="E2545:E2552" si="229">C2545*D2545</f>
        <v>63.007859999999994</v>
      </c>
    </row>
    <row r="2546" spans="1:5" ht="18" x14ac:dyDescent="0.35">
      <c r="A2546" s="5" t="s">
        <v>39</v>
      </c>
      <c r="B2546" s="50" t="s">
        <v>33</v>
      </c>
      <c r="C2546" s="7">
        <v>2.0579999999999998</v>
      </c>
      <c r="D2546" s="7">
        <v>16.170000000000002</v>
      </c>
      <c r="E2546" s="85">
        <f t="shared" si="229"/>
        <v>33.277860000000004</v>
      </c>
    </row>
    <row r="2547" spans="1:5" ht="18" x14ac:dyDescent="0.35">
      <c r="A2547" s="5" t="s">
        <v>125</v>
      </c>
      <c r="B2547" s="50" t="s">
        <v>33</v>
      </c>
      <c r="C2547" s="7">
        <v>2.2679999999999998</v>
      </c>
      <c r="D2547" s="7">
        <v>16.170000000000002</v>
      </c>
      <c r="E2547" s="85">
        <f t="shared" si="229"/>
        <v>36.673560000000002</v>
      </c>
    </row>
    <row r="2548" spans="1:5" ht="18" x14ac:dyDescent="0.35">
      <c r="A2548" s="5" t="s">
        <v>597</v>
      </c>
      <c r="B2548" s="50" t="s">
        <v>88</v>
      </c>
      <c r="C2548" s="7">
        <v>2</v>
      </c>
      <c r="D2548" s="7">
        <v>2.2400000000000002</v>
      </c>
      <c r="E2548" s="85">
        <f t="shared" si="229"/>
        <v>4.4800000000000004</v>
      </c>
    </row>
    <row r="2549" spans="1:5" ht="18" x14ac:dyDescent="0.35">
      <c r="A2549" s="5" t="s">
        <v>1038</v>
      </c>
      <c r="B2549" s="50" t="s">
        <v>94</v>
      </c>
      <c r="C2549" s="88">
        <v>4</v>
      </c>
      <c r="D2549" s="88">
        <v>2.2400000000000002</v>
      </c>
      <c r="E2549" s="90">
        <f t="shared" si="229"/>
        <v>8.9600000000000009</v>
      </c>
    </row>
    <row r="2550" spans="1:5" ht="18" x14ac:dyDescent="0.35">
      <c r="A2550" s="5"/>
      <c r="B2550" s="50" t="s">
        <v>34</v>
      </c>
      <c r="C2550" s="7">
        <v>2</v>
      </c>
      <c r="D2550" s="7">
        <v>13.67</v>
      </c>
      <c r="E2550" s="85">
        <f t="shared" si="229"/>
        <v>27.34</v>
      </c>
    </row>
    <row r="2551" spans="1:5" ht="18" x14ac:dyDescent="0.35">
      <c r="A2551" s="5"/>
      <c r="B2551" s="50" t="s">
        <v>35</v>
      </c>
      <c r="C2551" s="7">
        <v>8</v>
      </c>
      <c r="D2551" s="7">
        <v>2.89</v>
      </c>
      <c r="E2551" s="85">
        <f t="shared" si="229"/>
        <v>23.12</v>
      </c>
    </row>
    <row r="2552" spans="1:5" ht="18" x14ac:dyDescent="0.35">
      <c r="A2552" s="5"/>
      <c r="B2552" s="50" t="s">
        <v>36</v>
      </c>
      <c r="C2552" s="7">
        <v>4</v>
      </c>
      <c r="D2552" s="7">
        <v>0.6</v>
      </c>
      <c r="E2552" s="85">
        <f t="shared" si="229"/>
        <v>2.4</v>
      </c>
    </row>
    <row r="2553" spans="1:5" ht="18" x14ac:dyDescent="0.35">
      <c r="A2553" s="5"/>
      <c r="B2553" s="5"/>
      <c r="C2553" s="54"/>
      <c r="D2553" s="54"/>
      <c r="E2553" s="89">
        <f>SUM(E2545:E2552)</f>
        <v>199.25928000000002</v>
      </c>
    </row>
    <row r="2554" spans="1:5" ht="18" x14ac:dyDescent="0.35">
      <c r="A2554" s="5"/>
      <c r="B2554" s="5"/>
      <c r="C2554" s="54"/>
      <c r="D2554" s="105">
        <v>0.4</v>
      </c>
      <c r="E2554" s="89">
        <f>E2553+E2553*40%</f>
        <v>278.96299200000004</v>
      </c>
    </row>
    <row r="2555" spans="1:5" ht="18" x14ac:dyDescent="0.35">
      <c r="A2555" s="5"/>
      <c r="B2555" s="50" t="s">
        <v>37</v>
      </c>
      <c r="C2555" s="54">
        <v>4</v>
      </c>
      <c r="D2555" s="54">
        <v>200</v>
      </c>
      <c r="E2555" s="85">
        <f>C2555*D2555</f>
        <v>800</v>
      </c>
    </row>
    <row r="2556" spans="1:5" ht="18" x14ac:dyDescent="0.35">
      <c r="A2556" s="5"/>
      <c r="B2556" s="5"/>
      <c r="C2556" s="54"/>
      <c r="D2556" s="54"/>
      <c r="E2556" s="85">
        <f>E2554+E2555</f>
        <v>1078.962992</v>
      </c>
    </row>
    <row r="2559" spans="1:5" ht="21" x14ac:dyDescent="0.4">
      <c r="A2559" s="40" t="s">
        <v>1079</v>
      </c>
      <c r="B2559" s="40"/>
      <c r="C2559" s="40"/>
      <c r="D2559" s="12"/>
      <c r="E2559" s="12"/>
    </row>
    <row r="2560" spans="1:5" ht="18" x14ac:dyDescent="0.35">
      <c r="A2560" s="5"/>
      <c r="B2560" s="5"/>
      <c r="C2560" s="7" t="s">
        <v>28</v>
      </c>
      <c r="D2560" s="7" t="s">
        <v>29</v>
      </c>
      <c r="E2560" s="7" t="s">
        <v>30</v>
      </c>
    </row>
    <row r="2561" spans="1:5" ht="18" x14ac:dyDescent="0.35">
      <c r="A2561" s="5" t="s">
        <v>1080</v>
      </c>
      <c r="B2561" s="50" t="s">
        <v>32</v>
      </c>
      <c r="C2561" s="7">
        <v>3.3929999999999998</v>
      </c>
      <c r="D2561" s="7">
        <v>30.44</v>
      </c>
      <c r="E2561" s="85">
        <f t="shared" ref="E2561:E2568" si="230">C2561*D2561</f>
        <v>103.28292</v>
      </c>
    </row>
    <row r="2562" spans="1:5" ht="18" x14ac:dyDescent="0.35">
      <c r="A2562" s="5" t="s">
        <v>52</v>
      </c>
      <c r="B2562" s="50" t="s">
        <v>33</v>
      </c>
      <c r="C2562" s="7">
        <v>12.663</v>
      </c>
      <c r="D2562" s="7">
        <v>17.059999999999999</v>
      </c>
      <c r="E2562" s="85">
        <f t="shared" si="230"/>
        <v>216.03077999999999</v>
      </c>
    </row>
    <row r="2563" spans="1:5" ht="18" x14ac:dyDescent="0.35">
      <c r="A2563" s="5" t="s">
        <v>1081</v>
      </c>
      <c r="B2563" s="50" t="s">
        <v>137</v>
      </c>
      <c r="C2563" s="7">
        <v>0.8</v>
      </c>
      <c r="D2563" s="7">
        <v>17.190000000000001</v>
      </c>
      <c r="E2563" s="85">
        <f t="shared" si="230"/>
        <v>13.752000000000002</v>
      </c>
    </row>
    <row r="2564" spans="1:5" ht="18" x14ac:dyDescent="0.35">
      <c r="A2564" s="5"/>
      <c r="B2564" s="50" t="s">
        <v>35</v>
      </c>
      <c r="C2564" s="7">
        <v>4</v>
      </c>
      <c r="D2564" s="7">
        <v>2.91</v>
      </c>
      <c r="E2564" s="85">
        <f t="shared" si="230"/>
        <v>11.64</v>
      </c>
    </row>
    <row r="2565" spans="1:5" ht="18" x14ac:dyDescent="0.35">
      <c r="A2565" s="5"/>
      <c r="B2565" s="50" t="s">
        <v>36</v>
      </c>
      <c r="C2565" s="7">
        <v>4</v>
      </c>
      <c r="D2565" s="7">
        <v>0.61</v>
      </c>
      <c r="E2565" s="85">
        <f t="shared" si="230"/>
        <v>2.44</v>
      </c>
    </row>
    <row r="2566" spans="1:5" ht="18" x14ac:dyDescent="0.35">
      <c r="A2566" s="5"/>
      <c r="B2566" s="96"/>
      <c r="C2566" s="87"/>
      <c r="D2566" s="87"/>
      <c r="E2566" s="94">
        <f>SUM(E2561:E2565)</f>
        <v>347.14569999999998</v>
      </c>
    </row>
    <row r="2567" spans="1:5" ht="18" x14ac:dyDescent="0.35">
      <c r="A2567" s="5"/>
      <c r="B2567" s="96"/>
      <c r="C2567" s="87"/>
      <c r="D2567" s="87" t="s">
        <v>1066</v>
      </c>
      <c r="E2567" s="94">
        <f>E2566+E2566*40%</f>
        <v>486.00397999999996</v>
      </c>
    </row>
    <row r="2568" spans="1:5" ht="18" x14ac:dyDescent="0.35">
      <c r="A2568" s="5"/>
      <c r="B2568" s="50" t="s">
        <v>37</v>
      </c>
      <c r="C2568" s="7">
        <v>1</v>
      </c>
      <c r="D2568" s="93">
        <v>200</v>
      </c>
      <c r="E2568" s="85">
        <f t="shared" si="230"/>
        <v>200</v>
      </c>
    </row>
    <row r="2569" spans="1:5" ht="18" x14ac:dyDescent="0.35">
      <c r="A2569" s="5"/>
      <c r="B2569" s="5"/>
      <c r="C2569" s="54"/>
      <c r="D2569" s="54"/>
      <c r="E2569" s="109">
        <f>SUM(E2567:E2568)</f>
        <v>686.00397999999996</v>
      </c>
    </row>
    <row r="2572" spans="1:5" ht="21" x14ac:dyDescent="0.4">
      <c r="A2572" s="40" t="s">
        <v>1082</v>
      </c>
      <c r="B2572" s="40"/>
      <c r="C2572" s="40"/>
      <c r="D2572" s="12"/>
      <c r="E2572" s="12"/>
    </row>
    <row r="2573" spans="1:5" ht="18" x14ac:dyDescent="0.35">
      <c r="A2573" s="5"/>
      <c r="B2573" s="5"/>
      <c r="C2573" s="7" t="s">
        <v>28</v>
      </c>
      <c r="D2573" s="7" t="s">
        <v>29</v>
      </c>
      <c r="E2573" s="7" t="s">
        <v>30</v>
      </c>
    </row>
    <row r="2574" spans="1:5" ht="18" x14ac:dyDescent="0.35">
      <c r="A2574" s="5" t="s">
        <v>124</v>
      </c>
      <c r="B2574" s="50" t="s">
        <v>32</v>
      </c>
      <c r="C2574" s="7">
        <v>3.4980000000000002</v>
      </c>
      <c r="D2574" s="7">
        <v>30.44</v>
      </c>
      <c r="E2574" s="85">
        <f>C2574*D2574</f>
        <v>106.47912000000001</v>
      </c>
    </row>
    <row r="2575" spans="1:5" ht="18" x14ac:dyDescent="0.35">
      <c r="A2575" s="5" t="s">
        <v>168</v>
      </c>
      <c r="B2575" s="50" t="s">
        <v>33</v>
      </c>
      <c r="C2575" s="7">
        <v>36.234999999999999</v>
      </c>
      <c r="D2575" s="7">
        <v>17.059999999999999</v>
      </c>
      <c r="E2575" s="85">
        <f>C2575*D2575</f>
        <v>618.16909999999996</v>
      </c>
    </row>
    <row r="2576" spans="1:5" ht="18" x14ac:dyDescent="0.35">
      <c r="A2576" s="5" t="s">
        <v>615</v>
      </c>
      <c r="B2576" s="50" t="s">
        <v>137</v>
      </c>
      <c r="C2576" s="7">
        <v>1.2</v>
      </c>
      <c r="D2576" s="7">
        <v>17.190000000000001</v>
      </c>
      <c r="E2576" s="85">
        <f>C2576*D2576</f>
        <v>20.628</v>
      </c>
    </row>
    <row r="2577" spans="1:5" ht="18" x14ac:dyDescent="0.35">
      <c r="A2577" s="5" t="s">
        <v>1084</v>
      </c>
      <c r="B2577" s="50" t="s">
        <v>35</v>
      </c>
      <c r="C2577" s="7">
        <v>4</v>
      </c>
      <c r="D2577" s="7">
        <v>2.91</v>
      </c>
      <c r="E2577" s="85">
        <f>C2577*D2577</f>
        <v>11.64</v>
      </c>
    </row>
    <row r="2578" spans="1:5" ht="18" x14ac:dyDescent="0.35">
      <c r="A2578" s="5"/>
      <c r="B2578" s="50" t="s">
        <v>36</v>
      </c>
      <c r="C2578" s="7">
        <v>4</v>
      </c>
      <c r="D2578" s="7">
        <v>0.61</v>
      </c>
      <c r="E2578" s="85">
        <f>C2578*D2578</f>
        <v>2.44</v>
      </c>
    </row>
    <row r="2579" spans="1:5" ht="18" x14ac:dyDescent="0.35">
      <c r="A2579" s="5"/>
      <c r="B2579" s="96"/>
      <c r="C2579" s="87"/>
      <c r="D2579" s="87"/>
      <c r="E2579" s="94">
        <f>SUM(E2574:E2578)</f>
        <v>759.35622000000001</v>
      </c>
    </row>
    <row r="2580" spans="1:5" ht="18" x14ac:dyDescent="0.35">
      <c r="A2580" s="5"/>
      <c r="B2580" s="96"/>
      <c r="C2580" s="87"/>
      <c r="D2580" s="87" t="s">
        <v>1066</v>
      </c>
      <c r="E2580" s="94">
        <f>E2579+E2579*40%</f>
        <v>1063.098708</v>
      </c>
    </row>
    <row r="2581" spans="1:5" ht="18" x14ac:dyDescent="0.35">
      <c r="A2581" s="5"/>
      <c r="B2581" s="50" t="s">
        <v>37</v>
      </c>
      <c r="C2581" s="7">
        <v>1</v>
      </c>
      <c r="D2581" s="93">
        <v>200</v>
      </c>
      <c r="E2581" s="85">
        <f>C2581*D2581</f>
        <v>200</v>
      </c>
    </row>
    <row r="2582" spans="1:5" ht="18" x14ac:dyDescent="0.35">
      <c r="A2582" s="5"/>
      <c r="B2582" s="5"/>
      <c r="C2582" s="54"/>
      <c r="D2582" s="54"/>
      <c r="E2582" s="109">
        <f>SUM(E2580:E2581)</f>
        <v>1263.098708</v>
      </c>
    </row>
    <row r="2583" spans="1:5" ht="18" x14ac:dyDescent="0.35">
      <c r="D2583" s="12" t="s">
        <v>1083</v>
      </c>
      <c r="E2583" s="109">
        <v>1450</v>
      </c>
    </row>
    <row r="2586" spans="1:5" ht="21" x14ac:dyDescent="0.4">
      <c r="A2586" s="40" t="s">
        <v>1062</v>
      </c>
      <c r="B2586" s="40"/>
      <c r="C2586" s="84"/>
      <c r="D2586" s="12"/>
      <c r="E2586" s="12"/>
    </row>
    <row r="2587" spans="1:5" ht="21" x14ac:dyDescent="0.4">
      <c r="A2587" s="40"/>
      <c r="B2587" s="40"/>
      <c r="C2587" s="84"/>
      <c r="D2587" s="12"/>
      <c r="E2587" s="12"/>
    </row>
    <row r="2588" spans="1:5" ht="18" x14ac:dyDescent="0.35">
      <c r="A2588" s="5"/>
      <c r="B2588" s="5"/>
      <c r="C2588" s="7" t="s">
        <v>28</v>
      </c>
      <c r="D2588" s="7" t="s">
        <v>29</v>
      </c>
      <c r="E2588" s="7" t="s">
        <v>30</v>
      </c>
    </row>
    <row r="2589" spans="1:5" ht="18" x14ac:dyDescent="0.35">
      <c r="A2589" s="5" t="s">
        <v>48</v>
      </c>
      <c r="B2589" s="50" t="s">
        <v>32</v>
      </c>
      <c r="C2589" s="7">
        <v>2.2000000000000002</v>
      </c>
      <c r="D2589" s="7">
        <v>42.29</v>
      </c>
      <c r="E2589" s="85">
        <f t="shared" ref="E2589:E2596" si="231">C2589*D2589</f>
        <v>93.038000000000011</v>
      </c>
    </row>
    <row r="2590" spans="1:5" ht="18" x14ac:dyDescent="0.35">
      <c r="A2590" s="5" t="s">
        <v>39</v>
      </c>
      <c r="B2590" s="50" t="s">
        <v>33</v>
      </c>
      <c r="C2590" s="7">
        <v>3.84</v>
      </c>
      <c r="D2590" s="7">
        <v>16</v>
      </c>
      <c r="E2590" s="85">
        <f t="shared" si="231"/>
        <v>61.44</v>
      </c>
    </row>
    <row r="2591" spans="1:5" ht="18" x14ac:dyDescent="0.35">
      <c r="A2591" s="5" t="s">
        <v>1090</v>
      </c>
      <c r="B2591" s="50" t="s">
        <v>33</v>
      </c>
      <c r="C2591" s="7">
        <v>4.0999999999999996</v>
      </c>
      <c r="D2591" s="7">
        <v>16</v>
      </c>
      <c r="E2591" s="85">
        <f t="shared" si="231"/>
        <v>65.599999999999994</v>
      </c>
    </row>
    <row r="2592" spans="1:5" ht="18" x14ac:dyDescent="0.35">
      <c r="A2592" s="5" t="s">
        <v>621</v>
      </c>
      <c r="B2592" s="50" t="s">
        <v>43</v>
      </c>
      <c r="C2592" s="7">
        <v>2</v>
      </c>
      <c r="D2592" s="7">
        <v>1.1499999999999999</v>
      </c>
      <c r="E2592" s="85">
        <f t="shared" si="231"/>
        <v>2.2999999999999998</v>
      </c>
    </row>
    <row r="2593" spans="1:5" ht="18" x14ac:dyDescent="0.35">
      <c r="A2593" s="5"/>
      <c r="B2593" s="50" t="s">
        <v>88</v>
      </c>
      <c r="C2593" s="88">
        <v>2</v>
      </c>
      <c r="D2593" s="88">
        <v>2.2400000000000002</v>
      </c>
      <c r="E2593" s="90">
        <f t="shared" si="231"/>
        <v>4.4800000000000004</v>
      </c>
    </row>
    <row r="2594" spans="1:5" ht="18" x14ac:dyDescent="0.35">
      <c r="A2594" s="5"/>
      <c r="B2594" s="50" t="s">
        <v>34</v>
      </c>
      <c r="C2594" s="7">
        <v>0.2</v>
      </c>
      <c r="D2594" s="7">
        <v>12.43</v>
      </c>
      <c r="E2594" s="85">
        <f t="shared" si="231"/>
        <v>2.4860000000000002</v>
      </c>
    </row>
    <row r="2595" spans="1:5" ht="18" x14ac:dyDescent="0.35">
      <c r="A2595" s="5"/>
      <c r="B2595" s="50" t="s">
        <v>35</v>
      </c>
      <c r="C2595" s="7">
        <v>4</v>
      </c>
      <c r="D2595" s="7">
        <v>2.0099999999999998</v>
      </c>
      <c r="E2595" s="85">
        <f t="shared" si="231"/>
        <v>8.0399999999999991</v>
      </c>
    </row>
    <row r="2596" spans="1:5" ht="18" x14ac:dyDescent="0.35">
      <c r="A2596" s="5"/>
      <c r="B2596" s="50" t="s">
        <v>36</v>
      </c>
      <c r="C2596" s="7">
        <v>4</v>
      </c>
      <c r="D2596" s="7">
        <v>0.25</v>
      </c>
      <c r="E2596" s="85">
        <f t="shared" si="231"/>
        <v>1</v>
      </c>
    </row>
    <row r="2597" spans="1:5" ht="18" x14ac:dyDescent="0.35">
      <c r="A2597" s="5"/>
      <c r="B2597" s="5"/>
      <c r="C2597" s="54"/>
      <c r="D2597" s="54"/>
      <c r="E2597" s="89">
        <v>195</v>
      </c>
    </row>
    <row r="2598" spans="1:5" ht="18" x14ac:dyDescent="0.35">
      <c r="A2598" s="5"/>
      <c r="B2598" s="5"/>
      <c r="C2598" s="54"/>
      <c r="D2598" s="105"/>
      <c r="E2598" s="89"/>
    </row>
    <row r="2599" spans="1:5" ht="18" x14ac:dyDescent="0.35">
      <c r="A2599" s="5"/>
      <c r="B2599" s="50" t="s">
        <v>37</v>
      </c>
      <c r="C2599" s="54">
        <v>15</v>
      </c>
      <c r="D2599" s="54">
        <v>100</v>
      </c>
      <c r="E2599" s="85">
        <v>50</v>
      </c>
    </row>
    <row r="2600" spans="1:5" ht="18" x14ac:dyDescent="0.35">
      <c r="A2600" s="5"/>
      <c r="B2600" s="5"/>
      <c r="C2600" s="54"/>
      <c r="D2600" s="54"/>
      <c r="E2600" s="85">
        <f>SUM(E2597:E2599)</f>
        <v>245</v>
      </c>
    </row>
    <row r="2602" spans="1:5" x14ac:dyDescent="0.3">
      <c r="B2602" s="110">
        <v>210</v>
      </c>
      <c r="C2602" t="s">
        <v>1089</v>
      </c>
    </row>
    <row r="2604" spans="1:5" ht="21" x14ac:dyDescent="0.4">
      <c r="A2604" s="40" t="s">
        <v>1076</v>
      </c>
      <c r="B2604" s="40"/>
      <c r="C2604" s="84"/>
    </row>
    <row r="2605" spans="1:5" ht="18" x14ac:dyDescent="0.35">
      <c r="A2605" s="5"/>
      <c r="B2605" s="5"/>
      <c r="C2605" s="7" t="s">
        <v>28</v>
      </c>
      <c r="D2605" s="7" t="s">
        <v>29</v>
      </c>
      <c r="E2605" s="7" t="s">
        <v>30</v>
      </c>
    </row>
    <row r="2606" spans="1:5" ht="18" x14ac:dyDescent="0.35">
      <c r="A2606" s="5" t="s">
        <v>1091</v>
      </c>
      <c r="B2606" s="50" t="s">
        <v>32</v>
      </c>
      <c r="C2606" s="7">
        <v>2.7629999999999999</v>
      </c>
      <c r="D2606" s="7">
        <v>30.44</v>
      </c>
      <c r="E2606" s="85">
        <f t="shared" ref="E2606:E2611" si="232">C2606*D2606</f>
        <v>84.105720000000005</v>
      </c>
    </row>
    <row r="2607" spans="1:5" ht="18" x14ac:dyDescent="0.35">
      <c r="A2607" s="5" t="s">
        <v>1092</v>
      </c>
      <c r="B2607" s="50" t="s">
        <v>33</v>
      </c>
      <c r="C2607" s="7">
        <v>6.867</v>
      </c>
      <c r="D2607" s="7">
        <v>16.170000000000002</v>
      </c>
      <c r="E2607" s="85">
        <f t="shared" si="232"/>
        <v>111.03939000000001</v>
      </c>
    </row>
    <row r="2608" spans="1:5" ht="18" x14ac:dyDescent="0.35">
      <c r="A2608" s="5" t="s">
        <v>733</v>
      </c>
      <c r="B2608" s="50" t="s">
        <v>84</v>
      </c>
      <c r="C2608" s="7">
        <v>2</v>
      </c>
      <c r="D2608" s="7">
        <v>1.6</v>
      </c>
      <c r="E2608" s="85">
        <f t="shared" si="232"/>
        <v>3.2</v>
      </c>
    </row>
    <row r="2609" spans="1:5" ht="18" x14ac:dyDescent="0.35">
      <c r="A2609" s="5" t="s">
        <v>1098</v>
      </c>
      <c r="B2609" s="50" t="s">
        <v>34</v>
      </c>
      <c r="C2609" s="7">
        <v>0.3</v>
      </c>
      <c r="D2609" s="7">
        <v>14.61</v>
      </c>
      <c r="E2609" s="85">
        <f t="shared" si="232"/>
        <v>4.383</v>
      </c>
    </row>
    <row r="2610" spans="1:5" ht="18" x14ac:dyDescent="0.35">
      <c r="A2610" s="5"/>
      <c r="B2610" s="50" t="s">
        <v>35</v>
      </c>
      <c r="C2610" s="7">
        <v>4</v>
      </c>
      <c r="D2610" s="7">
        <v>2.91</v>
      </c>
      <c r="E2610" s="85">
        <f t="shared" si="232"/>
        <v>11.64</v>
      </c>
    </row>
    <row r="2611" spans="1:5" ht="18" x14ac:dyDescent="0.35">
      <c r="A2611" s="5"/>
      <c r="B2611" s="50" t="s">
        <v>36</v>
      </c>
      <c r="C2611" s="7">
        <v>4</v>
      </c>
      <c r="D2611" s="7">
        <v>0.61</v>
      </c>
      <c r="E2611" s="85">
        <f t="shared" si="232"/>
        <v>2.44</v>
      </c>
    </row>
    <row r="2612" spans="1:5" ht="18" x14ac:dyDescent="0.35">
      <c r="A2612" s="5"/>
      <c r="B2612" s="5"/>
      <c r="C2612" s="54"/>
      <c r="D2612" s="54"/>
      <c r="E2612" s="89">
        <f>SUM(E2606:E2611)</f>
        <v>216.80811</v>
      </c>
    </row>
    <row r="2613" spans="1:5" ht="18" x14ac:dyDescent="0.35">
      <c r="A2613" s="5"/>
      <c r="B2613" s="5"/>
      <c r="C2613" s="54"/>
      <c r="D2613" s="54" t="s">
        <v>1063</v>
      </c>
      <c r="E2613" s="89">
        <f>E2612+E2612*40%</f>
        <v>303.53135400000002</v>
      </c>
    </row>
    <row r="2614" spans="1:5" ht="18" x14ac:dyDescent="0.35">
      <c r="A2614" s="5"/>
      <c r="B2614" s="50" t="s">
        <v>37</v>
      </c>
      <c r="C2614" s="54">
        <v>0.5</v>
      </c>
      <c r="D2614" s="54">
        <v>200</v>
      </c>
      <c r="E2614" s="85">
        <f>C2614*D2614</f>
        <v>100</v>
      </c>
    </row>
    <row r="2615" spans="1:5" ht="18" x14ac:dyDescent="0.35">
      <c r="A2615" s="5"/>
      <c r="B2615" s="5"/>
      <c r="C2615" s="54"/>
      <c r="D2615" s="54"/>
      <c r="E2615" s="85">
        <f>SUM(E2613:E2614)</f>
        <v>403.53135400000002</v>
      </c>
    </row>
    <row r="2617" spans="1:5" ht="21" x14ac:dyDescent="0.4">
      <c r="A2617" s="40" t="s">
        <v>1093</v>
      </c>
      <c r="B2617" s="40"/>
      <c r="C2617" s="84"/>
      <c r="D2617" s="12"/>
      <c r="E2617" s="12"/>
    </row>
    <row r="2618" spans="1:5" ht="21" x14ac:dyDescent="0.4">
      <c r="A2618" s="40"/>
      <c r="B2618" s="40"/>
      <c r="C2618" s="84"/>
      <c r="D2618" s="12"/>
      <c r="E2618" s="12"/>
    </row>
    <row r="2619" spans="1:5" ht="18" x14ac:dyDescent="0.35">
      <c r="A2619" s="5"/>
      <c r="B2619" s="5"/>
      <c r="C2619" s="7" t="s">
        <v>28</v>
      </c>
      <c r="D2619" s="7" t="s">
        <v>29</v>
      </c>
      <c r="E2619" s="7" t="s">
        <v>30</v>
      </c>
    </row>
    <row r="2620" spans="1:5" ht="18" x14ac:dyDescent="0.35">
      <c r="A2620" s="5" t="s">
        <v>1091</v>
      </c>
      <c r="B2620" s="50" t="s">
        <v>32</v>
      </c>
      <c r="C2620" s="7">
        <v>2.7629999999999999</v>
      </c>
      <c r="D2620" s="7">
        <v>45.07</v>
      </c>
      <c r="E2620" s="85">
        <f t="shared" ref="E2620:E2627" si="233">C2620*D2620</f>
        <v>124.52840999999999</v>
      </c>
    </row>
    <row r="2621" spans="1:5" ht="18" x14ac:dyDescent="0.35">
      <c r="A2621" s="5" t="s">
        <v>63</v>
      </c>
      <c r="B2621" s="50" t="s">
        <v>33</v>
      </c>
      <c r="C2621" s="7">
        <v>6.867</v>
      </c>
      <c r="D2621" s="7">
        <v>16.170000000000002</v>
      </c>
      <c r="E2621" s="85">
        <f t="shared" si="233"/>
        <v>111.03939000000001</v>
      </c>
    </row>
    <row r="2622" spans="1:5" ht="18" x14ac:dyDescent="0.35">
      <c r="A2622" s="5" t="s">
        <v>1094</v>
      </c>
      <c r="B2622" s="50" t="s">
        <v>33</v>
      </c>
      <c r="C2622" s="7">
        <v>7.6440000000000001</v>
      </c>
      <c r="D2622" s="7">
        <v>16.170000000000002</v>
      </c>
      <c r="E2622" s="85">
        <f t="shared" si="233"/>
        <v>123.60348000000002</v>
      </c>
    </row>
    <row r="2623" spans="1:5" ht="18" x14ac:dyDescent="0.35">
      <c r="A2623" s="5" t="s">
        <v>1096</v>
      </c>
      <c r="B2623" s="50" t="s">
        <v>96</v>
      </c>
      <c r="C2623" s="7">
        <v>2</v>
      </c>
      <c r="D2623" s="7">
        <v>1.1499999999999999</v>
      </c>
      <c r="E2623" s="85">
        <f t="shared" si="233"/>
        <v>2.2999999999999998</v>
      </c>
    </row>
    <row r="2624" spans="1:5" ht="18" x14ac:dyDescent="0.35">
      <c r="A2624" s="5" t="s">
        <v>1097</v>
      </c>
      <c r="B2624" s="50" t="s">
        <v>88</v>
      </c>
      <c r="C2624" s="88">
        <v>4</v>
      </c>
      <c r="D2624" s="88">
        <v>2.2400000000000002</v>
      </c>
      <c r="E2624" s="90">
        <f t="shared" si="233"/>
        <v>8.9600000000000009</v>
      </c>
    </row>
    <row r="2625" spans="1:5" ht="18" x14ac:dyDescent="0.35">
      <c r="A2625" s="5"/>
      <c r="B2625" s="50" t="s">
        <v>34</v>
      </c>
      <c r="C2625" s="7">
        <v>0.2</v>
      </c>
      <c r="D2625" s="7">
        <v>18.05</v>
      </c>
      <c r="E2625" s="85">
        <f t="shared" si="233"/>
        <v>3.6100000000000003</v>
      </c>
    </row>
    <row r="2626" spans="1:5" ht="18" x14ac:dyDescent="0.35">
      <c r="A2626" s="5"/>
      <c r="B2626" s="50" t="s">
        <v>35</v>
      </c>
      <c r="C2626" s="7">
        <v>4</v>
      </c>
      <c r="D2626" s="7">
        <v>2.0099999999999998</v>
      </c>
      <c r="E2626" s="85">
        <f t="shared" si="233"/>
        <v>8.0399999999999991</v>
      </c>
    </row>
    <row r="2627" spans="1:5" ht="18" x14ac:dyDescent="0.35">
      <c r="A2627" s="5"/>
      <c r="B2627" s="50" t="s">
        <v>36</v>
      </c>
      <c r="C2627" s="7">
        <v>4</v>
      </c>
      <c r="D2627" s="7">
        <v>0.25</v>
      </c>
      <c r="E2627" s="85">
        <f t="shared" si="233"/>
        <v>1</v>
      </c>
    </row>
    <row r="2628" spans="1:5" ht="18" x14ac:dyDescent="0.35">
      <c r="A2628" s="5"/>
      <c r="B2628" s="5"/>
      <c r="C2628" s="54"/>
      <c r="D2628" s="54"/>
      <c r="E2628" s="89">
        <f>SUM(E2620:E2627)</f>
        <v>383.08128000000005</v>
      </c>
    </row>
    <row r="2629" spans="1:5" ht="18" x14ac:dyDescent="0.35">
      <c r="A2629" s="5"/>
      <c r="B2629" s="5"/>
      <c r="C2629" s="54"/>
      <c r="D2629" s="105" t="s">
        <v>1095</v>
      </c>
      <c r="E2629" s="89">
        <f>E2628+E2628*40%</f>
        <v>536.31379200000003</v>
      </c>
    </row>
    <row r="2630" spans="1:5" ht="18" x14ac:dyDescent="0.35">
      <c r="A2630" s="5"/>
      <c r="B2630" s="50" t="s">
        <v>37</v>
      </c>
      <c r="C2630" s="54">
        <v>0.6</v>
      </c>
      <c r="D2630" s="54">
        <v>200</v>
      </c>
      <c r="E2630" s="85">
        <f>C2630*D2630</f>
        <v>120</v>
      </c>
    </row>
    <row r="2631" spans="1:5" ht="18" x14ac:dyDescent="0.35">
      <c r="A2631" s="5"/>
      <c r="B2631" s="5"/>
      <c r="C2631" s="54"/>
      <c r="D2631" s="54"/>
      <c r="E2631" s="85">
        <f>SUM(E2629:E2630)</f>
        <v>656.31379200000003</v>
      </c>
    </row>
    <row r="2633" spans="1:5" ht="21" x14ac:dyDescent="0.4">
      <c r="A2633" s="40" t="s">
        <v>1100</v>
      </c>
      <c r="B2633" s="40"/>
      <c r="C2633" s="84"/>
    </row>
    <row r="2634" spans="1:5" ht="18" x14ac:dyDescent="0.35">
      <c r="A2634" s="5"/>
      <c r="B2634" s="5"/>
      <c r="C2634" s="7" t="s">
        <v>28</v>
      </c>
      <c r="D2634" s="7" t="s">
        <v>29</v>
      </c>
      <c r="E2634" s="7" t="s">
        <v>30</v>
      </c>
    </row>
    <row r="2635" spans="1:5" ht="18" x14ac:dyDescent="0.35">
      <c r="A2635" s="5" t="s">
        <v>748</v>
      </c>
      <c r="B2635" s="50" t="s">
        <v>32</v>
      </c>
      <c r="C2635" s="7">
        <v>3.6030000000000002</v>
      </c>
      <c r="D2635" s="7">
        <v>30.44</v>
      </c>
      <c r="E2635" s="85">
        <f t="shared" ref="E2635:E2640" si="234">C2635*D2635</f>
        <v>109.67532000000001</v>
      </c>
    </row>
    <row r="2636" spans="1:5" ht="18" x14ac:dyDescent="0.35">
      <c r="A2636" s="5" t="s">
        <v>1092</v>
      </c>
      <c r="B2636" s="50" t="s">
        <v>33</v>
      </c>
      <c r="C2636" s="7">
        <v>9.3870000000000005</v>
      </c>
      <c r="D2636" s="7">
        <v>16.170000000000002</v>
      </c>
      <c r="E2636" s="85">
        <f t="shared" si="234"/>
        <v>151.78779000000003</v>
      </c>
    </row>
    <row r="2637" spans="1:5" ht="18" x14ac:dyDescent="0.35">
      <c r="A2637" s="5" t="s">
        <v>1099</v>
      </c>
      <c r="B2637" s="50" t="s">
        <v>84</v>
      </c>
      <c r="C2637" s="7">
        <v>2</v>
      </c>
      <c r="D2637" s="7">
        <v>1.6</v>
      </c>
      <c r="E2637" s="85">
        <f t="shared" si="234"/>
        <v>3.2</v>
      </c>
    </row>
    <row r="2638" spans="1:5" ht="18" x14ac:dyDescent="0.35">
      <c r="A2638" s="5" t="s">
        <v>1098</v>
      </c>
      <c r="B2638" s="50" t="s">
        <v>34</v>
      </c>
      <c r="C2638" s="7">
        <v>0.45</v>
      </c>
      <c r="D2638" s="7">
        <v>14.61</v>
      </c>
      <c r="E2638" s="85">
        <f t="shared" si="234"/>
        <v>6.5744999999999996</v>
      </c>
    </row>
    <row r="2639" spans="1:5" ht="18" x14ac:dyDescent="0.35">
      <c r="A2639" s="5"/>
      <c r="B2639" s="50" t="s">
        <v>35</v>
      </c>
      <c r="C2639" s="7">
        <v>4</v>
      </c>
      <c r="D2639" s="7">
        <v>2.91</v>
      </c>
      <c r="E2639" s="85">
        <f t="shared" si="234"/>
        <v>11.64</v>
      </c>
    </row>
    <row r="2640" spans="1:5" ht="18" x14ac:dyDescent="0.35">
      <c r="A2640" s="5"/>
      <c r="B2640" s="50" t="s">
        <v>36</v>
      </c>
      <c r="C2640" s="7">
        <v>4</v>
      </c>
      <c r="D2640" s="7">
        <v>0.61</v>
      </c>
      <c r="E2640" s="85">
        <f t="shared" si="234"/>
        <v>2.44</v>
      </c>
    </row>
    <row r="2641" spans="1:5" ht="18" x14ac:dyDescent="0.35">
      <c r="A2641" s="5"/>
      <c r="B2641" s="5"/>
      <c r="C2641" s="54"/>
      <c r="D2641" s="54"/>
      <c r="E2641" s="89">
        <f>SUM(E2635:E2640)</f>
        <v>285.31761</v>
      </c>
    </row>
    <row r="2642" spans="1:5" ht="18" x14ac:dyDescent="0.35">
      <c r="A2642" s="5"/>
      <c r="B2642" s="5"/>
      <c r="C2642" s="54"/>
      <c r="D2642" s="54" t="s">
        <v>1063</v>
      </c>
      <c r="E2642" s="89">
        <f>E2641+E2641*40%</f>
        <v>399.44465400000001</v>
      </c>
    </row>
    <row r="2643" spans="1:5" ht="18" x14ac:dyDescent="0.35">
      <c r="A2643" s="5"/>
      <c r="B2643" s="50" t="s">
        <v>37</v>
      </c>
      <c r="C2643" s="54">
        <v>0.5</v>
      </c>
      <c r="D2643" s="54">
        <v>200</v>
      </c>
      <c r="E2643" s="85">
        <f>C2643*D2643</f>
        <v>100</v>
      </c>
    </row>
    <row r="2644" spans="1:5" ht="18" x14ac:dyDescent="0.35">
      <c r="A2644" s="5"/>
      <c r="B2644" s="5"/>
      <c r="C2644" s="54"/>
      <c r="D2644" s="54"/>
      <c r="E2644" s="85">
        <f>SUM(E2642:E2643)</f>
        <v>499.44465400000001</v>
      </c>
    </row>
    <row r="2647" spans="1:5" ht="21" x14ac:dyDescent="0.4">
      <c r="A2647" s="40" t="s">
        <v>1101</v>
      </c>
      <c r="B2647" s="40"/>
      <c r="C2647" s="84"/>
    </row>
    <row r="2648" spans="1:5" ht="18" x14ac:dyDescent="0.35">
      <c r="A2648" s="5"/>
      <c r="B2648" s="5"/>
      <c r="C2648" s="7" t="s">
        <v>28</v>
      </c>
      <c r="D2648" s="7" t="s">
        <v>29</v>
      </c>
      <c r="E2648" s="7" t="s">
        <v>30</v>
      </c>
    </row>
    <row r="2649" spans="1:5" ht="18" x14ac:dyDescent="0.35">
      <c r="A2649" s="5" t="s">
        <v>762</v>
      </c>
      <c r="B2649" s="50" t="s">
        <v>32</v>
      </c>
      <c r="C2649" s="7">
        <v>2.238</v>
      </c>
      <c r="D2649" s="7">
        <v>30.44</v>
      </c>
      <c r="E2649" s="85">
        <f t="shared" ref="E2649:E2654" si="235">C2649*D2649</f>
        <v>68.124719999999996</v>
      </c>
    </row>
    <row r="2650" spans="1:5" ht="18" x14ac:dyDescent="0.35">
      <c r="A2650" s="5" t="s">
        <v>962</v>
      </c>
      <c r="B2650" s="50" t="s">
        <v>33</v>
      </c>
      <c r="C2650" s="7">
        <v>8.5470000000000006</v>
      </c>
      <c r="D2650" s="7">
        <v>16.170000000000002</v>
      </c>
      <c r="E2650" s="85">
        <f t="shared" si="235"/>
        <v>138.20499000000004</v>
      </c>
    </row>
    <row r="2651" spans="1:5" ht="18" x14ac:dyDescent="0.35">
      <c r="A2651" s="5" t="s">
        <v>1102</v>
      </c>
      <c r="B2651" s="50" t="s">
        <v>974</v>
      </c>
      <c r="C2651" s="7">
        <v>2</v>
      </c>
      <c r="D2651" s="7">
        <v>1.08</v>
      </c>
      <c r="E2651" s="85">
        <f t="shared" si="235"/>
        <v>2.16</v>
      </c>
    </row>
    <row r="2652" spans="1:5" ht="18" x14ac:dyDescent="0.35">
      <c r="A2652" s="5" t="s">
        <v>1098</v>
      </c>
      <c r="B2652" s="50" t="s">
        <v>34</v>
      </c>
      <c r="C2652" s="7">
        <v>0.27</v>
      </c>
      <c r="D2652" s="7">
        <v>14.61</v>
      </c>
      <c r="E2652" s="85">
        <f t="shared" si="235"/>
        <v>3.9447000000000001</v>
      </c>
    </row>
    <row r="2653" spans="1:5" ht="18" x14ac:dyDescent="0.35">
      <c r="A2653" s="5"/>
      <c r="B2653" s="50" t="s">
        <v>35</v>
      </c>
      <c r="C2653" s="7">
        <v>4</v>
      </c>
      <c r="D2653" s="7">
        <v>2.91</v>
      </c>
      <c r="E2653" s="85">
        <f t="shared" si="235"/>
        <v>11.64</v>
      </c>
    </row>
    <row r="2654" spans="1:5" ht="18" x14ac:dyDescent="0.35">
      <c r="A2654" s="5"/>
      <c r="B2654" s="50" t="s">
        <v>36</v>
      </c>
      <c r="C2654" s="7">
        <v>4</v>
      </c>
      <c r="D2654" s="7">
        <v>0.61</v>
      </c>
      <c r="E2654" s="85">
        <f t="shared" si="235"/>
        <v>2.44</v>
      </c>
    </row>
    <row r="2655" spans="1:5" ht="18" x14ac:dyDescent="0.35">
      <c r="A2655" s="5"/>
      <c r="B2655" s="5"/>
      <c r="C2655" s="54"/>
      <c r="D2655" s="54"/>
      <c r="E2655" s="89">
        <f>SUM(E2649:E2654)</f>
        <v>226.51441000000005</v>
      </c>
    </row>
    <row r="2656" spans="1:5" ht="18" x14ac:dyDescent="0.35">
      <c r="A2656" s="5"/>
      <c r="B2656" s="5"/>
      <c r="C2656" s="54"/>
      <c r="D2656" s="54" t="s">
        <v>1063</v>
      </c>
      <c r="E2656" s="89">
        <f>E2655+E2655*40%</f>
        <v>317.12017400000008</v>
      </c>
    </row>
    <row r="2657" spans="1:5" ht="18" x14ac:dyDescent="0.35">
      <c r="A2657" s="5"/>
      <c r="B2657" s="50" t="s">
        <v>37</v>
      </c>
      <c r="C2657" s="54">
        <v>0.5</v>
      </c>
      <c r="D2657" s="54">
        <v>200</v>
      </c>
      <c r="E2657" s="85">
        <f>C2657*D2657</f>
        <v>100</v>
      </c>
    </row>
    <row r="2658" spans="1:5" ht="18" x14ac:dyDescent="0.35">
      <c r="A2658" s="5"/>
      <c r="B2658" s="5"/>
      <c r="C2658" s="54"/>
      <c r="D2658" s="54"/>
      <c r="E2658" s="85">
        <f>SUM(E2656:E2657)</f>
        <v>417.12017400000008</v>
      </c>
    </row>
    <row r="2661" spans="1:5" ht="21" x14ac:dyDescent="0.4">
      <c r="A2661" s="40" t="s">
        <v>1103</v>
      </c>
      <c r="B2661" s="40"/>
      <c r="C2661" s="84"/>
    </row>
    <row r="2662" spans="1:5" ht="18" x14ac:dyDescent="0.35">
      <c r="A2662" s="5"/>
      <c r="B2662" s="5"/>
      <c r="C2662" s="7" t="s">
        <v>28</v>
      </c>
      <c r="D2662" s="7" t="s">
        <v>29</v>
      </c>
      <c r="E2662" s="7" t="s">
        <v>30</v>
      </c>
    </row>
    <row r="2663" spans="1:5" ht="18" x14ac:dyDescent="0.35">
      <c r="A2663" s="5" t="s">
        <v>1104</v>
      </c>
      <c r="B2663" s="50" t="s">
        <v>32</v>
      </c>
      <c r="C2663" s="7">
        <v>2.448</v>
      </c>
      <c r="D2663" s="7">
        <v>30.44</v>
      </c>
      <c r="E2663" s="85">
        <f t="shared" ref="E2663:E2668" si="236">C2663*D2663</f>
        <v>74.517120000000006</v>
      </c>
    </row>
    <row r="2664" spans="1:5" ht="18" x14ac:dyDescent="0.35">
      <c r="A2664" s="5" t="s">
        <v>57</v>
      </c>
      <c r="B2664" s="50" t="s">
        <v>33</v>
      </c>
      <c r="C2664" s="7">
        <v>13.923</v>
      </c>
      <c r="D2664" s="7">
        <v>16.170000000000002</v>
      </c>
      <c r="E2664" s="85">
        <f t="shared" si="236"/>
        <v>225.13491000000002</v>
      </c>
    </row>
    <row r="2665" spans="1:5" ht="18" x14ac:dyDescent="0.35">
      <c r="A2665" s="5" t="s">
        <v>649</v>
      </c>
      <c r="B2665" s="50" t="s">
        <v>99</v>
      </c>
      <c r="C2665" s="7">
        <v>2</v>
      </c>
      <c r="D2665" s="7">
        <v>3.51</v>
      </c>
      <c r="E2665" s="85">
        <f t="shared" si="236"/>
        <v>7.02</v>
      </c>
    </row>
    <row r="2666" spans="1:5" ht="18" x14ac:dyDescent="0.35">
      <c r="A2666" s="5" t="s">
        <v>1105</v>
      </c>
      <c r="B2666" s="50" t="s">
        <v>34</v>
      </c>
      <c r="C2666" s="7">
        <v>0.7</v>
      </c>
      <c r="D2666" s="7">
        <v>14.61</v>
      </c>
      <c r="E2666" s="85">
        <f t="shared" si="236"/>
        <v>10.226999999999999</v>
      </c>
    </row>
    <row r="2667" spans="1:5" ht="18" x14ac:dyDescent="0.35">
      <c r="A2667" s="5"/>
      <c r="B2667" s="50" t="s">
        <v>35</v>
      </c>
      <c r="C2667" s="7">
        <v>4</v>
      </c>
      <c r="D2667" s="7">
        <v>2.91</v>
      </c>
      <c r="E2667" s="85">
        <f t="shared" si="236"/>
        <v>11.64</v>
      </c>
    </row>
    <row r="2668" spans="1:5" ht="18" x14ac:dyDescent="0.35">
      <c r="A2668" s="5"/>
      <c r="B2668" s="50" t="s">
        <v>36</v>
      </c>
      <c r="C2668" s="7">
        <v>4</v>
      </c>
      <c r="D2668" s="7">
        <v>0.61</v>
      </c>
      <c r="E2668" s="85">
        <f t="shared" si="236"/>
        <v>2.44</v>
      </c>
    </row>
    <row r="2669" spans="1:5" ht="18" x14ac:dyDescent="0.35">
      <c r="A2669" s="5"/>
      <c r="B2669" s="5"/>
      <c r="C2669" s="54"/>
      <c r="D2669" s="54"/>
      <c r="E2669" s="89">
        <f>SUM(E2663:E2668)</f>
        <v>330.97902999999997</v>
      </c>
    </row>
    <row r="2670" spans="1:5" ht="18" x14ac:dyDescent="0.35">
      <c r="A2670" s="5"/>
      <c r="B2670" s="5"/>
      <c r="C2670" s="54"/>
      <c r="D2670" s="54" t="s">
        <v>1063</v>
      </c>
      <c r="E2670" s="89">
        <f>E2669+E2669*40%</f>
        <v>463.37064199999998</v>
      </c>
    </row>
    <row r="2671" spans="1:5" ht="18" x14ac:dyDescent="0.35">
      <c r="A2671" s="5"/>
      <c r="B2671" s="50" t="s">
        <v>37</v>
      </c>
      <c r="C2671" s="54">
        <v>1</v>
      </c>
      <c r="D2671" s="54">
        <v>200</v>
      </c>
      <c r="E2671" s="85">
        <f>C2671*D2671</f>
        <v>200</v>
      </c>
    </row>
    <row r="2672" spans="1:5" ht="18" x14ac:dyDescent="0.35">
      <c r="A2672" s="5"/>
      <c r="B2672" s="5"/>
      <c r="C2672" s="54"/>
      <c r="D2672" s="54"/>
      <c r="E2672" s="85">
        <f>SUM(E2670:E2671)</f>
        <v>663.37064199999998</v>
      </c>
    </row>
    <row r="2675" spans="1:5" ht="21" x14ac:dyDescent="0.4">
      <c r="A2675" s="40" t="s">
        <v>957</v>
      </c>
      <c r="B2675" s="40"/>
      <c r="C2675" s="40"/>
      <c r="D2675" s="12"/>
      <c r="E2675" s="12"/>
    </row>
    <row r="2676" spans="1:5" ht="18" x14ac:dyDescent="0.35">
      <c r="A2676" s="5"/>
      <c r="B2676" s="5"/>
      <c r="C2676" s="7" t="s">
        <v>28</v>
      </c>
      <c r="D2676" s="7" t="s">
        <v>29</v>
      </c>
      <c r="E2676" s="7" t="s">
        <v>30</v>
      </c>
    </row>
    <row r="2677" spans="1:5" ht="18" x14ac:dyDescent="0.35">
      <c r="A2677" s="5" t="s">
        <v>204</v>
      </c>
      <c r="B2677" s="50" t="s">
        <v>32</v>
      </c>
      <c r="C2677" s="7">
        <v>0.94199999999999995</v>
      </c>
      <c r="D2677" s="7">
        <v>30.44</v>
      </c>
      <c r="E2677" s="85">
        <f>C2677*D2677</f>
        <v>28.674479999999999</v>
      </c>
    </row>
    <row r="2678" spans="1:5" ht="18" x14ac:dyDescent="0.35">
      <c r="A2678" s="5" t="s">
        <v>39</v>
      </c>
      <c r="B2678" s="50" t="s">
        <v>33</v>
      </c>
      <c r="C2678" s="7">
        <v>3.16</v>
      </c>
      <c r="D2678" s="7">
        <v>17.059999999999999</v>
      </c>
      <c r="E2678" s="85">
        <f>C2678*D2678</f>
        <v>53.909599999999998</v>
      </c>
    </row>
    <row r="2679" spans="1:5" ht="18" x14ac:dyDescent="0.35">
      <c r="A2679" s="5" t="s">
        <v>696</v>
      </c>
      <c r="B2679" s="50" t="s">
        <v>137</v>
      </c>
      <c r="C2679" s="7">
        <v>0.15</v>
      </c>
      <c r="D2679" s="7">
        <v>17.190000000000001</v>
      </c>
      <c r="E2679" s="85">
        <f>C2679*D2679</f>
        <v>2.5785</v>
      </c>
    </row>
    <row r="2680" spans="1:5" ht="18" x14ac:dyDescent="0.35">
      <c r="A2680" s="5" t="s">
        <v>1084</v>
      </c>
      <c r="B2680" s="50" t="s">
        <v>35</v>
      </c>
      <c r="C2680" s="7">
        <v>4</v>
      </c>
      <c r="D2680" s="7">
        <v>2.91</v>
      </c>
      <c r="E2680" s="85">
        <f>C2680*D2680</f>
        <v>11.64</v>
      </c>
    </row>
    <row r="2681" spans="1:5" ht="18" x14ac:dyDescent="0.35">
      <c r="A2681" s="5"/>
      <c r="B2681" s="50" t="s">
        <v>36</v>
      </c>
      <c r="C2681" s="7">
        <v>4</v>
      </c>
      <c r="D2681" s="7">
        <v>0.61</v>
      </c>
      <c r="E2681" s="85">
        <f>C2681*D2681</f>
        <v>2.44</v>
      </c>
    </row>
    <row r="2682" spans="1:5" ht="18" x14ac:dyDescent="0.35">
      <c r="A2682" s="5"/>
      <c r="B2682" s="96"/>
      <c r="C2682" s="87"/>
      <c r="D2682" s="87"/>
      <c r="E2682" s="94">
        <f>SUM(E2677:E2681)</f>
        <v>99.242580000000004</v>
      </c>
    </row>
    <row r="2683" spans="1:5" ht="18" x14ac:dyDescent="0.35">
      <c r="A2683" s="5"/>
      <c r="B2683" s="96"/>
      <c r="C2683" s="87"/>
      <c r="D2683" s="87" t="s">
        <v>1066</v>
      </c>
      <c r="E2683" s="94">
        <f>E2682+E2682*40%</f>
        <v>138.93961200000001</v>
      </c>
    </row>
    <row r="2684" spans="1:5" ht="18" x14ac:dyDescent="0.35">
      <c r="A2684" s="5"/>
      <c r="B2684" s="50" t="s">
        <v>37</v>
      </c>
      <c r="C2684" s="7">
        <v>0.25</v>
      </c>
      <c r="D2684" s="93">
        <v>200</v>
      </c>
      <c r="E2684" s="85">
        <f>C2684*D2684</f>
        <v>50</v>
      </c>
    </row>
    <row r="2685" spans="1:5" ht="18" x14ac:dyDescent="0.35">
      <c r="D2685" s="12" t="s">
        <v>1083</v>
      </c>
      <c r="E2685" s="109">
        <f>SUM(E2683:E2684)</f>
        <v>188.93961200000001</v>
      </c>
    </row>
    <row r="2688" spans="1:5" ht="21" x14ac:dyDescent="0.4">
      <c r="A2688" s="40" t="s">
        <v>1093</v>
      </c>
      <c r="B2688" s="40"/>
      <c r="C2688" s="84"/>
      <c r="D2688" s="12"/>
      <c r="E2688" s="12"/>
    </row>
    <row r="2689" spans="1:5" ht="21" x14ac:dyDescent="0.4">
      <c r="A2689" s="40"/>
      <c r="B2689" s="40"/>
      <c r="C2689" s="84"/>
      <c r="D2689" s="12"/>
      <c r="E2689" s="12"/>
    </row>
    <row r="2690" spans="1:5" ht="18" x14ac:dyDescent="0.35">
      <c r="A2690" s="5"/>
      <c r="B2690" s="5"/>
      <c r="C2690" s="7" t="s">
        <v>28</v>
      </c>
      <c r="D2690" s="7" t="s">
        <v>29</v>
      </c>
      <c r="E2690" s="7" t="s">
        <v>30</v>
      </c>
    </row>
    <row r="2691" spans="1:5" ht="18" x14ac:dyDescent="0.35">
      <c r="A2691" s="5" t="s">
        <v>78</v>
      </c>
      <c r="B2691" s="50" t="s">
        <v>32</v>
      </c>
      <c r="C2691" s="7">
        <v>2.7629999999999999</v>
      </c>
      <c r="D2691" s="7">
        <v>45.07</v>
      </c>
      <c r="E2691" s="85">
        <f t="shared" ref="E2691:E2698" si="237">C2691*D2691</f>
        <v>124.52840999999999</v>
      </c>
    </row>
    <row r="2692" spans="1:5" ht="18" x14ac:dyDescent="0.35">
      <c r="A2692" s="5" t="s">
        <v>63</v>
      </c>
      <c r="B2692" s="50" t="s">
        <v>33</v>
      </c>
      <c r="C2692" s="7">
        <v>6.867</v>
      </c>
      <c r="D2692" s="7">
        <v>16.170000000000002</v>
      </c>
      <c r="E2692" s="85">
        <f t="shared" si="237"/>
        <v>111.03939000000001</v>
      </c>
    </row>
    <row r="2693" spans="1:5" ht="18" x14ac:dyDescent="0.35">
      <c r="A2693" s="5" t="s">
        <v>1094</v>
      </c>
      <c r="B2693" s="50" t="s">
        <v>33</v>
      </c>
      <c r="C2693" s="7">
        <v>7.6440000000000001</v>
      </c>
      <c r="D2693" s="7">
        <v>16.170000000000002</v>
      </c>
      <c r="E2693" s="85">
        <f t="shared" si="237"/>
        <v>123.60348000000002</v>
      </c>
    </row>
    <row r="2694" spans="1:5" ht="18" x14ac:dyDescent="0.35">
      <c r="A2694" s="5" t="s">
        <v>1096</v>
      </c>
      <c r="B2694" s="50" t="s">
        <v>96</v>
      </c>
      <c r="C2694" s="7">
        <v>2</v>
      </c>
      <c r="D2694" s="7">
        <v>1.1499999999999999</v>
      </c>
      <c r="E2694" s="85">
        <f t="shared" si="237"/>
        <v>2.2999999999999998</v>
      </c>
    </row>
    <row r="2695" spans="1:5" ht="18" x14ac:dyDescent="0.35">
      <c r="A2695" s="5" t="s">
        <v>1097</v>
      </c>
      <c r="B2695" s="50" t="s">
        <v>88</v>
      </c>
      <c r="C2695" s="88">
        <v>4</v>
      </c>
      <c r="D2695" s="88">
        <v>2.2400000000000002</v>
      </c>
      <c r="E2695" s="90">
        <f t="shared" si="237"/>
        <v>8.9600000000000009</v>
      </c>
    </row>
    <row r="2696" spans="1:5" ht="18" x14ac:dyDescent="0.35">
      <c r="A2696" s="5"/>
      <c r="B2696" s="50" t="s">
        <v>34</v>
      </c>
      <c r="C2696" s="7">
        <v>0.2</v>
      </c>
      <c r="D2696" s="7">
        <v>18.05</v>
      </c>
      <c r="E2696" s="85">
        <f t="shared" si="237"/>
        <v>3.6100000000000003</v>
      </c>
    </row>
    <row r="2697" spans="1:5" ht="18" x14ac:dyDescent="0.35">
      <c r="A2697" s="5"/>
      <c r="B2697" s="50" t="s">
        <v>35</v>
      </c>
      <c r="C2697" s="7">
        <v>4</v>
      </c>
      <c r="D2697" s="7">
        <v>2.0099999999999998</v>
      </c>
      <c r="E2697" s="85">
        <f t="shared" si="237"/>
        <v>8.0399999999999991</v>
      </c>
    </row>
    <row r="2698" spans="1:5" ht="18" x14ac:dyDescent="0.35">
      <c r="A2698" s="5"/>
      <c r="B2698" s="50" t="s">
        <v>36</v>
      </c>
      <c r="C2698" s="7">
        <v>4</v>
      </c>
      <c r="D2698" s="7">
        <v>0.25</v>
      </c>
      <c r="E2698" s="85">
        <f t="shared" si="237"/>
        <v>1</v>
      </c>
    </row>
    <row r="2699" spans="1:5" ht="18" x14ac:dyDescent="0.35">
      <c r="A2699" s="5"/>
      <c r="B2699" s="5"/>
      <c r="C2699" s="54"/>
      <c r="D2699" s="54"/>
      <c r="E2699" s="89">
        <f>SUM(E2691:E2698)</f>
        <v>383.08128000000005</v>
      </c>
    </row>
    <row r="2700" spans="1:5" ht="18" x14ac:dyDescent="0.35">
      <c r="A2700" s="5"/>
      <c r="B2700" s="5"/>
      <c r="C2700" s="54"/>
      <c r="D2700" s="105" t="s">
        <v>1095</v>
      </c>
      <c r="E2700" s="89">
        <f>E2699+E2699*40%</f>
        <v>536.31379200000003</v>
      </c>
    </row>
    <row r="2701" spans="1:5" ht="18" x14ac:dyDescent="0.35">
      <c r="A2701" s="5"/>
      <c r="B2701" s="50" t="s">
        <v>37</v>
      </c>
      <c r="C2701" s="54">
        <v>0.6</v>
      </c>
      <c r="D2701" s="54">
        <v>200</v>
      </c>
      <c r="E2701" s="85">
        <f>C2701*D2701</f>
        <v>120</v>
      </c>
    </row>
    <row r="2702" spans="1:5" ht="18" x14ac:dyDescent="0.35">
      <c r="A2702" s="5"/>
      <c r="B2702" s="5"/>
      <c r="C2702" s="54"/>
      <c r="D2702" s="54"/>
      <c r="E2702" s="85">
        <f>SUM(E2700:E2701)</f>
        <v>656.31379200000003</v>
      </c>
    </row>
    <row r="2705" spans="1:5" ht="21" x14ac:dyDescent="0.4">
      <c r="A2705" s="40" t="s">
        <v>1106</v>
      </c>
      <c r="B2705" s="40"/>
      <c r="C2705" s="84"/>
      <c r="D2705" s="12"/>
      <c r="E2705" s="12"/>
    </row>
    <row r="2706" spans="1:5" ht="21" x14ac:dyDescent="0.4">
      <c r="A2706" s="40"/>
      <c r="B2706" s="40"/>
      <c r="C2706" s="84"/>
      <c r="D2706" s="12"/>
      <c r="E2706" s="12"/>
    </row>
    <row r="2707" spans="1:5" ht="18" x14ac:dyDescent="0.35">
      <c r="A2707" s="5"/>
      <c r="B2707" s="5"/>
      <c r="C2707" s="7" t="s">
        <v>28</v>
      </c>
      <c r="D2707" s="7" t="s">
        <v>29</v>
      </c>
      <c r="E2707" s="7" t="s">
        <v>30</v>
      </c>
    </row>
    <row r="2708" spans="1:5" ht="18" x14ac:dyDescent="0.35">
      <c r="A2708" s="5" t="s">
        <v>64</v>
      </c>
      <c r="B2708" s="50" t="s">
        <v>32</v>
      </c>
      <c r="C2708" s="7">
        <v>1.032</v>
      </c>
      <c r="D2708" s="7">
        <v>45.07</v>
      </c>
      <c r="E2708" s="85">
        <f t="shared" ref="E2708:E2715" si="238">C2708*D2708</f>
        <v>46.512239999999998</v>
      </c>
    </row>
    <row r="2709" spans="1:5" ht="18" x14ac:dyDescent="0.35">
      <c r="A2709" s="5" t="s">
        <v>63</v>
      </c>
      <c r="B2709" s="50" t="s">
        <v>33</v>
      </c>
      <c r="C2709" s="7">
        <v>1.74</v>
      </c>
      <c r="D2709" s="7">
        <v>16.170000000000002</v>
      </c>
      <c r="E2709" s="85">
        <f t="shared" si="238"/>
        <v>28.135800000000003</v>
      </c>
    </row>
    <row r="2710" spans="1:5" ht="18" x14ac:dyDescent="0.35">
      <c r="A2710" s="5" t="s">
        <v>53</v>
      </c>
      <c r="B2710" s="50" t="s">
        <v>33</v>
      </c>
      <c r="C2710" s="7">
        <v>1.96</v>
      </c>
      <c r="D2710" s="7">
        <v>16.170000000000002</v>
      </c>
      <c r="E2710" s="85">
        <f t="shared" si="238"/>
        <v>31.693200000000004</v>
      </c>
    </row>
    <row r="2711" spans="1:5" ht="18" x14ac:dyDescent="0.35">
      <c r="A2711" s="5" t="s">
        <v>623</v>
      </c>
      <c r="B2711" s="50" t="s">
        <v>96</v>
      </c>
      <c r="C2711" s="7">
        <v>2</v>
      </c>
      <c r="D2711" s="7">
        <v>1.1499999999999999</v>
      </c>
      <c r="E2711" s="85">
        <f t="shared" si="238"/>
        <v>2.2999999999999998</v>
      </c>
    </row>
    <row r="2712" spans="1:5" ht="18" x14ac:dyDescent="0.35">
      <c r="A2712" s="5" t="s">
        <v>1097</v>
      </c>
      <c r="B2712" s="50" t="s">
        <v>90</v>
      </c>
      <c r="C2712" s="88">
        <v>2</v>
      </c>
      <c r="D2712" s="88">
        <v>1.86</v>
      </c>
      <c r="E2712" s="90">
        <f t="shared" si="238"/>
        <v>3.72</v>
      </c>
    </row>
    <row r="2713" spans="1:5" ht="18" x14ac:dyDescent="0.35">
      <c r="A2713" s="5"/>
      <c r="B2713" s="50" t="s">
        <v>34</v>
      </c>
      <c r="C2713" s="7"/>
      <c r="D2713" s="7">
        <v>18.05</v>
      </c>
      <c r="E2713" s="85">
        <f t="shared" si="238"/>
        <v>0</v>
      </c>
    </row>
    <row r="2714" spans="1:5" ht="18" x14ac:dyDescent="0.35">
      <c r="A2714" s="5"/>
      <c r="B2714" s="50" t="s">
        <v>35</v>
      </c>
      <c r="C2714" s="7">
        <v>4</v>
      </c>
      <c r="D2714" s="7">
        <v>2.0099999999999998</v>
      </c>
      <c r="E2714" s="85">
        <f t="shared" si="238"/>
        <v>8.0399999999999991</v>
      </c>
    </row>
    <row r="2715" spans="1:5" ht="18" x14ac:dyDescent="0.35">
      <c r="A2715" s="5"/>
      <c r="B2715" s="50" t="s">
        <v>36</v>
      </c>
      <c r="C2715" s="7">
        <v>4</v>
      </c>
      <c r="D2715" s="7">
        <v>0.25</v>
      </c>
      <c r="E2715" s="85">
        <f t="shared" si="238"/>
        <v>1</v>
      </c>
    </row>
    <row r="2716" spans="1:5" ht="18" x14ac:dyDescent="0.35">
      <c r="A2716" s="5"/>
      <c r="B2716" s="5"/>
      <c r="C2716" s="54"/>
      <c r="D2716" s="54"/>
      <c r="E2716" s="89">
        <f>SUM(E2708:E2715)</f>
        <v>121.40124</v>
      </c>
    </row>
    <row r="2717" spans="1:5" ht="18" x14ac:dyDescent="0.35">
      <c r="A2717" s="5"/>
      <c r="B2717" s="5"/>
      <c r="C2717" s="54"/>
      <c r="D2717" s="105" t="s">
        <v>1095</v>
      </c>
      <c r="E2717" s="89">
        <f>E2716+E2716*40%</f>
        <v>169.961736</v>
      </c>
    </row>
    <row r="2718" spans="1:5" ht="18" x14ac:dyDescent="0.35">
      <c r="A2718" s="5"/>
      <c r="B2718" s="50" t="s">
        <v>37</v>
      </c>
      <c r="C2718" s="54">
        <v>0.6</v>
      </c>
      <c r="D2718" s="54">
        <v>200</v>
      </c>
      <c r="E2718" s="85">
        <f>C2718*D2718</f>
        <v>120</v>
      </c>
    </row>
    <row r="2719" spans="1:5" ht="18" x14ac:dyDescent="0.35">
      <c r="A2719" s="5"/>
      <c r="B2719" s="5"/>
      <c r="C2719" s="54"/>
      <c r="D2719" s="54"/>
      <c r="E2719" s="85">
        <f>SUM(E2717:E2718)</f>
        <v>289.96173599999997</v>
      </c>
    </row>
    <row r="2722" spans="1:5" ht="21" x14ac:dyDescent="0.4">
      <c r="A2722" s="40" t="s">
        <v>1107</v>
      </c>
      <c r="B2722" s="40"/>
      <c r="C2722" s="84"/>
    </row>
    <row r="2723" spans="1:5" ht="18" x14ac:dyDescent="0.35">
      <c r="A2723" s="5"/>
      <c r="B2723" s="5"/>
      <c r="C2723" s="7" t="s">
        <v>28</v>
      </c>
      <c r="D2723" s="7" t="s">
        <v>29</v>
      </c>
      <c r="E2723" s="7" t="s">
        <v>30</v>
      </c>
    </row>
    <row r="2724" spans="1:5" ht="18" x14ac:dyDescent="0.35">
      <c r="A2724" s="5" t="s">
        <v>378</v>
      </c>
      <c r="B2724" s="50" t="s">
        <v>32</v>
      </c>
      <c r="C2724" s="7">
        <v>3.4980000000000002</v>
      </c>
      <c r="D2724" s="7">
        <v>30.44</v>
      </c>
      <c r="E2724" s="85">
        <f t="shared" ref="E2724:E2729" si="239">C2724*D2724</f>
        <v>106.47912000000001</v>
      </c>
    </row>
    <row r="2725" spans="1:5" ht="18" x14ac:dyDescent="0.35">
      <c r="A2725" s="5" t="s">
        <v>1108</v>
      </c>
      <c r="B2725" s="50" t="s">
        <v>33</v>
      </c>
      <c r="C2725" s="7">
        <v>13.135</v>
      </c>
      <c r="D2725" s="7">
        <v>16.170000000000002</v>
      </c>
      <c r="E2725" s="85">
        <f t="shared" si="239"/>
        <v>212.39295000000001</v>
      </c>
    </row>
    <row r="2726" spans="1:5" ht="18" x14ac:dyDescent="0.35">
      <c r="A2726" s="5" t="s">
        <v>649</v>
      </c>
      <c r="B2726" s="50" t="s">
        <v>85</v>
      </c>
      <c r="C2726" s="7">
        <v>2</v>
      </c>
      <c r="D2726" s="7">
        <v>1.48</v>
      </c>
      <c r="E2726" s="85">
        <f t="shared" si="239"/>
        <v>2.96</v>
      </c>
    </row>
    <row r="2727" spans="1:5" ht="18" x14ac:dyDescent="0.35">
      <c r="A2727" s="5" t="s">
        <v>1105</v>
      </c>
      <c r="B2727" s="50" t="s">
        <v>34</v>
      </c>
      <c r="C2727" s="7">
        <v>1</v>
      </c>
      <c r="D2727" s="7">
        <v>14.61</v>
      </c>
      <c r="E2727" s="85">
        <f t="shared" si="239"/>
        <v>14.61</v>
      </c>
    </row>
    <row r="2728" spans="1:5" ht="18" x14ac:dyDescent="0.35">
      <c r="A2728" s="5"/>
      <c r="B2728" s="50" t="s">
        <v>35</v>
      </c>
      <c r="C2728" s="7">
        <v>4</v>
      </c>
      <c r="D2728" s="7">
        <v>2.91</v>
      </c>
      <c r="E2728" s="85">
        <f t="shared" si="239"/>
        <v>11.64</v>
      </c>
    </row>
    <row r="2729" spans="1:5" ht="18" x14ac:dyDescent="0.35">
      <c r="A2729" s="5"/>
      <c r="B2729" s="50" t="s">
        <v>36</v>
      </c>
      <c r="C2729" s="7">
        <v>4</v>
      </c>
      <c r="D2729" s="7">
        <v>0.61</v>
      </c>
      <c r="E2729" s="85">
        <f t="shared" si="239"/>
        <v>2.44</v>
      </c>
    </row>
    <row r="2730" spans="1:5" ht="18" x14ac:dyDescent="0.35">
      <c r="A2730" s="5"/>
      <c r="B2730" s="5"/>
      <c r="C2730" s="54"/>
      <c r="D2730" s="54"/>
      <c r="E2730" s="89">
        <f>SUM(E2724:E2729)</f>
        <v>350.52206999999999</v>
      </c>
    </row>
    <row r="2731" spans="1:5" ht="18" x14ac:dyDescent="0.35">
      <c r="A2731" s="5"/>
      <c r="B2731" s="5"/>
      <c r="C2731" s="54"/>
      <c r="D2731" s="54" t="s">
        <v>1063</v>
      </c>
      <c r="E2731" s="89">
        <f>E2730+E2730*40%</f>
        <v>490.73089800000002</v>
      </c>
    </row>
    <row r="2732" spans="1:5" ht="18" x14ac:dyDescent="0.35">
      <c r="A2732" s="5"/>
      <c r="B2732" s="50" t="s">
        <v>37</v>
      </c>
      <c r="C2732" s="54">
        <v>1</v>
      </c>
      <c r="D2732" s="54">
        <v>200</v>
      </c>
      <c r="E2732" s="85">
        <f>C2732*D2732</f>
        <v>200</v>
      </c>
    </row>
    <row r="2733" spans="1:5" ht="18" x14ac:dyDescent="0.35">
      <c r="A2733" s="5"/>
      <c r="B2733" s="5"/>
      <c r="C2733" s="54"/>
      <c r="D2733" s="54"/>
      <c r="E2733" s="85">
        <f>SUM(E2731:E2732)</f>
        <v>690.73089800000002</v>
      </c>
    </row>
    <row r="2736" spans="1:5" ht="21" x14ac:dyDescent="0.4">
      <c r="A2736" s="40" t="s">
        <v>1111</v>
      </c>
      <c r="B2736" s="40"/>
      <c r="C2736" s="40"/>
      <c r="D2736" s="12"/>
      <c r="E2736" s="12"/>
    </row>
    <row r="2737" spans="1:5" ht="18" x14ac:dyDescent="0.35">
      <c r="A2737" s="5"/>
      <c r="B2737" s="5"/>
      <c r="C2737" s="7" t="s">
        <v>28</v>
      </c>
      <c r="D2737" s="7" t="s">
        <v>29</v>
      </c>
      <c r="E2737" s="7" t="s">
        <v>30</v>
      </c>
    </row>
    <row r="2738" spans="1:5" ht="18" x14ac:dyDescent="0.35">
      <c r="A2738" s="5" t="s">
        <v>1110</v>
      </c>
      <c r="B2738" s="50" t="s">
        <v>32</v>
      </c>
      <c r="C2738" s="7">
        <v>4.2969999999999997</v>
      </c>
      <c r="D2738" s="7">
        <v>29.12</v>
      </c>
      <c r="E2738" s="85">
        <f>C2738*D2738</f>
        <v>125.12863999999999</v>
      </c>
    </row>
    <row r="2739" spans="1:5" ht="18" x14ac:dyDescent="0.35">
      <c r="A2739" s="5" t="s">
        <v>53</v>
      </c>
      <c r="B2739" s="50" t="s">
        <v>33</v>
      </c>
      <c r="C2739" s="7">
        <v>26.018999999999998</v>
      </c>
      <c r="D2739" s="7">
        <v>15.25</v>
      </c>
      <c r="E2739" s="85">
        <f>C2739*D2739</f>
        <v>396.78974999999997</v>
      </c>
    </row>
    <row r="2740" spans="1:5" ht="18" x14ac:dyDescent="0.35">
      <c r="A2740" s="5" t="s">
        <v>595</v>
      </c>
      <c r="B2740" s="50" t="s">
        <v>137</v>
      </c>
      <c r="C2740" s="7">
        <v>1</v>
      </c>
      <c r="D2740" s="7">
        <v>17.190000000000001</v>
      </c>
      <c r="E2740" s="85">
        <f>C2740*D2740</f>
        <v>17.190000000000001</v>
      </c>
    </row>
    <row r="2741" spans="1:5" ht="18" x14ac:dyDescent="0.35">
      <c r="A2741" s="5" t="s">
        <v>1084</v>
      </c>
      <c r="B2741" s="50" t="s">
        <v>35</v>
      </c>
      <c r="C2741" s="7">
        <v>4</v>
      </c>
      <c r="D2741" s="7">
        <v>2.91</v>
      </c>
      <c r="E2741" s="85">
        <f>C2741*D2741</f>
        <v>11.64</v>
      </c>
    </row>
    <row r="2742" spans="1:5" ht="18" x14ac:dyDescent="0.35">
      <c r="A2742" s="5"/>
      <c r="B2742" s="50" t="s">
        <v>36</v>
      </c>
      <c r="C2742" s="7">
        <v>4</v>
      </c>
      <c r="D2742" s="7">
        <v>0.61</v>
      </c>
      <c r="E2742" s="85">
        <f>C2742*D2742</f>
        <v>2.44</v>
      </c>
    </row>
    <row r="2743" spans="1:5" ht="18" x14ac:dyDescent="0.35">
      <c r="A2743" s="5"/>
      <c r="B2743" s="96"/>
      <c r="C2743" s="87"/>
      <c r="D2743" s="87"/>
      <c r="E2743" s="94">
        <f>SUM(E2738:E2742)</f>
        <v>553.18839000000003</v>
      </c>
    </row>
    <row r="2744" spans="1:5" ht="18" x14ac:dyDescent="0.35">
      <c r="A2744" s="5"/>
      <c r="B2744" s="96"/>
      <c r="C2744" s="87"/>
      <c r="D2744" s="87" t="s">
        <v>1066</v>
      </c>
      <c r="E2744" s="94">
        <f>E2743+E2743*40%</f>
        <v>774.46374600000001</v>
      </c>
    </row>
    <row r="2745" spans="1:5" ht="18" x14ac:dyDescent="0.35">
      <c r="A2745" s="5"/>
      <c r="B2745" s="50" t="s">
        <v>37</v>
      </c>
      <c r="C2745" s="7">
        <v>1</v>
      </c>
      <c r="D2745" s="93">
        <v>200</v>
      </c>
      <c r="E2745" s="85">
        <f>C2745*D2745</f>
        <v>200</v>
      </c>
    </row>
    <row r="2746" spans="1:5" ht="18" x14ac:dyDescent="0.35">
      <c r="D2746" s="12" t="s">
        <v>1083</v>
      </c>
      <c r="E2746" s="109">
        <f>SUM(E2744:E2745)</f>
        <v>974.46374600000001</v>
      </c>
    </row>
    <row r="2748" spans="1:5" ht="21" x14ac:dyDescent="0.4">
      <c r="A2748" s="40" t="s">
        <v>1113</v>
      </c>
      <c r="B2748" s="40"/>
      <c r="C2748" s="40"/>
      <c r="D2748" s="12"/>
      <c r="E2748" s="12"/>
    </row>
    <row r="2749" spans="1:5" ht="18" x14ac:dyDescent="0.35">
      <c r="A2749" s="5"/>
      <c r="B2749" s="5"/>
      <c r="C2749" s="7" t="s">
        <v>28</v>
      </c>
      <c r="D2749" s="7" t="s">
        <v>29</v>
      </c>
      <c r="E2749" s="7" t="s">
        <v>30</v>
      </c>
    </row>
    <row r="2750" spans="1:5" ht="18" x14ac:dyDescent="0.35">
      <c r="A2750" s="5" t="s">
        <v>1112</v>
      </c>
      <c r="B2750" s="50" t="s">
        <v>32</v>
      </c>
      <c r="C2750" s="7">
        <v>4.3380000000000001</v>
      </c>
      <c r="D2750" s="7" t="s">
        <v>1117</v>
      </c>
      <c r="E2750" s="85" t="e">
        <f>C2750*D2750</f>
        <v>#VALUE!</v>
      </c>
    </row>
    <row r="2751" spans="1:5" ht="18" x14ac:dyDescent="0.35">
      <c r="A2751" s="5" t="s">
        <v>53</v>
      </c>
      <c r="B2751" s="50" t="s">
        <v>33</v>
      </c>
      <c r="C2751" s="7">
        <v>26.312999999999999</v>
      </c>
      <c r="D2751" s="7">
        <v>15.25</v>
      </c>
      <c r="E2751" s="85">
        <f>C2751*D2751</f>
        <v>401.27324999999996</v>
      </c>
    </row>
    <row r="2752" spans="1:5" ht="18" x14ac:dyDescent="0.35">
      <c r="A2752" s="5" t="s">
        <v>595</v>
      </c>
      <c r="B2752" s="50" t="s">
        <v>137</v>
      </c>
      <c r="C2752" s="7">
        <v>1</v>
      </c>
      <c r="D2752" s="7">
        <v>17.190000000000001</v>
      </c>
      <c r="E2752" s="85">
        <f>C2752*D2752</f>
        <v>17.190000000000001</v>
      </c>
    </row>
    <row r="2753" spans="1:5" ht="18" x14ac:dyDescent="0.35">
      <c r="A2753" s="5" t="s">
        <v>1084</v>
      </c>
      <c r="B2753" s="50" t="s">
        <v>35</v>
      </c>
      <c r="C2753" s="7">
        <v>4</v>
      </c>
      <c r="D2753" s="7">
        <v>2.91</v>
      </c>
      <c r="E2753" s="85">
        <f>C2753*D2753</f>
        <v>11.64</v>
      </c>
    </row>
    <row r="2754" spans="1:5" ht="18" x14ac:dyDescent="0.35">
      <c r="A2754" s="5"/>
      <c r="B2754" s="50" t="s">
        <v>36</v>
      </c>
      <c r="C2754" s="7">
        <v>4</v>
      </c>
      <c r="D2754" s="7">
        <v>0.61</v>
      </c>
      <c r="E2754" s="85">
        <f>C2754*D2754</f>
        <v>2.44</v>
      </c>
    </row>
    <row r="2755" spans="1:5" ht="18" x14ac:dyDescent="0.35">
      <c r="A2755" s="5"/>
      <c r="B2755" s="96"/>
      <c r="C2755" s="87"/>
      <c r="D2755" s="87"/>
      <c r="E2755" s="94" t="e">
        <f>SUM(E2750:E2754)</f>
        <v>#VALUE!</v>
      </c>
    </row>
    <row r="2756" spans="1:5" ht="18" x14ac:dyDescent="0.35">
      <c r="A2756" s="5"/>
      <c r="B2756" s="96"/>
      <c r="C2756" s="87"/>
      <c r="D2756" s="87" t="s">
        <v>1066</v>
      </c>
      <c r="E2756" s="94" t="e">
        <f>E2755+E2755*40%</f>
        <v>#VALUE!</v>
      </c>
    </row>
    <row r="2757" spans="1:5" ht="18" x14ac:dyDescent="0.35">
      <c r="A2757" s="5"/>
      <c r="B2757" s="50" t="s">
        <v>37</v>
      </c>
      <c r="C2757" s="7">
        <v>1</v>
      </c>
      <c r="D2757" s="93">
        <v>200</v>
      </c>
      <c r="E2757" s="85">
        <f>C2757*D2757</f>
        <v>200</v>
      </c>
    </row>
    <row r="2758" spans="1:5" ht="18" x14ac:dyDescent="0.35">
      <c r="D2758" s="12" t="s">
        <v>1083</v>
      </c>
      <c r="E2758" s="109" t="e">
        <f>SUM(E2756:E2757)</f>
        <v>#VALUE!</v>
      </c>
    </row>
    <row r="2760" spans="1:5" ht="21" x14ac:dyDescent="0.4">
      <c r="A2760" s="40" t="s">
        <v>1114</v>
      </c>
      <c r="B2760" s="40"/>
      <c r="C2760" s="84"/>
    </row>
    <row r="2761" spans="1:5" ht="18" x14ac:dyDescent="0.35">
      <c r="A2761" s="5"/>
      <c r="B2761" s="5"/>
      <c r="C2761" s="7" t="s">
        <v>28</v>
      </c>
      <c r="D2761" s="7" t="s">
        <v>29</v>
      </c>
      <c r="E2761" s="7" t="s">
        <v>30</v>
      </c>
    </row>
    <row r="2762" spans="1:5" ht="18" x14ac:dyDescent="0.35">
      <c r="A2762" s="5" t="s">
        <v>67</v>
      </c>
      <c r="B2762" s="50" t="s">
        <v>32</v>
      </c>
      <c r="C2762" s="7">
        <v>1.7130000000000001</v>
      </c>
      <c r="D2762" s="7">
        <v>30.44</v>
      </c>
      <c r="E2762" s="85">
        <f t="shared" ref="E2762:E2767" si="240">C2762*D2762</f>
        <v>52.143720000000002</v>
      </c>
    </row>
    <row r="2763" spans="1:5" ht="18" x14ac:dyDescent="0.35">
      <c r="A2763" s="5" t="s">
        <v>526</v>
      </c>
      <c r="B2763" s="50" t="s">
        <v>33</v>
      </c>
      <c r="C2763" s="7">
        <v>3.7170000000000001</v>
      </c>
      <c r="D2763" s="7">
        <v>16.170000000000002</v>
      </c>
      <c r="E2763" s="85">
        <f t="shared" si="240"/>
        <v>60.103890000000007</v>
      </c>
    </row>
    <row r="2764" spans="1:5" ht="18" x14ac:dyDescent="0.35">
      <c r="A2764" s="5" t="s">
        <v>621</v>
      </c>
      <c r="B2764" s="50" t="s">
        <v>84</v>
      </c>
      <c r="C2764" s="7">
        <v>2</v>
      </c>
      <c r="D2764" s="7">
        <v>1.48</v>
      </c>
      <c r="E2764" s="85">
        <f t="shared" si="240"/>
        <v>2.96</v>
      </c>
    </row>
    <row r="2765" spans="1:5" ht="18" x14ac:dyDescent="0.35">
      <c r="A2765" s="5" t="s">
        <v>1115</v>
      </c>
      <c r="B2765" s="50" t="s">
        <v>34</v>
      </c>
      <c r="C2765" s="7">
        <v>0.15</v>
      </c>
      <c r="D2765" s="7">
        <v>14.61</v>
      </c>
      <c r="E2765" s="85">
        <f t="shared" si="240"/>
        <v>2.1915</v>
      </c>
    </row>
    <row r="2766" spans="1:5" ht="18" x14ac:dyDescent="0.35">
      <c r="A2766" s="5"/>
      <c r="B2766" s="50" t="s">
        <v>35</v>
      </c>
      <c r="C2766" s="7">
        <v>4</v>
      </c>
      <c r="D2766" s="7">
        <v>2.91</v>
      </c>
      <c r="E2766" s="85">
        <f t="shared" si="240"/>
        <v>11.64</v>
      </c>
    </row>
    <row r="2767" spans="1:5" ht="18" x14ac:dyDescent="0.35">
      <c r="A2767" s="5"/>
      <c r="B2767" s="50" t="s">
        <v>36</v>
      </c>
      <c r="C2767" s="7">
        <v>4</v>
      </c>
      <c r="D2767" s="7">
        <v>0.61</v>
      </c>
      <c r="E2767" s="85">
        <f t="shared" si="240"/>
        <v>2.44</v>
      </c>
    </row>
    <row r="2768" spans="1:5" ht="18" x14ac:dyDescent="0.35">
      <c r="A2768" s="5"/>
      <c r="B2768" s="5"/>
      <c r="C2768" s="54"/>
      <c r="D2768" s="54"/>
      <c r="E2768" s="89">
        <f>SUM(E2762:E2767)</f>
        <v>131.47910999999999</v>
      </c>
    </row>
    <row r="2769" spans="1:5" ht="18" x14ac:dyDescent="0.35">
      <c r="A2769" s="5"/>
      <c r="B2769" s="5"/>
      <c r="C2769" s="54"/>
      <c r="D2769" s="54" t="s">
        <v>1116</v>
      </c>
      <c r="E2769" s="89">
        <f>E2768+E2768*30%</f>
        <v>170.922843</v>
      </c>
    </row>
    <row r="2770" spans="1:5" ht="18" x14ac:dyDescent="0.35">
      <c r="A2770" s="5"/>
      <c r="B2770" s="50" t="s">
        <v>37</v>
      </c>
      <c r="C2770" s="54">
        <v>0.5</v>
      </c>
      <c r="D2770" s="54">
        <v>200</v>
      </c>
      <c r="E2770" s="85">
        <f>C2770*D2770</f>
        <v>100</v>
      </c>
    </row>
    <row r="2771" spans="1:5" ht="18" x14ac:dyDescent="0.35">
      <c r="A2771" s="5"/>
      <c r="B2771" s="5"/>
      <c r="C2771" s="54"/>
      <c r="D2771" s="54"/>
      <c r="E2771" s="85">
        <f>SUM(E2769:E2770)</f>
        <v>270.922843</v>
      </c>
    </row>
    <row r="2774" spans="1:5" ht="21" x14ac:dyDescent="0.4">
      <c r="A2774" s="40" t="s">
        <v>1076</v>
      </c>
      <c r="B2774" s="40"/>
      <c r="C2774" s="84"/>
    </row>
    <row r="2775" spans="1:5" ht="18" x14ac:dyDescent="0.35">
      <c r="A2775" s="5"/>
      <c r="B2775" s="5"/>
      <c r="C2775" s="7" t="s">
        <v>28</v>
      </c>
      <c r="D2775" s="7" t="s">
        <v>29</v>
      </c>
      <c r="E2775" s="7" t="s">
        <v>30</v>
      </c>
    </row>
    <row r="2776" spans="1:5" ht="18" x14ac:dyDescent="0.35">
      <c r="A2776" s="5" t="s">
        <v>46</v>
      </c>
      <c r="B2776" s="50" t="s">
        <v>32</v>
      </c>
      <c r="C2776" s="7">
        <v>2.028</v>
      </c>
      <c r="D2776" s="7">
        <v>30.44</v>
      </c>
      <c r="E2776" s="85">
        <f t="shared" ref="E2776:E2781" si="241">C2776*D2776</f>
        <v>61.732320000000001</v>
      </c>
    </row>
    <row r="2777" spans="1:5" ht="18" x14ac:dyDescent="0.35">
      <c r="A2777" s="5" t="s">
        <v>1120</v>
      </c>
      <c r="B2777" s="50" t="s">
        <v>33</v>
      </c>
      <c r="C2777" s="7">
        <v>3.3180000000000001</v>
      </c>
      <c r="D2777" s="7">
        <v>16.170000000000002</v>
      </c>
      <c r="E2777" s="85">
        <f t="shared" si="241"/>
        <v>53.652060000000006</v>
      </c>
    </row>
    <row r="2778" spans="1:5" ht="18" x14ac:dyDescent="0.35">
      <c r="A2778" s="5" t="s">
        <v>621</v>
      </c>
      <c r="B2778" s="50" t="s">
        <v>42</v>
      </c>
      <c r="C2778" s="7">
        <v>2</v>
      </c>
      <c r="D2778" s="7">
        <v>1.48</v>
      </c>
      <c r="E2778" s="85">
        <f t="shared" si="241"/>
        <v>2.96</v>
      </c>
    </row>
    <row r="2779" spans="1:5" ht="18" x14ac:dyDescent="0.35">
      <c r="A2779" s="5" t="s">
        <v>1115</v>
      </c>
      <c r="B2779" s="50" t="s">
        <v>34</v>
      </c>
      <c r="C2779" s="7">
        <v>0.1</v>
      </c>
      <c r="D2779" s="7">
        <v>14.61</v>
      </c>
      <c r="E2779" s="85">
        <f t="shared" si="241"/>
        <v>1.4610000000000001</v>
      </c>
    </row>
    <row r="2780" spans="1:5" ht="18" x14ac:dyDescent="0.35">
      <c r="A2780" s="5"/>
      <c r="B2780" s="50" t="s">
        <v>35</v>
      </c>
      <c r="C2780" s="7">
        <v>4</v>
      </c>
      <c r="D2780" s="7">
        <v>2.91</v>
      </c>
      <c r="E2780" s="85">
        <f t="shared" si="241"/>
        <v>11.64</v>
      </c>
    </row>
    <row r="2781" spans="1:5" ht="18" x14ac:dyDescent="0.35">
      <c r="A2781" s="5"/>
      <c r="B2781" s="50" t="s">
        <v>36</v>
      </c>
      <c r="C2781" s="7">
        <v>4</v>
      </c>
      <c r="D2781" s="7">
        <v>0.61</v>
      </c>
      <c r="E2781" s="85">
        <f t="shared" si="241"/>
        <v>2.44</v>
      </c>
    </row>
    <row r="2782" spans="1:5" ht="18" x14ac:dyDescent="0.35">
      <c r="A2782" s="5"/>
      <c r="B2782" s="5"/>
      <c r="C2782" s="54"/>
      <c r="D2782" s="54"/>
      <c r="E2782" s="89">
        <f>SUM(E2776:E2781)</f>
        <v>133.88538</v>
      </c>
    </row>
    <row r="2783" spans="1:5" ht="18" x14ac:dyDescent="0.35">
      <c r="A2783" s="5"/>
      <c r="B2783" s="5"/>
      <c r="C2783" s="54"/>
      <c r="D2783" s="54" t="s">
        <v>1116</v>
      </c>
      <c r="E2783" s="89">
        <f>E2782+E2782*30%</f>
        <v>174.050994</v>
      </c>
    </row>
    <row r="2784" spans="1:5" ht="18" x14ac:dyDescent="0.35">
      <c r="A2784" s="5"/>
      <c r="B2784" s="50" t="s">
        <v>37</v>
      </c>
      <c r="C2784" s="54">
        <v>0.5</v>
      </c>
      <c r="D2784" s="54">
        <v>200</v>
      </c>
      <c r="E2784" s="85">
        <f>C2784*D2784</f>
        <v>100</v>
      </c>
    </row>
    <row r="2785" spans="1:5" ht="18" x14ac:dyDescent="0.35">
      <c r="A2785" s="5"/>
      <c r="B2785" s="5"/>
      <c r="C2785" s="54"/>
      <c r="D2785" s="54"/>
      <c r="E2785" s="85">
        <f>SUM(E2783:E2784)</f>
        <v>274.050994</v>
      </c>
    </row>
    <row r="2788" spans="1:5" ht="21" x14ac:dyDescent="0.4">
      <c r="A2788" s="40" t="s">
        <v>813</v>
      </c>
      <c r="B2788" s="40"/>
      <c r="C2788" s="40"/>
      <c r="D2788" s="12"/>
      <c r="E2788" s="12"/>
    </row>
    <row r="2789" spans="1:5" ht="18" x14ac:dyDescent="0.35">
      <c r="A2789" s="5"/>
      <c r="B2789" s="5"/>
      <c r="C2789" s="7" t="s">
        <v>28</v>
      </c>
      <c r="D2789" s="7" t="s">
        <v>29</v>
      </c>
      <c r="E2789" s="7" t="s">
        <v>30</v>
      </c>
    </row>
    <row r="2790" spans="1:5" ht="18" x14ac:dyDescent="0.35">
      <c r="A2790" s="5" t="s">
        <v>46</v>
      </c>
      <c r="B2790" s="50" t="s">
        <v>32</v>
      </c>
      <c r="C2790" s="7">
        <v>2.028</v>
      </c>
      <c r="D2790" s="7">
        <v>30.44</v>
      </c>
      <c r="E2790" s="85">
        <f>C2790*D2790</f>
        <v>61.732320000000001</v>
      </c>
    </row>
    <row r="2791" spans="1:5" ht="18" x14ac:dyDescent="0.35">
      <c r="A2791" s="5" t="s">
        <v>63</v>
      </c>
      <c r="B2791" s="50" t="s">
        <v>33</v>
      </c>
      <c r="C2791" s="7">
        <v>4.9770000000000003</v>
      </c>
      <c r="D2791" s="7">
        <v>17.059999999999999</v>
      </c>
      <c r="E2791" s="85">
        <f>C2791*D2791</f>
        <v>84.907619999999994</v>
      </c>
    </row>
    <row r="2792" spans="1:5" ht="18" x14ac:dyDescent="0.35">
      <c r="A2792" s="5" t="s">
        <v>777</v>
      </c>
      <c r="B2792" s="50" t="s">
        <v>137</v>
      </c>
      <c r="C2792" s="7">
        <v>0.15</v>
      </c>
      <c r="D2792" s="7">
        <v>17.190000000000001</v>
      </c>
      <c r="E2792" s="85">
        <f>C2792*D2792</f>
        <v>2.5785</v>
      </c>
    </row>
    <row r="2793" spans="1:5" ht="18" x14ac:dyDescent="0.35">
      <c r="A2793" s="5" t="s">
        <v>1121</v>
      </c>
      <c r="B2793" s="50" t="s">
        <v>35</v>
      </c>
      <c r="C2793" s="7">
        <v>4</v>
      </c>
      <c r="D2793" s="7">
        <v>2.91</v>
      </c>
      <c r="E2793" s="85">
        <f>C2793*D2793</f>
        <v>11.64</v>
      </c>
    </row>
    <row r="2794" spans="1:5" ht="18" x14ac:dyDescent="0.35">
      <c r="A2794" s="5"/>
      <c r="B2794" s="50" t="s">
        <v>36</v>
      </c>
      <c r="C2794" s="7">
        <v>4</v>
      </c>
      <c r="D2794" s="7">
        <v>0.61</v>
      </c>
      <c r="E2794" s="85">
        <f>C2794*D2794</f>
        <v>2.44</v>
      </c>
    </row>
    <row r="2795" spans="1:5" ht="18" x14ac:dyDescent="0.35">
      <c r="A2795" s="5"/>
      <c r="B2795" s="96"/>
      <c r="C2795" s="87"/>
      <c r="D2795" s="87"/>
      <c r="E2795" s="94">
        <f>SUM(E2790:E2794)</f>
        <v>163.29843999999997</v>
      </c>
    </row>
    <row r="2796" spans="1:5" ht="18" x14ac:dyDescent="0.35">
      <c r="A2796" s="5"/>
      <c r="B2796" s="96"/>
      <c r="C2796" s="87"/>
      <c r="D2796" s="87" t="s">
        <v>1066</v>
      </c>
      <c r="E2796" s="94">
        <f>E2795+E2795*40%</f>
        <v>228.61781599999995</v>
      </c>
    </row>
    <row r="2797" spans="1:5" ht="18" x14ac:dyDescent="0.35">
      <c r="A2797" s="5"/>
      <c r="B2797" s="50" t="s">
        <v>37</v>
      </c>
      <c r="C2797" s="7">
        <v>0.5</v>
      </c>
      <c r="D2797" s="93">
        <v>200</v>
      </c>
      <c r="E2797" s="85">
        <f>C2797*D2797</f>
        <v>100</v>
      </c>
    </row>
    <row r="2798" spans="1:5" ht="18" x14ac:dyDescent="0.35">
      <c r="D2798" s="12" t="s">
        <v>1083</v>
      </c>
      <c r="E2798" s="109">
        <f>SUM(E2796:E2797)</f>
        <v>328.61781599999995</v>
      </c>
    </row>
    <row r="2800" spans="1:5" ht="21" x14ac:dyDescent="0.4">
      <c r="A2800" s="40" t="s">
        <v>1049</v>
      </c>
      <c r="B2800" s="40"/>
      <c r="C2800" s="84"/>
    </row>
    <row r="2801" spans="1:5" ht="18" x14ac:dyDescent="0.35">
      <c r="A2801" s="5"/>
      <c r="B2801" s="5"/>
      <c r="C2801" s="7" t="s">
        <v>28</v>
      </c>
      <c r="D2801" s="7" t="s">
        <v>29</v>
      </c>
      <c r="E2801" s="7" t="s">
        <v>30</v>
      </c>
    </row>
    <row r="2802" spans="1:5" ht="18" x14ac:dyDescent="0.35">
      <c r="A2802" s="5" t="s">
        <v>31</v>
      </c>
      <c r="B2802" s="50" t="s">
        <v>32</v>
      </c>
      <c r="C2802" s="7">
        <v>0.76800000000000002</v>
      </c>
      <c r="D2802" s="7">
        <v>30.44</v>
      </c>
      <c r="E2802" s="85">
        <f t="shared" ref="E2802:E2807" si="242">C2802*D2802</f>
        <v>23.377920000000003</v>
      </c>
    </row>
    <row r="2803" spans="1:5" ht="18" x14ac:dyDescent="0.35">
      <c r="A2803" s="5" t="s">
        <v>1120</v>
      </c>
      <c r="B2803" s="50" t="s">
        <v>33</v>
      </c>
      <c r="C2803" s="7">
        <v>0.79800000000000004</v>
      </c>
      <c r="D2803" s="7">
        <v>16.170000000000002</v>
      </c>
      <c r="E2803" s="85">
        <f t="shared" si="242"/>
        <v>12.903660000000002</v>
      </c>
    </row>
    <row r="2804" spans="1:5" ht="18" x14ac:dyDescent="0.35">
      <c r="A2804" s="5" t="s">
        <v>1048</v>
      </c>
      <c r="B2804" s="50" t="s">
        <v>42</v>
      </c>
      <c r="C2804" s="7">
        <v>2</v>
      </c>
      <c r="D2804" s="7">
        <v>1.1499999999999999</v>
      </c>
      <c r="E2804" s="85">
        <f t="shared" si="242"/>
        <v>2.2999999999999998</v>
      </c>
    </row>
    <row r="2805" spans="1:5" ht="18" x14ac:dyDescent="0.35">
      <c r="A2805" s="5" t="s">
        <v>1115</v>
      </c>
      <c r="B2805" s="50" t="s">
        <v>34</v>
      </c>
      <c r="C2805" s="7"/>
      <c r="D2805" s="7">
        <v>14.61</v>
      </c>
      <c r="E2805" s="85">
        <f t="shared" si="242"/>
        <v>0</v>
      </c>
    </row>
    <row r="2806" spans="1:5" ht="18" x14ac:dyDescent="0.35">
      <c r="A2806" s="5"/>
      <c r="B2806" s="50" t="s">
        <v>35</v>
      </c>
      <c r="C2806" s="7">
        <v>4</v>
      </c>
      <c r="D2806" s="7">
        <v>2.91</v>
      </c>
      <c r="E2806" s="85">
        <f t="shared" si="242"/>
        <v>11.64</v>
      </c>
    </row>
    <row r="2807" spans="1:5" ht="18" x14ac:dyDescent="0.35">
      <c r="A2807" s="5"/>
      <c r="B2807" s="50" t="s">
        <v>36</v>
      </c>
      <c r="C2807" s="7">
        <v>4</v>
      </c>
      <c r="D2807" s="7">
        <v>0.61</v>
      </c>
      <c r="E2807" s="85">
        <f t="shared" si="242"/>
        <v>2.44</v>
      </c>
    </row>
    <row r="2808" spans="1:5" ht="18" x14ac:dyDescent="0.35">
      <c r="A2808" s="5"/>
      <c r="B2808" s="5"/>
      <c r="C2808" s="54"/>
      <c r="D2808" s="54"/>
      <c r="E2808" s="89">
        <f>SUM(E2802:E2807)</f>
        <v>52.661580000000001</v>
      </c>
    </row>
    <row r="2809" spans="1:5" ht="18" x14ac:dyDescent="0.35">
      <c r="A2809" s="5"/>
      <c r="B2809" s="5"/>
      <c r="C2809" s="54"/>
      <c r="D2809" s="54" t="s">
        <v>1063</v>
      </c>
      <c r="E2809" s="89">
        <f>E2808+E2808*40%</f>
        <v>73.726212000000004</v>
      </c>
    </row>
    <row r="2810" spans="1:5" ht="18" x14ac:dyDescent="0.35">
      <c r="A2810" s="5"/>
      <c r="B2810" s="50" t="s">
        <v>37</v>
      </c>
      <c r="C2810" s="54">
        <v>0.15</v>
      </c>
      <c r="D2810" s="54">
        <v>200</v>
      </c>
      <c r="E2810" s="85">
        <f>C2810*D2810</f>
        <v>30</v>
      </c>
    </row>
    <row r="2811" spans="1:5" ht="18" x14ac:dyDescent="0.35">
      <c r="A2811" s="5"/>
      <c r="B2811" s="5"/>
      <c r="C2811" s="54"/>
      <c r="D2811" s="54"/>
      <c r="E2811" s="85">
        <f>SUM(E2809:E2810)</f>
        <v>103.726212</v>
      </c>
    </row>
    <row r="2814" spans="1:5" ht="21" x14ac:dyDescent="0.4">
      <c r="A2814" s="40" t="s">
        <v>1122</v>
      </c>
      <c r="B2814" s="40"/>
      <c r="C2814" s="84"/>
    </row>
    <row r="2815" spans="1:5" ht="18" x14ac:dyDescent="0.35">
      <c r="A2815" s="5"/>
      <c r="B2815" s="5"/>
      <c r="C2815" s="7" t="s">
        <v>28</v>
      </c>
      <c r="D2815" s="7" t="s">
        <v>29</v>
      </c>
      <c r="E2815" s="7" t="s">
        <v>30</v>
      </c>
    </row>
    <row r="2816" spans="1:5" ht="18" x14ac:dyDescent="0.35">
      <c r="A2816" s="5" t="s">
        <v>31</v>
      </c>
      <c r="B2816" s="50" t="s">
        <v>32</v>
      </c>
      <c r="C2816" s="7">
        <v>0.76800000000000002</v>
      </c>
      <c r="D2816" s="7">
        <v>30.44</v>
      </c>
      <c r="E2816" s="85">
        <f t="shared" ref="E2816:E2821" si="243">C2816*D2816</f>
        <v>23.377920000000003</v>
      </c>
    </row>
    <row r="2817" spans="1:5" ht="18" x14ac:dyDescent="0.35">
      <c r="A2817" s="5" t="s">
        <v>1120</v>
      </c>
      <c r="B2817" s="50" t="s">
        <v>33</v>
      </c>
      <c r="C2817" s="7">
        <v>0.79800000000000004</v>
      </c>
      <c r="D2817" s="7">
        <v>16.170000000000002</v>
      </c>
      <c r="E2817" s="85">
        <f t="shared" si="243"/>
        <v>12.903660000000002</v>
      </c>
    </row>
    <row r="2818" spans="1:5" ht="18" x14ac:dyDescent="0.35">
      <c r="A2818" s="5" t="s">
        <v>1048</v>
      </c>
      <c r="B2818" s="50" t="s">
        <v>42</v>
      </c>
      <c r="C2818" s="7">
        <v>2</v>
      </c>
      <c r="D2818" s="7">
        <v>1.1499999999999999</v>
      </c>
      <c r="E2818" s="85">
        <f t="shared" si="243"/>
        <v>2.2999999999999998</v>
      </c>
    </row>
    <row r="2819" spans="1:5" ht="18" x14ac:dyDescent="0.35">
      <c r="A2819" s="5" t="s">
        <v>1123</v>
      </c>
      <c r="B2819" s="50" t="s">
        <v>34</v>
      </c>
      <c r="C2819" s="7"/>
      <c r="D2819" s="7">
        <v>14.61</v>
      </c>
      <c r="E2819" s="85">
        <f t="shared" si="243"/>
        <v>0</v>
      </c>
    </row>
    <row r="2820" spans="1:5" ht="18" x14ac:dyDescent="0.35">
      <c r="A2820" s="5"/>
      <c r="B2820" s="50" t="s">
        <v>35</v>
      </c>
      <c r="C2820" s="7">
        <v>4</v>
      </c>
      <c r="D2820" s="7">
        <v>2.91</v>
      </c>
      <c r="E2820" s="85">
        <f t="shared" si="243"/>
        <v>11.64</v>
      </c>
    </row>
    <row r="2821" spans="1:5" ht="18" x14ac:dyDescent="0.35">
      <c r="A2821" s="5"/>
      <c r="B2821" s="50" t="s">
        <v>36</v>
      </c>
      <c r="C2821" s="7">
        <v>4</v>
      </c>
      <c r="D2821" s="7">
        <v>0.61</v>
      </c>
      <c r="E2821" s="85">
        <f t="shared" si="243"/>
        <v>2.44</v>
      </c>
    </row>
    <row r="2822" spans="1:5" ht="18" x14ac:dyDescent="0.35">
      <c r="A2822" s="5"/>
      <c r="B2822" s="5"/>
      <c r="C2822" s="54"/>
      <c r="D2822" s="54"/>
      <c r="E2822" s="89">
        <f>SUM(E2816:E2821)</f>
        <v>52.661580000000001</v>
      </c>
    </row>
    <row r="2823" spans="1:5" ht="18" x14ac:dyDescent="0.35">
      <c r="A2823" s="5"/>
      <c r="B2823" s="5"/>
      <c r="C2823" s="54"/>
      <c r="D2823" s="54" t="s">
        <v>1063</v>
      </c>
      <c r="E2823" s="89">
        <f>E2822+E2822*40%</f>
        <v>73.726212000000004</v>
      </c>
    </row>
    <row r="2824" spans="1:5" ht="18" x14ac:dyDescent="0.35">
      <c r="A2824" s="5"/>
      <c r="B2824" s="50" t="s">
        <v>37</v>
      </c>
      <c r="C2824" s="54">
        <v>0.15</v>
      </c>
      <c r="D2824" s="54">
        <v>200</v>
      </c>
      <c r="E2824" s="85">
        <f>C2824*D2824</f>
        <v>30</v>
      </c>
    </row>
    <row r="2825" spans="1:5" ht="18" x14ac:dyDescent="0.35">
      <c r="A2825" s="5"/>
      <c r="B2825" s="5"/>
      <c r="C2825" s="54"/>
      <c r="D2825" s="54"/>
      <c r="E2825" s="85">
        <f>SUM(E2823:E2824)</f>
        <v>103.726212</v>
      </c>
    </row>
    <row r="2828" spans="1:5" ht="21" x14ac:dyDescent="0.4">
      <c r="A2828" s="40" t="s">
        <v>1049</v>
      </c>
      <c r="B2828" s="40"/>
      <c r="C2828" s="84"/>
    </row>
    <row r="2829" spans="1:5" ht="18" x14ac:dyDescent="0.35">
      <c r="A2829" s="5"/>
      <c r="B2829" s="5"/>
      <c r="C2829" s="7" t="s">
        <v>28</v>
      </c>
      <c r="D2829" s="7" t="s">
        <v>29</v>
      </c>
      <c r="E2829" s="7" t="s">
        <v>30</v>
      </c>
    </row>
    <row r="2830" spans="1:5" ht="18" x14ac:dyDescent="0.35">
      <c r="A2830" s="5" t="s">
        <v>104</v>
      </c>
      <c r="B2830" s="50" t="s">
        <v>32</v>
      </c>
      <c r="C2830" s="7">
        <v>1.8180000000000001</v>
      </c>
      <c r="D2830" s="7">
        <v>30.44</v>
      </c>
      <c r="E2830" s="85">
        <f t="shared" ref="E2830:E2835" si="244">C2830*D2830</f>
        <v>55.339920000000006</v>
      </c>
    </row>
    <row r="2831" spans="1:5" ht="18" x14ac:dyDescent="0.35">
      <c r="A2831" s="5" t="s">
        <v>217</v>
      </c>
      <c r="B2831" s="50" t="s">
        <v>33</v>
      </c>
      <c r="C2831" s="7">
        <v>7.2030000000000003</v>
      </c>
      <c r="D2831" s="7">
        <v>16.170000000000002</v>
      </c>
      <c r="E2831" s="85">
        <f t="shared" si="244"/>
        <v>116.47251000000001</v>
      </c>
    </row>
    <row r="2832" spans="1:5" ht="18" x14ac:dyDescent="0.35">
      <c r="A2832" s="5" t="s">
        <v>673</v>
      </c>
      <c r="B2832" s="50" t="s">
        <v>86</v>
      </c>
      <c r="C2832" s="7">
        <v>2</v>
      </c>
      <c r="D2832" s="7">
        <v>1.7</v>
      </c>
      <c r="E2832" s="85">
        <f t="shared" si="244"/>
        <v>3.4</v>
      </c>
    </row>
    <row r="2833" spans="1:5" ht="18" x14ac:dyDescent="0.35">
      <c r="A2833" s="5" t="s">
        <v>1123</v>
      </c>
      <c r="B2833" s="50" t="s">
        <v>34</v>
      </c>
      <c r="C2833" s="7"/>
      <c r="D2833" s="7">
        <v>14.61</v>
      </c>
      <c r="E2833" s="85">
        <f t="shared" si="244"/>
        <v>0</v>
      </c>
    </row>
    <row r="2834" spans="1:5" ht="18" x14ac:dyDescent="0.35">
      <c r="A2834" s="5"/>
      <c r="B2834" s="50" t="s">
        <v>35</v>
      </c>
      <c r="C2834" s="7">
        <v>4</v>
      </c>
      <c r="D2834" s="7">
        <v>2.91</v>
      </c>
      <c r="E2834" s="85">
        <f t="shared" si="244"/>
        <v>11.64</v>
      </c>
    </row>
    <row r="2835" spans="1:5" ht="18" x14ac:dyDescent="0.35">
      <c r="A2835" s="5"/>
      <c r="B2835" s="50" t="s">
        <v>36</v>
      </c>
      <c r="C2835" s="7">
        <v>4</v>
      </c>
      <c r="D2835" s="7">
        <v>0.61</v>
      </c>
      <c r="E2835" s="85">
        <f t="shared" si="244"/>
        <v>2.44</v>
      </c>
    </row>
    <row r="2836" spans="1:5" ht="18" x14ac:dyDescent="0.35">
      <c r="A2836" s="5"/>
      <c r="B2836" s="5"/>
      <c r="C2836" s="54"/>
      <c r="D2836" s="54"/>
      <c r="E2836" s="89">
        <f>SUM(E2830:E2835)</f>
        <v>189.29243000000002</v>
      </c>
    </row>
    <row r="2837" spans="1:5" ht="18" x14ac:dyDescent="0.35">
      <c r="A2837" s="5"/>
      <c r="B2837" s="5"/>
      <c r="C2837" s="54"/>
      <c r="D2837" s="54" t="s">
        <v>1063</v>
      </c>
      <c r="E2837" s="89">
        <f>E2836+E2836*40%</f>
        <v>265.00940200000002</v>
      </c>
    </row>
    <row r="2838" spans="1:5" ht="18" x14ac:dyDescent="0.35">
      <c r="A2838" s="5"/>
      <c r="B2838" s="50" t="s">
        <v>37</v>
      </c>
      <c r="C2838" s="54">
        <v>0.2</v>
      </c>
      <c r="D2838" s="54">
        <v>200</v>
      </c>
      <c r="E2838" s="85">
        <f>C2838*D2838</f>
        <v>40</v>
      </c>
    </row>
    <row r="2839" spans="1:5" ht="18" x14ac:dyDescent="0.35">
      <c r="A2839" s="5"/>
      <c r="B2839" s="5"/>
      <c r="C2839" s="54"/>
      <c r="D2839" s="54"/>
      <c r="E2839" s="85">
        <f>SUM(E2837:E2838)</f>
        <v>305.00940200000002</v>
      </c>
    </row>
    <row r="2841" spans="1:5" ht="21" x14ac:dyDescent="0.4">
      <c r="A2841" s="40" t="s">
        <v>1061</v>
      </c>
      <c r="B2841" s="40"/>
      <c r="C2841" s="84"/>
    </row>
    <row r="2842" spans="1:5" ht="18" x14ac:dyDescent="0.35">
      <c r="A2842" s="5"/>
      <c r="B2842" s="5"/>
      <c r="C2842" s="7" t="s">
        <v>28</v>
      </c>
      <c r="D2842" s="7" t="s">
        <v>29</v>
      </c>
      <c r="E2842" s="7" t="s">
        <v>30</v>
      </c>
    </row>
    <row r="2843" spans="1:5" ht="18" x14ac:dyDescent="0.35">
      <c r="A2843" s="5" t="s">
        <v>48</v>
      </c>
      <c r="B2843" s="50" t="s">
        <v>32</v>
      </c>
      <c r="C2843" s="7">
        <v>2.5</v>
      </c>
      <c r="D2843" s="7">
        <v>30.44</v>
      </c>
      <c r="E2843" s="85">
        <f t="shared" ref="E2843:E2848" si="245">C2843*D2843</f>
        <v>76.100000000000009</v>
      </c>
    </row>
    <row r="2844" spans="1:5" ht="18" x14ac:dyDescent="0.35">
      <c r="A2844" s="5" t="s">
        <v>238</v>
      </c>
      <c r="B2844" s="50" t="s">
        <v>33</v>
      </c>
      <c r="C2844" s="7">
        <v>4.1580000000000004</v>
      </c>
      <c r="D2844" s="7">
        <v>16.170000000000002</v>
      </c>
      <c r="E2844" s="85">
        <f t="shared" si="245"/>
        <v>67.234860000000012</v>
      </c>
    </row>
    <row r="2845" spans="1:5" ht="18" x14ac:dyDescent="0.35">
      <c r="A2845" s="5" t="s">
        <v>777</v>
      </c>
      <c r="B2845" s="50" t="s">
        <v>42</v>
      </c>
      <c r="C2845" s="7">
        <v>2</v>
      </c>
      <c r="D2845" s="7">
        <v>1.1499999999999999</v>
      </c>
      <c r="E2845" s="85">
        <f t="shared" si="245"/>
        <v>2.2999999999999998</v>
      </c>
    </row>
    <row r="2846" spans="1:5" ht="18" x14ac:dyDescent="0.35">
      <c r="A2846" s="5" t="s">
        <v>1123</v>
      </c>
      <c r="B2846" s="50" t="s">
        <v>34</v>
      </c>
      <c r="C2846" s="7">
        <v>0.4</v>
      </c>
      <c r="D2846" s="7">
        <v>14.61</v>
      </c>
      <c r="E2846" s="85">
        <f t="shared" si="245"/>
        <v>5.8440000000000003</v>
      </c>
    </row>
    <row r="2847" spans="1:5" ht="18" x14ac:dyDescent="0.35">
      <c r="A2847" s="5"/>
      <c r="B2847" s="50" t="s">
        <v>35</v>
      </c>
      <c r="C2847" s="7">
        <v>4</v>
      </c>
      <c r="D2847" s="7">
        <v>2.91</v>
      </c>
      <c r="E2847" s="85">
        <f t="shared" si="245"/>
        <v>11.64</v>
      </c>
    </row>
    <row r="2848" spans="1:5" ht="18" x14ac:dyDescent="0.35">
      <c r="A2848" s="5"/>
      <c r="B2848" s="50" t="s">
        <v>36</v>
      </c>
      <c r="C2848" s="7">
        <v>4</v>
      </c>
      <c r="D2848" s="7">
        <v>0.61</v>
      </c>
      <c r="E2848" s="85">
        <f t="shared" si="245"/>
        <v>2.44</v>
      </c>
    </row>
    <row r="2849" spans="1:5" ht="18" x14ac:dyDescent="0.35">
      <c r="A2849" s="5"/>
      <c r="B2849" s="5"/>
      <c r="C2849" s="54"/>
      <c r="D2849" s="54"/>
      <c r="E2849" s="89">
        <f>SUM(E2843:E2848)</f>
        <v>165.55886000000004</v>
      </c>
    </row>
    <row r="2850" spans="1:5" ht="18" x14ac:dyDescent="0.35">
      <c r="A2850" s="5"/>
      <c r="B2850" s="5"/>
      <c r="C2850" s="54"/>
      <c r="D2850" s="54" t="s">
        <v>1063</v>
      </c>
      <c r="E2850" s="89">
        <f>E2849+E2849*40%</f>
        <v>231.78240400000004</v>
      </c>
    </row>
    <row r="2851" spans="1:5" ht="18" x14ac:dyDescent="0.35">
      <c r="A2851" s="5"/>
      <c r="B2851" s="50" t="s">
        <v>37</v>
      </c>
      <c r="C2851" s="54">
        <v>0.5</v>
      </c>
      <c r="D2851" s="54">
        <v>200</v>
      </c>
      <c r="E2851" s="85">
        <f>C2851*D2851</f>
        <v>100</v>
      </c>
    </row>
    <row r="2852" spans="1:5" ht="18" x14ac:dyDescent="0.35">
      <c r="A2852" s="5"/>
      <c r="B2852" s="5"/>
      <c r="C2852" s="54"/>
      <c r="D2852" s="54"/>
      <c r="E2852" s="85">
        <f>SUM(E2850:E2851)</f>
        <v>331.78240400000004</v>
      </c>
    </row>
    <row r="2854" spans="1:5" ht="21" x14ac:dyDescent="0.4">
      <c r="A2854" s="40" t="s">
        <v>1106</v>
      </c>
      <c r="B2854" s="40"/>
      <c r="C2854" s="84"/>
      <c r="D2854" s="12"/>
      <c r="E2854" s="12"/>
    </row>
    <row r="2855" spans="1:5" ht="21" x14ac:dyDescent="0.4">
      <c r="A2855" s="40"/>
      <c r="B2855" s="40"/>
      <c r="C2855" s="84"/>
      <c r="D2855" s="12"/>
      <c r="E2855" s="12"/>
    </row>
    <row r="2856" spans="1:5" ht="18" x14ac:dyDescent="0.35">
      <c r="A2856" s="5"/>
      <c r="B2856" s="5"/>
      <c r="C2856" s="7" t="s">
        <v>28</v>
      </c>
      <c r="D2856" s="7" t="s">
        <v>29</v>
      </c>
      <c r="E2856" s="7" t="s">
        <v>30</v>
      </c>
    </row>
    <row r="2857" spans="1:5" ht="18" x14ac:dyDescent="0.35">
      <c r="A2857" s="5" t="s">
        <v>121</v>
      </c>
      <c r="B2857" s="50" t="s">
        <v>32</v>
      </c>
      <c r="C2857" s="7">
        <v>2.6579999999999999</v>
      </c>
      <c r="D2857" s="7">
        <v>45.07</v>
      </c>
      <c r="E2857" s="85">
        <f t="shared" ref="E2857:E2864" si="246">C2857*D2857</f>
        <v>119.79606</v>
      </c>
    </row>
    <row r="2858" spans="1:5" ht="18" x14ac:dyDescent="0.35">
      <c r="A2858" s="5" t="s">
        <v>117</v>
      </c>
      <c r="B2858" s="50" t="s">
        <v>33</v>
      </c>
      <c r="C2858" s="7">
        <v>15.76</v>
      </c>
      <c r="D2858" s="7">
        <v>16.170000000000002</v>
      </c>
      <c r="E2858" s="85">
        <f t="shared" si="246"/>
        <v>254.83920000000003</v>
      </c>
    </row>
    <row r="2859" spans="1:5" ht="18" x14ac:dyDescent="0.35">
      <c r="A2859" s="5" t="s">
        <v>1020</v>
      </c>
      <c r="B2859" s="50" t="s">
        <v>33</v>
      </c>
      <c r="C2859" s="7">
        <v>15.561</v>
      </c>
      <c r="D2859" s="7">
        <v>16.170000000000002</v>
      </c>
      <c r="E2859" s="85">
        <f t="shared" si="246"/>
        <v>251.62137000000001</v>
      </c>
    </row>
    <row r="2860" spans="1:5" ht="18" x14ac:dyDescent="0.35">
      <c r="A2860" s="5" t="s">
        <v>623</v>
      </c>
      <c r="B2860" s="50" t="s">
        <v>128</v>
      </c>
      <c r="C2860" s="7">
        <v>2</v>
      </c>
      <c r="D2860" s="7">
        <v>1.81</v>
      </c>
      <c r="E2860" s="85">
        <f t="shared" si="246"/>
        <v>3.62</v>
      </c>
    </row>
    <row r="2861" spans="1:5" ht="18" x14ac:dyDescent="0.35">
      <c r="A2861" s="5" t="s">
        <v>1097</v>
      </c>
      <c r="B2861" s="50" t="s">
        <v>359</v>
      </c>
      <c r="C2861" s="88">
        <v>4</v>
      </c>
      <c r="D2861" s="88">
        <v>1.81</v>
      </c>
      <c r="E2861" s="90">
        <f t="shared" si="246"/>
        <v>7.24</v>
      </c>
    </row>
    <row r="2862" spans="1:5" ht="18" x14ac:dyDescent="0.35">
      <c r="A2862" s="5"/>
      <c r="B2862" s="50" t="s">
        <v>34</v>
      </c>
      <c r="C2862" s="7">
        <v>0.4</v>
      </c>
      <c r="D2862" s="7">
        <v>18.05</v>
      </c>
      <c r="E2862" s="85">
        <f t="shared" si="246"/>
        <v>7.2200000000000006</v>
      </c>
    </row>
    <row r="2863" spans="1:5" ht="18" x14ac:dyDescent="0.35">
      <c r="A2863" s="5"/>
      <c r="B2863" s="50" t="s">
        <v>35</v>
      </c>
      <c r="C2863" s="7">
        <v>4</v>
      </c>
      <c r="D2863" s="7">
        <v>2.0099999999999998</v>
      </c>
      <c r="E2863" s="85">
        <f t="shared" si="246"/>
        <v>8.0399999999999991</v>
      </c>
    </row>
    <row r="2864" spans="1:5" ht="18" x14ac:dyDescent="0.35">
      <c r="A2864" s="5"/>
      <c r="B2864" s="50" t="s">
        <v>36</v>
      </c>
      <c r="C2864" s="7">
        <v>4</v>
      </c>
      <c r="D2864" s="7">
        <v>0.25</v>
      </c>
      <c r="E2864" s="85">
        <f t="shared" si="246"/>
        <v>1</v>
      </c>
    </row>
    <row r="2865" spans="1:11" ht="18" x14ac:dyDescent="0.35">
      <c r="A2865" s="5"/>
      <c r="B2865" s="5"/>
      <c r="C2865" s="54"/>
      <c r="D2865" s="54"/>
      <c r="E2865" s="89">
        <f>SUM(E2857:E2864)</f>
        <v>653.37663000000009</v>
      </c>
    </row>
    <row r="2866" spans="1:11" ht="18" x14ac:dyDescent="0.35">
      <c r="A2866" s="5"/>
      <c r="B2866" s="5"/>
      <c r="C2866" s="54"/>
      <c r="D2866" s="105" t="s">
        <v>1095</v>
      </c>
      <c r="E2866" s="89">
        <f>E2865+E2865*40%</f>
        <v>914.72728200000006</v>
      </c>
    </row>
    <row r="2867" spans="1:11" ht="18" x14ac:dyDescent="0.35">
      <c r="A2867" s="5"/>
      <c r="B2867" s="50" t="s">
        <v>37</v>
      </c>
      <c r="C2867" s="54">
        <v>1</v>
      </c>
      <c r="D2867" s="54">
        <v>200</v>
      </c>
      <c r="E2867" s="85">
        <f>C2867*D2867</f>
        <v>200</v>
      </c>
    </row>
    <row r="2868" spans="1:11" ht="18" x14ac:dyDescent="0.35">
      <c r="A2868" s="5"/>
      <c r="B2868" s="5"/>
      <c r="C2868" s="54"/>
      <c r="D2868" s="54"/>
      <c r="E2868" s="85">
        <f>SUM(E2866:E2867)</f>
        <v>1114.7272820000001</v>
      </c>
    </row>
    <row r="2870" spans="1:11" ht="18" x14ac:dyDescent="0.35">
      <c r="A2870" s="111" t="s">
        <v>1127</v>
      </c>
      <c r="G2870" s="111" t="s">
        <v>1127</v>
      </c>
    </row>
    <row r="2871" spans="1:11" ht="21" x14ac:dyDescent="0.4">
      <c r="A2871" s="40" t="s">
        <v>1114</v>
      </c>
      <c r="B2871" s="40"/>
      <c r="C2871" s="84"/>
      <c r="G2871" s="40" t="s">
        <v>1126</v>
      </c>
      <c r="H2871" s="40"/>
      <c r="I2871" s="84"/>
    </row>
    <row r="2872" spans="1:11" ht="18" x14ac:dyDescent="0.35">
      <c r="A2872" s="5"/>
      <c r="B2872" s="5"/>
      <c r="C2872" s="7" t="s">
        <v>28</v>
      </c>
      <c r="D2872" s="7" t="s">
        <v>29</v>
      </c>
      <c r="E2872" s="7" t="s">
        <v>30</v>
      </c>
      <c r="G2872" s="5"/>
      <c r="H2872" s="5"/>
      <c r="I2872" s="7" t="s">
        <v>28</v>
      </c>
      <c r="J2872" s="7" t="s">
        <v>29</v>
      </c>
      <c r="K2872" s="7" t="s">
        <v>30</v>
      </c>
    </row>
    <row r="2873" spans="1:11" ht="18" x14ac:dyDescent="0.35">
      <c r="A2873" s="5" t="s">
        <v>67</v>
      </c>
      <c r="B2873" s="50" t="s">
        <v>32</v>
      </c>
      <c r="C2873" s="7">
        <v>1.714</v>
      </c>
      <c r="D2873" s="7">
        <v>30.44</v>
      </c>
      <c r="E2873" s="85">
        <f t="shared" ref="E2873:E2878" si="247">C2873*D2873</f>
        <v>52.174160000000001</v>
      </c>
      <c r="G2873" s="5" t="s">
        <v>67</v>
      </c>
      <c r="H2873" s="50" t="s">
        <v>32</v>
      </c>
      <c r="I2873" s="7">
        <v>1.714</v>
      </c>
      <c r="J2873" s="7">
        <v>29.12</v>
      </c>
      <c r="K2873" s="85">
        <f t="shared" ref="K2873:K2878" si="248">I2873*J2873</f>
        <v>49.911680000000004</v>
      </c>
    </row>
    <row r="2874" spans="1:11" ht="18" x14ac:dyDescent="0.35">
      <c r="A2874" s="5" t="s">
        <v>143</v>
      </c>
      <c r="B2874" s="50" t="s">
        <v>33</v>
      </c>
      <c r="C2874" s="7">
        <v>3.7170000000000001</v>
      </c>
      <c r="D2874" s="7">
        <v>16.170000000000002</v>
      </c>
      <c r="E2874" s="85">
        <f t="shared" si="247"/>
        <v>60.103890000000007</v>
      </c>
      <c r="G2874" s="5" t="s">
        <v>143</v>
      </c>
      <c r="H2874" s="50" t="s">
        <v>33</v>
      </c>
      <c r="I2874" s="7">
        <v>3.7170000000000001</v>
      </c>
      <c r="J2874" s="7">
        <v>14.94</v>
      </c>
      <c r="K2874" s="85">
        <f t="shared" si="248"/>
        <v>55.531979999999997</v>
      </c>
    </row>
    <row r="2875" spans="1:11" ht="18" x14ac:dyDescent="0.35">
      <c r="A2875" s="5" t="s">
        <v>1124</v>
      </c>
      <c r="B2875" s="50" t="s">
        <v>84</v>
      </c>
      <c r="C2875" s="7">
        <v>2</v>
      </c>
      <c r="D2875" s="7">
        <v>1.6</v>
      </c>
      <c r="E2875" s="85">
        <f t="shared" si="247"/>
        <v>3.2</v>
      </c>
      <c r="G2875" s="5" t="s">
        <v>1124</v>
      </c>
      <c r="H2875" s="50" t="s">
        <v>84</v>
      </c>
      <c r="I2875" s="7">
        <v>2</v>
      </c>
      <c r="J2875" s="7">
        <v>1.6</v>
      </c>
      <c r="K2875" s="85">
        <f t="shared" si="248"/>
        <v>3.2</v>
      </c>
    </row>
    <row r="2876" spans="1:11" ht="18" x14ac:dyDescent="0.35">
      <c r="A2876" s="5" t="s">
        <v>1123</v>
      </c>
      <c r="B2876" s="50" t="s">
        <v>34</v>
      </c>
      <c r="C2876" s="7">
        <v>0.16</v>
      </c>
      <c r="D2876" s="7">
        <v>14.61</v>
      </c>
      <c r="E2876" s="85">
        <f t="shared" si="247"/>
        <v>2.3376000000000001</v>
      </c>
      <c r="G2876" s="5" t="s">
        <v>1123</v>
      </c>
      <c r="H2876" s="50" t="s">
        <v>34</v>
      </c>
      <c r="I2876" s="7">
        <v>0.16</v>
      </c>
      <c r="J2876" s="7">
        <v>14.61</v>
      </c>
      <c r="K2876" s="85">
        <f t="shared" si="248"/>
        <v>2.3376000000000001</v>
      </c>
    </row>
    <row r="2877" spans="1:11" ht="18" x14ac:dyDescent="0.35">
      <c r="A2877" s="5"/>
      <c r="B2877" s="50" t="s">
        <v>35</v>
      </c>
      <c r="C2877" s="7">
        <v>4</v>
      </c>
      <c r="D2877" s="7">
        <v>2.91</v>
      </c>
      <c r="E2877" s="85">
        <f t="shared" si="247"/>
        <v>11.64</v>
      </c>
      <c r="G2877" s="5"/>
      <c r="H2877" s="50" t="s">
        <v>35</v>
      </c>
      <c r="I2877" s="7">
        <v>4</v>
      </c>
      <c r="J2877" s="7">
        <v>2.91</v>
      </c>
      <c r="K2877" s="85">
        <f t="shared" si="248"/>
        <v>11.64</v>
      </c>
    </row>
    <row r="2878" spans="1:11" ht="18" x14ac:dyDescent="0.35">
      <c r="A2878" s="5"/>
      <c r="B2878" s="50" t="s">
        <v>36</v>
      </c>
      <c r="C2878" s="7">
        <v>4</v>
      </c>
      <c r="D2878" s="7">
        <v>0.61</v>
      </c>
      <c r="E2878" s="85">
        <f t="shared" si="247"/>
        <v>2.44</v>
      </c>
      <c r="G2878" s="5"/>
      <c r="H2878" s="50" t="s">
        <v>36</v>
      </c>
      <c r="I2878" s="7">
        <v>4</v>
      </c>
      <c r="J2878" s="7">
        <v>0.61</v>
      </c>
      <c r="K2878" s="85">
        <f t="shared" si="248"/>
        <v>2.44</v>
      </c>
    </row>
    <row r="2879" spans="1:11" ht="18" x14ac:dyDescent="0.35">
      <c r="A2879" s="5"/>
      <c r="B2879" s="5"/>
      <c r="C2879" s="54"/>
      <c r="D2879" s="54"/>
      <c r="E2879" s="89">
        <f>SUM(E2873:E2878)</f>
        <v>131.89564999999999</v>
      </c>
      <c r="G2879" s="5"/>
      <c r="H2879" s="5"/>
      <c r="I2879" s="54"/>
      <c r="J2879" s="54"/>
      <c r="K2879" s="89">
        <f>SUM(K2873:K2878)</f>
        <v>125.06125999999999</v>
      </c>
    </row>
    <row r="2880" spans="1:11" ht="18" x14ac:dyDescent="0.35">
      <c r="A2880" s="5"/>
      <c r="B2880" s="5"/>
      <c r="C2880" s="54"/>
      <c r="D2880" s="54" t="s">
        <v>1129</v>
      </c>
      <c r="E2880" s="89">
        <f>E2879+E2879*10%</f>
        <v>145.08521499999998</v>
      </c>
      <c r="G2880" s="5"/>
      <c r="H2880" s="5"/>
      <c r="I2880" s="54"/>
      <c r="J2880" s="54" t="s">
        <v>1129</v>
      </c>
      <c r="K2880" s="89">
        <f>K2879+K2879*10%</f>
        <v>137.567386</v>
      </c>
    </row>
    <row r="2881" spans="1:11" ht="18" x14ac:dyDescent="0.35">
      <c r="A2881" s="5"/>
      <c r="B2881" s="50" t="s">
        <v>37</v>
      </c>
      <c r="C2881" s="54">
        <v>0.15</v>
      </c>
      <c r="D2881" s="54">
        <v>200</v>
      </c>
      <c r="E2881" s="85">
        <f>C2881*D2881</f>
        <v>30</v>
      </c>
      <c r="G2881" s="5"/>
      <c r="H2881" s="50" t="s">
        <v>37</v>
      </c>
      <c r="I2881" s="54">
        <v>0.15</v>
      </c>
      <c r="J2881" s="54">
        <v>200</v>
      </c>
      <c r="K2881" s="85">
        <f>I2881*J2881</f>
        <v>30</v>
      </c>
    </row>
    <row r="2882" spans="1:11" ht="18" x14ac:dyDescent="0.35">
      <c r="A2882" s="5"/>
      <c r="B2882" s="5"/>
      <c r="C2882" s="54"/>
      <c r="D2882" s="54"/>
      <c r="E2882" s="85">
        <f>SUM(E2880:E2881)</f>
        <v>175.08521499999998</v>
      </c>
      <c r="G2882" s="5"/>
      <c r="H2882" s="5"/>
      <c r="I2882" s="54"/>
      <c r="J2882" s="54"/>
      <c r="K2882" s="85">
        <f>SUM(K2880:K2881)</f>
        <v>167.567386</v>
      </c>
    </row>
    <row r="2883" spans="1:11" ht="18" x14ac:dyDescent="0.35">
      <c r="A2883" s="111" t="s">
        <v>1127</v>
      </c>
      <c r="G2883" s="111" t="s">
        <v>1127</v>
      </c>
    </row>
    <row r="2884" spans="1:11" ht="21" x14ac:dyDescent="0.4">
      <c r="A2884" s="40" t="s">
        <v>1125</v>
      </c>
      <c r="B2884" s="40"/>
      <c r="C2884" s="84"/>
      <c r="D2884" s="12"/>
      <c r="E2884" s="12"/>
      <c r="G2884" s="40" t="s">
        <v>1128</v>
      </c>
      <c r="H2884" s="40"/>
      <c r="I2884" s="84"/>
      <c r="J2884" s="12"/>
      <c r="K2884" s="12"/>
    </row>
    <row r="2885" spans="1:11" ht="21" x14ac:dyDescent="0.4">
      <c r="A2885" s="40"/>
      <c r="B2885" s="40"/>
      <c r="C2885" s="84"/>
      <c r="D2885" s="12"/>
      <c r="E2885" s="12"/>
      <c r="G2885" s="40"/>
      <c r="H2885" s="40"/>
      <c r="I2885" s="84"/>
      <c r="J2885" s="12"/>
      <c r="K2885" s="12"/>
    </row>
    <row r="2886" spans="1:11" ht="18" x14ac:dyDescent="0.35">
      <c r="A2886" s="5"/>
      <c r="B2886" s="5"/>
      <c r="C2886" s="7" t="s">
        <v>28</v>
      </c>
      <c r="D2886" s="7" t="s">
        <v>29</v>
      </c>
      <c r="E2886" s="7" t="s">
        <v>30</v>
      </c>
      <c r="G2886" s="5"/>
      <c r="H2886" s="5"/>
      <c r="I2886" s="7" t="s">
        <v>28</v>
      </c>
      <c r="J2886" s="7" t="s">
        <v>29</v>
      </c>
      <c r="K2886" s="7" t="s">
        <v>30</v>
      </c>
    </row>
    <row r="2887" spans="1:11" ht="18" x14ac:dyDescent="0.35">
      <c r="A2887" s="5" t="s">
        <v>67</v>
      </c>
      <c r="B2887" s="50" t="s">
        <v>32</v>
      </c>
      <c r="C2887" s="7">
        <v>1.714</v>
      </c>
      <c r="D2887" s="7">
        <v>45.07</v>
      </c>
      <c r="E2887" s="85">
        <f t="shared" ref="E2887:E2894" si="249">C2887*D2887</f>
        <v>77.249979999999994</v>
      </c>
      <c r="G2887" s="5" t="s">
        <v>67</v>
      </c>
      <c r="H2887" s="50" t="s">
        <v>32</v>
      </c>
      <c r="I2887" s="7">
        <v>1.714</v>
      </c>
      <c r="J2887" s="7">
        <v>29.24</v>
      </c>
      <c r="K2887" s="85">
        <f t="shared" ref="K2887:K2894" si="250">I2887*J2887</f>
        <v>50.117359999999998</v>
      </c>
    </row>
    <row r="2888" spans="1:11" ht="18" x14ac:dyDescent="0.35">
      <c r="A2888" s="5" t="s">
        <v>63</v>
      </c>
      <c r="B2888" s="50" t="s">
        <v>33</v>
      </c>
      <c r="C2888" s="7">
        <v>3.7170000000000001</v>
      </c>
      <c r="D2888" s="7">
        <v>16.170000000000002</v>
      </c>
      <c r="E2888" s="85">
        <f t="shared" si="249"/>
        <v>60.103890000000007</v>
      </c>
      <c r="G2888" s="5" t="s">
        <v>63</v>
      </c>
      <c r="H2888" s="50" t="s">
        <v>33</v>
      </c>
      <c r="I2888" s="7">
        <v>3.7170000000000001</v>
      </c>
      <c r="J2888" s="7">
        <v>14.94</v>
      </c>
      <c r="K2888" s="85">
        <f t="shared" si="250"/>
        <v>55.531979999999997</v>
      </c>
    </row>
    <row r="2889" spans="1:11" ht="18" x14ac:dyDescent="0.35">
      <c r="A2889" s="5" t="s">
        <v>168</v>
      </c>
      <c r="B2889" s="50" t="s">
        <v>33</v>
      </c>
      <c r="C2889" s="7">
        <v>4.2629999999999999</v>
      </c>
      <c r="D2889" s="7">
        <v>16.170000000000002</v>
      </c>
      <c r="E2889" s="85">
        <f t="shared" si="249"/>
        <v>68.93271</v>
      </c>
      <c r="G2889" s="5" t="s">
        <v>168</v>
      </c>
      <c r="H2889" s="50" t="s">
        <v>33</v>
      </c>
      <c r="I2889" s="7">
        <v>4.2629999999999999</v>
      </c>
      <c r="J2889" s="7">
        <v>14.94</v>
      </c>
      <c r="K2889" s="85">
        <f t="shared" si="250"/>
        <v>63.689219999999999</v>
      </c>
    </row>
    <row r="2890" spans="1:11" ht="18" x14ac:dyDescent="0.35">
      <c r="A2890" s="5" t="s">
        <v>1124</v>
      </c>
      <c r="B2890" s="50" t="s">
        <v>96</v>
      </c>
      <c r="C2890" s="7">
        <v>2</v>
      </c>
      <c r="D2890" s="7">
        <v>1.6</v>
      </c>
      <c r="E2890" s="85">
        <f t="shared" si="249"/>
        <v>3.2</v>
      </c>
      <c r="G2890" s="5" t="s">
        <v>1124</v>
      </c>
      <c r="H2890" s="50" t="s">
        <v>96</v>
      </c>
      <c r="I2890" s="7">
        <v>2</v>
      </c>
      <c r="J2890" s="7">
        <v>1.6</v>
      </c>
      <c r="K2890" s="85">
        <f t="shared" si="250"/>
        <v>3.2</v>
      </c>
    </row>
    <row r="2891" spans="1:11" ht="18" x14ac:dyDescent="0.35">
      <c r="A2891" s="5" t="s">
        <v>1097</v>
      </c>
      <c r="B2891" s="50" t="s">
        <v>89</v>
      </c>
      <c r="C2891" s="88">
        <v>2</v>
      </c>
      <c r="D2891" s="88">
        <v>3.39</v>
      </c>
      <c r="E2891" s="90">
        <f t="shared" si="249"/>
        <v>6.78</v>
      </c>
      <c r="G2891" s="5" t="s">
        <v>1097</v>
      </c>
      <c r="H2891" s="50" t="s">
        <v>89</v>
      </c>
      <c r="I2891" s="88">
        <v>2</v>
      </c>
      <c r="J2891" s="88">
        <v>3.39</v>
      </c>
      <c r="K2891" s="90">
        <f t="shared" si="250"/>
        <v>6.78</v>
      </c>
    </row>
    <row r="2892" spans="1:11" ht="18" x14ac:dyDescent="0.35">
      <c r="A2892" s="5"/>
      <c r="B2892" s="50" t="s">
        <v>34</v>
      </c>
      <c r="C2892" s="7">
        <v>0.16</v>
      </c>
      <c r="D2892" s="7">
        <v>18.05</v>
      </c>
      <c r="E2892" s="85">
        <f t="shared" si="249"/>
        <v>2.8880000000000003</v>
      </c>
      <c r="G2892" s="5"/>
      <c r="H2892" s="50" t="s">
        <v>34</v>
      </c>
      <c r="I2892" s="7">
        <v>0.16</v>
      </c>
      <c r="J2892" s="7">
        <v>18.05</v>
      </c>
      <c r="K2892" s="85">
        <f t="shared" si="250"/>
        <v>2.8880000000000003</v>
      </c>
    </row>
    <row r="2893" spans="1:11" ht="18" x14ac:dyDescent="0.35">
      <c r="A2893" s="5"/>
      <c r="B2893" s="50" t="s">
        <v>35</v>
      </c>
      <c r="C2893" s="7">
        <v>4</v>
      </c>
      <c r="D2893" s="7">
        <v>2.0099999999999998</v>
      </c>
      <c r="E2893" s="85">
        <f t="shared" si="249"/>
        <v>8.0399999999999991</v>
      </c>
      <c r="G2893" s="5"/>
      <c r="H2893" s="50" t="s">
        <v>35</v>
      </c>
      <c r="I2893" s="7">
        <v>4</v>
      </c>
      <c r="J2893" s="7">
        <v>2.0099999999999998</v>
      </c>
      <c r="K2893" s="85">
        <f t="shared" si="250"/>
        <v>8.0399999999999991</v>
      </c>
    </row>
    <row r="2894" spans="1:11" ht="18" x14ac:dyDescent="0.35">
      <c r="A2894" s="5"/>
      <c r="B2894" s="50" t="s">
        <v>36</v>
      </c>
      <c r="C2894" s="7">
        <v>4</v>
      </c>
      <c r="D2894" s="7">
        <v>0.25</v>
      </c>
      <c r="E2894" s="85">
        <f t="shared" si="249"/>
        <v>1</v>
      </c>
      <c r="G2894" s="5"/>
      <c r="H2894" s="50" t="s">
        <v>36</v>
      </c>
      <c r="I2894" s="7">
        <v>4</v>
      </c>
      <c r="J2894" s="7">
        <v>0.25</v>
      </c>
      <c r="K2894" s="85">
        <f t="shared" si="250"/>
        <v>1</v>
      </c>
    </row>
    <row r="2895" spans="1:11" ht="18" x14ac:dyDescent="0.35">
      <c r="A2895" s="5"/>
      <c r="B2895" s="5"/>
      <c r="C2895" s="54"/>
      <c r="D2895" s="54"/>
      <c r="E2895" s="89">
        <f>SUM(E2887:E2894)</f>
        <v>228.19458</v>
      </c>
      <c r="G2895" s="5"/>
      <c r="H2895" s="5"/>
      <c r="I2895" s="54"/>
      <c r="J2895" s="54"/>
      <c r="K2895" s="89">
        <f>SUM(K2887:K2894)</f>
        <v>191.24655999999999</v>
      </c>
    </row>
    <row r="2896" spans="1:11" ht="18" x14ac:dyDescent="0.35">
      <c r="A2896" s="5"/>
      <c r="B2896" s="5"/>
      <c r="C2896" s="54"/>
      <c r="D2896" s="54" t="s">
        <v>1129</v>
      </c>
      <c r="E2896" s="89">
        <f>E2895+E2895*10%</f>
        <v>251.014038</v>
      </c>
      <c r="G2896" s="5"/>
      <c r="H2896" s="5"/>
      <c r="I2896" s="54"/>
      <c r="J2896" s="54" t="s">
        <v>1129</v>
      </c>
      <c r="K2896" s="89">
        <f>K2895+K2895*10%</f>
        <v>210.37121599999998</v>
      </c>
    </row>
    <row r="2897" spans="1:11" ht="18" x14ac:dyDescent="0.35">
      <c r="A2897" s="5"/>
      <c r="B2897" s="50" t="s">
        <v>37</v>
      </c>
      <c r="C2897" s="54">
        <v>0.5</v>
      </c>
      <c r="D2897" s="54">
        <v>200</v>
      </c>
      <c r="E2897" s="85">
        <f>C2897*D2897</f>
        <v>100</v>
      </c>
      <c r="G2897" s="5"/>
      <c r="H2897" s="50" t="s">
        <v>37</v>
      </c>
      <c r="I2897" s="54">
        <v>0.5</v>
      </c>
      <c r="J2897" s="54">
        <v>200</v>
      </c>
      <c r="K2897" s="85">
        <f>I2897*J2897</f>
        <v>100</v>
      </c>
    </row>
    <row r="2898" spans="1:11" ht="18" x14ac:dyDescent="0.35">
      <c r="A2898" s="5"/>
      <c r="B2898" s="5"/>
      <c r="C2898" s="54"/>
      <c r="D2898" s="54"/>
      <c r="E2898" s="85">
        <f>SUM(E2896:E2897)</f>
        <v>351.01403800000003</v>
      </c>
      <c r="G2898" s="5"/>
      <c r="H2898" s="5"/>
      <c r="I2898" s="54"/>
      <c r="J2898" s="54"/>
      <c r="K2898" s="85">
        <f>SUM(K2896:K2897)</f>
        <v>310.371216</v>
      </c>
    </row>
    <row r="2900" spans="1:11" x14ac:dyDescent="0.3">
      <c r="A2900" t="s">
        <v>1131</v>
      </c>
    </row>
    <row r="2901" spans="1:11" ht="21" x14ac:dyDescent="0.4">
      <c r="A2901" s="40" t="s">
        <v>1130</v>
      </c>
      <c r="B2901" s="40"/>
      <c r="C2901" s="84"/>
    </row>
    <row r="2902" spans="1:11" ht="18" x14ac:dyDescent="0.35">
      <c r="A2902" s="5"/>
      <c r="B2902" s="5"/>
      <c r="C2902" s="7" t="s">
        <v>28</v>
      </c>
      <c r="D2902" s="7" t="s">
        <v>29</v>
      </c>
      <c r="E2902" s="7" t="s">
        <v>30</v>
      </c>
    </row>
    <row r="2903" spans="1:11" ht="18" x14ac:dyDescent="0.35">
      <c r="A2903" s="5" t="s">
        <v>170</v>
      </c>
      <c r="B2903" s="50" t="s">
        <v>32</v>
      </c>
      <c r="C2903" s="7">
        <v>1.2929999999999999</v>
      </c>
      <c r="D2903" s="7">
        <v>30.44</v>
      </c>
      <c r="E2903" s="85">
        <f t="shared" ref="E2903:E2908" si="251">C2903*D2903</f>
        <v>39.358919999999998</v>
      </c>
    </row>
    <row r="2904" spans="1:11" ht="18" x14ac:dyDescent="0.35">
      <c r="A2904" s="5" t="s">
        <v>171</v>
      </c>
      <c r="B2904" s="50" t="s">
        <v>33</v>
      </c>
      <c r="C2904" s="7">
        <v>1.0289999999999999</v>
      </c>
      <c r="D2904" s="7">
        <v>16.170000000000002</v>
      </c>
      <c r="E2904" s="85">
        <f t="shared" si="251"/>
        <v>16.638930000000002</v>
      </c>
    </row>
    <row r="2905" spans="1:11" ht="18" x14ac:dyDescent="0.35">
      <c r="A2905" s="5" t="s">
        <v>619</v>
      </c>
      <c r="B2905" s="50" t="s">
        <v>42</v>
      </c>
      <c r="C2905" s="7">
        <v>2</v>
      </c>
      <c r="D2905" s="7">
        <v>1.1499999999999999</v>
      </c>
      <c r="E2905" s="85">
        <f t="shared" si="251"/>
        <v>2.2999999999999998</v>
      </c>
    </row>
    <row r="2906" spans="1:11" ht="18" x14ac:dyDescent="0.35">
      <c r="A2906" s="5" t="s">
        <v>1123</v>
      </c>
      <c r="B2906" s="50" t="s">
        <v>34</v>
      </c>
      <c r="C2906" s="7"/>
      <c r="D2906" s="7">
        <v>14.61</v>
      </c>
      <c r="E2906" s="85">
        <f t="shared" si="251"/>
        <v>0</v>
      </c>
    </row>
    <row r="2907" spans="1:11" ht="18" x14ac:dyDescent="0.35">
      <c r="A2907" s="5"/>
      <c r="B2907" s="50" t="s">
        <v>35</v>
      </c>
      <c r="C2907" s="7">
        <v>4</v>
      </c>
      <c r="D2907" s="7">
        <v>2.91</v>
      </c>
      <c r="E2907" s="85">
        <f t="shared" si="251"/>
        <v>11.64</v>
      </c>
    </row>
    <row r="2908" spans="1:11" ht="18" x14ac:dyDescent="0.35">
      <c r="A2908" s="5"/>
      <c r="B2908" s="50" t="s">
        <v>36</v>
      </c>
      <c r="C2908" s="7">
        <v>4</v>
      </c>
      <c r="D2908" s="7">
        <v>0.61</v>
      </c>
      <c r="E2908" s="85">
        <f t="shared" si="251"/>
        <v>2.44</v>
      </c>
    </row>
    <row r="2909" spans="1:11" ht="18" x14ac:dyDescent="0.35">
      <c r="A2909" s="5"/>
      <c r="B2909" s="5"/>
      <c r="C2909" s="54"/>
      <c r="D2909" s="54"/>
      <c r="E2909" s="89">
        <f>SUM(E2903:E2908)</f>
        <v>72.377849999999995</v>
      </c>
    </row>
    <row r="2910" spans="1:11" ht="18" x14ac:dyDescent="0.35">
      <c r="A2910" s="5"/>
      <c r="B2910" s="5"/>
      <c r="C2910" s="54"/>
      <c r="D2910" s="54" t="s">
        <v>1116</v>
      </c>
      <c r="E2910" s="89">
        <f>E2909+E2909*30%</f>
        <v>94.091204999999988</v>
      </c>
    </row>
    <row r="2911" spans="1:11" ht="18" x14ac:dyDescent="0.35">
      <c r="A2911" s="5"/>
      <c r="B2911" s="50" t="s">
        <v>37</v>
      </c>
      <c r="C2911" s="54">
        <v>0.15</v>
      </c>
      <c r="D2911" s="54">
        <v>200</v>
      </c>
      <c r="E2911" s="85">
        <f>C2911*D2911</f>
        <v>30</v>
      </c>
    </row>
    <row r="2912" spans="1:11" ht="18" x14ac:dyDescent="0.35">
      <c r="A2912" s="5"/>
      <c r="B2912" s="5"/>
      <c r="C2912" s="54"/>
      <c r="D2912" s="54"/>
      <c r="E2912" s="85">
        <f>SUM(E2910:E2911)</f>
        <v>124.09120499999999</v>
      </c>
    </row>
    <row r="2914" spans="1:5" ht="18" x14ac:dyDescent="0.35">
      <c r="A2914" s="111" t="s">
        <v>1132</v>
      </c>
    </row>
    <row r="2915" spans="1:5" ht="21" x14ac:dyDescent="0.4">
      <c r="A2915" s="40" t="s">
        <v>1078</v>
      </c>
      <c r="B2915" s="40"/>
      <c r="C2915" s="84"/>
      <c r="D2915" s="12"/>
      <c r="E2915" s="12"/>
    </row>
    <row r="2916" spans="1:5" ht="21" x14ac:dyDescent="0.4">
      <c r="A2916" s="40"/>
      <c r="B2916" s="40"/>
      <c r="C2916" s="84"/>
      <c r="D2916" s="12"/>
      <c r="E2916" s="12"/>
    </row>
    <row r="2917" spans="1:5" ht="18" x14ac:dyDescent="0.35">
      <c r="A2917" s="5"/>
      <c r="B2917" s="5"/>
      <c r="C2917" s="7" t="s">
        <v>28</v>
      </c>
      <c r="D2917" s="7" t="s">
        <v>29</v>
      </c>
      <c r="E2917" s="7" t="s">
        <v>30</v>
      </c>
    </row>
    <row r="2918" spans="1:5" ht="18" x14ac:dyDescent="0.35">
      <c r="A2918" s="5" t="s">
        <v>41</v>
      </c>
      <c r="B2918" s="50" t="s">
        <v>32</v>
      </c>
      <c r="C2918" s="7">
        <v>1.3979999999999999</v>
      </c>
      <c r="D2918" s="7">
        <v>45.07</v>
      </c>
      <c r="E2918" s="85">
        <f t="shared" ref="E2918:E2925" si="252">C2918*D2918</f>
        <v>63.007859999999994</v>
      </c>
    </row>
    <row r="2919" spans="1:5" ht="18" x14ac:dyDescent="0.35">
      <c r="A2919" s="5" t="s">
        <v>39</v>
      </c>
      <c r="B2919" s="50" t="s">
        <v>33</v>
      </c>
      <c r="C2919" s="7">
        <v>2.0579999999999998</v>
      </c>
      <c r="D2919" s="7">
        <v>16.170000000000002</v>
      </c>
      <c r="E2919" s="85">
        <f t="shared" si="252"/>
        <v>33.277860000000004</v>
      </c>
    </row>
    <row r="2920" spans="1:5" ht="18" x14ac:dyDescent="0.35">
      <c r="A2920" s="5" t="s">
        <v>293</v>
      </c>
      <c r="B2920" s="50" t="s">
        <v>33</v>
      </c>
      <c r="C2920" s="7">
        <v>2.2679999999999998</v>
      </c>
      <c r="D2920" s="7">
        <v>16.170000000000002</v>
      </c>
      <c r="E2920" s="85">
        <f t="shared" si="252"/>
        <v>36.673560000000002</v>
      </c>
    </row>
    <row r="2921" spans="1:5" ht="18" x14ac:dyDescent="0.35">
      <c r="A2921" s="5" t="s">
        <v>623</v>
      </c>
      <c r="B2921" s="50" t="s">
        <v>43</v>
      </c>
      <c r="C2921" s="7">
        <v>2</v>
      </c>
      <c r="D2921" s="7">
        <v>1.1499999999999999</v>
      </c>
      <c r="E2921" s="85">
        <f t="shared" si="252"/>
        <v>2.2999999999999998</v>
      </c>
    </row>
    <row r="2922" spans="1:5" ht="18" x14ac:dyDescent="0.35">
      <c r="A2922" s="5" t="s">
        <v>1097</v>
      </c>
      <c r="B2922" s="50" t="s">
        <v>88</v>
      </c>
      <c r="C2922" s="88">
        <v>2</v>
      </c>
      <c r="D2922" s="88">
        <v>2.2400000000000002</v>
      </c>
      <c r="E2922" s="90">
        <f t="shared" si="252"/>
        <v>4.4800000000000004</v>
      </c>
    </row>
    <row r="2923" spans="1:5" ht="18" x14ac:dyDescent="0.35">
      <c r="A2923" s="5"/>
      <c r="B2923" s="50" t="s">
        <v>34</v>
      </c>
      <c r="C2923" s="7"/>
      <c r="D2923" s="7">
        <v>18.05</v>
      </c>
      <c r="E2923" s="85">
        <f t="shared" si="252"/>
        <v>0</v>
      </c>
    </row>
    <row r="2924" spans="1:5" ht="18" x14ac:dyDescent="0.35">
      <c r="A2924" s="5"/>
      <c r="B2924" s="50" t="s">
        <v>35</v>
      </c>
      <c r="C2924" s="7">
        <v>4</v>
      </c>
      <c r="D2924" s="7">
        <v>2.0099999999999998</v>
      </c>
      <c r="E2924" s="85">
        <f t="shared" si="252"/>
        <v>8.0399999999999991</v>
      </c>
    </row>
    <row r="2925" spans="1:5" ht="18" x14ac:dyDescent="0.35">
      <c r="A2925" s="5"/>
      <c r="B2925" s="50" t="s">
        <v>36</v>
      </c>
      <c r="C2925" s="7">
        <v>4</v>
      </c>
      <c r="D2925" s="7">
        <v>0.25</v>
      </c>
      <c r="E2925" s="85">
        <f t="shared" si="252"/>
        <v>1</v>
      </c>
    </row>
    <row r="2926" spans="1:5" ht="18" x14ac:dyDescent="0.35">
      <c r="A2926" s="5"/>
      <c r="B2926" s="5"/>
      <c r="C2926" s="54"/>
      <c r="D2926" s="54"/>
      <c r="E2926" s="89">
        <f>SUM(E2918:E2925)</f>
        <v>148.77928</v>
      </c>
    </row>
    <row r="2927" spans="1:5" ht="18" x14ac:dyDescent="0.35">
      <c r="A2927" s="5"/>
      <c r="B2927" s="5"/>
      <c r="C2927" s="54"/>
      <c r="D2927" s="54"/>
      <c r="E2927" s="89"/>
    </row>
    <row r="2928" spans="1:5" ht="18" x14ac:dyDescent="0.35">
      <c r="A2928" s="5"/>
      <c r="B2928" s="50" t="s">
        <v>37</v>
      </c>
      <c r="C2928" s="54">
        <v>0.5</v>
      </c>
      <c r="D2928" s="54">
        <v>160</v>
      </c>
      <c r="E2928" s="85">
        <f>C2928*D2928</f>
        <v>80</v>
      </c>
    </row>
    <row r="2929" spans="1:5" ht="18" x14ac:dyDescent="0.35">
      <c r="A2929" s="5"/>
      <c r="B2929" s="5"/>
      <c r="C2929" s="54"/>
      <c r="D2929" s="54"/>
      <c r="E2929" s="112">
        <f>E2928+E2926</f>
        <v>228.77928</v>
      </c>
    </row>
    <row r="2931" spans="1:5" ht="21" x14ac:dyDescent="0.4">
      <c r="A2931" s="40" t="s">
        <v>1133</v>
      </c>
      <c r="B2931" s="40"/>
      <c r="C2931" s="84"/>
    </row>
    <row r="2932" spans="1:5" ht="18" x14ac:dyDescent="0.35">
      <c r="A2932" s="5"/>
      <c r="B2932" s="5"/>
      <c r="C2932" s="7" t="s">
        <v>28</v>
      </c>
      <c r="D2932" s="7" t="s">
        <v>29</v>
      </c>
      <c r="E2932" s="7" t="s">
        <v>30</v>
      </c>
    </row>
    <row r="2933" spans="1:5" ht="18" x14ac:dyDescent="0.35">
      <c r="A2933" s="5" t="s">
        <v>104</v>
      </c>
      <c r="B2933" s="50" t="s">
        <v>32</v>
      </c>
      <c r="C2933" s="7">
        <v>1.8180000000000001</v>
      </c>
      <c r="D2933" s="7">
        <v>30.44</v>
      </c>
      <c r="E2933" s="85">
        <f t="shared" ref="E2933:E2938" si="253">C2933*D2933</f>
        <v>55.339920000000006</v>
      </c>
    </row>
    <row r="2934" spans="1:5" ht="18" x14ac:dyDescent="0.35">
      <c r="A2934" s="5" t="s">
        <v>217</v>
      </c>
      <c r="B2934" s="50" t="s">
        <v>33</v>
      </c>
      <c r="C2934" s="7">
        <v>7.2030000000000003</v>
      </c>
      <c r="D2934" s="7">
        <v>16.170000000000002</v>
      </c>
      <c r="E2934" s="85">
        <f t="shared" si="253"/>
        <v>116.47251000000001</v>
      </c>
    </row>
    <row r="2935" spans="1:5" ht="18" x14ac:dyDescent="0.35">
      <c r="A2935" s="5" t="s">
        <v>619</v>
      </c>
      <c r="B2935" s="50" t="s">
        <v>42</v>
      </c>
      <c r="C2935" s="7">
        <v>2</v>
      </c>
      <c r="D2935" s="7">
        <v>1.1499999999999999</v>
      </c>
      <c r="E2935" s="85">
        <f t="shared" si="253"/>
        <v>2.2999999999999998</v>
      </c>
    </row>
    <row r="2936" spans="1:5" ht="18" x14ac:dyDescent="0.35">
      <c r="A2936" s="5" t="s">
        <v>1134</v>
      </c>
      <c r="B2936" s="50" t="s">
        <v>34</v>
      </c>
      <c r="C2936" s="7"/>
      <c r="D2936" s="7">
        <v>14.61</v>
      </c>
      <c r="E2936" s="85">
        <f t="shared" si="253"/>
        <v>0</v>
      </c>
    </row>
    <row r="2937" spans="1:5" ht="18" x14ac:dyDescent="0.35">
      <c r="A2937" s="5"/>
      <c r="B2937" s="50" t="s">
        <v>35</v>
      </c>
      <c r="C2937" s="7">
        <v>4</v>
      </c>
      <c r="D2937" s="7">
        <v>2.91</v>
      </c>
      <c r="E2937" s="85">
        <f t="shared" si="253"/>
        <v>11.64</v>
      </c>
    </row>
    <row r="2938" spans="1:5" ht="18" x14ac:dyDescent="0.35">
      <c r="A2938" s="5"/>
      <c r="B2938" s="50" t="s">
        <v>36</v>
      </c>
      <c r="C2938" s="7">
        <v>4</v>
      </c>
      <c r="D2938" s="7">
        <v>0.61</v>
      </c>
      <c r="E2938" s="85">
        <f t="shared" si="253"/>
        <v>2.44</v>
      </c>
    </row>
    <row r="2939" spans="1:5" ht="18" x14ac:dyDescent="0.35">
      <c r="A2939" s="5"/>
      <c r="B2939" s="5"/>
      <c r="C2939" s="54"/>
      <c r="D2939" s="54"/>
      <c r="E2939" s="89">
        <f>SUM(E2933:E2938)</f>
        <v>188.19243</v>
      </c>
    </row>
    <row r="2940" spans="1:5" ht="18" x14ac:dyDescent="0.35">
      <c r="A2940" s="5"/>
      <c r="B2940" s="5"/>
      <c r="C2940" s="54"/>
      <c r="D2940" s="54" t="s">
        <v>1063</v>
      </c>
      <c r="E2940" s="89">
        <f>E2939+E2939*40%</f>
        <v>263.469402</v>
      </c>
    </row>
    <row r="2941" spans="1:5" ht="18" x14ac:dyDescent="0.35">
      <c r="A2941" s="5"/>
      <c r="B2941" s="50" t="s">
        <v>37</v>
      </c>
      <c r="C2941" s="54">
        <v>0.5</v>
      </c>
      <c r="D2941" s="54">
        <v>200</v>
      </c>
      <c r="E2941" s="85">
        <f>C2941*D2941</f>
        <v>100</v>
      </c>
    </row>
    <row r="2942" spans="1:5" ht="18" x14ac:dyDescent="0.35">
      <c r="A2942" s="5"/>
      <c r="B2942" s="5"/>
      <c r="C2942" s="54"/>
      <c r="D2942" s="54"/>
      <c r="E2942" s="85">
        <f>SUM(E2940:E2941)</f>
        <v>363.469402</v>
      </c>
    </row>
    <row r="2945" spans="1:5" ht="21" x14ac:dyDescent="0.4">
      <c r="A2945" s="40" t="s">
        <v>1133</v>
      </c>
      <c r="B2945" s="40"/>
      <c r="C2945" s="84"/>
    </row>
    <row r="2946" spans="1:5" ht="18" x14ac:dyDescent="0.35">
      <c r="A2946" s="5"/>
      <c r="B2946" s="5"/>
      <c r="C2946" s="7" t="s">
        <v>28</v>
      </c>
      <c r="D2946" s="7" t="s">
        <v>29</v>
      </c>
      <c r="E2946" s="7" t="s">
        <v>30</v>
      </c>
    </row>
    <row r="2947" spans="1:5" ht="18" x14ac:dyDescent="0.35">
      <c r="A2947" s="5" t="s">
        <v>38</v>
      </c>
      <c r="B2947" s="50" t="s">
        <v>32</v>
      </c>
      <c r="C2947" s="7">
        <v>0.97799999999999998</v>
      </c>
      <c r="D2947" s="7">
        <v>30.44</v>
      </c>
      <c r="E2947" s="85">
        <f t="shared" ref="E2947:E2952" si="254">C2947*D2947</f>
        <v>29.770320000000002</v>
      </c>
    </row>
    <row r="2948" spans="1:5" ht="18" x14ac:dyDescent="0.35">
      <c r="A2948" s="5" t="s">
        <v>1120</v>
      </c>
      <c r="B2948" s="50" t="s">
        <v>33</v>
      </c>
      <c r="C2948" s="7">
        <v>1.218</v>
      </c>
      <c r="D2948" s="7">
        <v>16.170000000000002</v>
      </c>
      <c r="E2948" s="85">
        <f t="shared" si="254"/>
        <v>19.695060000000002</v>
      </c>
    </row>
    <row r="2949" spans="1:5" ht="18" x14ac:dyDescent="0.35">
      <c r="A2949" s="5" t="s">
        <v>619</v>
      </c>
      <c r="B2949" s="50" t="s">
        <v>42</v>
      </c>
      <c r="C2949" s="7">
        <v>2</v>
      </c>
      <c r="D2949" s="7">
        <v>1.1499999999999999</v>
      </c>
      <c r="E2949" s="85">
        <f t="shared" si="254"/>
        <v>2.2999999999999998</v>
      </c>
    </row>
    <row r="2950" spans="1:5" ht="18" x14ac:dyDescent="0.35">
      <c r="A2950" s="5" t="s">
        <v>1134</v>
      </c>
      <c r="B2950" s="50" t="s">
        <v>34</v>
      </c>
      <c r="C2950" s="7"/>
      <c r="D2950" s="7">
        <v>14.61</v>
      </c>
      <c r="E2950" s="85">
        <f t="shared" si="254"/>
        <v>0</v>
      </c>
    </row>
    <row r="2951" spans="1:5" ht="18" x14ac:dyDescent="0.35">
      <c r="A2951" s="5"/>
      <c r="B2951" s="50" t="s">
        <v>35</v>
      </c>
      <c r="C2951" s="7">
        <v>4</v>
      </c>
      <c r="D2951" s="7">
        <v>2.91</v>
      </c>
      <c r="E2951" s="85">
        <f t="shared" si="254"/>
        <v>11.64</v>
      </c>
    </row>
    <row r="2952" spans="1:5" ht="18" x14ac:dyDescent="0.35">
      <c r="A2952" s="5"/>
      <c r="B2952" s="50" t="s">
        <v>36</v>
      </c>
      <c r="C2952" s="7">
        <v>4</v>
      </c>
      <c r="D2952" s="7">
        <v>0.61</v>
      </c>
      <c r="E2952" s="85">
        <f t="shared" si="254"/>
        <v>2.44</v>
      </c>
    </row>
    <row r="2953" spans="1:5" ht="18" x14ac:dyDescent="0.35">
      <c r="A2953" s="5"/>
      <c r="B2953" s="5"/>
      <c r="C2953" s="54"/>
      <c r="D2953" s="54"/>
      <c r="E2953" s="89">
        <f>SUM(E2947:E2952)</f>
        <v>65.845380000000006</v>
      </c>
    </row>
    <row r="2954" spans="1:5" ht="18" x14ac:dyDescent="0.35">
      <c r="A2954" s="5"/>
      <c r="B2954" s="5"/>
      <c r="C2954" s="54"/>
      <c r="D2954" s="54" t="s">
        <v>1063</v>
      </c>
      <c r="E2954" s="89">
        <f>E2953+E2953*40%</f>
        <v>92.183532000000014</v>
      </c>
    </row>
    <row r="2955" spans="1:5" ht="18" x14ac:dyDescent="0.35">
      <c r="A2955" s="5"/>
      <c r="B2955" s="50" t="s">
        <v>37</v>
      </c>
      <c r="C2955" s="54">
        <v>0.15</v>
      </c>
      <c r="D2955" s="54">
        <v>200</v>
      </c>
      <c r="E2955" s="85">
        <f>C2955*D2955</f>
        <v>30</v>
      </c>
    </row>
    <row r="2956" spans="1:5" ht="18" x14ac:dyDescent="0.35">
      <c r="A2956" s="5"/>
      <c r="B2956" s="5"/>
      <c r="C2956" s="54"/>
      <c r="D2956" s="54"/>
      <c r="E2956" s="85">
        <f>SUM(E2954:E2955)</f>
        <v>122.18353200000001</v>
      </c>
    </row>
    <row r="2958" spans="1:5" ht="21" x14ac:dyDescent="0.4">
      <c r="A2958" s="40" t="s">
        <v>813</v>
      </c>
      <c r="B2958" s="40"/>
      <c r="C2958" s="40"/>
      <c r="D2958" s="12"/>
      <c r="E2958" s="12"/>
    </row>
    <row r="2959" spans="1:5" ht="18" x14ac:dyDescent="0.35">
      <c r="A2959" s="5"/>
      <c r="B2959" s="5"/>
      <c r="C2959" s="7" t="s">
        <v>28</v>
      </c>
      <c r="D2959" s="7" t="s">
        <v>29</v>
      </c>
      <c r="E2959" s="7" t="s">
        <v>30</v>
      </c>
    </row>
    <row r="2960" spans="1:5" ht="18" x14ac:dyDescent="0.35">
      <c r="A2960" s="5" t="s">
        <v>46</v>
      </c>
      <c r="B2960" s="50" t="s">
        <v>32</v>
      </c>
      <c r="C2960" s="7">
        <v>2.028</v>
      </c>
      <c r="D2960" s="7">
        <v>30.44</v>
      </c>
      <c r="E2960" s="85">
        <f>C2960*D2960</f>
        <v>61.732320000000001</v>
      </c>
    </row>
    <row r="2961" spans="1:5" ht="18" x14ac:dyDescent="0.35">
      <c r="A2961" s="5" t="s">
        <v>63</v>
      </c>
      <c r="B2961" s="50" t="s">
        <v>33</v>
      </c>
      <c r="C2961" s="7">
        <v>4.9770000000000003</v>
      </c>
      <c r="D2961" s="7">
        <v>17.059999999999999</v>
      </c>
      <c r="E2961" s="85">
        <f>C2961*D2961</f>
        <v>84.907619999999994</v>
      </c>
    </row>
    <row r="2962" spans="1:5" ht="18" x14ac:dyDescent="0.35">
      <c r="A2962" s="5" t="s">
        <v>777</v>
      </c>
      <c r="B2962" s="50" t="s">
        <v>137</v>
      </c>
      <c r="C2962" s="7">
        <v>0.15</v>
      </c>
      <c r="D2962" s="7">
        <v>17.190000000000001</v>
      </c>
      <c r="E2962" s="85">
        <f>C2962*D2962</f>
        <v>2.5785</v>
      </c>
    </row>
    <row r="2963" spans="1:5" ht="18" x14ac:dyDescent="0.35">
      <c r="A2963" s="5" t="s">
        <v>1121</v>
      </c>
      <c r="B2963" s="50" t="s">
        <v>35</v>
      </c>
      <c r="C2963" s="7">
        <v>4</v>
      </c>
      <c r="D2963" s="7">
        <v>2.91</v>
      </c>
      <c r="E2963" s="85">
        <f>C2963*D2963</f>
        <v>11.64</v>
      </c>
    </row>
    <row r="2964" spans="1:5" ht="18" x14ac:dyDescent="0.35">
      <c r="A2964" s="5"/>
      <c r="B2964" s="50" t="s">
        <v>36</v>
      </c>
      <c r="C2964" s="7">
        <v>4</v>
      </c>
      <c r="D2964" s="7">
        <v>0.61</v>
      </c>
      <c r="E2964" s="85">
        <f>C2964*D2964</f>
        <v>2.44</v>
      </c>
    </row>
    <row r="2965" spans="1:5" ht="18" x14ac:dyDescent="0.35">
      <c r="A2965" s="5"/>
      <c r="B2965" s="96"/>
      <c r="C2965" s="87"/>
      <c r="D2965" s="87"/>
      <c r="E2965" s="94">
        <f>SUM(E2960:E2964)</f>
        <v>163.29843999999997</v>
      </c>
    </row>
    <row r="2966" spans="1:5" ht="18" x14ac:dyDescent="0.35">
      <c r="A2966" s="5"/>
      <c r="B2966" s="96"/>
      <c r="C2966" s="87"/>
      <c r="D2966" s="87" t="s">
        <v>1066</v>
      </c>
      <c r="E2966" s="94">
        <f>E2965+E2965*40%</f>
        <v>228.61781599999995</v>
      </c>
    </row>
    <row r="2967" spans="1:5" ht="18" x14ac:dyDescent="0.35">
      <c r="A2967" s="5"/>
      <c r="B2967" s="50" t="s">
        <v>37</v>
      </c>
      <c r="C2967" s="7">
        <v>0.5</v>
      </c>
      <c r="D2967" s="93">
        <v>200</v>
      </c>
      <c r="E2967" s="85">
        <f>C2967*D2967</f>
        <v>100</v>
      </c>
    </row>
    <row r="2968" spans="1:5" ht="18" x14ac:dyDescent="0.35">
      <c r="D2968" s="12" t="s">
        <v>1083</v>
      </c>
      <c r="E2968" s="109">
        <f>SUM(E2966:E2967)</f>
        <v>328.61781599999995</v>
      </c>
    </row>
    <row r="2970" spans="1:5" ht="21" x14ac:dyDescent="0.4">
      <c r="A2970" s="40" t="s">
        <v>1140</v>
      </c>
      <c r="B2970" s="40"/>
      <c r="C2970" s="40"/>
      <c r="D2970" s="12"/>
      <c r="E2970" s="12"/>
    </row>
    <row r="2971" spans="1:5" ht="18" x14ac:dyDescent="0.35">
      <c r="A2971" s="5"/>
      <c r="B2971" s="5"/>
      <c r="C2971" s="7" t="s">
        <v>28</v>
      </c>
      <c r="D2971" s="7" t="s">
        <v>29</v>
      </c>
      <c r="E2971" s="7" t="s">
        <v>30</v>
      </c>
    </row>
    <row r="2972" spans="1:5" ht="18" x14ac:dyDescent="0.35">
      <c r="A2972" s="5" t="s">
        <v>1141</v>
      </c>
      <c r="B2972" s="50" t="s">
        <v>32</v>
      </c>
      <c r="C2972" s="7">
        <v>2.3540000000000001</v>
      </c>
      <c r="D2972" s="7">
        <v>30.44</v>
      </c>
      <c r="E2972" s="85">
        <f>C2972*D2972</f>
        <v>71.655760000000001</v>
      </c>
    </row>
    <row r="2973" spans="1:5" ht="18" x14ac:dyDescent="0.35">
      <c r="A2973" s="5" t="s">
        <v>261</v>
      </c>
      <c r="B2973" s="50" t="s">
        <v>33</v>
      </c>
      <c r="C2973" s="7">
        <v>3.0870000000000002</v>
      </c>
      <c r="D2973" s="7">
        <v>17.059999999999999</v>
      </c>
      <c r="E2973" s="85">
        <f>C2973*D2973</f>
        <v>52.66422</v>
      </c>
    </row>
    <row r="2974" spans="1:5" ht="18" x14ac:dyDescent="0.35">
      <c r="A2974" s="5" t="s">
        <v>777</v>
      </c>
      <c r="B2974" s="50" t="s">
        <v>137</v>
      </c>
      <c r="C2974" s="7">
        <v>0.2</v>
      </c>
      <c r="D2974" s="7">
        <v>17.190000000000001</v>
      </c>
      <c r="E2974" s="85">
        <f>C2974*D2974</f>
        <v>3.4380000000000006</v>
      </c>
    </row>
    <row r="2975" spans="1:5" ht="18" x14ac:dyDescent="0.35">
      <c r="A2975" s="5" t="s">
        <v>1121</v>
      </c>
      <c r="B2975" s="50" t="s">
        <v>35</v>
      </c>
      <c r="C2975" s="7">
        <v>4</v>
      </c>
      <c r="D2975" s="7">
        <v>2.91</v>
      </c>
      <c r="E2975" s="85">
        <f>C2975*D2975</f>
        <v>11.64</v>
      </c>
    </row>
    <row r="2976" spans="1:5" ht="18" x14ac:dyDescent="0.35">
      <c r="A2976" s="5"/>
      <c r="B2976" s="50" t="s">
        <v>36</v>
      </c>
      <c r="C2976" s="7">
        <v>4</v>
      </c>
      <c r="D2976" s="7">
        <v>0.61</v>
      </c>
      <c r="E2976" s="85">
        <f>C2976*D2976</f>
        <v>2.44</v>
      </c>
    </row>
    <row r="2977" spans="1:5" ht="18" x14ac:dyDescent="0.35">
      <c r="A2977" s="5"/>
      <c r="B2977" s="96"/>
      <c r="C2977" s="87"/>
      <c r="D2977" s="87"/>
      <c r="E2977" s="94">
        <f>SUM(E2972:E2976)</f>
        <v>141.83798000000002</v>
      </c>
    </row>
    <row r="2978" spans="1:5" ht="18" x14ac:dyDescent="0.35">
      <c r="A2978" s="5"/>
      <c r="B2978" s="96"/>
      <c r="C2978" s="87"/>
      <c r="D2978" s="87" t="s">
        <v>1066</v>
      </c>
      <c r="E2978" s="94">
        <f>E2977+E2977*40%</f>
        <v>198.57317200000003</v>
      </c>
    </row>
    <row r="2979" spans="1:5" ht="18" x14ac:dyDescent="0.35">
      <c r="A2979" s="5"/>
      <c r="B2979" s="50" t="s">
        <v>37</v>
      </c>
      <c r="C2979" s="7">
        <v>0.5</v>
      </c>
      <c r="D2979" s="93">
        <v>200</v>
      </c>
      <c r="E2979" s="85">
        <f>C2979*D2979</f>
        <v>100</v>
      </c>
    </row>
    <row r="2980" spans="1:5" ht="18" x14ac:dyDescent="0.35">
      <c r="D2980" s="12" t="s">
        <v>1083</v>
      </c>
      <c r="E2980" s="109">
        <f>SUM(E2978:E2979)</f>
        <v>298.573172</v>
      </c>
    </row>
    <row r="2983" spans="1:5" ht="21" x14ac:dyDescent="0.4">
      <c r="A2983" s="40" t="s">
        <v>1142</v>
      </c>
      <c r="B2983" s="40"/>
      <c r="C2983" s="84"/>
    </row>
    <row r="2984" spans="1:5" ht="18" x14ac:dyDescent="0.35">
      <c r="A2984" s="5"/>
      <c r="B2984" s="5"/>
      <c r="C2984" s="7" t="s">
        <v>28</v>
      </c>
      <c r="D2984" s="7" t="s">
        <v>29</v>
      </c>
      <c r="E2984" s="7" t="s">
        <v>30</v>
      </c>
    </row>
    <row r="2985" spans="1:5" ht="18" x14ac:dyDescent="0.35">
      <c r="A2985" s="5" t="s">
        <v>1143</v>
      </c>
      <c r="B2985" s="50" t="s">
        <v>32</v>
      </c>
      <c r="C2985" s="7">
        <v>6.585</v>
      </c>
      <c r="D2985" s="7">
        <v>30.44</v>
      </c>
      <c r="E2985" s="85">
        <f t="shared" ref="E2985:E2990" si="255">C2985*D2985</f>
        <v>200.44740000000002</v>
      </c>
    </row>
    <row r="2986" spans="1:5" ht="18" x14ac:dyDescent="0.35">
      <c r="A2986" s="5" t="s">
        <v>1144</v>
      </c>
      <c r="B2986" s="50" t="s">
        <v>33</v>
      </c>
      <c r="C2986" s="7">
        <v>9.4179999999999993</v>
      </c>
      <c r="D2986" s="7">
        <v>16.170000000000002</v>
      </c>
      <c r="E2986" s="85">
        <f t="shared" si="255"/>
        <v>152.28906000000001</v>
      </c>
    </row>
    <row r="2987" spans="1:5" ht="18" x14ac:dyDescent="0.35">
      <c r="A2987" s="5" t="s">
        <v>675</v>
      </c>
      <c r="B2987" s="50" t="s">
        <v>42</v>
      </c>
      <c r="C2987" s="7">
        <v>2</v>
      </c>
      <c r="D2987" s="7">
        <v>1.1499999999999999</v>
      </c>
      <c r="E2987" s="85">
        <f t="shared" si="255"/>
        <v>2.2999999999999998</v>
      </c>
    </row>
    <row r="2988" spans="1:5" ht="18" x14ac:dyDescent="0.35">
      <c r="A2988" s="5" t="s">
        <v>1134</v>
      </c>
      <c r="B2988" s="50" t="s">
        <v>34</v>
      </c>
      <c r="C2988" s="7">
        <v>0.35</v>
      </c>
      <c r="D2988" s="7">
        <v>14.61</v>
      </c>
      <c r="E2988" s="85">
        <f t="shared" si="255"/>
        <v>5.1134999999999993</v>
      </c>
    </row>
    <row r="2989" spans="1:5" ht="18" x14ac:dyDescent="0.35">
      <c r="A2989" s="5"/>
      <c r="B2989" s="50" t="s">
        <v>35</v>
      </c>
      <c r="C2989" s="7">
        <v>4</v>
      </c>
      <c r="D2989" s="7">
        <v>2.91</v>
      </c>
      <c r="E2989" s="85">
        <f t="shared" si="255"/>
        <v>11.64</v>
      </c>
    </row>
    <row r="2990" spans="1:5" ht="18" x14ac:dyDescent="0.35">
      <c r="A2990" s="5"/>
      <c r="B2990" s="50" t="s">
        <v>36</v>
      </c>
      <c r="C2990" s="7">
        <v>4</v>
      </c>
      <c r="D2990" s="7">
        <v>0.61</v>
      </c>
      <c r="E2990" s="85">
        <f t="shared" si="255"/>
        <v>2.44</v>
      </c>
    </row>
    <row r="2991" spans="1:5" ht="18" x14ac:dyDescent="0.35">
      <c r="A2991" s="5"/>
      <c r="B2991" s="5"/>
      <c r="C2991" s="54"/>
      <c r="D2991" s="54"/>
      <c r="E2991" s="89">
        <f>SUM(E2985:E2990)</f>
        <v>374.22996000000001</v>
      </c>
    </row>
    <row r="2992" spans="1:5" ht="18" x14ac:dyDescent="0.35">
      <c r="A2992" s="5"/>
      <c r="B2992" s="5"/>
      <c r="C2992" s="54"/>
      <c r="D2992" s="54" t="s">
        <v>1063</v>
      </c>
      <c r="E2992" s="89">
        <f>E2991+E2991*40%</f>
        <v>523.92194400000005</v>
      </c>
    </row>
    <row r="2993" spans="1:5" ht="18" x14ac:dyDescent="0.35">
      <c r="A2993" s="5"/>
      <c r="B2993" s="50" t="s">
        <v>37</v>
      </c>
      <c r="C2993" s="54">
        <v>0.5</v>
      </c>
      <c r="D2993" s="54">
        <v>200</v>
      </c>
      <c r="E2993" s="85">
        <f>C2993*D2993</f>
        <v>100</v>
      </c>
    </row>
    <row r="2994" spans="1:5" ht="18" x14ac:dyDescent="0.35">
      <c r="A2994" s="5"/>
      <c r="B2994" s="5"/>
      <c r="C2994" s="54"/>
      <c r="D2994" s="54"/>
      <c r="E2994" s="85">
        <f>SUM(E2992:E2993)</f>
        <v>623.92194400000005</v>
      </c>
    </row>
    <row r="2997" spans="1:5" ht="21" x14ac:dyDescent="0.4">
      <c r="A2997" s="40" t="s">
        <v>1145</v>
      </c>
      <c r="B2997" s="40"/>
      <c r="C2997" s="84"/>
    </row>
    <row r="2998" spans="1:5" ht="18" x14ac:dyDescent="0.35">
      <c r="A2998" s="5"/>
      <c r="B2998" s="5"/>
      <c r="C2998" s="7" t="s">
        <v>28</v>
      </c>
      <c r="D2998" s="7" t="s">
        <v>29</v>
      </c>
      <c r="E2998" s="7" t="s">
        <v>30</v>
      </c>
    </row>
    <row r="2999" spans="1:5" ht="18" x14ac:dyDescent="0.35">
      <c r="A2999" s="5" t="s">
        <v>1146</v>
      </c>
      <c r="B2999" s="50" t="s">
        <v>32</v>
      </c>
      <c r="C2999" s="7">
        <v>1.5449999999999999</v>
      </c>
      <c r="D2999" s="7">
        <v>30.44</v>
      </c>
      <c r="E2999" s="85">
        <f t="shared" ref="E2999:E3004" si="256">C2999*D2999</f>
        <v>47.029800000000002</v>
      </c>
    </row>
    <row r="3000" spans="1:5" ht="18" x14ac:dyDescent="0.35">
      <c r="A3000" s="5" t="s">
        <v>1144</v>
      </c>
      <c r="B3000" s="50" t="s">
        <v>33</v>
      </c>
      <c r="C3000" s="7">
        <v>1.8580000000000001</v>
      </c>
      <c r="D3000" s="7">
        <v>16.170000000000002</v>
      </c>
      <c r="E3000" s="85">
        <f t="shared" si="256"/>
        <v>30.043860000000006</v>
      </c>
    </row>
    <row r="3001" spans="1:5" ht="18" x14ac:dyDescent="0.35">
      <c r="A3001" s="5" t="s">
        <v>623</v>
      </c>
      <c r="B3001" s="50" t="s">
        <v>42</v>
      </c>
      <c r="C3001" s="7">
        <v>2</v>
      </c>
      <c r="D3001" s="7">
        <v>1.1499999999999999</v>
      </c>
      <c r="E3001" s="85">
        <f t="shared" si="256"/>
        <v>2.2999999999999998</v>
      </c>
    </row>
    <row r="3002" spans="1:5" ht="18" x14ac:dyDescent="0.35">
      <c r="A3002" s="5" t="s">
        <v>1147</v>
      </c>
      <c r="B3002" s="50" t="s">
        <v>34</v>
      </c>
      <c r="C3002" s="7">
        <v>0.1</v>
      </c>
      <c r="D3002" s="7">
        <v>14.61</v>
      </c>
      <c r="E3002" s="85">
        <f t="shared" si="256"/>
        <v>1.4610000000000001</v>
      </c>
    </row>
    <row r="3003" spans="1:5" ht="18" x14ac:dyDescent="0.35">
      <c r="A3003" s="5"/>
      <c r="B3003" s="50" t="s">
        <v>35</v>
      </c>
      <c r="C3003" s="7">
        <v>4</v>
      </c>
      <c r="D3003" s="7">
        <v>2.91</v>
      </c>
      <c r="E3003" s="85">
        <f t="shared" si="256"/>
        <v>11.64</v>
      </c>
    </row>
    <row r="3004" spans="1:5" ht="18" x14ac:dyDescent="0.35">
      <c r="A3004" s="5"/>
      <c r="B3004" s="50" t="s">
        <v>36</v>
      </c>
      <c r="C3004" s="7">
        <v>4</v>
      </c>
      <c r="D3004" s="7">
        <v>0.61</v>
      </c>
      <c r="E3004" s="85">
        <f t="shared" si="256"/>
        <v>2.44</v>
      </c>
    </row>
    <row r="3005" spans="1:5" ht="18" x14ac:dyDescent="0.35">
      <c r="A3005" s="5"/>
      <c r="B3005" s="5"/>
      <c r="C3005" s="54"/>
      <c r="D3005" s="54"/>
      <c r="E3005" s="89">
        <f>SUM(E2999:E3004)</f>
        <v>94.914659999999998</v>
      </c>
    </row>
    <row r="3006" spans="1:5" ht="18" x14ac:dyDescent="0.35">
      <c r="A3006" s="5"/>
      <c r="B3006" s="5"/>
      <c r="C3006" s="54"/>
      <c r="D3006" s="54" t="s">
        <v>1063</v>
      </c>
      <c r="E3006" s="89">
        <f>E3005+E3005*40%</f>
        <v>132.88052400000001</v>
      </c>
    </row>
    <row r="3007" spans="1:5" ht="18" x14ac:dyDescent="0.35">
      <c r="A3007" s="5"/>
      <c r="B3007" s="50" t="s">
        <v>37</v>
      </c>
      <c r="C3007" s="54">
        <v>0.5</v>
      </c>
      <c r="D3007" s="54">
        <v>200</v>
      </c>
      <c r="E3007" s="85">
        <f>C3007*D3007</f>
        <v>100</v>
      </c>
    </row>
    <row r="3008" spans="1:5" ht="18" x14ac:dyDescent="0.35">
      <c r="A3008" s="5"/>
      <c r="B3008" s="5"/>
      <c r="C3008" s="54"/>
      <c r="D3008" s="54"/>
      <c r="E3008" s="85">
        <f>SUM(E3006:E3007)</f>
        <v>232.88052400000001</v>
      </c>
    </row>
    <row r="3010" spans="1:5" ht="21" x14ac:dyDescent="0.4">
      <c r="A3010" s="40" t="s">
        <v>1076</v>
      </c>
      <c r="B3010" s="40"/>
      <c r="C3010" s="84"/>
    </row>
    <row r="3011" spans="1:5" ht="18" x14ac:dyDescent="0.35">
      <c r="A3011" s="5"/>
      <c r="B3011" s="5"/>
      <c r="C3011" s="7" t="s">
        <v>28</v>
      </c>
      <c r="D3011" s="7" t="s">
        <v>29</v>
      </c>
      <c r="E3011" s="7" t="s">
        <v>30</v>
      </c>
    </row>
    <row r="3012" spans="1:5" ht="18" x14ac:dyDescent="0.35">
      <c r="A3012" s="5" t="s">
        <v>46</v>
      </c>
      <c r="B3012" s="50" t="s">
        <v>32</v>
      </c>
      <c r="C3012" s="7">
        <v>2.028</v>
      </c>
      <c r="D3012" s="7">
        <v>30.44</v>
      </c>
      <c r="E3012" s="85">
        <f t="shared" ref="E3012:E3017" si="257">C3012*D3012</f>
        <v>61.732320000000001</v>
      </c>
    </row>
    <row r="3013" spans="1:5" ht="18" x14ac:dyDescent="0.35">
      <c r="A3013" s="5" t="s">
        <v>238</v>
      </c>
      <c r="B3013" s="50" t="s">
        <v>33</v>
      </c>
      <c r="C3013" s="7">
        <v>3.3180000000000001</v>
      </c>
      <c r="D3013" s="7">
        <v>16.170000000000002</v>
      </c>
      <c r="E3013" s="85">
        <f t="shared" si="257"/>
        <v>53.652060000000006</v>
      </c>
    </row>
    <row r="3014" spans="1:5" ht="18" x14ac:dyDescent="0.35">
      <c r="A3014" s="5" t="s">
        <v>777</v>
      </c>
      <c r="B3014" s="50" t="s">
        <v>42</v>
      </c>
      <c r="C3014" s="7">
        <v>2</v>
      </c>
      <c r="D3014" s="7">
        <v>1.1499999999999999</v>
      </c>
      <c r="E3014" s="85">
        <f t="shared" si="257"/>
        <v>2.2999999999999998</v>
      </c>
    </row>
    <row r="3015" spans="1:5" ht="18" x14ac:dyDescent="0.35">
      <c r="A3015" s="5" t="s">
        <v>1123</v>
      </c>
      <c r="B3015" s="50" t="s">
        <v>34</v>
      </c>
      <c r="C3015" s="7">
        <v>0.11</v>
      </c>
      <c r="D3015" s="7">
        <v>14.61</v>
      </c>
      <c r="E3015" s="85">
        <f t="shared" si="257"/>
        <v>1.6071</v>
      </c>
    </row>
    <row r="3016" spans="1:5" ht="18" x14ac:dyDescent="0.35">
      <c r="A3016" s="5"/>
      <c r="B3016" s="50" t="s">
        <v>35</v>
      </c>
      <c r="C3016" s="7">
        <v>4</v>
      </c>
      <c r="D3016" s="7">
        <v>2.91</v>
      </c>
      <c r="E3016" s="85">
        <f t="shared" si="257"/>
        <v>11.64</v>
      </c>
    </row>
    <row r="3017" spans="1:5" ht="18" x14ac:dyDescent="0.35">
      <c r="A3017" s="5"/>
      <c r="B3017" s="50" t="s">
        <v>36</v>
      </c>
      <c r="C3017" s="7">
        <v>4</v>
      </c>
      <c r="D3017" s="7">
        <v>0.61</v>
      </c>
      <c r="E3017" s="85">
        <f t="shared" si="257"/>
        <v>2.44</v>
      </c>
    </row>
    <row r="3018" spans="1:5" ht="18" x14ac:dyDescent="0.35">
      <c r="A3018" s="5"/>
      <c r="B3018" s="5"/>
      <c r="C3018" s="54"/>
      <c r="D3018" s="54"/>
      <c r="E3018" s="89">
        <f>SUM(E3012:E3017)</f>
        <v>133.37148000000002</v>
      </c>
    </row>
    <row r="3019" spans="1:5" ht="18" x14ac:dyDescent="0.35">
      <c r="A3019" s="5"/>
      <c r="B3019" s="5"/>
      <c r="C3019" s="54"/>
      <c r="D3019" s="54" t="s">
        <v>1063</v>
      </c>
      <c r="E3019" s="89">
        <f>E3018+E3018*40%</f>
        <v>186.72007200000002</v>
      </c>
    </row>
    <row r="3020" spans="1:5" ht="18" x14ac:dyDescent="0.35">
      <c r="A3020" s="5"/>
      <c r="B3020" s="50" t="s">
        <v>37</v>
      </c>
      <c r="C3020" s="54">
        <v>0.5</v>
      </c>
      <c r="D3020" s="54">
        <v>200</v>
      </c>
      <c r="E3020" s="85">
        <f>C3020*D3020</f>
        <v>100</v>
      </c>
    </row>
    <row r="3021" spans="1:5" ht="18" x14ac:dyDescent="0.35">
      <c r="A3021" s="5"/>
      <c r="B3021" s="5"/>
      <c r="C3021" s="54"/>
      <c r="D3021" s="54"/>
      <c r="E3021" s="85">
        <f>SUM(E3019:E3020)</f>
        <v>286.72007200000002</v>
      </c>
    </row>
    <row r="3024" spans="1:5" ht="21" x14ac:dyDescent="0.4">
      <c r="A3024" s="40" t="s">
        <v>1149</v>
      </c>
      <c r="B3024" s="40"/>
      <c r="C3024" s="84"/>
    </row>
    <row r="3025" spans="1:5" ht="18" x14ac:dyDescent="0.35">
      <c r="A3025" s="5"/>
      <c r="B3025" s="5"/>
      <c r="C3025" s="7" t="s">
        <v>28</v>
      </c>
      <c r="D3025" s="7" t="s">
        <v>29</v>
      </c>
      <c r="E3025" s="7" t="s">
        <v>30</v>
      </c>
    </row>
    <row r="3026" spans="1:5" ht="18" x14ac:dyDescent="0.35">
      <c r="A3026" s="5" t="s">
        <v>1150</v>
      </c>
      <c r="B3026" s="50" t="s">
        <v>32</v>
      </c>
      <c r="C3026" s="7">
        <v>2.4700000000000002</v>
      </c>
      <c r="D3026" s="7">
        <v>30.44</v>
      </c>
      <c r="E3026" s="85">
        <f t="shared" ref="E3026:E3031" si="258">C3026*D3026</f>
        <v>75.186800000000005</v>
      </c>
    </row>
    <row r="3027" spans="1:5" ht="18" x14ac:dyDescent="0.35">
      <c r="A3027" s="5" t="s">
        <v>56</v>
      </c>
      <c r="B3027" s="50" t="s">
        <v>33</v>
      </c>
      <c r="C3027" s="7">
        <v>15.529</v>
      </c>
      <c r="D3027" s="7">
        <v>16.170000000000002</v>
      </c>
      <c r="E3027" s="85">
        <f t="shared" si="258"/>
        <v>251.10393000000002</v>
      </c>
    </row>
    <row r="3028" spans="1:5" ht="18" x14ac:dyDescent="0.35">
      <c r="A3028" s="5" t="s">
        <v>1151</v>
      </c>
      <c r="B3028" s="50" t="s">
        <v>42</v>
      </c>
      <c r="C3028" s="7">
        <v>2</v>
      </c>
      <c r="D3028" s="7">
        <v>1.1499999999999999</v>
      </c>
      <c r="E3028" s="85">
        <f t="shared" si="258"/>
        <v>2.2999999999999998</v>
      </c>
    </row>
    <row r="3029" spans="1:5" ht="18" x14ac:dyDescent="0.35">
      <c r="A3029" s="5" t="s">
        <v>1123</v>
      </c>
      <c r="B3029" s="50" t="s">
        <v>34</v>
      </c>
      <c r="C3029" s="7"/>
      <c r="D3029" s="7">
        <v>14.61</v>
      </c>
      <c r="E3029" s="85">
        <f t="shared" si="258"/>
        <v>0</v>
      </c>
    </row>
    <row r="3030" spans="1:5" ht="18" x14ac:dyDescent="0.35">
      <c r="A3030" s="5"/>
      <c r="B3030" s="50" t="s">
        <v>35</v>
      </c>
      <c r="C3030" s="7">
        <v>4</v>
      </c>
      <c r="D3030" s="7">
        <v>2.91</v>
      </c>
      <c r="E3030" s="85">
        <f t="shared" si="258"/>
        <v>11.64</v>
      </c>
    </row>
    <row r="3031" spans="1:5" ht="18" x14ac:dyDescent="0.35">
      <c r="A3031" s="5"/>
      <c r="B3031" s="50" t="s">
        <v>36</v>
      </c>
      <c r="C3031" s="7">
        <v>4</v>
      </c>
      <c r="D3031" s="7">
        <v>0.61</v>
      </c>
      <c r="E3031" s="85">
        <f t="shared" si="258"/>
        <v>2.44</v>
      </c>
    </row>
    <row r="3032" spans="1:5" ht="18" x14ac:dyDescent="0.35">
      <c r="A3032" s="5"/>
      <c r="B3032" s="5"/>
      <c r="C3032" s="54"/>
      <c r="D3032" s="54"/>
      <c r="E3032" s="89">
        <f>SUM(E3026:E3031)</f>
        <v>342.67073000000005</v>
      </c>
    </row>
    <row r="3033" spans="1:5" ht="18" x14ac:dyDescent="0.35">
      <c r="A3033" s="5"/>
      <c r="B3033" s="5"/>
      <c r="C3033" s="54"/>
      <c r="D3033" s="54" t="s">
        <v>1063</v>
      </c>
      <c r="E3033" s="89">
        <f>E3032+E3032*40%</f>
        <v>479.73902200000009</v>
      </c>
    </row>
    <row r="3034" spans="1:5" ht="18" x14ac:dyDescent="0.35">
      <c r="A3034" s="5"/>
      <c r="B3034" s="50" t="s">
        <v>37</v>
      </c>
      <c r="C3034" s="54">
        <v>0.5</v>
      </c>
      <c r="D3034" s="54">
        <v>200</v>
      </c>
      <c r="E3034" s="85">
        <f>C3034*D3034</f>
        <v>100</v>
      </c>
    </row>
    <row r="3035" spans="1:5" ht="18" x14ac:dyDescent="0.35">
      <c r="A3035" s="5"/>
      <c r="B3035" s="5"/>
      <c r="C3035" s="54"/>
      <c r="D3035" s="54"/>
      <c r="E3035" s="85">
        <f>SUM(E3033:E3034)</f>
        <v>579.73902200000009</v>
      </c>
    </row>
    <row r="3038" spans="1:5" ht="18" x14ac:dyDescent="0.35">
      <c r="A3038" s="111" t="s">
        <v>1156</v>
      </c>
    </row>
    <row r="3039" spans="1:5" ht="21" x14ac:dyDescent="0.4">
      <c r="A3039" s="40" t="s">
        <v>1152</v>
      </c>
      <c r="B3039" s="40"/>
      <c r="C3039" s="84"/>
      <c r="D3039" s="12"/>
      <c r="E3039" s="12"/>
    </row>
    <row r="3040" spans="1:5" ht="21" x14ac:dyDescent="0.4">
      <c r="A3040" s="40"/>
      <c r="B3040" s="40"/>
      <c r="C3040" s="84"/>
      <c r="D3040" s="12"/>
      <c r="E3040" s="12"/>
    </row>
    <row r="3041" spans="1:5" ht="18" x14ac:dyDescent="0.35">
      <c r="A3041" s="5"/>
      <c r="B3041" s="5"/>
      <c r="C3041" s="7" t="s">
        <v>28</v>
      </c>
      <c r="D3041" s="7" t="s">
        <v>29</v>
      </c>
      <c r="E3041" s="7" t="s">
        <v>30</v>
      </c>
    </row>
    <row r="3042" spans="1:5" ht="18" x14ac:dyDescent="0.35">
      <c r="A3042" s="5" t="s">
        <v>1153</v>
      </c>
      <c r="B3042" s="50" t="s">
        <v>32</v>
      </c>
      <c r="C3042" s="7">
        <v>8.8539999999999992</v>
      </c>
      <c r="D3042" s="7">
        <v>45.07</v>
      </c>
      <c r="E3042" s="85">
        <f t="shared" ref="E3042:E3049" si="259">C3042*D3042</f>
        <v>399.04977999999994</v>
      </c>
    </row>
    <row r="3043" spans="1:5" ht="18" x14ac:dyDescent="0.35">
      <c r="A3043" s="5" t="s">
        <v>63</v>
      </c>
      <c r="B3043" s="50" t="s">
        <v>33</v>
      </c>
      <c r="C3043" s="7">
        <v>25.137</v>
      </c>
      <c r="D3043" s="7">
        <v>16.170000000000002</v>
      </c>
      <c r="E3043" s="85">
        <f t="shared" si="259"/>
        <v>406.46529000000004</v>
      </c>
    </row>
    <row r="3044" spans="1:5" ht="18" x14ac:dyDescent="0.35">
      <c r="A3044" s="5" t="s">
        <v>1154</v>
      </c>
      <c r="B3044" s="50" t="s">
        <v>33</v>
      </c>
      <c r="C3044" s="7">
        <v>14.7</v>
      </c>
      <c r="D3044" s="7">
        <v>16.170000000000002</v>
      </c>
      <c r="E3044" s="85">
        <f t="shared" si="259"/>
        <v>237.69900000000001</v>
      </c>
    </row>
    <row r="3045" spans="1:5" ht="18" x14ac:dyDescent="0.35">
      <c r="A3045" s="5" t="s">
        <v>536</v>
      </c>
      <c r="B3045" s="50" t="s">
        <v>96</v>
      </c>
      <c r="C3045" s="7">
        <v>2</v>
      </c>
      <c r="D3045" s="7">
        <v>1.6</v>
      </c>
      <c r="E3045" s="85">
        <f t="shared" si="259"/>
        <v>3.2</v>
      </c>
    </row>
    <row r="3046" spans="1:5" ht="18" x14ac:dyDescent="0.35">
      <c r="A3046" s="5" t="s">
        <v>1097</v>
      </c>
      <c r="B3046" s="50" t="s">
        <v>88</v>
      </c>
      <c r="C3046" s="88">
        <v>8</v>
      </c>
      <c r="D3046" s="88">
        <v>2.2400000000000002</v>
      </c>
      <c r="E3046" s="90">
        <f t="shared" si="259"/>
        <v>17.920000000000002</v>
      </c>
    </row>
    <row r="3047" spans="1:5" ht="18" x14ac:dyDescent="0.35">
      <c r="A3047" s="5"/>
      <c r="B3047" s="50" t="s">
        <v>34</v>
      </c>
      <c r="C3047" s="7">
        <v>3</v>
      </c>
      <c r="D3047" s="7">
        <v>18.05</v>
      </c>
      <c r="E3047" s="85">
        <f t="shared" si="259"/>
        <v>54.150000000000006</v>
      </c>
    </row>
    <row r="3048" spans="1:5" ht="18" x14ac:dyDescent="0.35">
      <c r="A3048" s="5"/>
      <c r="B3048" s="50" t="s">
        <v>35</v>
      </c>
      <c r="C3048" s="7">
        <v>16</v>
      </c>
      <c r="D3048" s="7">
        <v>2.0099999999999998</v>
      </c>
      <c r="E3048" s="85">
        <f t="shared" si="259"/>
        <v>32.159999999999997</v>
      </c>
    </row>
    <row r="3049" spans="1:5" ht="18" x14ac:dyDescent="0.35">
      <c r="A3049" s="5"/>
      <c r="B3049" s="50" t="s">
        <v>36</v>
      </c>
      <c r="C3049" s="7">
        <v>4</v>
      </c>
      <c r="D3049" s="7">
        <v>0.25</v>
      </c>
      <c r="E3049" s="85">
        <f t="shared" si="259"/>
        <v>1</v>
      </c>
    </row>
    <row r="3050" spans="1:5" ht="18" x14ac:dyDescent="0.35">
      <c r="A3050" s="5"/>
      <c r="B3050" s="5"/>
      <c r="C3050" s="54"/>
      <c r="D3050" s="54"/>
      <c r="E3050" s="89">
        <f>SUM(E3042:E3049)</f>
        <v>1151.6440700000003</v>
      </c>
    </row>
    <row r="3051" spans="1:5" ht="18" x14ac:dyDescent="0.35">
      <c r="A3051" s="5"/>
      <c r="B3051" s="5"/>
      <c r="C3051" s="54"/>
      <c r="D3051" s="54" t="s">
        <v>1155</v>
      </c>
      <c r="E3051" s="89">
        <f>E3050+E3050*40%</f>
        <v>1612.3016980000004</v>
      </c>
    </row>
    <row r="3052" spans="1:5" ht="18" x14ac:dyDescent="0.35">
      <c r="A3052" s="5"/>
      <c r="B3052" s="50" t="s">
        <v>37</v>
      </c>
      <c r="C3052" s="54">
        <v>0.5</v>
      </c>
      <c r="D3052" s="54">
        <v>200</v>
      </c>
      <c r="E3052" s="85">
        <f>C3052*D3052</f>
        <v>100</v>
      </c>
    </row>
    <row r="3053" spans="1:5" ht="18" x14ac:dyDescent="0.35">
      <c r="A3053" s="5"/>
      <c r="B3053" s="5"/>
      <c r="C3053" s="54"/>
      <c r="D3053" s="54"/>
      <c r="E3053" s="112">
        <f>SUM(E3051:E3052)</f>
        <v>1712.3016980000004</v>
      </c>
    </row>
    <row r="3056" spans="1:5" ht="18" x14ac:dyDescent="0.35">
      <c r="A3056" s="111" t="s">
        <v>1156</v>
      </c>
    </row>
    <row r="3057" spans="1:5" ht="21" x14ac:dyDescent="0.4">
      <c r="A3057" s="40" t="s">
        <v>1152</v>
      </c>
      <c r="B3057" s="40"/>
      <c r="C3057" s="84"/>
      <c r="D3057" s="12"/>
      <c r="E3057" s="12"/>
    </row>
    <row r="3058" spans="1:5" ht="21" x14ac:dyDescent="0.4">
      <c r="A3058" s="40"/>
      <c r="B3058" s="40"/>
      <c r="C3058" s="84"/>
      <c r="D3058" s="12"/>
      <c r="E3058" s="12"/>
    </row>
    <row r="3059" spans="1:5" ht="18" x14ac:dyDescent="0.35">
      <c r="A3059" s="5"/>
      <c r="B3059" s="5"/>
      <c r="C3059" s="7" t="s">
        <v>28</v>
      </c>
      <c r="D3059" s="7" t="s">
        <v>29</v>
      </c>
      <c r="E3059" s="7" t="s">
        <v>30</v>
      </c>
    </row>
    <row r="3060" spans="1:5" ht="18" x14ac:dyDescent="0.35">
      <c r="A3060" s="5" t="s">
        <v>471</v>
      </c>
      <c r="B3060" s="50" t="s">
        <v>32</v>
      </c>
      <c r="C3060" s="7">
        <v>4.6529999999999996</v>
      </c>
      <c r="D3060" s="7">
        <v>45.07</v>
      </c>
      <c r="E3060" s="85">
        <f t="shared" ref="E3060:E3067" si="260">C3060*D3060</f>
        <v>209.71070999999998</v>
      </c>
    </row>
    <row r="3061" spans="1:5" ht="18" x14ac:dyDescent="0.35">
      <c r="A3061" s="5" t="s">
        <v>63</v>
      </c>
      <c r="B3061" s="50" t="s">
        <v>33</v>
      </c>
      <c r="C3061" s="7">
        <v>12.537000000000001</v>
      </c>
      <c r="D3061" s="7">
        <v>16.170000000000002</v>
      </c>
      <c r="E3061" s="85">
        <f t="shared" si="260"/>
        <v>202.72329000000005</v>
      </c>
    </row>
    <row r="3062" spans="1:5" ht="18" x14ac:dyDescent="0.35">
      <c r="A3062" s="5" t="s">
        <v>310</v>
      </c>
      <c r="B3062" s="50" t="s">
        <v>33</v>
      </c>
      <c r="C3062" s="7">
        <v>7.35</v>
      </c>
      <c r="D3062" s="7">
        <v>16.170000000000002</v>
      </c>
      <c r="E3062" s="85">
        <f t="shared" si="260"/>
        <v>118.84950000000001</v>
      </c>
    </row>
    <row r="3063" spans="1:5" ht="18" x14ac:dyDescent="0.35">
      <c r="A3063" s="5" t="s">
        <v>672</v>
      </c>
      <c r="B3063" s="50" t="s">
        <v>96</v>
      </c>
      <c r="C3063" s="7">
        <v>2</v>
      </c>
      <c r="D3063" s="7">
        <v>1.6</v>
      </c>
      <c r="E3063" s="85">
        <f t="shared" si="260"/>
        <v>3.2</v>
      </c>
    </row>
    <row r="3064" spans="1:5" ht="18" x14ac:dyDescent="0.35">
      <c r="A3064" s="5" t="s">
        <v>1097</v>
      </c>
      <c r="B3064" s="50" t="s">
        <v>88</v>
      </c>
      <c r="C3064" s="88">
        <v>4</v>
      </c>
      <c r="D3064" s="88">
        <v>2.2400000000000002</v>
      </c>
      <c r="E3064" s="90">
        <f t="shared" si="260"/>
        <v>8.9600000000000009</v>
      </c>
    </row>
    <row r="3065" spans="1:5" ht="18" x14ac:dyDescent="0.35">
      <c r="A3065" s="5"/>
      <c r="B3065" s="50" t="s">
        <v>34</v>
      </c>
      <c r="C3065" s="7">
        <v>1</v>
      </c>
      <c r="D3065" s="7">
        <v>18.05</v>
      </c>
      <c r="E3065" s="85">
        <f t="shared" si="260"/>
        <v>18.05</v>
      </c>
    </row>
    <row r="3066" spans="1:5" ht="18" x14ac:dyDescent="0.35">
      <c r="A3066" s="5"/>
      <c r="B3066" s="50" t="s">
        <v>35</v>
      </c>
      <c r="C3066" s="7">
        <v>6</v>
      </c>
      <c r="D3066" s="7">
        <v>2.0099999999999998</v>
      </c>
      <c r="E3066" s="85">
        <f t="shared" si="260"/>
        <v>12.059999999999999</v>
      </c>
    </row>
    <row r="3067" spans="1:5" ht="18" x14ac:dyDescent="0.35">
      <c r="A3067" s="5"/>
      <c r="B3067" s="50" t="s">
        <v>36</v>
      </c>
      <c r="C3067" s="7">
        <v>4</v>
      </c>
      <c r="D3067" s="7">
        <v>0.25</v>
      </c>
      <c r="E3067" s="85">
        <f t="shared" si="260"/>
        <v>1</v>
      </c>
    </row>
    <row r="3068" spans="1:5" ht="18" x14ac:dyDescent="0.35">
      <c r="A3068" s="5"/>
      <c r="B3068" s="5"/>
      <c r="C3068" s="54"/>
      <c r="D3068" s="54"/>
      <c r="E3068" s="89">
        <f>SUM(E3060:E3067)</f>
        <v>574.55349999999999</v>
      </c>
    </row>
    <row r="3069" spans="1:5" ht="18" x14ac:dyDescent="0.35">
      <c r="A3069" s="5"/>
      <c r="B3069" s="5"/>
      <c r="C3069" s="54"/>
      <c r="D3069" s="54" t="s">
        <v>1157</v>
      </c>
      <c r="E3069" s="89">
        <f>E3068+E3068*30%</f>
        <v>746.91954999999996</v>
      </c>
    </row>
    <row r="3070" spans="1:5" ht="18" x14ac:dyDescent="0.35">
      <c r="A3070" s="5"/>
      <c r="B3070" s="50" t="s">
        <v>37</v>
      </c>
      <c r="C3070" s="54">
        <v>0.75</v>
      </c>
      <c r="D3070" s="54">
        <v>200</v>
      </c>
      <c r="E3070" s="85">
        <f>C3070*D3070</f>
        <v>150</v>
      </c>
    </row>
    <row r="3071" spans="1:5" ht="18" x14ac:dyDescent="0.35">
      <c r="A3071" s="5"/>
      <c r="B3071" s="5"/>
      <c r="C3071" s="54"/>
      <c r="D3071" s="54"/>
      <c r="E3071" s="112">
        <f>SUM(E3069:E3070)</f>
        <v>896.91954999999996</v>
      </c>
    </row>
    <row r="3074" spans="1:5" ht="18" x14ac:dyDescent="0.35">
      <c r="A3074" s="111" t="s">
        <v>1159</v>
      </c>
    </row>
    <row r="3075" spans="1:5" ht="21" x14ac:dyDescent="0.4">
      <c r="A3075" s="40" t="s">
        <v>1160</v>
      </c>
      <c r="B3075" s="40"/>
      <c r="C3075" s="84"/>
      <c r="D3075" s="12"/>
      <c r="E3075" s="12"/>
    </row>
    <row r="3076" spans="1:5" ht="21" x14ac:dyDescent="0.4">
      <c r="A3076" s="40"/>
      <c r="B3076" s="40"/>
      <c r="C3076" s="84"/>
      <c r="D3076" s="12"/>
      <c r="E3076" s="12"/>
    </row>
    <row r="3077" spans="1:5" ht="18" x14ac:dyDescent="0.35">
      <c r="A3077" s="5"/>
      <c r="B3077" s="5"/>
      <c r="C3077" s="7" t="s">
        <v>28</v>
      </c>
      <c r="D3077" s="7" t="s">
        <v>29</v>
      </c>
      <c r="E3077" s="7" t="s">
        <v>30</v>
      </c>
    </row>
    <row r="3078" spans="1:5" ht="18" x14ac:dyDescent="0.35">
      <c r="A3078" s="5" t="s">
        <v>38</v>
      </c>
      <c r="B3078" s="50" t="s">
        <v>32</v>
      </c>
      <c r="C3078" s="7">
        <v>0.97799999999999998</v>
      </c>
      <c r="D3078" s="7">
        <v>45.07</v>
      </c>
      <c r="E3078" s="85">
        <f t="shared" ref="E3078:E3085" si="261">C3078*D3078</f>
        <v>44.07846</v>
      </c>
    </row>
    <row r="3079" spans="1:5" ht="18" x14ac:dyDescent="0.35">
      <c r="A3079" s="5" t="s">
        <v>39</v>
      </c>
      <c r="B3079" s="50" t="s">
        <v>33</v>
      </c>
      <c r="C3079" s="7">
        <v>1.218</v>
      </c>
      <c r="D3079" s="7">
        <v>16.170000000000002</v>
      </c>
      <c r="E3079" s="85">
        <f t="shared" si="261"/>
        <v>19.695060000000002</v>
      </c>
    </row>
    <row r="3080" spans="1:5" ht="18" x14ac:dyDescent="0.35">
      <c r="A3080" s="5" t="s">
        <v>53</v>
      </c>
      <c r="B3080" s="50" t="s">
        <v>33</v>
      </c>
      <c r="C3080" s="7">
        <v>1.323</v>
      </c>
      <c r="D3080" s="7">
        <v>16.170000000000002</v>
      </c>
      <c r="E3080" s="85">
        <f t="shared" si="261"/>
        <v>21.392910000000001</v>
      </c>
    </row>
    <row r="3081" spans="1:5" ht="18" x14ac:dyDescent="0.35">
      <c r="A3081" s="5" t="s">
        <v>623</v>
      </c>
      <c r="B3081" s="50" t="s">
        <v>43</v>
      </c>
      <c r="C3081" s="7">
        <v>2</v>
      </c>
      <c r="D3081" s="7">
        <v>1.1499999999999999</v>
      </c>
      <c r="E3081" s="85">
        <f t="shared" si="261"/>
        <v>2.2999999999999998</v>
      </c>
    </row>
    <row r="3082" spans="1:5" ht="18" x14ac:dyDescent="0.35">
      <c r="A3082" s="5" t="s">
        <v>1097</v>
      </c>
      <c r="B3082" s="50" t="s">
        <v>90</v>
      </c>
      <c r="C3082" s="88">
        <v>2</v>
      </c>
      <c r="D3082" s="88">
        <v>2.2400000000000002</v>
      </c>
      <c r="E3082" s="90">
        <f t="shared" si="261"/>
        <v>4.4800000000000004</v>
      </c>
    </row>
    <row r="3083" spans="1:5" ht="18" x14ac:dyDescent="0.35">
      <c r="A3083" s="5"/>
      <c r="B3083" s="50" t="s">
        <v>34</v>
      </c>
      <c r="C3083" s="7"/>
      <c r="D3083" s="7">
        <v>18.05</v>
      </c>
      <c r="E3083" s="85">
        <f t="shared" si="261"/>
        <v>0</v>
      </c>
    </row>
    <row r="3084" spans="1:5" ht="18" x14ac:dyDescent="0.35">
      <c r="A3084" s="5"/>
      <c r="B3084" s="50" t="s">
        <v>35</v>
      </c>
      <c r="C3084" s="7">
        <v>4</v>
      </c>
      <c r="D3084" s="7">
        <v>2.0099999999999998</v>
      </c>
      <c r="E3084" s="85">
        <f t="shared" si="261"/>
        <v>8.0399999999999991</v>
      </c>
    </row>
    <row r="3085" spans="1:5" ht="18" x14ac:dyDescent="0.35">
      <c r="A3085" s="5"/>
      <c r="B3085" s="50" t="s">
        <v>36</v>
      </c>
      <c r="C3085" s="7">
        <v>4</v>
      </c>
      <c r="D3085" s="7">
        <v>0.25</v>
      </c>
      <c r="E3085" s="85">
        <f t="shared" si="261"/>
        <v>1</v>
      </c>
    </row>
    <row r="3086" spans="1:5" ht="18" x14ac:dyDescent="0.35">
      <c r="A3086" s="5"/>
      <c r="B3086" s="5"/>
      <c r="C3086" s="54"/>
      <c r="D3086" s="54"/>
      <c r="E3086" s="89">
        <f>SUM(E3078:E3085)</f>
        <v>100.98643000000001</v>
      </c>
    </row>
    <row r="3087" spans="1:5" ht="18" x14ac:dyDescent="0.35">
      <c r="A3087" s="5"/>
      <c r="B3087" s="5"/>
      <c r="C3087" s="54"/>
      <c r="D3087" s="54" t="s">
        <v>1161</v>
      </c>
      <c r="E3087" s="89">
        <f>E3086+E3086*30%</f>
        <v>131.28235900000001</v>
      </c>
    </row>
    <row r="3088" spans="1:5" ht="18" x14ac:dyDescent="0.35">
      <c r="A3088" s="5"/>
      <c r="B3088" s="50" t="s">
        <v>37</v>
      </c>
      <c r="C3088" s="54">
        <v>0.5</v>
      </c>
      <c r="D3088" s="54">
        <v>200</v>
      </c>
      <c r="E3088" s="85">
        <f>C3088*D3088</f>
        <v>100</v>
      </c>
    </row>
    <row r="3089" spans="1:5" ht="18" x14ac:dyDescent="0.35">
      <c r="A3089" s="5"/>
      <c r="B3089" s="5"/>
      <c r="C3089" s="54"/>
      <c r="D3089" s="54"/>
      <c r="E3089" s="112">
        <f>SUM(E3087:E3088)</f>
        <v>231.28235900000001</v>
      </c>
    </row>
    <row r="3091" spans="1:5" ht="21" x14ac:dyDescent="0.4">
      <c r="A3091" s="40" t="s">
        <v>1162</v>
      </c>
      <c r="B3091" s="40"/>
      <c r="C3091" s="40"/>
      <c r="D3091" s="12"/>
      <c r="E3091" s="12"/>
    </row>
    <row r="3092" spans="1:5" ht="18" x14ac:dyDescent="0.35">
      <c r="A3092" s="5"/>
      <c r="B3092" s="5"/>
      <c r="C3092" s="7" t="s">
        <v>28</v>
      </c>
      <c r="D3092" s="7" t="s">
        <v>29</v>
      </c>
      <c r="E3092" s="7" t="s">
        <v>30</v>
      </c>
    </row>
    <row r="3093" spans="1:5" ht="18" x14ac:dyDescent="0.35">
      <c r="A3093" s="5" t="s">
        <v>1163</v>
      </c>
      <c r="B3093" s="50" t="s">
        <v>32</v>
      </c>
      <c r="C3093" s="7">
        <v>4.8630000000000004</v>
      </c>
      <c r="D3093" s="7">
        <v>30.44</v>
      </c>
      <c r="E3093" s="85">
        <f>C3093*D3093</f>
        <v>148.02972000000003</v>
      </c>
    </row>
    <row r="3094" spans="1:5" ht="18" x14ac:dyDescent="0.35">
      <c r="A3094" s="5" t="s">
        <v>545</v>
      </c>
      <c r="B3094" s="50" t="s">
        <v>33</v>
      </c>
      <c r="C3094" s="7">
        <v>22.984000000000002</v>
      </c>
      <c r="D3094" s="7">
        <v>17.059999999999999</v>
      </c>
      <c r="E3094" s="85">
        <f>C3094*D3094</f>
        <v>392.10703999999998</v>
      </c>
    </row>
    <row r="3095" spans="1:5" ht="18" x14ac:dyDescent="0.35">
      <c r="A3095" s="5" t="s">
        <v>777</v>
      </c>
      <c r="B3095" s="50" t="s">
        <v>137</v>
      </c>
      <c r="C3095" s="7">
        <v>1.5</v>
      </c>
      <c r="D3095" s="7">
        <v>17.190000000000001</v>
      </c>
      <c r="E3095" s="85">
        <f>C3095*D3095</f>
        <v>25.785000000000004</v>
      </c>
    </row>
    <row r="3096" spans="1:5" ht="18" x14ac:dyDescent="0.35">
      <c r="A3096" s="5" t="s">
        <v>1121</v>
      </c>
      <c r="B3096" s="50" t="s">
        <v>35</v>
      </c>
      <c r="C3096" s="7">
        <v>8</v>
      </c>
      <c r="D3096" s="7">
        <v>2.91</v>
      </c>
      <c r="E3096" s="85">
        <f>C3096*D3096</f>
        <v>23.28</v>
      </c>
    </row>
    <row r="3097" spans="1:5" ht="18" x14ac:dyDescent="0.35">
      <c r="A3097" s="5"/>
      <c r="B3097" s="50" t="s">
        <v>36</v>
      </c>
      <c r="C3097" s="7">
        <v>4</v>
      </c>
      <c r="D3097" s="7">
        <v>0.61</v>
      </c>
      <c r="E3097" s="85">
        <f>C3097*D3097</f>
        <v>2.44</v>
      </c>
    </row>
    <row r="3098" spans="1:5" ht="18" x14ac:dyDescent="0.35">
      <c r="A3098" s="5"/>
      <c r="B3098" s="96"/>
      <c r="C3098" s="87"/>
      <c r="D3098" s="87"/>
      <c r="E3098" s="94">
        <f>SUM(E3093:E3097)</f>
        <v>591.64175999999998</v>
      </c>
    </row>
    <row r="3099" spans="1:5" ht="18" x14ac:dyDescent="0.35">
      <c r="A3099" s="5"/>
      <c r="B3099" s="96"/>
      <c r="C3099" s="87"/>
      <c r="D3099" s="87" t="s">
        <v>1066</v>
      </c>
      <c r="E3099" s="94">
        <f>E3098+E3098*40%</f>
        <v>828.29846399999997</v>
      </c>
    </row>
    <row r="3100" spans="1:5" ht="18" x14ac:dyDescent="0.35">
      <c r="A3100" s="5"/>
      <c r="B3100" s="50" t="s">
        <v>37</v>
      </c>
      <c r="C3100" s="7">
        <v>1</v>
      </c>
      <c r="D3100" s="93">
        <v>200</v>
      </c>
      <c r="E3100" s="85">
        <f>C3100*D3100</f>
        <v>200</v>
      </c>
    </row>
    <row r="3101" spans="1:5" ht="18" x14ac:dyDescent="0.35">
      <c r="D3101" s="12" t="s">
        <v>1083</v>
      </c>
      <c r="E3101" s="109">
        <f>SUM(E3099:E3100)</f>
        <v>1028.298464</v>
      </c>
    </row>
    <row r="3103" spans="1:5" ht="21" x14ac:dyDescent="0.4">
      <c r="A3103" s="113" t="s">
        <v>1164</v>
      </c>
    </row>
    <row r="3104" spans="1:5" ht="21" x14ac:dyDescent="0.4">
      <c r="A3104" s="40" t="s">
        <v>1165</v>
      </c>
      <c r="B3104" s="40"/>
      <c r="C3104" s="84"/>
    </row>
    <row r="3105" spans="1:5" ht="18" x14ac:dyDescent="0.35">
      <c r="A3105" s="5"/>
      <c r="B3105" s="5"/>
      <c r="C3105" s="7" t="s">
        <v>28</v>
      </c>
      <c r="D3105" s="7" t="s">
        <v>29</v>
      </c>
      <c r="E3105" s="7" t="s">
        <v>30</v>
      </c>
    </row>
    <row r="3106" spans="1:5" ht="18" x14ac:dyDescent="0.35">
      <c r="A3106" s="5" t="s">
        <v>291</v>
      </c>
      <c r="B3106" s="50" t="s">
        <v>32</v>
      </c>
      <c r="C3106" s="7">
        <v>2.6589999999999998</v>
      </c>
      <c r="D3106" s="7">
        <v>30.44</v>
      </c>
      <c r="E3106" s="85">
        <f t="shared" ref="E3106:E3111" si="262">C3106*D3106</f>
        <v>80.939959999999999</v>
      </c>
    </row>
    <row r="3107" spans="1:5" ht="18" x14ac:dyDescent="0.35">
      <c r="A3107" s="5" t="s">
        <v>56</v>
      </c>
      <c r="B3107" s="50" t="s">
        <v>33</v>
      </c>
      <c r="C3107" s="7">
        <v>17.965</v>
      </c>
      <c r="D3107" s="7">
        <v>16.170000000000002</v>
      </c>
      <c r="E3107" s="85">
        <f t="shared" si="262"/>
        <v>290.49405000000002</v>
      </c>
    </row>
    <row r="3108" spans="1:5" ht="18" x14ac:dyDescent="0.35">
      <c r="A3108" s="5" t="s">
        <v>1151</v>
      </c>
      <c r="B3108" s="50" t="s">
        <v>98</v>
      </c>
      <c r="C3108" s="7">
        <v>2</v>
      </c>
      <c r="D3108" s="7">
        <v>1.7</v>
      </c>
      <c r="E3108" s="85">
        <f t="shared" si="262"/>
        <v>3.4</v>
      </c>
    </row>
    <row r="3109" spans="1:5" ht="18" x14ac:dyDescent="0.35">
      <c r="A3109" s="5" t="s">
        <v>1123</v>
      </c>
      <c r="B3109" s="50" t="s">
        <v>34</v>
      </c>
      <c r="C3109" s="7">
        <v>0.6</v>
      </c>
      <c r="D3109" s="7">
        <v>14.61</v>
      </c>
      <c r="E3109" s="85">
        <f t="shared" si="262"/>
        <v>8.766</v>
      </c>
    </row>
    <row r="3110" spans="1:5" ht="18" x14ac:dyDescent="0.35">
      <c r="A3110" s="5"/>
      <c r="B3110" s="50" t="s">
        <v>35</v>
      </c>
      <c r="C3110" s="7">
        <v>4</v>
      </c>
      <c r="D3110" s="7">
        <v>2.91</v>
      </c>
      <c r="E3110" s="85">
        <f t="shared" si="262"/>
        <v>11.64</v>
      </c>
    </row>
    <row r="3111" spans="1:5" ht="18" x14ac:dyDescent="0.35">
      <c r="A3111" s="5"/>
      <c r="B3111" s="50" t="s">
        <v>36</v>
      </c>
      <c r="C3111" s="7">
        <v>4</v>
      </c>
      <c r="D3111" s="7">
        <v>0.61</v>
      </c>
      <c r="E3111" s="85">
        <f t="shared" si="262"/>
        <v>2.44</v>
      </c>
    </row>
    <row r="3112" spans="1:5" ht="18" x14ac:dyDescent="0.35">
      <c r="A3112" s="5"/>
      <c r="B3112" s="5"/>
      <c r="C3112" s="54"/>
      <c r="D3112" s="54"/>
      <c r="E3112" s="89">
        <f>SUM(E3106:E3111)</f>
        <v>397.68000999999998</v>
      </c>
    </row>
    <row r="3113" spans="1:5" ht="18" x14ac:dyDescent="0.35">
      <c r="A3113" s="5"/>
      <c r="B3113" s="5"/>
      <c r="C3113" s="54"/>
      <c r="D3113" s="54" t="s">
        <v>1063</v>
      </c>
      <c r="E3113" s="89">
        <f>E3112+E3112*40%</f>
        <v>556.75201399999992</v>
      </c>
    </row>
    <row r="3114" spans="1:5" ht="18" x14ac:dyDescent="0.35">
      <c r="A3114" s="5"/>
      <c r="B3114" s="50" t="s">
        <v>37</v>
      </c>
      <c r="C3114" s="54">
        <v>1</v>
      </c>
      <c r="D3114" s="54">
        <v>200</v>
      </c>
      <c r="E3114" s="85">
        <f>C3114*D3114</f>
        <v>200</v>
      </c>
    </row>
    <row r="3115" spans="1:5" ht="18" x14ac:dyDescent="0.35">
      <c r="A3115" s="5"/>
      <c r="B3115" s="5"/>
      <c r="C3115" s="54"/>
      <c r="D3115" s="54"/>
      <c r="E3115" s="85">
        <f>SUM(E3113:E3114)</f>
        <v>756.75201399999992</v>
      </c>
    </row>
    <row r="3118" spans="1:5" ht="18" x14ac:dyDescent="0.35">
      <c r="A3118" s="111" t="s">
        <v>1166</v>
      </c>
    </row>
    <row r="3119" spans="1:5" ht="21" x14ac:dyDescent="0.4">
      <c r="A3119" s="40" t="s">
        <v>1167</v>
      </c>
      <c r="B3119" s="40"/>
      <c r="C3119" s="84"/>
      <c r="D3119" s="12"/>
      <c r="E3119" s="12"/>
    </row>
    <row r="3120" spans="1:5" ht="21" x14ac:dyDescent="0.4">
      <c r="A3120" s="40"/>
      <c r="B3120" s="40"/>
      <c r="C3120" s="84"/>
      <c r="D3120" s="12"/>
      <c r="E3120" s="12"/>
    </row>
    <row r="3121" spans="1:5" ht="18" x14ac:dyDescent="0.35">
      <c r="A3121" s="5"/>
      <c r="B3121" s="5"/>
      <c r="C3121" s="7" t="s">
        <v>28</v>
      </c>
      <c r="D3121" s="7" t="s">
        <v>29</v>
      </c>
      <c r="E3121" s="7" t="s">
        <v>30</v>
      </c>
    </row>
    <row r="3122" spans="1:5" ht="18" x14ac:dyDescent="0.35">
      <c r="A3122" s="5" t="s">
        <v>40</v>
      </c>
      <c r="B3122" s="50" t="s">
        <v>32</v>
      </c>
      <c r="C3122" s="7">
        <v>1.1879999999999999</v>
      </c>
      <c r="D3122" s="7">
        <v>45.07</v>
      </c>
      <c r="E3122" s="85">
        <f t="shared" ref="E3122:E3129" si="263">C3122*D3122</f>
        <v>53.54316</v>
      </c>
    </row>
    <row r="3123" spans="1:5" ht="18" x14ac:dyDescent="0.35">
      <c r="A3123" s="5" t="s">
        <v>39</v>
      </c>
      <c r="B3123" s="50" t="s">
        <v>33</v>
      </c>
      <c r="C3123" s="7">
        <v>1.6379999999999999</v>
      </c>
      <c r="D3123" s="7">
        <v>16.170000000000002</v>
      </c>
      <c r="E3123" s="85">
        <f t="shared" si="263"/>
        <v>26.486460000000001</v>
      </c>
    </row>
    <row r="3124" spans="1:5" ht="18" x14ac:dyDescent="0.35">
      <c r="A3124" s="5" t="s">
        <v>117</v>
      </c>
      <c r="B3124" s="50" t="s">
        <v>33</v>
      </c>
      <c r="C3124" s="7">
        <v>1.7949999999999999</v>
      </c>
      <c r="D3124" s="7">
        <v>16.170000000000002</v>
      </c>
      <c r="E3124" s="85">
        <f t="shared" si="263"/>
        <v>29.025150000000004</v>
      </c>
    </row>
    <row r="3125" spans="1:5" ht="18" x14ac:dyDescent="0.35">
      <c r="A3125" s="5" t="s">
        <v>677</v>
      </c>
      <c r="B3125" s="50" t="s">
        <v>128</v>
      </c>
      <c r="C3125" s="7">
        <v>2</v>
      </c>
      <c r="D3125" s="7">
        <v>1.81</v>
      </c>
      <c r="E3125" s="85">
        <f t="shared" si="263"/>
        <v>3.62</v>
      </c>
    </row>
    <row r="3126" spans="1:5" ht="18" x14ac:dyDescent="0.35">
      <c r="A3126" s="5" t="s">
        <v>1097</v>
      </c>
      <c r="B3126" s="50" t="s">
        <v>43</v>
      </c>
      <c r="C3126" s="88">
        <v>2</v>
      </c>
      <c r="D3126" s="88">
        <v>1.1499999999999999</v>
      </c>
      <c r="E3126" s="90">
        <f t="shared" si="263"/>
        <v>2.2999999999999998</v>
      </c>
    </row>
    <row r="3127" spans="1:5" ht="18" x14ac:dyDescent="0.35">
      <c r="A3127" s="5"/>
      <c r="B3127" s="50" t="s">
        <v>34</v>
      </c>
      <c r="C3127" s="7"/>
      <c r="D3127" s="7">
        <v>18.05</v>
      </c>
      <c r="E3127" s="85">
        <f t="shared" si="263"/>
        <v>0</v>
      </c>
    </row>
    <row r="3128" spans="1:5" ht="18" x14ac:dyDescent="0.35">
      <c r="A3128" s="5"/>
      <c r="B3128" s="50" t="s">
        <v>35</v>
      </c>
      <c r="C3128" s="7">
        <v>4</v>
      </c>
      <c r="D3128" s="7">
        <v>2.0099999999999998</v>
      </c>
      <c r="E3128" s="85">
        <f t="shared" si="263"/>
        <v>8.0399999999999991</v>
      </c>
    </row>
    <row r="3129" spans="1:5" ht="18" x14ac:dyDescent="0.35">
      <c r="A3129" s="5"/>
      <c r="B3129" s="50" t="s">
        <v>36</v>
      </c>
      <c r="C3129" s="7">
        <v>4</v>
      </c>
      <c r="D3129" s="7">
        <v>0.25</v>
      </c>
      <c r="E3129" s="85">
        <f t="shared" si="263"/>
        <v>1</v>
      </c>
    </row>
    <row r="3130" spans="1:5" ht="18" x14ac:dyDescent="0.35">
      <c r="A3130" s="5"/>
      <c r="B3130" s="5"/>
      <c r="C3130" s="54"/>
      <c r="D3130" s="54"/>
      <c r="E3130" s="89">
        <f>SUM(E3122:E3129)</f>
        <v>124.01477</v>
      </c>
    </row>
    <row r="3131" spans="1:5" ht="18" x14ac:dyDescent="0.35">
      <c r="A3131" s="5"/>
      <c r="B3131" s="5"/>
      <c r="C3131" s="54"/>
      <c r="D3131" s="54" t="s">
        <v>1066</v>
      </c>
      <c r="E3131" s="89">
        <f>E3130+E3130*40%</f>
        <v>173.620678</v>
      </c>
    </row>
    <row r="3132" spans="1:5" ht="18" x14ac:dyDescent="0.35">
      <c r="A3132" s="5"/>
      <c r="B3132" s="50" t="s">
        <v>37</v>
      </c>
      <c r="C3132" s="54">
        <v>0.45</v>
      </c>
      <c r="D3132" s="54">
        <v>200</v>
      </c>
      <c r="E3132" s="85">
        <f>C3132*D3132</f>
        <v>90</v>
      </c>
    </row>
    <row r="3133" spans="1:5" ht="18" x14ac:dyDescent="0.35">
      <c r="A3133" s="5"/>
      <c r="B3133" s="5"/>
      <c r="C3133" s="54"/>
      <c r="D3133" s="54"/>
      <c r="E3133" s="112">
        <f>SUM(E3131:E3132)</f>
        <v>263.620678</v>
      </c>
    </row>
    <row r="3136" spans="1:5" ht="18" x14ac:dyDescent="0.35">
      <c r="A3136" s="111" t="s">
        <v>1166</v>
      </c>
    </row>
    <row r="3137" spans="1:5" ht="21" x14ac:dyDescent="0.4">
      <c r="A3137" s="40" t="s">
        <v>1171</v>
      </c>
      <c r="B3137" s="40"/>
      <c r="C3137" s="84"/>
      <c r="D3137" s="12"/>
      <c r="E3137" s="12"/>
    </row>
    <row r="3138" spans="1:5" ht="21" x14ac:dyDescent="0.4">
      <c r="A3138" s="40"/>
      <c r="B3138" s="40"/>
      <c r="C3138" s="84"/>
      <c r="D3138" s="12"/>
      <c r="E3138" s="12"/>
    </row>
    <row r="3139" spans="1:5" ht="18" x14ac:dyDescent="0.35">
      <c r="A3139" s="5"/>
      <c r="B3139" s="5"/>
      <c r="C3139" s="7" t="s">
        <v>28</v>
      </c>
      <c r="D3139" s="7" t="s">
        <v>29</v>
      </c>
      <c r="E3139" s="7" t="s">
        <v>30</v>
      </c>
    </row>
    <row r="3140" spans="1:5" ht="18" x14ac:dyDescent="0.35">
      <c r="A3140" s="5" t="s">
        <v>71</v>
      </c>
      <c r="B3140" s="50" t="s">
        <v>32</v>
      </c>
      <c r="C3140" s="7">
        <v>2.5529999999999999</v>
      </c>
      <c r="D3140" s="7">
        <v>45.07</v>
      </c>
      <c r="E3140" s="85">
        <f t="shared" ref="E3140:E3147" si="264">C3140*D3140</f>
        <v>115.06371</v>
      </c>
    </row>
    <row r="3141" spans="1:5" ht="18" x14ac:dyDescent="0.35">
      <c r="A3141" s="5" t="s">
        <v>63</v>
      </c>
      <c r="B3141" s="50" t="s">
        <v>33</v>
      </c>
      <c r="C3141" s="7">
        <v>6.2370000000000001</v>
      </c>
      <c r="D3141" s="7">
        <v>16.170000000000002</v>
      </c>
      <c r="E3141" s="85">
        <f t="shared" si="264"/>
        <v>100.85229000000001</v>
      </c>
    </row>
    <row r="3142" spans="1:5" ht="18" x14ac:dyDescent="0.35">
      <c r="A3142" s="5" t="s">
        <v>310</v>
      </c>
      <c r="B3142" s="50" t="s">
        <v>33</v>
      </c>
      <c r="C3142" s="7">
        <v>7.35</v>
      </c>
      <c r="D3142" s="7">
        <v>16.170000000000002</v>
      </c>
      <c r="E3142" s="85">
        <f t="shared" si="264"/>
        <v>118.84950000000001</v>
      </c>
    </row>
    <row r="3143" spans="1:5" ht="18" x14ac:dyDescent="0.35">
      <c r="A3143" s="5" t="s">
        <v>673</v>
      </c>
      <c r="B3143" s="50" t="s">
        <v>88</v>
      </c>
      <c r="C3143" s="7">
        <v>4</v>
      </c>
      <c r="D3143" s="7">
        <v>2.2400000000000002</v>
      </c>
      <c r="E3143" s="85">
        <f t="shared" si="264"/>
        <v>8.9600000000000009</v>
      </c>
    </row>
    <row r="3144" spans="1:5" ht="18" x14ac:dyDescent="0.35">
      <c r="A3144" s="5" t="s">
        <v>1097</v>
      </c>
      <c r="B3144" s="50" t="s">
        <v>96</v>
      </c>
      <c r="C3144" s="88">
        <v>2</v>
      </c>
      <c r="D3144" s="88">
        <v>1.6</v>
      </c>
      <c r="E3144" s="90">
        <f t="shared" si="264"/>
        <v>3.2</v>
      </c>
    </row>
    <row r="3145" spans="1:5" ht="18" x14ac:dyDescent="0.35">
      <c r="A3145" s="5"/>
      <c r="B3145" s="50" t="s">
        <v>34</v>
      </c>
      <c r="C3145" s="7">
        <v>0.63</v>
      </c>
      <c r="D3145" s="7">
        <v>18.05</v>
      </c>
      <c r="E3145" s="85">
        <f t="shared" si="264"/>
        <v>11.371500000000001</v>
      </c>
    </row>
    <row r="3146" spans="1:5" ht="18" x14ac:dyDescent="0.35">
      <c r="A3146" s="5"/>
      <c r="B3146" s="50" t="s">
        <v>35</v>
      </c>
      <c r="C3146" s="7">
        <v>4</v>
      </c>
      <c r="D3146" s="7">
        <v>2.0099999999999998</v>
      </c>
      <c r="E3146" s="85">
        <f t="shared" si="264"/>
        <v>8.0399999999999991</v>
      </c>
    </row>
    <row r="3147" spans="1:5" ht="18" x14ac:dyDescent="0.35">
      <c r="A3147" s="5"/>
      <c r="B3147" s="50" t="s">
        <v>36</v>
      </c>
      <c r="C3147" s="7">
        <v>4</v>
      </c>
      <c r="D3147" s="7">
        <v>0.25</v>
      </c>
      <c r="E3147" s="85">
        <f t="shared" si="264"/>
        <v>1</v>
      </c>
    </row>
    <row r="3148" spans="1:5" ht="18" x14ac:dyDescent="0.35">
      <c r="A3148" s="5"/>
      <c r="B3148" s="5"/>
      <c r="C3148" s="54"/>
      <c r="D3148" s="54"/>
      <c r="E3148" s="89">
        <f>SUM(E3140:E3147)</f>
        <v>367.33699999999999</v>
      </c>
    </row>
    <row r="3149" spans="1:5" ht="18" x14ac:dyDescent="0.35">
      <c r="A3149" s="5"/>
      <c r="B3149" s="5"/>
      <c r="C3149" s="54"/>
      <c r="D3149" s="54" t="s">
        <v>1066</v>
      </c>
      <c r="E3149" s="89">
        <f>E3148+E3148*40%</f>
        <v>514.27179999999998</v>
      </c>
    </row>
    <row r="3150" spans="1:5" ht="18" x14ac:dyDescent="0.35">
      <c r="A3150" s="5"/>
      <c r="B3150" s="50" t="s">
        <v>37</v>
      </c>
      <c r="C3150" s="54">
        <v>1</v>
      </c>
      <c r="D3150" s="54">
        <v>200</v>
      </c>
      <c r="E3150" s="85">
        <f>C3150*D3150</f>
        <v>200</v>
      </c>
    </row>
    <row r="3151" spans="1:5" ht="18" x14ac:dyDescent="0.35">
      <c r="A3151" s="5"/>
      <c r="B3151" s="5"/>
      <c r="C3151" s="54"/>
      <c r="D3151" s="54"/>
      <c r="E3151" s="112">
        <f>SUM(E3149:E3150)</f>
        <v>714.27179999999998</v>
      </c>
    </row>
    <row r="3154" spans="1:5" ht="18" x14ac:dyDescent="0.35">
      <c r="A3154" s="111" t="s">
        <v>1166</v>
      </c>
    </row>
    <row r="3155" spans="1:5" ht="21" x14ac:dyDescent="0.4">
      <c r="A3155" s="40" t="s">
        <v>1086</v>
      </c>
      <c r="B3155" s="40"/>
      <c r="C3155" s="84"/>
      <c r="D3155" s="12"/>
      <c r="E3155" s="12"/>
    </row>
    <row r="3156" spans="1:5" ht="21" x14ac:dyDescent="0.4">
      <c r="A3156" s="40"/>
      <c r="B3156" s="40"/>
      <c r="C3156" s="84"/>
      <c r="D3156" s="12"/>
      <c r="E3156" s="12"/>
    </row>
    <row r="3157" spans="1:5" ht="18" x14ac:dyDescent="0.35">
      <c r="A3157" s="5"/>
      <c r="B3157" s="5"/>
      <c r="C3157" s="7" t="s">
        <v>28</v>
      </c>
      <c r="D3157" s="7" t="s">
        <v>29</v>
      </c>
      <c r="E3157" s="7" t="s">
        <v>30</v>
      </c>
    </row>
    <row r="3158" spans="1:5" ht="18" x14ac:dyDescent="0.35">
      <c r="A3158" s="5" t="s">
        <v>46</v>
      </c>
      <c r="B3158" s="50" t="s">
        <v>32</v>
      </c>
      <c r="C3158" s="7">
        <v>2.028</v>
      </c>
      <c r="D3158" s="7">
        <v>45.07</v>
      </c>
      <c r="E3158" s="85">
        <f t="shared" ref="E3158:E3165" si="265">C3158*D3158</f>
        <v>91.401960000000003</v>
      </c>
    </row>
    <row r="3159" spans="1:5" ht="18" x14ac:dyDescent="0.35">
      <c r="A3159" s="5" t="s">
        <v>39</v>
      </c>
      <c r="B3159" s="50" t="s">
        <v>33</v>
      </c>
      <c r="C3159" s="7">
        <v>3.3180000000000001</v>
      </c>
      <c r="D3159" s="7">
        <v>16.170000000000002</v>
      </c>
      <c r="E3159" s="85">
        <f t="shared" si="265"/>
        <v>53.652060000000006</v>
      </c>
    </row>
    <row r="3160" spans="1:5" ht="18" x14ac:dyDescent="0.35">
      <c r="A3160" s="5" t="s">
        <v>346</v>
      </c>
      <c r="B3160" s="50" t="s">
        <v>33</v>
      </c>
      <c r="C3160" s="7">
        <v>3.78</v>
      </c>
      <c r="D3160" s="7">
        <v>16.170000000000002</v>
      </c>
      <c r="E3160" s="85">
        <f t="shared" si="265"/>
        <v>61.122600000000006</v>
      </c>
    </row>
    <row r="3161" spans="1:5" ht="18" x14ac:dyDescent="0.35">
      <c r="A3161" s="5" t="s">
        <v>674</v>
      </c>
      <c r="B3161" s="50" t="s">
        <v>128</v>
      </c>
      <c r="C3161" s="7">
        <v>4</v>
      </c>
      <c r="D3161" s="7">
        <v>1.81</v>
      </c>
      <c r="E3161" s="85">
        <f t="shared" si="265"/>
        <v>7.24</v>
      </c>
    </row>
    <row r="3162" spans="1:5" ht="18" x14ac:dyDescent="0.35">
      <c r="A3162" s="5" t="s">
        <v>1097</v>
      </c>
      <c r="B3162" s="50" t="s">
        <v>43</v>
      </c>
      <c r="C3162" s="88">
        <v>2</v>
      </c>
      <c r="D3162" s="88">
        <v>1.1499999999999999</v>
      </c>
      <c r="E3162" s="90">
        <f t="shared" si="265"/>
        <v>2.2999999999999998</v>
      </c>
    </row>
    <row r="3163" spans="1:5" ht="18" x14ac:dyDescent="0.35">
      <c r="A3163" s="5"/>
      <c r="B3163" s="50" t="s">
        <v>34</v>
      </c>
      <c r="C3163" s="7">
        <v>0.21</v>
      </c>
      <c r="D3163" s="7">
        <v>18.05</v>
      </c>
      <c r="E3163" s="85">
        <f t="shared" si="265"/>
        <v>3.7905000000000002</v>
      </c>
    </row>
    <row r="3164" spans="1:5" ht="18" x14ac:dyDescent="0.35">
      <c r="A3164" s="5"/>
      <c r="B3164" s="50" t="s">
        <v>35</v>
      </c>
      <c r="C3164" s="7">
        <v>4</v>
      </c>
      <c r="D3164" s="7">
        <v>2.0099999999999998</v>
      </c>
      <c r="E3164" s="85">
        <f t="shared" si="265"/>
        <v>8.0399999999999991</v>
      </c>
    </row>
    <row r="3165" spans="1:5" ht="18" x14ac:dyDescent="0.35">
      <c r="A3165" s="5"/>
      <c r="B3165" s="50" t="s">
        <v>36</v>
      </c>
      <c r="C3165" s="7">
        <v>4</v>
      </c>
      <c r="D3165" s="7">
        <v>0.25</v>
      </c>
      <c r="E3165" s="85">
        <f t="shared" si="265"/>
        <v>1</v>
      </c>
    </row>
    <row r="3166" spans="1:5" ht="18" x14ac:dyDescent="0.35">
      <c r="A3166" s="5"/>
      <c r="B3166" s="5"/>
      <c r="C3166" s="54"/>
      <c r="D3166" s="54"/>
      <c r="E3166" s="89">
        <f>SUM(E3158:E3165)</f>
        <v>228.54712000000004</v>
      </c>
    </row>
    <row r="3167" spans="1:5" ht="18" x14ac:dyDescent="0.35">
      <c r="A3167" s="5"/>
      <c r="B3167" s="5"/>
      <c r="C3167" s="54"/>
      <c r="D3167" s="54" t="s">
        <v>1066</v>
      </c>
      <c r="E3167" s="89">
        <f>E3166+E3166*40%</f>
        <v>319.96596800000009</v>
      </c>
    </row>
    <row r="3168" spans="1:5" ht="18" x14ac:dyDescent="0.35">
      <c r="A3168" s="5"/>
      <c r="B3168" s="50" t="s">
        <v>37</v>
      </c>
      <c r="C3168" s="54">
        <v>1</v>
      </c>
      <c r="D3168" s="54">
        <v>200</v>
      </c>
      <c r="E3168" s="85">
        <f>C3168*D3168</f>
        <v>200</v>
      </c>
    </row>
    <row r="3169" spans="1:5" ht="18" x14ac:dyDescent="0.35">
      <c r="A3169" s="5"/>
      <c r="B3169" s="5"/>
      <c r="C3169" s="54"/>
      <c r="D3169" s="54"/>
      <c r="E3169" s="112">
        <f>SUM(E3167:E3168)</f>
        <v>519.96596800000009</v>
      </c>
    </row>
    <row r="3173" spans="1:5" ht="18" x14ac:dyDescent="0.35">
      <c r="A3173" s="111" t="s">
        <v>1172</v>
      </c>
    </row>
    <row r="3174" spans="1:5" ht="21" x14ac:dyDescent="0.4">
      <c r="A3174" s="40" t="s">
        <v>1173</v>
      </c>
      <c r="B3174" s="40"/>
      <c r="C3174" s="84"/>
    </row>
    <row r="3175" spans="1:5" ht="18" x14ac:dyDescent="0.35">
      <c r="A3175" s="5"/>
      <c r="B3175" s="5"/>
      <c r="C3175" s="7" t="s">
        <v>28</v>
      </c>
      <c r="D3175" s="7" t="s">
        <v>29</v>
      </c>
      <c r="E3175" s="7" t="s">
        <v>30</v>
      </c>
    </row>
    <row r="3176" spans="1:5" ht="18" x14ac:dyDescent="0.35">
      <c r="A3176" s="5" t="s">
        <v>1174</v>
      </c>
      <c r="B3176" s="50" t="s">
        <v>32</v>
      </c>
      <c r="C3176" s="7">
        <v>2.2559999999999998</v>
      </c>
      <c r="D3176" s="7">
        <v>30.44</v>
      </c>
      <c r="E3176" s="85">
        <f t="shared" ref="E3176:E3181" si="266">C3176*D3176</f>
        <v>68.672640000000001</v>
      </c>
    </row>
    <row r="3177" spans="1:5" ht="18" x14ac:dyDescent="0.35">
      <c r="A3177" s="5" t="s">
        <v>238</v>
      </c>
      <c r="B3177" s="50" t="s">
        <v>33</v>
      </c>
      <c r="C3177" s="7">
        <v>4.1580000000000004</v>
      </c>
      <c r="D3177" s="7">
        <v>16.170000000000002</v>
      </c>
      <c r="E3177" s="85">
        <f t="shared" si="266"/>
        <v>67.234860000000012</v>
      </c>
    </row>
    <row r="3178" spans="1:5" ht="18" x14ac:dyDescent="0.35">
      <c r="A3178" s="5" t="s">
        <v>777</v>
      </c>
      <c r="B3178" s="50" t="s">
        <v>42</v>
      </c>
      <c r="C3178" s="7">
        <v>2</v>
      </c>
      <c r="D3178" s="7">
        <v>1.1499999999999999</v>
      </c>
      <c r="E3178" s="85">
        <f t="shared" si="266"/>
        <v>2.2999999999999998</v>
      </c>
    </row>
    <row r="3179" spans="1:5" ht="18" x14ac:dyDescent="0.35">
      <c r="A3179" s="5"/>
      <c r="B3179" s="50" t="s">
        <v>34</v>
      </c>
      <c r="C3179" s="7">
        <v>0.39</v>
      </c>
      <c r="D3179" s="7">
        <v>14.61</v>
      </c>
      <c r="E3179" s="85">
        <f t="shared" si="266"/>
        <v>5.6978999999999997</v>
      </c>
    </row>
    <row r="3180" spans="1:5" ht="18" x14ac:dyDescent="0.35">
      <c r="A3180" s="5"/>
      <c r="B3180" s="50" t="s">
        <v>35</v>
      </c>
      <c r="C3180" s="7">
        <v>4</v>
      </c>
      <c r="D3180" s="7">
        <v>2.91</v>
      </c>
      <c r="E3180" s="85">
        <f t="shared" si="266"/>
        <v>11.64</v>
      </c>
    </row>
    <row r="3181" spans="1:5" ht="18" x14ac:dyDescent="0.35">
      <c r="A3181" s="5"/>
      <c r="B3181" s="50" t="s">
        <v>36</v>
      </c>
      <c r="C3181" s="7">
        <v>4</v>
      </c>
      <c r="D3181" s="7">
        <v>0.61</v>
      </c>
      <c r="E3181" s="85">
        <f t="shared" si="266"/>
        <v>2.44</v>
      </c>
    </row>
    <row r="3182" spans="1:5" ht="18" x14ac:dyDescent="0.35">
      <c r="A3182" s="5"/>
      <c r="B3182" s="5"/>
      <c r="C3182" s="54"/>
      <c r="D3182" s="54"/>
      <c r="E3182" s="89">
        <f>SUM(E3176:E3181)</f>
        <v>157.98540000000003</v>
      </c>
    </row>
    <row r="3183" spans="1:5" ht="18" x14ac:dyDescent="0.35">
      <c r="A3183" s="5"/>
      <c r="B3183" s="5"/>
      <c r="C3183" s="54"/>
      <c r="D3183" s="54" t="s">
        <v>1116</v>
      </c>
      <c r="E3183" s="89">
        <f>E3182+E3182*30%</f>
        <v>205.38102000000003</v>
      </c>
    </row>
    <row r="3184" spans="1:5" ht="18" x14ac:dyDescent="0.35">
      <c r="A3184" s="5"/>
      <c r="B3184" s="50" t="s">
        <v>37</v>
      </c>
      <c r="C3184" s="54">
        <v>0.5</v>
      </c>
      <c r="D3184" s="54">
        <v>200</v>
      </c>
      <c r="E3184" s="85">
        <f>C3184*D3184</f>
        <v>100</v>
      </c>
    </row>
    <row r="3185" spans="1:5" ht="18" x14ac:dyDescent="0.35">
      <c r="A3185" s="5"/>
      <c r="B3185" s="5"/>
      <c r="C3185" s="54"/>
      <c r="D3185" s="54"/>
      <c r="E3185" s="85">
        <f>SUM(E3183:E3184)</f>
        <v>305.38102000000003</v>
      </c>
    </row>
    <row r="3186" spans="1:5" ht="18" x14ac:dyDescent="0.35">
      <c r="A3186" s="5"/>
      <c r="B3186" s="96"/>
      <c r="C3186" s="87"/>
      <c r="D3186" s="87"/>
      <c r="E3186" s="94"/>
    </row>
    <row r="3187" spans="1:5" ht="18" x14ac:dyDescent="0.35">
      <c r="A3187" s="111" t="s">
        <v>1172</v>
      </c>
    </row>
    <row r="3188" spans="1:5" ht="21" x14ac:dyDescent="0.4">
      <c r="A3188" s="40" t="s">
        <v>1175</v>
      </c>
      <c r="B3188" s="40"/>
      <c r="C3188" s="84"/>
    </row>
    <row r="3189" spans="1:5" ht="18" x14ac:dyDescent="0.35">
      <c r="A3189" s="5"/>
      <c r="B3189" s="5"/>
      <c r="C3189" s="7" t="s">
        <v>28</v>
      </c>
      <c r="D3189" s="7" t="s">
        <v>29</v>
      </c>
      <c r="E3189" s="7" t="s">
        <v>30</v>
      </c>
    </row>
    <row r="3190" spans="1:5" ht="18" x14ac:dyDescent="0.35">
      <c r="A3190" s="5" t="s">
        <v>237</v>
      </c>
      <c r="B3190" s="50" t="s">
        <v>32</v>
      </c>
      <c r="C3190" s="7">
        <v>2.3959999999999999</v>
      </c>
      <c r="D3190" s="7">
        <v>30.44</v>
      </c>
      <c r="E3190" s="85">
        <f t="shared" ref="E3190:E3195" si="267">C3190*D3190</f>
        <v>72.934240000000003</v>
      </c>
    </row>
    <row r="3191" spans="1:5" ht="18" x14ac:dyDescent="0.35">
      <c r="A3191" s="5" t="s">
        <v>214</v>
      </c>
      <c r="B3191" s="50" t="s">
        <v>33</v>
      </c>
      <c r="C3191" s="7">
        <v>3.1179999999999999</v>
      </c>
      <c r="D3191" s="7">
        <v>16.170000000000002</v>
      </c>
      <c r="E3191" s="85">
        <f t="shared" si="267"/>
        <v>50.418060000000004</v>
      </c>
    </row>
    <row r="3192" spans="1:5" ht="18" x14ac:dyDescent="0.35">
      <c r="A3192" s="5" t="s">
        <v>674</v>
      </c>
      <c r="B3192" s="50" t="s">
        <v>42</v>
      </c>
      <c r="C3192" s="7">
        <v>2</v>
      </c>
      <c r="D3192" s="7">
        <v>1.1499999999999999</v>
      </c>
      <c r="E3192" s="85">
        <f t="shared" si="267"/>
        <v>2.2999999999999998</v>
      </c>
    </row>
    <row r="3193" spans="1:5" ht="18" x14ac:dyDescent="0.35">
      <c r="A3193" s="5"/>
      <c r="B3193" s="50" t="s">
        <v>34</v>
      </c>
      <c r="C3193" s="7">
        <v>0.39</v>
      </c>
      <c r="D3193" s="7">
        <v>14.61</v>
      </c>
      <c r="E3193" s="85">
        <f t="shared" si="267"/>
        <v>5.6978999999999997</v>
      </c>
    </row>
    <row r="3194" spans="1:5" ht="18" x14ac:dyDescent="0.35">
      <c r="A3194" s="5"/>
      <c r="B3194" s="50" t="s">
        <v>35</v>
      </c>
      <c r="C3194" s="7">
        <v>4</v>
      </c>
      <c r="D3194" s="7">
        <v>2.91</v>
      </c>
      <c r="E3194" s="85">
        <f t="shared" si="267"/>
        <v>11.64</v>
      </c>
    </row>
    <row r="3195" spans="1:5" ht="18" x14ac:dyDescent="0.35">
      <c r="A3195" s="5"/>
      <c r="B3195" s="50" t="s">
        <v>36</v>
      </c>
      <c r="C3195" s="7">
        <v>4</v>
      </c>
      <c r="D3195" s="7">
        <v>0.61</v>
      </c>
      <c r="E3195" s="85">
        <f t="shared" si="267"/>
        <v>2.44</v>
      </c>
    </row>
    <row r="3196" spans="1:5" ht="18" x14ac:dyDescent="0.35">
      <c r="A3196" s="5"/>
      <c r="B3196" s="5"/>
      <c r="C3196" s="54"/>
      <c r="D3196" s="54"/>
      <c r="E3196" s="89">
        <f>SUM(E3190:E3195)</f>
        <v>145.43020000000001</v>
      </c>
    </row>
    <row r="3197" spans="1:5" ht="18" x14ac:dyDescent="0.35">
      <c r="A3197" s="5"/>
      <c r="B3197" s="5"/>
      <c r="C3197" s="54"/>
      <c r="D3197" s="54" t="s">
        <v>1116</v>
      </c>
      <c r="E3197" s="89">
        <f>E3196+E3196*30%</f>
        <v>189.05926000000002</v>
      </c>
    </row>
    <row r="3198" spans="1:5" ht="18" x14ac:dyDescent="0.35">
      <c r="A3198" s="5"/>
      <c r="B3198" s="50" t="s">
        <v>37</v>
      </c>
      <c r="C3198" s="54">
        <v>0.5</v>
      </c>
      <c r="D3198" s="54">
        <v>200</v>
      </c>
      <c r="E3198" s="85">
        <f>C3198*D3198</f>
        <v>100</v>
      </c>
    </row>
    <row r="3199" spans="1:5" ht="18" x14ac:dyDescent="0.35">
      <c r="A3199" s="5"/>
      <c r="B3199" s="5"/>
      <c r="C3199" s="54"/>
      <c r="D3199" s="54"/>
      <c r="E3199" s="85">
        <f>SUM(E3197:E3198)</f>
        <v>289.05925999999999</v>
      </c>
    </row>
    <row r="3201" spans="1:5" ht="18" x14ac:dyDescent="0.35">
      <c r="A3201" s="111" t="s">
        <v>1172</v>
      </c>
    </row>
    <row r="3202" spans="1:5" ht="21" x14ac:dyDescent="0.4">
      <c r="A3202" s="40" t="s">
        <v>1176</v>
      </c>
      <c r="B3202" s="40"/>
      <c r="C3202" s="84"/>
    </row>
    <row r="3203" spans="1:5" ht="18" x14ac:dyDescent="0.35">
      <c r="A3203" s="5"/>
      <c r="B3203" s="5"/>
      <c r="C3203" s="7" t="s">
        <v>28</v>
      </c>
      <c r="D3203" s="7" t="s">
        <v>29</v>
      </c>
      <c r="E3203" s="7" t="s">
        <v>30</v>
      </c>
    </row>
    <row r="3204" spans="1:5" ht="18" x14ac:dyDescent="0.35">
      <c r="A3204" s="5" t="s">
        <v>1177</v>
      </c>
      <c r="B3204" s="50" t="s">
        <v>32</v>
      </c>
      <c r="C3204" s="7">
        <v>2.375</v>
      </c>
      <c r="D3204" s="7">
        <v>30.44</v>
      </c>
      <c r="E3204" s="85">
        <f t="shared" ref="E3204:E3209" si="268">C3204*D3204</f>
        <v>72.295000000000002</v>
      </c>
    </row>
    <row r="3205" spans="1:5" ht="18" x14ac:dyDescent="0.35">
      <c r="A3205" s="5" t="s">
        <v>214</v>
      </c>
      <c r="B3205" s="50" t="s">
        <v>33</v>
      </c>
      <c r="C3205" s="7">
        <v>3.1179999999999999</v>
      </c>
      <c r="D3205" s="7">
        <v>16.170000000000002</v>
      </c>
      <c r="E3205" s="85">
        <f t="shared" si="268"/>
        <v>50.418060000000004</v>
      </c>
    </row>
    <row r="3206" spans="1:5" ht="18" x14ac:dyDescent="0.35">
      <c r="A3206" s="5" t="s">
        <v>705</v>
      </c>
      <c r="B3206" s="50" t="s">
        <v>42</v>
      </c>
      <c r="C3206" s="7">
        <v>2</v>
      </c>
      <c r="D3206" s="7">
        <v>1.1499999999999999</v>
      </c>
      <c r="E3206" s="85">
        <f t="shared" si="268"/>
        <v>2.2999999999999998</v>
      </c>
    </row>
    <row r="3207" spans="1:5" ht="18" x14ac:dyDescent="0.35">
      <c r="A3207" s="5"/>
      <c r="B3207" s="50" t="s">
        <v>34</v>
      </c>
      <c r="C3207" s="7">
        <v>0.39</v>
      </c>
      <c r="D3207" s="7">
        <v>14.61</v>
      </c>
      <c r="E3207" s="85">
        <f t="shared" si="268"/>
        <v>5.6978999999999997</v>
      </c>
    </row>
    <row r="3208" spans="1:5" ht="18" x14ac:dyDescent="0.35">
      <c r="A3208" s="5"/>
      <c r="B3208" s="50" t="s">
        <v>35</v>
      </c>
      <c r="C3208" s="7">
        <v>4</v>
      </c>
      <c r="D3208" s="7">
        <v>2.91</v>
      </c>
      <c r="E3208" s="85">
        <f t="shared" si="268"/>
        <v>11.64</v>
      </c>
    </row>
    <row r="3209" spans="1:5" ht="18" x14ac:dyDescent="0.35">
      <c r="A3209" s="5"/>
      <c r="B3209" s="50" t="s">
        <v>36</v>
      </c>
      <c r="C3209" s="7">
        <v>4</v>
      </c>
      <c r="D3209" s="7">
        <v>0.61</v>
      </c>
      <c r="E3209" s="85">
        <f t="shared" si="268"/>
        <v>2.44</v>
      </c>
    </row>
    <row r="3210" spans="1:5" ht="18" x14ac:dyDescent="0.35">
      <c r="A3210" s="5"/>
      <c r="B3210" s="5"/>
      <c r="C3210" s="54"/>
      <c r="D3210" s="54"/>
      <c r="E3210" s="89">
        <f>SUM(E3204:E3209)</f>
        <v>144.79095999999998</v>
      </c>
    </row>
    <row r="3211" spans="1:5" ht="18" x14ac:dyDescent="0.35">
      <c r="A3211" s="5"/>
      <c r="B3211" s="5"/>
      <c r="C3211" s="54"/>
      <c r="D3211" s="54" t="s">
        <v>1116</v>
      </c>
      <c r="E3211" s="89">
        <f>E3210+E3210*30%</f>
        <v>188.22824799999998</v>
      </c>
    </row>
    <row r="3212" spans="1:5" ht="18" x14ac:dyDescent="0.35">
      <c r="A3212" s="5"/>
      <c r="B3212" s="50" t="s">
        <v>37</v>
      </c>
      <c r="C3212" s="54">
        <v>0.5</v>
      </c>
      <c r="D3212" s="54">
        <v>200</v>
      </c>
      <c r="E3212" s="85">
        <f>C3212*D3212</f>
        <v>100</v>
      </c>
    </row>
    <row r="3213" spans="1:5" ht="18" x14ac:dyDescent="0.35">
      <c r="A3213" s="5"/>
      <c r="B3213" s="5"/>
      <c r="C3213" s="54"/>
      <c r="D3213" s="54"/>
      <c r="E3213" s="85">
        <f>SUM(E3211:E3212)</f>
        <v>288.22824800000001</v>
      </c>
    </row>
    <row r="3216" spans="1:5" ht="18" x14ac:dyDescent="0.35">
      <c r="A3216" s="111" t="s">
        <v>1172</v>
      </c>
    </row>
    <row r="3217" spans="1:5" ht="21" x14ac:dyDescent="0.4">
      <c r="A3217" s="40" t="s">
        <v>1176</v>
      </c>
      <c r="B3217" s="40"/>
      <c r="C3217" s="84"/>
    </row>
    <row r="3218" spans="1:5" ht="18" x14ac:dyDescent="0.35">
      <c r="A3218" s="5"/>
      <c r="B3218" s="5"/>
      <c r="C3218" s="7" t="s">
        <v>28</v>
      </c>
      <c r="D3218" s="7" t="s">
        <v>29</v>
      </c>
      <c r="E3218" s="7" t="s">
        <v>30</v>
      </c>
    </row>
    <row r="3219" spans="1:5" ht="18" x14ac:dyDescent="0.35">
      <c r="A3219" s="5" t="s">
        <v>236</v>
      </c>
      <c r="B3219" s="50" t="s">
        <v>32</v>
      </c>
      <c r="C3219" s="7">
        <v>2.3639999999999999</v>
      </c>
      <c r="D3219" s="7">
        <v>30.44</v>
      </c>
      <c r="E3219" s="85">
        <f t="shared" ref="E3219:E3224" si="269">C3219*D3219</f>
        <v>71.960160000000002</v>
      </c>
    </row>
    <row r="3220" spans="1:5" ht="18" x14ac:dyDescent="0.35">
      <c r="A3220" s="5" t="s">
        <v>171</v>
      </c>
      <c r="B3220" s="50" t="s">
        <v>33</v>
      </c>
      <c r="C3220" s="7">
        <v>2.0790000000000002</v>
      </c>
      <c r="D3220" s="7">
        <v>16.170000000000002</v>
      </c>
      <c r="E3220" s="85">
        <f t="shared" si="269"/>
        <v>33.617430000000006</v>
      </c>
    </row>
    <row r="3221" spans="1:5" ht="18" x14ac:dyDescent="0.35">
      <c r="A3221" s="5" t="s">
        <v>705</v>
      </c>
      <c r="B3221" s="50" t="s">
        <v>42</v>
      </c>
      <c r="C3221" s="7">
        <v>2</v>
      </c>
      <c r="D3221" s="7">
        <v>1.1499999999999999</v>
      </c>
      <c r="E3221" s="85">
        <f t="shared" si="269"/>
        <v>2.2999999999999998</v>
      </c>
    </row>
    <row r="3222" spans="1:5" ht="18" x14ac:dyDescent="0.35">
      <c r="A3222" s="5"/>
      <c r="B3222" s="50" t="s">
        <v>34</v>
      </c>
      <c r="C3222" s="7">
        <v>0.39</v>
      </c>
      <c r="D3222" s="7">
        <v>14.61</v>
      </c>
      <c r="E3222" s="85">
        <f t="shared" si="269"/>
        <v>5.6978999999999997</v>
      </c>
    </row>
    <row r="3223" spans="1:5" ht="18" x14ac:dyDescent="0.35">
      <c r="A3223" s="5"/>
      <c r="B3223" s="50" t="s">
        <v>35</v>
      </c>
      <c r="C3223" s="7">
        <v>4</v>
      </c>
      <c r="D3223" s="7">
        <v>2.91</v>
      </c>
      <c r="E3223" s="85">
        <f t="shared" si="269"/>
        <v>11.64</v>
      </c>
    </row>
    <row r="3224" spans="1:5" ht="18" x14ac:dyDescent="0.35">
      <c r="A3224" s="5"/>
      <c r="B3224" s="50" t="s">
        <v>36</v>
      </c>
      <c r="C3224" s="7">
        <v>4</v>
      </c>
      <c r="D3224" s="7">
        <v>0.61</v>
      </c>
      <c r="E3224" s="85">
        <f t="shared" si="269"/>
        <v>2.44</v>
      </c>
    </row>
    <row r="3225" spans="1:5" ht="18" x14ac:dyDescent="0.35">
      <c r="A3225" s="5"/>
      <c r="B3225" s="5"/>
      <c r="C3225" s="54"/>
      <c r="D3225" s="54"/>
      <c r="E3225" s="89">
        <f>SUM(E3219:E3224)</f>
        <v>127.65549000000001</v>
      </c>
    </row>
    <row r="3226" spans="1:5" ht="18" x14ac:dyDescent="0.35">
      <c r="A3226" s="5"/>
      <c r="B3226" s="5"/>
      <c r="C3226" s="54"/>
      <c r="D3226" s="54" t="s">
        <v>1116</v>
      </c>
      <c r="E3226" s="89">
        <f>E3225+E3225*30%</f>
        <v>165.95213700000002</v>
      </c>
    </row>
    <row r="3227" spans="1:5" ht="18" x14ac:dyDescent="0.35">
      <c r="A3227" s="5"/>
      <c r="B3227" s="50" t="s">
        <v>37</v>
      </c>
      <c r="C3227" s="54">
        <v>0.5</v>
      </c>
      <c r="D3227" s="54">
        <v>200</v>
      </c>
      <c r="E3227" s="85">
        <f>C3227*D3227</f>
        <v>100</v>
      </c>
    </row>
    <row r="3228" spans="1:5" ht="18" x14ac:dyDescent="0.35">
      <c r="A3228" s="5"/>
      <c r="B3228" s="5"/>
      <c r="C3228" s="54"/>
      <c r="D3228" s="54"/>
      <c r="E3228" s="85">
        <f>SUM(E3226:E3227)</f>
        <v>265.95213699999999</v>
      </c>
    </row>
    <row r="3231" spans="1:5" x14ac:dyDescent="0.3">
      <c r="A3231" s="120" t="s">
        <v>1182</v>
      </c>
      <c r="B3231" s="120"/>
    </row>
    <row r="3232" spans="1:5" ht="21" x14ac:dyDescent="0.4">
      <c r="A3232" s="40" t="s">
        <v>1184</v>
      </c>
      <c r="B3232" s="40"/>
      <c r="C3232" s="40"/>
      <c r="D3232" s="12"/>
      <c r="E3232" s="12"/>
    </row>
    <row r="3233" spans="1:5" ht="18" x14ac:dyDescent="0.35">
      <c r="A3233" s="5"/>
      <c r="B3233" s="5"/>
      <c r="C3233" s="7" t="s">
        <v>28</v>
      </c>
      <c r="D3233" s="7" t="s">
        <v>29</v>
      </c>
      <c r="E3233" s="7" t="s">
        <v>30</v>
      </c>
    </row>
    <row r="3234" spans="1:5" ht="18" x14ac:dyDescent="0.35">
      <c r="A3234" s="5" t="s">
        <v>1183</v>
      </c>
      <c r="B3234" s="50" t="s">
        <v>32</v>
      </c>
      <c r="C3234" s="7">
        <v>1.3979999999999999</v>
      </c>
      <c r="D3234" s="7">
        <v>29.12</v>
      </c>
      <c r="E3234" s="85">
        <f>C3234*D3234</f>
        <v>40.709759999999996</v>
      </c>
    </row>
    <row r="3235" spans="1:5" ht="18" x14ac:dyDescent="0.35">
      <c r="A3235" s="5" t="s">
        <v>545</v>
      </c>
      <c r="B3235" s="50" t="s">
        <v>33</v>
      </c>
      <c r="C3235" s="7">
        <v>3.927</v>
      </c>
      <c r="D3235" s="7">
        <v>15.25</v>
      </c>
      <c r="E3235" s="85">
        <f>C3235*D3235</f>
        <v>59.886749999999999</v>
      </c>
    </row>
    <row r="3236" spans="1:5" ht="18" x14ac:dyDescent="0.35">
      <c r="A3236" s="5" t="s">
        <v>1124</v>
      </c>
      <c r="B3236" s="50" t="s">
        <v>137</v>
      </c>
      <c r="C3236" s="7">
        <v>0.5</v>
      </c>
      <c r="D3236" s="7">
        <v>17.190000000000001</v>
      </c>
      <c r="E3236" s="85">
        <f>C3236*D3236</f>
        <v>8.5950000000000006</v>
      </c>
    </row>
    <row r="3237" spans="1:5" ht="18" x14ac:dyDescent="0.35">
      <c r="A3237" s="5" t="s">
        <v>1121</v>
      </c>
      <c r="B3237" s="50" t="s">
        <v>35</v>
      </c>
      <c r="C3237" s="7">
        <v>4</v>
      </c>
      <c r="D3237" s="7">
        <v>2.91</v>
      </c>
      <c r="E3237" s="85">
        <f>C3237*D3237</f>
        <v>11.64</v>
      </c>
    </row>
    <row r="3238" spans="1:5" ht="18" x14ac:dyDescent="0.35">
      <c r="A3238" s="5"/>
      <c r="B3238" s="50" t="s">
        <v>36</v>
      </c>
      <c r="C3238" s="7">
        <v>4</v>
      </c>
      <c r="D3238" s="7">
        <v>0.61</v>
      </c>
      <c r="E3238" s="85">
        <f>C3238*D3238</f>
        <v>2.44</v>
      </c>
    </row>
    <row r="3239" spans="1:5" ht="18" x14ac:dyDescent="0.35">
      <c r="A3239" s="5"/>
      <c r="B3239" s="96"/>
      <c r="C3239" s="87"/>
      <c r="D3239" s="87"/>
      <c r="E3239" s="94">
        <f>SUM(E3234:E3238)</f>
        <v>123.27150999999999</v>
      </c>
    </row>
    <row r="3240" spans="1:5" ht="18" x14ac:dyDescent="0.35">
      <c r="A3240" s="5"/>
      <c r="B3240" s="96"/>
      <c r="C3240" s="87"/>
      <c r="D3240" s="87" t="s">
        <v>1066</v>
      </c>
      <c r="E3240" s="94">
        <f>E3239+E3239*40%</f>
        <v>172.58011399999998</v>
      </c>
    </row>
    <row r="3241" spans="1:5" ht="18" x14ac:dyDescent="0.35">
      <c r="A3241" s="5"/>
      <c r="B3241" s="50" t="s">
        <v>37</v>
      </c>
      <c r="C3241" s="7">
        <v>0.5</v>
      </c>
      <c r="D3241" s="93">
        <v>200</v>
      </c>
      <c r="E3241" s="85">
        <f>C3241*D3241</f>
        <v>100</v>
      </c>
    </row>
    <row r="3242" spans="1:5" ht="18" x14ac:dyDescent="0.35">
      <c r="D3242" s="12" t="s">
        <v>1083</v>
      </c>
      <c r="E3242" s="109">
        <f>SUM(E3240:E3241)</f>
        <v>272.58011399999998</v>
      </c>
    </row>
    <row r="3245" spans="1:5" x14ac:dyDescent="0.3">
      <c r="A3245" s="120" t="s">
        <v>1185</v>
      </c>
      <c r="B3245" s="120"/>
    </row>
    <row r="3246" spans="1:5" ht="21" x14ac:dyDescent="0.4">
      <c r="A3246" s="40" t="s">
        <v>1186</v>
      </c>
      <c r="B3246" s="40"/>
      <c r="C3246" s="84"/>
    </row>
    <row r="3247" spans="1:5" ht="18" x14ac:dyDescent="0.35">
      <c r="A3247" s="5"/>
      <c r="B3247" s="5"/>
      <c r="C3247" s="7" t="s">
        <v>28</v>
      </c>
      <c r="D3247" s="7" t="s">
        <v>29</v>
      </c>
      <c r="E3247" s="7" t="s">
        <v>30</v>
      </c>
    </row>
    <row r="3248" spans="1:5" ht="18" x14ac:dyDescent="0.35">
      <c r="A3248" s="5" t="s">
        <v>1187</v>
      </c>
      <c r="B3248" s="50" t="s">
        <v>32</v>
      </c>
      <c r="C3248" s="7">
        <v>2.8260000000000001</v>
      </c>
      <c r="D3248" s="7">
        <v>30.44</v>
      </c>
      <c r="E3248" s="85">
        <f t="shared" ref="E3248:E3253" si="270">C3248*D3248</f>
        <v>86.023440000000008</v>
      </c>
    </row>
    <row r="3249" spans="1:5" ht="18" x14ac:dyDescent="0.35">
      <c r="A3249" s="5" t="s">
        <v>217</v>
      </c>
      <c r="B3249" s="50" t="s">
        <v>33</v>
      </c>
      <c r="C3249" s="7">
        <v>13.86</v>
      </c>
      <c r="D3249" s="7">
        <v>16.170000000000002</v>
      </c>
      <c r="E3249" s="85">
        <f t="shared" si="270"/>
        <v>224.11620000000002</v>
      </c>
    </row>
    <row r="3250" spans="1:5" ht="18" x14ac:dyDescent="0.35">
      <c r="A3250" s="5" t="s">
        <v>705</v>
      </c>
      <c r="B3250" s="50" t="s">
        <v>86</v>
      </c>
      <c r="C3250" s="7">
        <v>2</v>
      </c>
      <c r="D3250" s="7">
        <v>1.7</v>
      </c>
      <c r="E3250" s="85">
        <f t="shared" si="270"/>
        <v>3.4</v>
      </c>
    </row>
    <row r="3251" spans="1:5" ht="18" x14ac:dyDescent="0.35">
      <c r="A3251" s="5"/>
      <c r="B3251" s="50" t="s">
        <v>34</v>
      </c>
      <c r="C3251" s="7">
        <v>0.56000000000000005</v>
      </c>
      <c r="D3251" s="7">
        <v>14.61</v>
      </c>
      <c r="E3251" s="85">
        <f t="shared" si="270"/>
        <v>8.1816000000000013</v>
      </c>
    </row>
    <row r="3252" spans="1:5" ht="18" x14ac:dyDescent="0.35">
      <c r="A3252" s="5"/>
      <c r="B3252" s="50" t="s">
        <v>35</v>
      </c>
      <c r="C3252" s="7">
        <v>4</v>
      </c>
      <c r="D3252" s="7">
        <v>2.91</v>
      </c>
      <c r="E3252" s="85">
        <f t="shared" si="270"/>
        <v>11.64</v>
      </c>
    </row>
    <row r="3253" spans="1:5" ht="18" x14ac:dyDescent="0.35">
      <c r="A3253" s="5"/>
      <c r="B3253" s="50" t="s">
        <v>36</v>
      </c>
      <c r="C3253" s="7">
        <v>4</v>
      </c>
      <c r="D3253" s="7">
        <v>0.61</v>
      </c>
      <c r="E3253" s="85">
        <f t="shared" si="270"/>
        <v>2.44</v>
      </c>
    </row>
    <row r="3254" spans="1:5" ht="18" x14ac:dyDescent="0.35">
      <c r="A3254" s="5"/>
      <c r="B3254" s="5"/>
      <c r="C3254" s="54"/>
      <c r="D3254" s="54"/>
      <c r="E3254" s="89">
        <f>SUM(E3248:E3253)</f>
        <v>335.80124000000001</v>
      </c>
    </row>
    <row r="3255" spans="1:5" ht="18" x14ac:dyDescent="0.35">
      <c r="A3255" s="5"/>
      <c r="B3255" s="5"/>
      <c r="C3255" s="54"/>
      <c r="D3255" s="54" t="s">
        <v>1063</v>
      </c>
      <c r="E3255" s="89">
        <f>E3254+E3254*40%</f>
        <v>470.12173600000006</v>
      </c>
    </row>
    <row r="3256" spans="1:5" ht="18" x14ac:dyDescent="0.35">
      <c r="A3256" s="5"/>
      <c r="B3256" s="50" t="s">
        <v>37</v>
      </c>
      <c r="C3256" s="54">
        <v>0.55000000000000004</v>
      </c>
      <c r="D3256" s="54">
        <v>200</v>
      </c>
      <c r="E3256" s="85">
        <f>C3256*D3256</f>
        <v>110.00000000000001</v>
      </c>
    </row>
    <row r="3257" spans="1:5" ht="18" x14ac:dyDescent="0.35">
      <c r="A3257" s="5"/>
      <c r="B3257" s="5"/>
      <c r="C3257" s="54"/>
      <c r="D3257" s="54"/>
      <c r="E3257" s="85">
        <f>SUM(E3255:E3256)</f>
        <v>580.12173600000006</v>
      </c>
    </row>
    <row r="3259" spans="1:5" ht="18" x14ac:dyDescent="0.35">
      <c r="A3259" s="111" t="s">
        <v>1188</v>
      </c>
    </row>
    <row r="3260" spans="1:5" ht="21" x14ac:dyDescent="0.4">
      <c r="A3260" s="40" t="s">
        <v>1189</v>
      </c>
      <c r="B3260" s="40"/>
      <c r="C3260" s="84"/>
      <c r="D3260" s="12"/>
      <c r="E3260" s="12"/>
    </row>
    <row r="3261" spans="1:5" ht="21" x14ac:dyDescent="0.4">
      <c r="A3261" s="40"/>
      <c r="B3261" s="40"/>
      <c r="C3261" s="84"/>
      <c r="D3261" s="12"/>
      <c r="E3261" s="12"/>
    </row>
    <row r="3262" spans="1:5" ht="18" x14ac:dyDescent="0.35">
      <c r="A3262" s="5"/>
      <c r="B3262" s="5"/>
      <c r="C3262" s="7" t="s">
        <v>28</v>
      </c>
      <c r="D3262" s="7" t="s">
        <v>29</v>
      </c>
      <c r="E3262" s="7" t="s">
        <v>30</v>
      </c>
    </row>
    <row r="3263" spans="1:5" ht="18" x14ac:dyDescent="0.35">
      <c r="A3263" s="5" t="s">
        <v>1190</v>
      </c>
      <c r="B3263" s="50" t="s">
        <v>32</v>
      </c>
      <c r="C3263" s="7">
        <v>3.33</v>
      </c>
      <c r="D3263" s="7">
        <v>45.07</v>
      </c>
      <c r="E3263" s="85">
        <f t="shared" ref="E3263:E3270" si="271">C3263*D3263</f>
        <v>150.0831</v>
      </c>
    </row>
    <row r="3264" spans="1:5" ht="18" x14ac:dyDescent="0.35">
      <c r="A3264" s="5" t="s">
        <v>465</v>
      </c>
      <c r="B3264" s="50" t="s">
        <v>33</v>
      </c>
      <c r="C3264" s="7">
        <v>25.725000000000001</v>
      </c>
      <c r="D3264" s="7">
        <v>16.170000000000002</v>
      </c>
      <c r="E3264" s="85">
        <f t="shared" si="271"/>
        <v>415.97325000000006</v>
      </c>
    </row>
    <row r="3265" spans="1:5" ht="18" x14ac:dyDescent="0.35">
      <c r="A3265" s="5" t="s">
        <v>377</v>
      </c>
      <c r="B3265" s="50" t="s">
        <v>33</v>
      </c>
      <c r="C3265" s="7">
        <v>27.3</v>
      </c>
      <c r="D3265" s="7">
        <v>16.170000000000002</v>
      </c>
      <c r="E3265" s="85">
        <f t="shared" si="271"/>
        <v>441.44100000000003</v>
      </c>
    </row>
    <row r="3266" spans="1:5" ht="18" x14ac:dyDescent="0.35">
      <c r="A3266" s="5" t="s">
        <v>1191</v>
      </c>
      <c r="B3266" s="50" t="s">
        <v>1192</v>
      </c>
      <c r="C3266" s="7">
        <v>4</v>
      </c>
      <c r="D3266" s="7">
        <v>2.2400000000000002</v>
      </c>
      <c r="E3266" s="85">
        <f t="shared" si="271"/>
        <v>8.9600000000000009</v>
      </c>
    </row>
    <row r="3267" spans="1:5" ht="18" x14ac:dyDescent="0.35">
      <c r="A3267" s="5" t="s">
        <v>1097</v>
      </c>
      <c r="B3267" s="50" t="s">
        <v>88</v>
      </c>
      <c r="C3267" s="88">
        <v>4</v>
      </c>
      <c r="D3267" s="88">
        <v>2.2400000000000002</v>
      </c>
      <c r="E3267" s="90">
        <f t="shared" si="271"/>
        <v>8.9600000000000009</v>
      </c>
    </row>
    <row r="3268" spans="1:5" ht="18" x14ac:dyDescent="0.35">
      <c r="A3268" s="5"/>
      <c r="B3268" s="50" t="s">
        <v>34</v>
      </c>
      <c r="C3268" s="7">
        <v>0.56000000000000005</v>
      </c>
      <c r="D3268" s="7">
        <v>18.05</v>
      </c>
      <c r="E3268" s="85">
        <f t="shared" si="271"/>
        <v>10.108000000000001</v>
      </c>
    </row>
    <row r="3269" spans="1:5" ht="18" x14ac:dyDescent="0.35">
      <c r="A3269" s="5"/>
      <c r="B3269" s="50" t="s">
        <v>35</v>
      </c>
      <c r="C3269" s="7">
        <v>4</v>
      </c>
      <c r="D3269" s="7">
        <v>2.0099999999999998</v>
      </c>
      <c r="E3269" s="85">
        <f t="shared" si="271"/>
        <v>8.0399999999999991</v>
      </c>
    </row>
    <row r="3270" spans="1:5" ht="18" x14ac:dyDescent="0.35">
      <c r="A3270" s="5"/>
      <c r="B3270" s="50" t="s">
        <v>36</v>
      </c>
      <c r="C3270" s="7">
        <v>4</v>
      </c>
      <c r="D3270" s="7">
        <v>0.25</v>
      </c>
      <c r="E3270" s="85">
        <f t="shared" si="271"/>
        <v>1</v>
      </c>
    </row>
    <row r="3271" spans="1:5" ht="18" x14ac:dyDescent="0.35">
      <c r="A3271" s="5"/>
      <c r="B3271" s="5"/>
      <c r="C3271" s="54"/>
      <c r="D3271" s="54"/>
      <c r="E3271" s="89">
        <f>SUM(E3263:E3270)</f>
        <v>1044.5653500000001</v>
      </c>
    </row>
    <row r="3272" spans="1:5" ht="18" x14ac:dyDescent="0.35">
      <c r="A3272" s="5"/>
      <c r="B3272" s="5"/>
      <c r="C3272" s="54"/>
      <c r="D3272" s="54" t="s">
        <v>1066</v>
      </c>
      <c r="E3272" s="89">
        <f>E3271+E3271*40%</f>
        <v>1462.3914900000002</v>
      </c>
    </row>
    <row r="3273" spans="1:5" ht="18" x14ac:dyDescent="0.35">
      <c r="A3273" s="5"/>
      <c r="B3273" s="50" t="s">
        <v>37</v>
      </c>
      <c r="C3273" s="54">
        <v>2</v>
      </c>
      <c r="D3273" s="54">
        <v>200</v>
      </c>
      <c r="E3273" s="85">
        <f>C3273*D3273</f>
        <v>400</v>
      </c>
    </row>
    <row r="3274" spans="1:5" ht="18" x14ac:dyDescent="0.35">
      <c r="A3274" s="5"/>
      <c r="B3274" s="5"/>
      <c r="C3274" s="54"/>
      <c r="D3274" s="54"/>
      <c r="E3274" s="112">
        <f>SUM(E3272:E3273)</f>
        <v>1862.3914900000002</v>
      </c>
    </row>
    <row r="3276" spans="1:5" x14ac:dyDescent="0.3">
      <c r="A3276" s="120" t="s">
        <v>1197</v>
      </c>
      <c r="B3276" s="120"/>
    </row>
    <row r="3277" spans="1:5" ht="21" x14ac:dyDescent="0.4">
      <c r="A3277" s="40" t="s">
        <v>1198</v>
      </c>
      <c r="B3277" s="40"/>
      <c r="C3277" s="84"/>
    </row>
    <row r="3278" spans="1:5" ht="18" x14ac:dyDescent="0.35">
      <c r="A3278" s="5"/>
      <c r="B3278" s="5"/>
      <c r="C3278" s="7" t="s">
        <v>28</v>
      </c>
      <c r="D3278" s="7" t="s">
        <v>29</v>
      </c>
      <c r="E3278" s="7" t="s">
        <v>30</v>
      </c>
    </row>
    <row r="3279" spans="1:5" ht="18" x14ac:dyDescent="0.35">
      <c r="A3279" s="5" t="s">
        <v>40</v>
      </c>
      <c r="B3279" s="50" t="s">
        <v>32</v>
      </c>
      <c r="C3279" s="7">
        <v>1.1879999999999999</v>
      </c>
      <c r="D3279" s="7">
        <v>30.44</v>
      </c>
      <c r="E3279" s="85">
        <f t="shared" ref="E3279:E3284" si="272">C3279*D3279</f>
        <v>36.16272</v>
      </c>
    </row>
    <row r="3280" spans="1:5" ht="18" x14ac:dyDescent="0.35">
      <c r="A3280" s="5" t="s">
        <v>238</v>
      </c>
      <c r="B3280" s="50" t="s">
        <v>33</v>
      </c>
      <c r="C3280" s="7">
        <v>1.6379999999999999</v>
      </c>
      <c r="D3280" s="7">
        <v>16.170000000000002</v>
      </c>
      <c r="E3280" s="85">
        <f t="shared" si="272"/>
        <v>26.486460000000001</v>
      </c>
    </row>
    <row r="3281" spans="1:5" ht="18" x14ac:dyDescent="0.35">
      <c r="A3281" s="5" t="s">
        <v>677</v>
      </c>
      <c r="B3281" s="50" t="s">
        <v>42</v>
      </c>
      <c r="C3281" s="7">
        <v>2</v>
      </c>
      <c r="D3281" s="7">
        <v>1.1499999999999999</v>
      </c>
      <c r="E3281" s="85">
        <f t="shared" si="272"/>
        <v>2.2999999999999998</v>
      </c>
    </row>
    <row r="3282" spans="1:5" ht="18" x14ac:dyDescent="0.35">
      <c r="A3282" s="5"/>
      <c r="B3282" s="50" t="s">
        <v>34</v>
      </c>
      <c r="C3282" s="7"/>
      <c r="D3282" s="7">
        <v>14.61</v>
      </c>
      <c r="E3282" s="85">
        <f t="shared" si="272"/>
        <v>0</v>
      </c>
    </row>
    <row r="3283" spans="1:5" ht="18" x14ac:dyDescent="0.35">
      <c r="A3283" s="5"/>
      <c r="B3283" s="50" t="s">
        <v>35</v>
      </c>
      <c r="C3283" s="7">
        <v>4</v>
      </c>
      <c r="D3283" s="7">
        <v>2.91</v>
      </c>
      <c r="E3283" s="85">
        <f t="shared" si="272"/>
        <v>11.64</v>
      </c>
    </row>
    <row r="3284" spans="1:5" ht="18" x14ac:dyDescent="0.35">
      <c r="A3284" s="5"/>
      <c r="B3284" s="50" t="s">
        <v>36</v>
      </c>
      <c r="C3284" s="7">
        <v>4</v>
      </c>
      <c r="D3284" s="7">
        <v>0.61</v>
      </c>
      <c r="E3284" s="85">
        <f t="shared" si="272"/>
        <v>2.44</v>
      </c>
    </row>
    <row r="3285" spans="1:5" ht="18" x14ac:dyDescent="0.35">
      <c r="A3285" s="5"/>
      <c r="B3285" s="5"/>
      <c r="C3285" s="54"/>
      <c r="D3285" s="54"/>
      <c r="E3285" s="89">
        <f>SUM(E3279:E3284)</f>
        <v>79.029179999999997</v>
      </c>
    </row>
    <row r="3286" spans="1:5" ht="18" x14ac:dyDescent="0.35">
      <c r="A3286" s="5"/>
      <c r="B3286" s="5"/>
      <c r="C3286" s="54"/>
      <c r="D3286" s="54" t="s">
        <v>1063</v>
      </c>
      <c r="E3286" s="89">
        <f>E3285+E3285*40%</f>
        <v>110.640852</v>
      </c>
    </row>
    <row r="3287" spans="1:5" ht="18" x14ac:dyDescent="0.35">
      <c r="A3287" s="5"/>
      <c r="B3287" s="50" t="s">
        <v>37</v>
      </c>
      <c r="C3287" s="54">
        <v>0.32</v>
      </c>
      <c r="D3287" s="54">
        <v>200</v>
      </c>
      <c r="E3287" s="85">
        <f>C3287*D3287</f>
        <v>64</v>
      </c>
    </row>
    <row r="3288" spans="1:5" ht="18" x14ac:dyDescent="0.35">
      <c r="A3288" s="5"/>
      <c r="B3288" s="5"/>
      <c r="C3288" s="54"/>
      <c r="D3288" s="54"/>
      <c r="E3288" s="85">
        <f>SUM(E3286:E3287)</f>
        <v>174.640852</v>
      </c>
    </row>
    <row r="3290" spans="1:5" ht="21" x14ac:dyDescent="0.4">
      <c r="A3290" s="40" t="s">
        <v>1199</v>
      </c>
      <c r="B3290" s="40"/>
      <c r="C3290" s="84"/>
    </row>
    <row r="3291" spans="1:5" ht="18" x14ac:dyDescent="0.35">
      <c r="A3291" s="5"/>
      <c r="B3291" s="5"/>
      <c r="C3291" s="7" t="s">
        <v>28</v>
      </c>
      <c r="D3291" s="7" t="s">
        <v>29</v>
      </c>
      <c r="E3291" s="7" t="s">
        <v>30</v>
      </c>
    </row>
    <row r="3292" spans="1:5" ht="18" x14ac:dyDescent="0.35">
      <c r="A3292" s="5" t="s">
        <v>234</v>
      </c>
      <c r="B3292" s="50" t="s">
        <v>32</v>
      </c>
      <c r="C3292" s="7">
        <v>2.3220000000000001</v>
      </c>
      <c r="D3292" s="7">
        <v>30.44</v>
      </c>
      <c r="E3292" s="85">
        <f t="shared" ref="E3292:E3297" si="273">C3292*D3292</f>
        <v>70.68168</v>
      </c>
    </row>
    <row r="3293" spans="1:5" ht="18" x14ac:dyDescent="0.35">
      <c r="A3293" s="5" t="s">
        <v>219</v>
      </c>
      <c r="B3293" s="50" t="s">
        <v>33</v>
      </c>
      <c r="C3293" s="7">
        <v>1.0389999999999999</v>
      </c>
      <c r="D3293" s="7">
        <v>16.170000000000002</v>
      </c>
      <c r="E3293" s="85">
        <f t="shared" si="273"/>
        <v>16.800630000000002</v>
      </c>
    </row>
    <row r="3294" spans="1:5" ht="18" x14ac:dyDescent="0.35">
      <c r="A3294" s="5" t="s">
        <v>677</v>
      </c>
      <c r="B3294" s="50" t="s">
        <v>42</v>
      </c>
      <c r="C3294" s="7">
        <v>2</v>
      </c>
      <c r="D3294" s="7">
        <v>1.1499999999999999</v>
      </c>
      <c r="E3294" s="85">
        <f t="shared" si="273"/>
        <v>2.2999999999999998</v>
      </c>
    </row>
    <row r="3295" spans="1:5" ht="18" x14ac:dyDescent="0.35">
      <c r="A3295" s="5"/>
      <c r="B3295" s="50" t="s">
        <v>34</v>
      </c>
      <c r="C3295" s="7"/>
      <c r="D3295" s="7">
        <v>14.61</v>
      </c>
      <c r="E3295" s="85">
        <f t="shared" si="273"/>
        <v>0</v>
      </c>
    </row>
    <row r="3296" spans="1:5" ht="18" x14ac:dyDescent="0.35">
      <c r="A3296" s="5"/>
      <c r="B3296" s="50" t="s">
        <v>35</v>
      </c>
      <c r="C3296" s="7">
        <v>4</v>
      </c>
      <c r="D3296" s="7">
        <v>2.91</v>
      </c>
      <c r="E3296" s="85">
        <f t="shared" si="273"/>
        <v>11.64</v>
      </c>
    </row>
    <row r="3297" spans="1:5" ht="18" x14ac:dyDescent="0.35">
      <c r="A3297" s="5"/>
      <c r="B3297" s="50" t="s">
        <v>36</v>
      </c>
      <c r="C3297" s="7">
        <v>4</v>
      </c>
      <c r="D3297" s="7">
        <v>0.61</v>
      </c>
      <c r="E3297" s="85">
        <f t="shared" si="273"/>
        <v>2.44</v>
      </c>
    </row>
    <row r="3298" spans="1:5" ht="18" x14ac:dyDescent="0.35">
      <c r="A3298" s="5"/>
      <c r="B3298" s="5"/>
      <c r="C3298" s="54"/>
      <c r="D3298" s="54"/>
      <c r="E3298" s="89">
        <f>SUM(E3292:E3297)</f>
        <v>103.86230999999999</v>
      </c>
    </row>
    <row r="3299" spans="1:5" ht="18" x14ac:dyDescent="0.35">
      <c r="A3299" s="5"/>
      <c r="B3299" s="5"/>
      <c r="C3299" s="54"/>
      <c r="D3299" s="54" t="s">
        <v>1063</v>
      </c>
      <c r="E3299" s="89">
        <f>E3298+E3298*40%</f>
        <v>145.40723399999999</v>
      </c>
    </row>
    <row r="3300" spans="1:5" ht="18" x14ac:dyDescent="0.35">
      <c r="A3300" s="5"/>
      <c r="B3300" s="50" t="s">
        <v>37</v>
      </c>
      <c r="C3300" s="54">
        <v>0.5</v>
      </c>
      <c r="D3300" s="54">
        <v>200</v>
      </c>
      <c r="E3300" s="85">
        <f>C3300*D3300</f>
        <v>100</v>
      </c>
    </row>
    <row r="3301" spans="1:5" ht="18" x14ac:dyDescent="0.35">
      <c r="A3301" s="5"/>
      <c r="B3301" s="5"/>
      <c r="C3301" s="54"/>
      <c r="D3301" s="54"/>
      <c r="E3301" s="85">
        <f>SUM(E3299:E3300)</f>
        <v>245.40723399999999</v>
      </c>
    </row>
    <row r="3303" spans="1:5" x14ac:dyDescent="0.3">
      <c r="A3303" s="120" t="s">
        <v>1202</v>
      </c>
      <c r="B3303" s="120"/>
    </row>
    <row r="3304" spans="1:5" ht="21" x14ac:dyDescent="0.4">
      <c r="A3304" s="40" t="s">
        <v>1203</v>
      </c>
      <c r="B3304" s="40"/>
      <c r="C3304" s="40"/>
      <c r="D3304" s="12"/>
      <c r="E3304" s="12"/>
    </row>
    <row r="3305" spans="1:5" ht="18" x14ac:dyDescent="0.35">
      <c r="A3305" s="5"/>
      <c r="B3305" s="5"/>
      <c r="C3305" s="7" t="s">
        <v>28</v>
      </c>
      <c r="D3305" s="7" t="s">
        <v>29</v>
      </c>
      <c r="E3305" s="7" t="s">
        <v>30</v>
      </c>
    </row>
    <row r="3306" spans="1:5" ht="18" x14ac:dyDescent="0.35">
      <c r="A3306" s="5" t="s">
        <v>1204</v>
      </c>
      <c r="B3306" s="50" t="s">
        <v>32</v>
      </c>
      <c r="C3306" s="7">
        <v>2.5529999999999999</v>
      </c>
      <c r="D3306" s="7">
        <v>29.12</v>
      </c>
      <c r="E3306" s="85">
        <f>C3306*D3306</f>
        <v>74.343360000000004</v>
      </c>
    </row>
    <row r="3307" spans="1:5" ht="18" x14ac:dyDescent="0.35">
      <c r="A3307" s="5" t="s">
        <v>1020</v>
      </c>
      <c r="B3307" s="50" t="s">
        <v>33</v>
      </c>
      <c r="C3307" s="7">
        <v>23.541</v>
      </c>
      <c r="D3307" s="7">
        <v>15.25</v>
      </c>
      <c r="E3307" s="85">
        <f>C3307*D3307</f>
        <v>359.00024999999999</v>
      </c>
    </row>
    <row r="3308" spans="1:5" ht="18" x14ac:dyDescent="0.35">
      <c r="A3308" s="5" t="s">
        <v>1205</v>
      </c>
      <c r="B3308" s="50" t="s">
        <v>137</v>
      </c>
      <c r="C3308" s="7">
        <v>1.65</v>
      </c>
      <c r="D3308" s="7">
        <v>17.190000000000001</v>
      </c>
      <c r="E3308" s="85">
        <f>C3308*D3308</f>
        <v>28.363500000000002</v>
      </c>
    </row>
    <row r="3309" spans="1:5" ht="18" x14ac:dyDescent="0.35">
      <c r="A3309" s="5" t="s">
        <v>1121</v>
      </c>
      <c r="B3309" s="50" t="s">
        <v>35</v>
      </c>
      <c r="C3309" s="7">
        <v>4</v>
      </c>
      <c r="D3309" s="7">
        <v>2.91</v>
      </c>
      <c r="E3309" s="85">
        <f>C3309*D3309</f>
        <v>11.64</v>
      </c>
    </row>
    <row r="3310" spans="1:5" ht="18" x14ac:dyDescent="0.35">
      <c r="A3310" s="5"/>
      <c r="B3310" s="50" t="s">
        <v>36</v>
      </c>
      <c r="C3310" s="7">
        <v>4</v>
      </c>
      <c r="D3310" s="7">
        <v>0.61</v>
      </c>
      <c r="E3310" s="85">
        <f>C3310*D3310</f>
        <v>2.44</v>
      </c>
    </row>
    <row r="3311" spans="1:5" ht="18" x14ac:dyDescent="0.35">
      <c r="A3311" s="5"/>
      <c r="B3311" s="96"/>
      <c r="C3311" s="87"/>
      <c r="D3311" s="87"/>
      <c r="E3311" s="94">
        <f>SUM(E3306:E3310)</f>
        <v>475.78710999999998</v>
      </c>
    </row>
    <row r="3312" spans="1:5" ht="18" x14ac:dyDescent="0.35">
      <c r="A3312" s="5"/>
      <c r="B3312" s="96"/>
      <c r="C3312" s="87"/>
      <c r="D3312" s="87" t="s">
        <v>1066</v>
      </c>
      <c r="E3312" s="94">
        <f>E3311+E3311*40%</f>
        <v>666.10195399999998</v>
      </c>
    </row>
    <row r="3313" spans="1:5" ht="18" x14ac:dyDescent="0.35">
      <c r="A3313" s="5"/>
      <c r="B3313" s="50" t="s">
        <v>37</v>
      </c>
      <c r="C3313" s="7">
        <v>1</v>
      </c>
      <c r="D3313" s="93">
        <v>200</v>
      </c>
      <c r="E3313" s="85">
        <f>C3313*D3313</f>
        <v>200</v>
      </c>
    </row>
    <row r="3314" spans="1:5" ht="18" x14ac:dyDescent="0.35">
      <c r="D3314" s="12" t="s">
        <v>1083</v>
      </c>
      <c r="E3314" s="109">
        <f>SUM(E3312:E3313)</f>
        <v>866.10195399999998</v>
      </c>
    </row>
    <row r="3316" spans="1:5" ht="21" x14ac:dyDescent="0.4">
      <c r="A3316" s="40" t="s">
        <v>1207</v>
      </c>
      <c r="B3316" s="40"/>
      <c r="C3316" s="84"/>
    </row>
    <row r="3317" spans="1:5" ht="18" x14ac:dyDescent="0.35">
      <c r="A3317" s="5"/>
      <c r="B3317" s="5"/>
      <c r="C3317" s="7" t="s">
        <v>28</v>
      </c>
      <c r="D3317" s="7" t="s">
        <v>29</v>
      </c>
      <c r="E3317" s="7" t="s">
        <v>30</v>
      </c>
    </row>
    <row r="3318" spans="1:5" ht="18" x14ac:dyDescent="0.35">
      <c r="A3318" s="5" t="s">
        <v>1204</v>
      </c>
      <c r="B3318" s="50" t="s">
        <v>32</v>
      </c>
      <c r="C3318" s="7">
        <v>2.5529999999999999</v>
      </c>
      <c r="D3318" s="7">
        <v>30.44</v>
      </c>
      <c r="E3318" s="85">
        <f t="shared" ref="E3318:E3323" si="274">C3318*D3318</f>
        <v>77.713319999999996</v>
      </c>
    </row>
    <row r="3319" spans="1:5" ht="18" x14ac:dyDescent="0.35">
      <c r="A3319" s="5" t="s">
        <v>699</v>
      </c>
      <c r="B3319" s="50" t="s">
        <v>33</v>
      </c>
      <c r="C3319" s="7">
        <v>16.106999999999999</v>
      </c>
      <c r="D3319" s="7">
        <v>16.170000000000002</v>
      </c>
      <c r="E3319" s="85">
        <f t="shared" si="274"/>
        <v>260.45019000000002</v>
      </c>
    </row>
    <row r="3320" spans="1:5" ht="18" x14ac:dyDescent="0.35">
      <c r="A3320" s="5" t="s">
        <v>1205</v>
      </c>
      <c r="B3320" s="50" t="s">
        <v>1208</v>
      </c>
      <c r="C3320" s="7">
        <v>2</v>
      </c>
      <c r="D3320" s="7">
        <v>2.2400000000000002</v>
      </c>
      <c r="E3320" s="85">
        <f t="shared" si="274"/>
        <v>4.4800000000000004</v>
      </c>
    </row>
    <row r="3321" spans="1:5" ht="18" x14ac:dyDescent="0.35">
      <c r="A3321" s="5"/>
      <c r="B3321" s="50" t="s">
        <v>34</v>
      </c>
      <c r="C3321" s="7">
        <v>0.55000000000000004</v>
      </c>
      <c r="D3321" s="7">
        <v>14.61</v>
      </c>
      <c r="E3321" s="85">
        <f t="shared" si="274"/>
        <v>8.0355000000000008</v>
      </c>
    </row>
    <row r="3322" spans="1:5" ht="18" x14ac:dyDescent="0.35">
      <c r="A3322" s="5"/>
      <c r="B3322" s="50" t="s">
        <v>35</v>
      </c>
      <c r="C3322" s="7">
        <v>4</v>
      </c>
      <c r="D3322" s="7">
        <v>2.91</v>
      </c>
      <c r="E3322" s="85">
        <f t="shared" si="274"/>
        <v>11.64</v>
      </c>
    </row>
    <row r="3323" spans="1:5" ht="18" x14ac:dyDescent="0.35">
      <c r="A3323" s="5"/>
      <c r="B3323" s="50" t="s">
        <v>36</v>
      </c>
      <c r="C3323" s="7">
        <v>4</v>
      </c>
      <c r="D3323" s="7">
        <v>0.61</v>
      </c>
      <c r="E3323" s="85">
        <f t="shared" si="274"/>
        <v>2.44</v>
      </c>
    </row>
    <row r="3324" spans="1:5" ht="18" x14ac:dyDescent="0.35">
      <c r="A3324" s="5"/>
      <c r="B3324" s="5"/>
      <c r="C3324" s="54"/>
      <c r="D3324" s="54"/>
      <c r="E3324" s="89">
        <f>SUM(E3318:E3323)</f>
        <v>364.75901000000005</v>
      </c>
    </row>
    <row r="3325" spans="1:5" ht="18" x14ac:dyDescent="0.35">
      <c r="A3325" s="5"/>
      <c r="B3325" s="5"/>
      <c r="C3325" s="54"/>
      <c r="D3325" s="54" t="s">
        <v>1063</v>
      </c>
      <c r="E3325" s="89">
        <f>E3324+E3324*40%</f>
        <v>510.66261400000008</v>
      </c>
    </row>
    <row r="3326" spans="1:5" ht="18" x14ac:dyDescent="0.35">
      <c r="A3326" s="5"/>
      <c r="B3326" s="50" t="s">
        <v>37</v>
      </c>
      <c r="C3326" s="54">
        <v>1</v>
      </c>
      <c r="D3326" s="54">
        <v>200</v>
      </c>
      <c r="E3326" s="85">
        <f>C3326*D3326</f>
        <v>200</v>
      </c>
    </row>
    <row r="3327" spans="1:5" ht="18" x14ac:dyDescent="0.35">
      <c r="A3327" s="5"/>
      <c r="B3327" s="5"/>
      <c r="C3327" s="54"/>
      <c r="D3327" s="54"/>
      <c r="E3327" s="85">
        <f>SUM(E3325:E3326)</f>
        <v>710.66261400000008</v>
      </c>
    </row>
    <row r="3329" spans="1:5" ht="21" x14ac:dyDescent="0.4">
      <c r="A3329" s="40" t="s">
        <v>1209</v>
      </c>
      <c r="B3329" s="40"/>
      <c r="C3329" s="84"/>
    </row>
    <row r="3330" spans="1:5" ht="18" x14ac:dyDescent="0.35">
      <c r="A3330" s="5"/>
      <c r="B3330" s="5"/>
      <c r="C3330" s="7" t="s">
        <v>28</v>
      </c>
      <c r="D3330" s="7" t="s">
        <v>29</v>
      </c>
      <c r="E3330" s="7" t="s">
        <v>30</v>
      </c>
    </row>
    <row r="3331" spans="1:5" ht="18" x14ac:dyDescent="0.35">
      <c r="A3331" s="5" t="s">
        <v>1206</v>
      </c>
      <c r="B3331" s="50" t="s">
        <v>32</v>
      </c>
      <c r="C3331" s="7">
        <v>2.8889999999999998</v>
      </c>
      <c r="D3331" s="7">
        <v>30.44</v>
      </c>
      <c r="E3331" s="85">
        <f t="shared" ref="E3331:E3336" si="275">C3331*D3331</f>
        <v>87.941159999999996</v>
      </c>
    </row>
    <row r="3332" spans="1:5" ht="18" x14ac:dyDescent="0.35">
      <c r="A3332" s="5" t="s">
        <v>1210</v>
      </c>
      <c r="B3332" s="50" t="s">
        <v>33</v>
      </c>
      <c r="C3332" s="7">
        <v>18.521999999999998</v>
      </c>
      <c r="D3332" s="7">
        <v>16.170000000000002</v>
      </c>
      <c r="E3332" s="85">
        <f t="shared" si="275"/>
        <v>299.50074000000001</v>
      </c>
    </row>
    <row r="3333" spans="1:5" ht="18" x14ac:dyDescent="0.35">
      <c r="A3333" s="5" t="s">
        <v>1211</v>
      </c>
      <c r="B3333" s="50" t="s">
        <v>1208</v>
      </c>
      <c r="C3333" s="7">
        <v>2</v>
      </c>
      <c r="D3333" s="7">
        <v>2.2400000000000002</v>
      </c>
      <c r="E3333" s="85">
        <f t="shared" si="275"/>
        <v>4.4800000000000004</v>
      </c>
    </row>
    <row r="3334" spans="1:5" ht="18" x14ac:dyDescent="0.35">
      <c r="A3334" s="5"/>
      <c r="B3334" s="50" t="s">
        <v>34</v>
      </c>
      <c r="C3334" s="7">
        <v>0.93</v>
      </c>
      <c r="D3334" s="7">
        <v>14.61</v>
      </c>
      <c r="E3334" s="85">
        <f t="shared" si="275"/>
        <v>13.587300000000001</v>
      </c>
    </row>
    <row r="3335" spans="1:5" ht="18" x14ac:dyDescent="0.35">
      <c r="A3335" s="5"/>
      <c r="B3335" s="50" t="s">
        <v>35</v>
      </c>
      <c r="C3335" s="7">
        <v>4</v>
      </c>
      <c r="D3335" s="7">
        <v>2.91</v>
      </c>
      <c r="E3335" s="85">
        <f t="shared" si="275"/>
        <v>11.64</v>
      </c>
    </row>
    <row r="3336" spans="1:5" ht="18" x14ac:dyDescent="0.35">
      <c r="A3336" s="5"/>
      <c r="B3336" s="50" t="s">
        <v>36</v>
      </c>
      <c r="C3336" s="7">
        <v>4</v>
      </c>
      <c r="D3336" s="7">
        <v>0.61</v>
      </c>
      <c r="E3336" s="85">
        <f t="shared" si="275"/>
        <v>2.44</v>
      </c>
    </row>
    <row r="3337" spans="1:5" ht="18" x14ac:dyDescent="0.35">
      <c r="A3337" s="5"/>
      <c r="B3337" s="5"/>
      <c r="C3337" s="54"/>
      <c r="D3337" s="54"/>
      <c r="E3337" s="89">
        <f>SUM(E3331:E3336)</f>
        <v>419.58920000000006</v>
      </c>
    </row>
    <row r="3338" spans="1:5" ht="18" x14ac:dyDescent="0.35">
      <c r="A3338" s="5"/>
      <c r="B3338" s="5"/>
      <c r="C3338" s="54"/>
      <c r="D3338" s="54" t="s">
        <v>1063</v>
      </c>
      <c r="E3338" s="89">
        <f>E3337+E3337*40%</f>
        <v>587.42488000000003</v>
      </c>
    </row>
    <row r="3339" spans="1:5" ht="18" x14ac:dyDescent="0.35">
      <c r="A3339" s="5"/>
      <c r="B3339" s="50" t="s">
        <v>37</v>
      </c>
      <c r="C3339" s="54">
        <v>1</v>
      </c>
      <c r="D3339" s="54">
        <v>200</v>
      </c>
      <c r="E3339" s="85">
        <f>C3339*D3339</f>
        <v>200</v>
      </c>
    </row>
    <row r="3340" spans="1:5" ht="18" x14ac:dyDescent="0.35">
      <c r="A3340" s="5"/>
      <c r="B3340" s="5"/>
      <c r="C3340" s="54"/>
      <c r="D3340" s="54"/>
      <c r="E3340" s="85">
        <f>SUM(E3338:E3339)</f>
        <v>787.42488000000003</v>
      </c>
    </row>
    <row r="3342" spans="1:5" ht="21" x14ac:dyDescent="0.4">
      <c r="A3342" s="40" t="s">
        <v>1212</v>
      </c>
      <c r="B3342" s="40"/>
      <c r="C3342" s="84"/>
    </row>
    <row r="3343" spans="1:5" ht="18" x14ac:dyDescent="0.35">
      <c r="A3343" s="5"/>
      <c r="B3343" s="5"/>
      <c r="C3343" s="7" t="s">
        <v>28</v>
      </c>
      <c r="D3343" s="7" t="s">
        <v>29</v>
      </c>
      <c r="E3343" s="7" t="s">
        <v>30</v>
      </c>
    </row>
    <row r="3344" spans="1:5" ht="18" x14ac:dyDescent="0.35">
      <c r="A3344" s="5" t="s">
        <v>1213</v>
      </c>
      <c r="B3344" s="50" t="s">
        <v>32</v>
      </c>
      <c r="C3344" s="7">
        <v>2.8889999999999998</v>
      </c>
      <c r="D3344" s="7">
        <v>30.44</v>
      </c>
      <c r="E3344" s="85">
        <f t="shared" ref="E3344:E3349" si="276">C3344*D3344</f>
        <v>87.941159999999996</v>
      </c>
    </row>
    <row r="3345" spans="1:5" ht="18" x14ac:dyDescent="0.35">
      <c r="A3345" s="5" t="s">
        <v>1210</v>
      </c>
      <c r="B3345" s="50" t="s">
        <v>33</v>
      </c>
      <c r="C3345" s="7">
        <v>18.521999999999998</v>
      </c>
      <c r="D3345" s="7">
        <v>16.170000000000002</v>
      </c>
      <c r="E3345" s="85">
        <f t="shared" si="276"/>
        <v>299.50074000000001</v>
      </c>
    </row>
    <row r="3346" spans="1:5" ht="18" x14ac:dyDescent="0.35">
      <c r="A3346" s="5" t="s">
        <v>1211</v>
      </c>
      <c r="B3346" s="50" t="s">
        <v>1208</v>
      </c>
      <c r="C3346" s="7">
        <v>2</v>
      </c>
      <c r="D3346" s="7">
        <v>2.2400000000000002</v>
      </c>
      <c r="E3346" s="85">
        <f t="shared" si="276"/>
        <v>4.4800000000000004</v>
      </c>
    </row>
    <row r="3347" spans="1:5" ht="18" x14ac:dyDescent="0.35">
      <c r="A3347" s="5"/>
      <c r="B3347" s="50" t="s">
        <v>34</v>
      </c>
      <c r="C3347" s="7">
        <v>0.93</v>
      </c>
      <c r="D3347" s="7">
        <v>14.61</v>
      </c>
      <c r="E3347" s="85">
        <f t="shared" si="276"/>
        <v>13.587300000000001</v>
      </c>
    </row>
    <row r="3348" spans="1:5" ht="18" x14ac:dyDescent="0.35">
      <c r="A3348" s="5"/>
      <c r="B3348" s="50" t="s">
        <v>35</v>
      </c>
      <c r="C3348" s="7">
        <v>4</v>
      </c>
      <c r="D3348" s="7">
        <v>2.91</v>
      </c>
      <c r="E3348" s="85">
        <f t="shared" si="276"/>
        <v>11.64</v>
      </c>
    </row>
    <row r="3349" spans="1:5" ht="18" x14ac:dyDescent="0.35">
      <c r="A3349" s="5"/>
      <c r="B3349" s="50" t="s">
        <v>36</v>
      </c>
      <c r="C3349" s="7">
        <v>4</v>
      </c>
      <c r="D3349" s="7">
        <v>0.61</v>
      </c>
      <c r="E3349" s="85">
        <f t="shared" si="276"/>
        <v>2.44</v>
      </c>
    </row>
    <row r="3350" spans="1:5" ht="18" x14ac:dyDescent="0.35">
      <c r="A3350" s="5"/>
      <c r="B3350" s="5"/>
      <c r="C3350" s="54"/>
      <c r="D3350" s="54"/>
      <c r="E3350" s="89">
        <f>SUM(E3344:E3349)</f>
        <v>419.58920000000006</v>
      </c>
    </row>
    <row r="3351" spans="1:5" ht="18" x14ac:dyDescent="0.35">
      <c r="A3351" s="5"/>
      <c r="B3351" s="5"/>
      <c r="C3351" s="54"/>
      <c r="D3351" s="54" t="s">
        <v>1063</v>
      </c>
      <c r="E3351" s="89">
        <f>E3350+E3350*40%</f>
        <v>587.42488000000003</v>
      </c>
    </row>
    <row r="3352" spans="1:5" ht="18" x14ac:dyDescent="0.35">
      <c r="A3352" s="5"/>
      <c r="B3352" s="50" t="s">
        <v>37</v>
      </c>
      <c r="C3352" s="54">
        <v>1</v>
      </c>
      <c r="D3352" s="54">
        <v>200</v>
      </c>
      <c r="E3352" s="85">
        <f>C3352*D3352</f>
        <v>200</v>
      </c>
    </row>
    <row r="3353" spans="1:5" ht="18" x14ac:dyDescent="0.35">
      <c r="A3353" s="5"/>
      <c r="B3353" s="5"/>
      <c r="C3353" s="54"/>
      <c r="D3353" s="54"/>
      <c r="E3353" s="85">
        <f>SUM(E3351:E3352)</f>
        <v>787.42488000000003</v>
      </c>
    </row>
    <row r="3355" spans="1:5" ht="21" x14ac:dyDescent="0.4">
      <c r="A3355" s="40" t="s">
        <v>1214</v>
      </c>
      <c r="B3355" s="40"/>
      <c r="C3355" s="84"/>
    </row>
    <row r="3356" spans="1:5" ht="18" x14ac:dyDescent="0.35">
      <c r="A3356" s="5"/>
      <c r="B3356" s="5"/>
      <c r="C3356" s="7" t="s">
        <v>28</v>
      </c>
      <c r="D3356" s="7" t="s">
        <v>29</v>
      </c>
      <c r="E3356" s="7" t="s">
        <v>30</v>
      </c>
    </row>
    <row r="3357" spans="1:5" ht="18" x14ac:dyDescent="0.35">
      <c r="A3357" s="5" t="s">
        <v>199</v>
      </c>
      <c r="B3357" s="50" t="s">
        <v>32</v>
      </c>
      <c r="C3357" s="7">
        <v>2.133</v>
      </c>
      <c r="D3357" s="7">
        <v>30.44</v>
      </c>
      <c r="E3357" s="85">
        <f t="shared" ref="E3357:E3362" si="277">C3357*D3357</f>
        <v>64.928520000000006</v>
      </c>
    </row>
    <row r="3358" spans="1:5" ht="18" x14ac:dyDescent="0.35">
      <c r="A3358" s="5" t="s">
        <v>962</v>
      </c>
      <c r="B3358" s="50" t="s">
        <v>33</v>
      </c>
      <c r="C3358" s="7">
        <v>7.9690000000000003</v>
      </c>
      <c r="D3358" s="7">
        <v>16.170000000000002</v>
      </c>
      <c r="E3358" s="85">
        <f t="shared" si="277"/>
        <v>128.85873000000001</v>
      </c>
    </row>
    <row r="3359" spans="1:5" ht="18" x14ac:dyDescent="0.35">
      <c r="A3359" s="5" t="s">
        <v>1211</v>
      </c>
      <c r="B3359" s="50" t="s">
        <v>974</v>
      </c>
      <c r="C3359" s="7">
        <v>2</v>
      </c>
      <c r="D3359" s="7">
        <v>1.08</v>
      </c>
      <c r="E3359" s="85">
        <f t="shared" si="277"/>
        <v>2.16</v>
      </c>
    </row>
    <row r="3360" spans="1:5" ht="18" x14ac:dyDescent="0.35">
      <c r="A3360" s="5"/>
      <c r="B3360" s="50" t="s">
        <v>34</v>
      </c>
      <c r="C3360" s="7">
        <v>0.3</v>
      </c>
      <c r="D3360" s="7">
        <v>14.61</v>
      </c>
      <c r="E3360" s="85">
        <f t="shared" si="277"/>
        <v>4.383</v>
      </c>
    </row>
    <row r="3361" spans="1:5" ht="18" x14ac:dyDescent="0.35">
      <c r="A3361" s="5"/>
      <c r="B3361" s="50" t="s">
        <v>35</v>
      </c>
      <c r="C3361" s="7">
        <v>4</v>
      </c>
      <c r="D3361" s="7">
        <v>2.91</v>
      </c>
      <c r="E3361" s="85">
        <f t="shared" si="277"/>
        <v>11.64</v>
      </c>
    </row>
    <row r="3362" spans="1:5" ht="18" x14ac:dyDescent="0.35">
      <c r="A3362" s="5"/>
      <c r="B3362" s="50" t="s">
        <v>36</v>
      </c>
      <c r="C3362" s="7">
        <v>4</v>
      </c>
      <c r="D3362" s="7">
        <v>0.61</v>
      </c>
      <c r="E3362" s="85">
        <f t="shared" si="277"/>
        <v>2.44</v>
      </c>
    </row>
    <row r="3363" spans="1:5" ht="18" x14ac:dyDescent="0.35">
      <c r="A3363" s="5"/>
      <c r="B3363" s="5"/>
      <c r="C3363" s="54"/>
      <c r="D3363" s="54"/>
      <c r="E3363" s="89">
        <f>SUM(E3357:E3362)</f>
        <v>214.41025000000002</v>
      </c>
    </row>
    <row r="3364" spans="1:5" ht="18" x14ac:dyDescent="0.35">
      <c r="A3364" s="5"/>
      <c r="B3364" s="5"/>
      <c r="C3364" s="54"/>
      <c r="D3364" s="54" t="s">
        <v>1215</v>
      </c>
      <c r="E3364" s="89">
        <f>E3363+E3363*20%</f>
        <v>257.29230000000001</v>
      </c>
    </row>
    <row r="3365" spans="1:5" ht="18" x14ac:dyDescent="0.35">
      <c r="A3365" s="5"/>
      <c r="B3365" s="50" t="s">
        <v>37</v>
      </c>
      <c r="C3365" s="54">
        <v>0.5</v>
      </c>
      <c r="D3365" s="54">
        <v>200</v>
      </c>
      <c r="E3365" s="85">
        <f>C3365*D3365</f>
        <v>100</v>
      </c>
    </row>
    <row r="3366" spans="1:5" ht="18" x14ac:dyDescent="0.35">
      <c r="A3366" s="5"/>
      <c r="B3366" s="5"/>
      <c r="C3366" s="54"/>
      <c r="D3366" s="54"/>
      <c r="E3366" s="85">
        <f>SUM(E3364:E3365)</f>
        <v>357.29230000000001</v>
      </c>
    </row>
    <row r="3369" spans="1:5" ht="21" x14ac:dyDescent="0.4">
      <c r="A3369" s="40" t="s">
        <v>1218</v>
      </c>
      <c r="B3369" s="40"/>
      <c r="C3369" s="84"/>
    </row>
    <row r="3370" spans="1:5" ht="18" x14ac:dyDescent="0.35">
      <c r="A3370" s="5"/>
      <c r="B3370" s="5"/>
      <c r="C3370" s="7" t="s">
        <v>28</v>
      </c>
      <c r="D3370" s="7" t="s">
        <v>29</v>
      </c>
      <c r="E3370" s="7" t="s">
        <v>30</v>
      </c>
    </row>
    <row r="3371" spans="1:5" ht="18" x14ac:dyDescent="0.35">
      <c r="A3371" s="5" t="s">
        <v>107</v>
      </c>
      <c r="B3371" s="50" t="s">
        <v>32</v>
      </c>
      <c r="C3371" s="7">
        <v>2.448</v>
      </c>
      <c r="D3371" s="7">
        <v>30.44</v>
      </c>
      <c r="E3371" s="85">
        <f t="shared" ref="E3371:E3376" si="278">C3371*D3371</f>
        <v>74.517120000000006</v>
      </c>
    </row>
    <row r="3372" spans="1:5" ht="18" x14ac:dyDescent="0.35">
      <c r="A3372" s="5" t="s">
        <v>217</v>
      </c>
      <c r="B3372" s="50" t="s">
        <v>33</v>
      </c>
      <c r="C3372" s="7">
        <v>11.613</v>
      </c>
      <c r="D3372" s="7">
        <v>16.170000000000002</v>
      </c>
      <c r="E3372" s="85">
        <f t="shared" si="278"/>
        <v>187.78221000000002</v>
      </c>
    </row>
    <row r="3373" spans="1:5" ht="18" x14ac:dyDescent="0.35">
      <c r="A3373" s="5" t="s">
        <v>431</v>
      </c>
      <c r="B3373" s="50" t="s">
        <v>974</v>
      </c>
      <c r="C3373" s="7">
        <v>2</v>
      </c>
      <c r="D3373" s="7">
        <v>1.08</v>
      </c>
      <c r="E3373" s="85">
        <f t="shared" si="278"/>
        <v>2.16</v>
      </c>
    </row>
    <row r="3374" spans="1:5" ht="18" x14ac:dyDescent="0.35">
      <c r="A3374" s="5"/>
      <c r="B3374" s="50" t="s">
        <v>34</v>
      </c>
      <c r="C3374" s="7">
        <v>0.3</v>
      </c>
      <c r="D3374" s="7">
        <v>14.61</v>
      </c>
      <c r="E3374" s="85">
        <f t="shared" si="278"/>
        <v>4.383</v>
      </c>
    </row>
    <row r="3375" spans="1:5" ht="18" x14ac:dyDescent="0.35">
      <c r="A3375" s="5"/>
      <c r="B3375" s="50" t="s">
        <v>35</v>
      </c>
      <c r="C3375" s="7">
        <v>4</v>
      </c>
      <c r="D3375" s="7">
        <v>2.91</v>
      </c>
      <c r="E3375" s="85">
        <f t="shared" si="278"/>
        <v>11.64</v>
      </c>
    </row>
    <row r="3376" spans="1:5" ht="18" x14ac:dyDescent="0.35">
      <c r="A3376" s="5"/>
      <c r="B3376" s="50" t="s">
        <v>36</v>
      </c>
      <c r="C3376" s="7">
        <v>4</v>
      </c>
      <c r="D3376" s="7">
        <v>0.61</v>
      </c>
      <c r="E3376" s="85">
        <f t="shared" si="278"/>
        <v>2.44</v>
      </c>
    </row>
    <row r="3377" spans="1:5" ht="18" x14ac:dyDescent="0.35">
      <c r="A3377" s="5"/>
      <c r="B3377" s="5"/>
      <c r="C3377" s="54"/>
      <c r="D3377" s="54"/>
      <c r="E3377" s="89">
        <f>SUM(E3371:E3376)</f>
        <v>282.92233000000004</v>
      </c>
    </row>
    <row r="3378" spans="1:5" ht="18" x14ac:dyDescent="0.35">
      <c r="A3378" s="5"/>
      <c r="B3378" s="5"/>
      <c r="C3378" s="54"/>
      <c r="D3378" s="54" t="s">
        <v>1215</v>
      </c>
      <c r="E3378" s="89">
        <f>E3377+E3377*20%</f>
        <v>339.50679600000007</v>
      </c>
    </row>
    <row r="3379" spans="1:5" ht="18" x14ac:dyDescent="0.35">
      <c r="A3379" s="5"/>
      <c r="B3379" s="50" t="s">
        <v>37</v>
      </c>
      <c r="C3379" s="54">
        <v>0.5</v>
      </c>
      <c r="D3379" s="54">
        <v>200</v>
      </c>
      <c r="E3379" s="85">
        <f>C3379*D3379</f>
        <v>100</v>
      </c>
    </row>
    <row r="3380" spans="1:5" ht="18" x14ac:dyDescent="0.35">
      <c r="A3380" s="5"/>
      <c r="B3380" s="5"/>
      <c r="C3380" s="54"/>
      <c r="D3380" s="54"/>
      <c r="E3380" s="85">
        <f>SUM(E3378:E3379)</f>
        <v>439.50679600000007</v>
      </c>
    </row>
    <row r="3382" spans="1:5" ht="21" x14ac:dyDescent="0.4">
      <c r="A3382" s="40" t="s">
        <v>1217</v>
      </c>
      <c r="B3382" s="40"/>
      <c r="C3382" s="84"/>
    </row>
    <row r="3383" spans="1:5" ht="18" x14ac:dyDescent="0.35">
      <c r="A3383" s="5"/>
      <c r="B3383" s="5"/>
      <c r="C3383" s="7" t="s">
        <v>28</v>
      </c>
      <c r="D3383" s="7" t="s">
        <v>29</v>
      </c>
      <c r="E3383" s="7" t="s">
        <v>30</v>
      </c>
    </row>
    <row r="3384" spans="1:5" ht="18" x14ac:dyDescent="0.35">
      <c r="A3384" s="5" t="s">
        <v>225</v>
      </c>
      <c r="B3384" s="50" t="s">
        <v>32</v>
      </c>
      <c r="C3384" s="7">
        <v>2.1120000000000001</v>
      </c>
      <c r="D3384" s="7">
        <v>30.44</v>
      </c>
      <c r="E3384" s="85">
        <f t="shared" ref="E3384:E3389" si="279">C3384*D3384</f>
        <v>64.289280000000005</v>
      </c>
    </row>
    <row r="3385" spans="1:5" ht="18" x14ac:dyDescent="0.35">
      <c r="A3385" s="5" t="s">
        <v>246</v>
      </c>
      <c r="B3385" s="50" t="s">
        <v>33</v>
      </c>
      <c r="C3385" s="7">
        <v>0.93400000000000005</v>
      </c>
      <c r="D3385" s="7">
        <v>16.170000000000002</v>
      </c>
      <c r="E3385" s="85">
        <f t="shared" si="279"/>
        <v>15.102780000000003</v>
      </c>
    </row>
    <row r="3386" spans="1:5" ht="18" x14ac:dyDescent="0.35">
      <c r="A3386" s="5" t="s">
        <v>677</v>
      </c>
      <c r="B3386" s="50" t="s">
        <v>911</v>
      </c>
      <c r="C3386" s="7">
        <v>2</v>
      </c>
      <c r="D3386" s="7">
        <v>1.1499999999999999</v>
      </c>
      <c r="E3386" s="85">
        <f t="shared" si="279"/>
        <v>2.2999999999999998</v>
      </c>
    </row>
    <row r="3387" spans="1:5" ht="18" x14ac:dyDescent="0.35">
      <c r="A3387" s="5"/>
      <c r="B3387" s="50" t="s">
        <v>34</v>
      </c>
      <c r="C3387" s="7">
        <v>0.04</v>
      </c>
      <c r="D3387" s="7">
        <v>14.61</v>
      </c>
      <c r="E3387" s="85">
        <f t="shared" si="279"/>
        <v>0.58440000000000003</v>
      </c>
    </row>
    <row r="3388" spans="1:5" ht="18" x14ac:dyDescent="0.35">
      <c r="A3388" s="5"/>
      <c r="B3388" s="50" t="s">
        <v>35</v>
      </c>
      <c r="C3388" s="7">
        <v>4</v>
      </c>
      <c r="D3388" s="7">
        <v>2.91</v>
      </c>
      <c r="E3388" s="85">
        <f t="shared" si="279"/>
        <v>11.64</v>
      </c>
    </row>
    <row r="3389" spans="1:5" ht="18" x14ac:dyDescent="0.35">
      <c r="A3389" s="5"/>
      <c r="B3389" s="50" t="s">
        <v>36</v>
      </c>
      <c r="C3389" s="7">
        <v>4</v>
      </c>
      <c r="D3389" s="7">
        <v>0.61</v>
      </c>
      <c r="E3389" s="85">
        <f t="shared" si="279"/>
        <v>2.44</v>
      </c>
    </row>
    <row r="3390" spans="1:5" ht="18" x14ac:dyDescent="0.35">
      <c r="A3390" s="5"/>
      <c r="B3390" s="5"/>
      <c r="C3390" s="54"/>
      <c r="D3390" s="54"/>
      <c r="E3390" s="89">
        <f>SUM(E3384:E3389)</f>
        <v>96.356460000000013</v>
      </c>
    </row>
    <row r="3391" spans="1:5" ht="18" x14ac:dyDescent="0.35">
      <c r="A3391" s="5"/>
      <c r="B3391" s="5"/>
      <c r="C3391" s="54"/>
      <c r="D3391" s="54" t="s">
        <v>1116</v>
      </c>
      <c r="E3391" s="89">
        <f>E3390+E3390*30%</f>
        <v>125.26339800000002</v>
      </c>
    </row>
    <row r="3392" spans="1:5" ht="18" x14ac:dyDescent="0.35">
      <c r="A3392" s="5"/>
      <c r="B3392" s="50" t="s">
        <v>37</v>
      </c>
      <c r="C3392" s="54">
        <v>0.2</v>
      </c>
      <c r="D3392" s="54">
        <v>200</v>
      </c>
      <c r="E3392" s="85">
        <v>66</v>
      </c>
    </row>
    <row r="3393" spans="1:5" ht="18" x14ac:dyDescent="0.35">
      <c r="A3393" s="5"/>
      <c r="B3393" s="5"/>
      <c r="C3393" s="54"/>
      <c r="D3393" s="54"/>
      <c r="E3393" s="85">
        <f>SUM(E3391:E3392)</f>
        <v>191.26339800000002</v>
      </c>
    </row>
    <row r="3396" spans="1:5" x14ac:dyDescent="0.3">
      <c r="A3396" s="120"/>
      <c r="B3396" s="120"/>
    </row>
    <row r="3397" spans="1:5" ht="21" x14ac:dyDescent="0.4">
      <c r="A3397" s="40" t="s">
        <v>1203</v>
      </c>
      <c r="B3397" s="40"/>
      <c r="C3397" s="40"/>
      <c r="D3397" s="12"/>
      <c r="E3397" s="12"/>
    </row>
    <row r="3398" spans="1:5" ht="18" x14ac:dyDescent="0.35">
      <c r="A3398" s="5"/>
      <c r="B3398" s="5"/>
      <c r="C3398" s="7" t="s">
        <v>28</v>
      </c>
      <c r="D3398" s="7" t="s">
        <v>29</v>
      </c>
      <c r="E3398" s="7" t="s">
        <v>30</v>
      </c>
    </row>
    <row r="3399" spans="1:5" ht="18" x14ac:dyDescent="0.35">
      <c r="A3399" s="5" t="s">
        <v>1223</v>
      </c>
      <c r="B3399" s="50" t="s">
        <v>32</v>
      </c>
      <c r="C3399" s="7">
        <v>1.2410000000000001</v>
      </c>
      <c r="D3399" s="7">
        <v>29.12</v>
      </c>
      <c r="E3399" s="85">
        <f>C3399*D3399</f>
        <v>36.137920000000001</v>
      </c>
    </row>
    <row r="3400" spans="1:5" ht="18" x14ac:dyDescent="0.35">
      <c r="A3400" s="5" t="s">
        <v>39</v>
      </c>
      <c r="B3400" s="50" t="s">
        <v>33</v>
      </c>
      <c r="C3400" s="7">
        <v>1.8480000000000001</v>
      </c>
      <c r="D3400" s="7">
        <v>15.25</v>
      </c>
      <c r="E3400" s="85">
        <f>C3400*D3400</f>
        <v>28.182000000000002</v>
      </c>
    </row>
    <row r="3401" spans="1:5" ht="18" x14ac:dyDescent="0.35">
      <c r="A3401" s="5" t="s">
        <v>677</v>
      </c>
      <c r="B3401" s="50" t="s">
        <v>137</v>
      </c>
      <c r="C3401" s="7">
        <v>0.15</v>
      </c>
      <c r="D3401" s="7">
        <v>17.190000000000001</v>
      </c>
      <c r="E3401" s="85">
        <f>C3401*D3401</f>
        <v>2.5785</v>
      </c>
    </row>
    <row r="3402" spans="1:5" ht="18" x14ac:dyDescent="0.35">
      <c r="A3402" s="5" t="s">
        <v>1121</v>
      </c>
      <c r="B3402" s="50" t="s">
        <v>35</v>
      </c>
      <c r="C3402" s="7">
        <v>4</v>
      </c>
      <c r="D3402" s="7">
        <v>2.91</v>
      </c>
      <c r="E3402" s="85">
        <f>C3402*D3402</f>
        <v>11.64</v>
      </c>
    </row>
    <row r="3403" spans="1:5" ht="18" x14ac:dyDescent="0.35">
      <c r="A3403" s="5"/>
      <c r="B3403" s="50" t="s">
        <v>36</v>
      </c>
      <c r="C3403" s="7">
        <v>4</v>
      </c>
      <c r="D3403" s="7">
        <v>0.61</v>
      </c>
      <c r="E3403" s="85">
        <f>C3403*D3403</f>
        <v>2.44</v>
      </c>
    </row>
    <row r="3404" spans="1:5" ht="18" x14ac:dyDescent="0.35">
      <c r="A3404" s="5"/>
      <c r="B3404" s="96"/>
      <c r="C3404" s="87"/>
      <c r="D3404" s="87"/>
      <c r="E3404" s="94">
        <f>SUM(E3399:E3403)</f>
        <v>80.97842</v>
      </c>
    </row>
    <row r="3405" spans="1:5" ht="18" x14ac:dyDescent="0.35">
      <c r="A3405" s="5"/>
      <c r="B3405" s="96"/>
      <c r="C3405" s="87"/>
      <c r="D3405" s="87" t="s">
        <v>1066</v>
      </c>
      <c r="E3405" s="94">
        <f>E3404+E3404*40%</f>
        <v>113.369788</v>
      </c>
    </row>
    <row r="3406" spans="1:5" ht="18" x14ac:dyDescent="0.35">
      <c r="A3406" s="5"/>
      <c r="B3406" s="50" t="s">
        <v>37</v>
      </c>
      <c r="C3406" s="7">
        <v>0.5</v>
      </c>
      <c r="D3406" s="93">
        <v>200</v>
      </c>
      <c r="E3406" s="85">
        <f>C3406*D3406</f>
        <v>100</v>
      </c>
    </row>
    <row r="3407" spans="1:5" ht="18" x14ac:dyDescent="0.35">
      <c r="D3407" s="12" t="s">
        <v>1083</v>
      </c>
      <c r="E3407" s="109">
        <f>SUM(E3405:E3406)</f>
        <v>213.369788</v>
      </c>
    </row>
    <row r="3409" spans="1:5" ht="21" x14ac:dyDescent="0.4">
      <c r="A3409" s="40" t="s">
        <v>1224</v>
      </c>
      <c r="B3409" s="40"/>
      <c r="C3409" s="40"/>
      <c r="D3409" s="12"/>
      <c r="E3409" s="12"/>
    </row>
    <row r="3410" spans="1:5" ht="18" x14ac:dyDescent="0.35">
      <c r="A3410" s="5"/>
      <c r="B3410" s="5"/>
      <c r="C3410" s="7" t="s">
        <v>28</v>
      </c>
      <c r="D3410" s="7" t="s">
        <v>29</v>
      </c>
      <c r="E3410" s="7" t="s">
        <v>30</v>
      </c>
    </row>
    <row r="3411" spans="1:5" ht="18" x14ac:dyDescent="0.35">
      <c r="A3411" s="5" t="s">
        <v>183</v>
      </c>
      <c r="B3411" s="50" t="s">
        <v>32</v>
      </c>
      <c r="C3411" s="7">
        <v>1.556</v>
      </c>
      <c r="D3411" s="7">
        <v>29.12</v>
      </c>
      <c r="E3411" s="85">
        <f>C3411*D3411</f>
        <v>45.310720000000003</v>
      </c>
    </row>
    <row r="3412" spans="1:5" ht="18" x14ac:dyDescent="0.35">
      <c r="A3412" s="5" t="s">
        <v>39</v>
      </c>
      <c r="B3412" s="50" t="s">
        <v>33</v>
      </c>
      <c r="C3412" s="7">
        <v>2.4780000000000002</v>
      </c>
      <c r="D3412" s="7">
        <v>15.25</v>
      </c>
      <c r="E3412" s="85">
        <f>C3412*D3412</f>
        <v>37.789500000000004</v>
      </c>
    </row>
    <row r="3413" spans="1:5" ht="18" x14ac:dyDescent="0.35">
      <c r="A3413" s="5" t="s">
        <v>677</v>
      </c>
      <c r="B3413" s="50" t="s">
        <v>137</v>
      </c>
      <c r="C3413" s="7">
        <v>0.15</v>
      </c>
      <c r="D3413" s="7">
        <v>17.190000000000001</v>
      </c>
      <c r="E3413" s="85">
        <f>C3413*D3413</f>
        <v>2.5785</v>
      </c>
    </row>
    <row r="3414" spans="1:5" ht="18" x14ac:dyDescent="0.35">
      <c r="A3414" s="5" t="s">
        <v>1121</v>
      </c>
      <c r="B3414" s="50" t="s">
        <v>35</v>
      </c>
      <c r="C3414" s="7">
        <v>4</v>
      </c>
      <c r="D3414" s="7">
        <v>2.91</v>
      </c>
      <c r="E3414" s="85">
        <f>C3414*D3414</f>
        <v>11.64</v>
      </c>
    </row>
    <row r="3415" spans="1:5" ht="18" x14ac:dyDescent="0.35">
      <c r="A3415" s="5"/>
      <c r="B3415" s="50" t="s">
        <v>36</v>
      </c>
      <c r="C3415" s="7">
        <v>4</v>
      </c>
      <c r="D3415" s="7">
        <v>0.61</v>
      </c>
      <c r="E3415" s="85">
        <f>C3415*D3415</f>
        <v>2.44</v>
      </c>
    </row>
    <row r="3416" spans="1:5" ht="18" x14ac:dyDescent="0.35">
      <c r="A3416" s="5"/>
      <c r="B3416" s="96"/>
      <c r="C3416" s="87"/>
      <c r="D3416" s="87"/>
      <c r="E3416" s="94">
        <f>SUM(E3411:E3415)</f>
        <v>99.758720000000011</v>
      </c>
    </row>
    <row r="3417" spans="1:5" ht="18" x14ac:dyDescent="0.35">
      <c r="A3417" s="5"/>
      <c r="B3417" s="96"/>
      <c r="C3417" s="87"/>
      <c r="D3417" s="87" t="s">
        <v>1066</v>
      </c>
      <c r="E3417" s="94">
        <f>E3416+E3416*40%</f>
        <v>139.66220800000002</v>
      </c>
    </row>
    <row r="3418" spans="1:5" ht="18" x14ac:dyDescent="0.35">
      <c r="A3418" s="5"/>
      <c r="B3418" s="50" t="s">
        <v>37</v>
      </c>
      <c r="C3418" s="7">
        <v>0.5</v>
      </c>
      <c r="D3418" s="93">
        <v>200</v>
      </c>
      <c r="E3418" s="85">
        <f>C3418*D3418</f>
        <v>100</v>
      </c>
    </row>
    <row r="3419" spans="1:5" ht="18" x14ac:dyDescent="0.35">
      <c r="D3419" s="12" t="s">
        <v>1083</v>
      </c>
      <c r="E3419" s="109">
        <f>SUM(E3417:E3418)</f>
        <v>239.66220800000002</v>
      </c>
    </row>
    <row r="3422" spans="1:5" ht="21" x14ac:dyDescent="0.4">
      <c r="A3422" s="40" t="s">
        <v>1224</v>
      </c>
      <c r="B3422" s="40"/>
      <c r="C3422" s="40"/>
      <c r="D3422" s="12"/>
      <c r="E3422" s="12"/>
    </row>
    <row r="3423" spans="1:5" ht="18" x14ac:dyDescent="0.35">
      <c r="A3423" s="5"/>
      <c r="B3423" s="5"/>
      <c r="C3423" s="7" t="s">
        <v>28</v>
      </c>
      <c r="D3423" s="7" t="s">
        <v>29</v>
      </c>
      <c r="E3423" s="7" t="s">
        <v>30</v>
      </c>
    </row>
    <row r="3424" spans="1:5" ht="18" x14ac:dyDescent="0.35">
      <c r="A3424" s="5" t="s">
        <v>1227</v>
      </c>
      <c r="B3424" s="50" t="s">
        <v>32</v>
      </c>
      <c r="C3424" s="7">
        <v>5.3879999999999999</v>
      </c>
      <c r="D3424" s="7">
        <v>29.12</v>
      </c>
      <c r="E3424" s="85">
        <f>C3424*D3424</f>
        <v>156.89856</v>
      </c>
    </row>
    <row r="3425" spans="1:5" ht="18" x14ac:dyDescent="0.35">
      <c r="A3425" s="5" t="s">
        <v>340</v>
      </c>
      <c r="B3425" s="50" t="s">
        <v>33</v>
      </c>
      <c r="C3425" s="7">
        <v>72.084000000000003</v>
      </c>
      <c r="D3425" s="7">
        <v>15.25</v>
      </c>
      <c r="E3425" s="85">
        <f>C3425*D3425</f>
        <v>1099.2809999999999</v>
      </c>
    </row>
    <row r="3426" spans="1:5" ht="18" x14ac:dyDescent="0.35">
      <c r="A3426" s="5" t="s">
        <v>597</v>
      </c>
      <c r="B3426" s="50" t="s">
        <v>137</v>
      </c>
      <c r="C3426" s="7">
        <v>1</v>
      </c>
      <c r="D3426" s="7">
        <v>17.190000000000001</v>
      </c>
      <c r="E3426" s="85">
        <f>C3426*D3426</f>
        <v>17.190000000000001</v>
      </c>
    </row>
    <row r="3427" spans="1:5" ht="18" x14ac:dyDescent="0.35">
      <c r="A3427" s="5" t="s">
        <v>1121</v>
      </c>
      <c r="B3427" s="50" t="s">
        <v>35</v>
      </c>
      <c r="C3427" s="7">
        <v>4</v>
      </c>
      <c r="D3427" s="7">
        <v>2.91</v>
      </c>
      <c r="E3427" s="85">
        <f>C3427*D3427</f>
        <v>11.64</v>
      </c>
    </row>
    <row r="3428" spans="1:5" ht="18" x14ac:dyDescent="0.35">
      <c r="A3428" s="5"/>
      <c r="B3428" s="50" t="s">
        <v>36</v>
      </c>
      <c r="C3428" s="7">
        <v>4</v>
      </c>
      <c r="D3428" s="7">
        <v>0.61</v>
      </c>
      <c r="E3428" s="85">
        <f>C3428*D3428</f>
        <v>2.44</v>
      </c>
    </row>
    <row r="3429" spans="1:5" ht="18" x14ac:dyDescent="0.35">
      <c r="A3429" s="5"/>
      <c r="B3429" s="96"/>
      <c r="C3429" s="87"/>
      <c r="D3429" s="87"/>
      <c r="E3429" s="94">
        <f>SUM(E3424:E3428)</f>
        <v>1287.4495600000002</v>
      </c>
    </row>
    <row r="3430" spans="1:5" ht="18" x14ac:dyDescent="0.35">
      <c r="A3430" s="5"/>
      <c r="B3430" s="96"/>
      <c r="C3430" s="87"/>
      <c r="D3430" s="87" t="s">
        <v>1066</v>
      </c>
      <c r="E3430" s="94">
        <f>E3429+E3429*40%</f>
        <v>1802.4293840000005</v>
      </c>
    </row>
    <row r="3431" spans="1:5" ht="18" x14ac:dyDescent="0.35">
      <c r="A3431" s="5"/>
      <c r="B3431" s="50" t="s">
        <v>37</v>
      </c>
      <c r="C3431" s="7">
        <v>2</v>
      </c>
      <c r="D3431" s="93">
        <v>200</v>
      </c>
      <c r="E3431" s="85">
        <f>C3431*D3431</f>
        <v>400</v>
      </c>
    </row>
    <row r="3432" spans="1:5" ht="18" x14ac:dyDescent="0.35">
      <c r="D3432" s="12" t="s">
        <v>1083</v>
      </c>
      <c r="E3432" s="109">
        <f>SUM(E3430:E3431)</f>
        <v>2202.4293840000005</v>
      </c>
    </row>
    <row r="3433" spans="1:5" x14ac:dyDescent="0.3">
      <c r="A3433" s="120" t="s">
        <v>1231</v>
      </c>
    </row>
    <row r="3434" spans="1:5" ht="21" x14ac:dyDescent="0.4">
      <c r="A3434" s="40" t="s">
        <v>1228</v>
      </c>
      <c r="B3434" s="40"/>
      <c r="C3434" s="84"/>
    </row>
    <row r="3435" spans="1:5" ht="18" x14ac:dyDescent="0.35">
      <c r="A3435" s="5"/>
      <c r="B3435" s="5"/>
      <c r="C3435" s="7" t="s">
        <v>28</v>
      </c>
      <c r="D3435" s="7" t="s">
        <v>29</v>
      </c>
      <c r="E3435" s="7" t="s">
        <v>30</v>
      </c>
    </row>
    <row r="3436" spans="1:5" ht="18" x14ac:dyDescent="0.35">
      <c r="A3436" s="5" t="s">
        <v>181</v>
      </c>
      <c r="B3436" s="50" t="s">
        <v>32</v>
      </c>
      <c r="C3436" s="7">
        <v>1.482</v>
      </c>
      <c r="D3436" s="7">
        <v>30.44</v>
      </c>
      <c r="E3436" s="85">
        <f t="shared" ref="E3436:E3441" si="280">C3436*D3436</f>
        <v>45.112079999999999</v>
      </c>
    </row>
    <row r="3437" spans="1:5" ht="18" x14ac:dyDescent="0.35">
      <c r="A3437" s="5" t="s">
        <v>246</v>
      </c>
      <c r="B3437" s="50" t="s">
        <v>33</v>
      </c>
      <c r="C3437" s="7">
        <v>0.61899999999999999</v>
      </c>
      <c r="D3437" s="7">
        <v>16.170000000000002</v>
      </c>
      <c r="E3437" s="85">
        <f t="shared" si="280"/>
        <v>10.009230000000001</v>
      </c>
    </row>
    <row r="3438" spans="1:5" ht="18" x14ac:dyDescent="0.35">
      <c r="A3438" s="5" t="s">
        <v>677</v>
      </c>
      <c r="B3438" s="50" t="s">
        <v>911</v>
      </c>
      <c r="C3438" s="7">
        <v>2</v>
      </c>
      <c r="D3438" s="7">
        <v>1.1499999999999999</v>
      </c>
      <c r="E3438" s="85">
        <f t="shared" si="280"/>
        <v>2.2999999999999998</v>
      </c>
    </row>
    <row r="3439" spans="1:5" ht="18" x14ac:dyDescent="0.35">
      <c r="A3439" s="5"/>
      <c r="B3439" s="50" t="s">
        <v>34</v>
      </c>
      <c r="C3439" s="7">
        <v>0.04</v>
      </c>
      <c r="D3439" s="7">
        <v>14.61</v>
      </c>
      <c r="E3439" s="85">
        <f t="shared" si="280"/>
        <v>0.58440000000000003</v>
      </c>
    </row>
    <row r="3440" spans="1:5" ht="18" x14ac:dyDescent="0.35">
      <c r="A3440" s="5"/>
      <c r="B3440" s="50" t="s">
        <v>35</v>
      </c>
      <c r="C3440" s="7">
        <v>4</v>
      </c>
      <c r="D3440" s="7">
        <v>2.91</v>
      </c>
      <c r="E3440" s="85">
        <f t="shared" si="280"/>
        <v>11.64</v>
      </c>
    </row>
    <row r="3441" spans="1:5" ht="18" x14ac:dyDescent="0.35">
      <c r="A3441" s="5"/>
      <c r="B3441" s="50" t="s">
        <v>36</v>
      </c>
      <c r="C3441" s="7">
        <v>4</v>
      </c>
      <c r="D3441" s="7">
        <v>0.61</v>
      </c>
      <c r="E3441" s="85">
        <f t="shared" si="280"/>
        <v>2.44</v>
      </c>
    </row>
    <row r="3442" spans="1:5" ht="18" x14ac:dyDescent="0.35">
      <c r="A3442" s="5"/>
      <c r="B3442" s="5"/>
      <c r="C3442" s="54"/>
      <c r="D3442" s="54"/>
      <c r="E3442" s="89">
        <f>SUM(E3436:E3441)</f>
        <v>72.085710000000006</v>
      </c>
    </row>
    <row r="3443" spans="1:5" ht="18" x14ac:dyDescent="0.35">
      <c r="A3443" s="5"/>
      <c r="B3443" s="5"/>
      <c r="C3443" s="54"/>
      <c r="D3443" s="54" t="s">
        <v>1063</v>
      </c>
      <c r="E3443" s="89">
        <f>E3442+E3442*40%</f>
        <v>100.919994</v>
      </c>
    </row>
    <row r="3444" spans="1:5" ht="18" x14ac:dyDescent="0.35">
      <c r="A3444" s="5"/>
      <c r="B3444" s="50" t="s">
        <v>37</v>
      </c>
      <c r="C3444" s="54">
        <v>0.2</v>
      </c>
      <c r="D3444" s="54">
        <v>200</v>
      </c>
      <c r="E3444" s="85">
        <v>66</v>
      </c>
    </row>
    <row r="3445" spans="1:5" ht="18" x14ac:dyDescent="0.35">
      <c r="A3445" s="5"/>
      <c r="B3445" s="5"/>
      <c r="C3445" s="54"/>
      <c r="D3445" s="54"/>
      <c r="E3445" s="85">
        <f>SUM(E3443:E3444)</f>
        <v>166.919994</v>
      </c>
    </row>
    <row r="3447" spans="1:5" ht="21" x14ac:dyDescent="0.4">
      <c r="A3447" s="40" t="s">
        <v>1229</v>
      </c>
      <c r="B3447" s="40"/>
      <c r="C3447" s="84"/>
    </row>
    <row r="3448" spans="1:5" ht="18" x14ac:dyDescent="0.35">
      <c r="A3448" s="5"/>
      <c r="B3448" s="5"/>
      <c r="C3448" s="7" t="s">
        <v>28</v>
      </c>
      <c r="D3448" s="7" t="s">
        <v>29</v>
      </c>
      <c r="E3448" s="7" t="s">
        <v>30</v>
      </c>
    </row>
    <row r="3449" spans="1:5" ht="18" x14ac:dyDescent="0.35">
      <c r="A3449" s="5" t="s">
        <v>182</v>
      </c>
      <c r="B3449" s="50" t="s">
        <v>32</v>
      </c>
      <c r="C3449" s="7">
        <v>1.504</v>
      </c>
      <c r="D3449" s="7">
        <v>10.34</v>
      </c>
      <c r="E3449" s="85">
        <f t="shared" ref="E3449:E3454" si="281">C3449*D3449</f>
        <v>15.551359999999999</v>
      </c>
    </row>
    <row r="3450" spans="1:5" ht="18" x14ac:dyDescent="0.35">
      <c r="A3450" s="5" t="s">
        <v>201</v>
      </c>
      <c r="B3450" s="50" t="s">
        <v>33</v>
      </c>
      <c r="C3450" s="7">
        <v>1.2390000000000001</v>
      </c>
      <c r="D3450" s="7">
        <v>16.170000000000002</v>
      </c>
      <c r="E3450" s="85">
        <f t="shared" si="281"/>
        <v>20.034630000000003</v>
      </c>
    </row>
    <row r="3451" spans="1:5" ht="18" x14ac:dyDescent="0.35">
      <c r="A3451" s="5" t="s">
        <v>677</v>
      </c>
      <c r="B3451" s="50" t="s">
        <v>991</v>
      </c>
      <c r="C3451" s="7">
        <v>2</v>
      </c>
      <c r="D3451" s="7">
        <v>1.1499999999999999</v>
      </c>
      <c r="E3451" s="85">
        <f t="shared" si="281"/>
        <v>2.2999999999999998</v>
      </c>
    </row>
    <row r="3452" spans="1:5" ht="18" x14ac:dyDescent="0.35">
      <c r="A3452" s="5"/>
      <c r="B3452" s="50" t="s">
        <v>34</v>
      </c>
      <c r="C3452" s="7">
        <v>0.04</v>
      </c>
      <c r="D3452" s="7">
        <v>14.61</v>
      </c>
      <c r="E3452" s="85">
        <f t="shared" si="281"/>
        <v>0.58440000000000003</v>
      </c>
    </row>
    <row r="3453" spans="1:5" ht="18" x14ac:dyDescent="0.35">
      <c r="A3453" s="5"/>
      <c r="B3453" s="50" t="s">
        <v>35</v>
      </c>
      <c r="C3453" s="7">
        <v>4</v>
      </c>
      <c r="D3453" s="7">
        <v>2.91</v>
      </c>
      <c r="E3453" s="85">
        <f t="shared" si="281"/>
        <v>11.64</v>
      </c>
    </row>
    <row r="3454" spans="1:5" ht="18" x14ac:dyDescent="0.35">
      <c r="A3454" s="5"/>
      <c r="B3454" s="50" t="s">
        <v>36</v>
      </c>
      <c r="C3454" s="7">
        <v>4</v>
      </c>
      <c r="D3454" s="7">
        <v>0.61</v>
      </c>
      <c r="E3454" s="85">
        <f t="shared" si="281"/>
        <v>2.44</v>
      </c>
    </row>
    <row r="3455" spans="1:5" ht="18" x14ac:dyDescent="0.35">
      <c r="A3455" s="5"/>
      <c r="B3455" s="5"/>
      <c r="C3455" s="54"/>
      <c r="D3455" s="54"/>
      <c r="E3455" s="89">
        <f>SUM(E3449:E3454)</f>
        <v>52.55039</v>
      </c>
    </row>
    <row r="3456" spans="1:5" ht="18" x14ac:dyDescent="0.35">
      <c r="A3456" s="5"/>
      <c r="B3456" s="5"/>
      <c r="C3456" s="54"/>
      <c r="D3456" s="54" t="s">
        <v>1063</v>
      </c>
      <c r="E3456" s="89">
        <f>E3455+E3455*40%</f>
        <v>73.570546000000007</v>
      </c>
    </row>
    <row r="3457" spans="1:5" ht="18" x14ac:dyDescent="0.35">
      <c r="A3457" s="5"/>
      <c r="B3457" s="50" t="s">
        <v>37</v>
      </c>
      <c r="C3457" s="54">
        <v>0.2</v>
      </c>
      <c r="D3457" s="54">
        <v>200</v>
      </c>
      <c r="E3457" s="85">
        <v>66</v>
      </c>
    </row>
    <row r="3458" spans="1:5" ht="18" x14ac:dyDescent="0.35">
      <c r="A3458" s="5"/>
      <c r="B3458" s="5"/>
      <c r="C3458" s="54"/>
      <c r="D3458" s="54"/>
      <c r="E3458" s="85">
        <f>SUM(E3456:E3457)</f>
        <v>139.57054600000001</v>
      </c>
    </row>
    <row r="3460" spans="1:5" ht="21" x14ac:dyDescent="0.4">
      <c r="A3460" s="40" t="s">
        <v>1230</v>
      </c>
      <c r="B3460" s="40"/>
      <c r="C3460" s="84"/>
    </row>
    <row r="3461" spans="1:5" ht="18" x14ac:dyDescent="0.35">
      <c r="A3461" s="5"/>
      <c r="B3461" s="5"/>
      <c r="C3461" s="7" t="s">
        <v>28</v>
      </c>
      <c r="D3461" s="7" t="s">
        <v>29</v>
      </c>
      <c r="E3461" s="7" t="s">
        <v>30</v>
      </c>
    </row>
    <row r="3462" spans="1:5" ht="18" x14ac:dyDescent="0.35">
      <c r="A3462" s="5" t="s">
        <v>203</v>
      </c>
      <c r="B3462" s="50" t="s">
        <v>32</v>
      </c>
      <c r="C3462" s="7">
        <v>1.923</v>
      </c>
      <c r="D3462" s="7">
        <v>30.44</v>
      </c>
      <c r="E3462" s="85">
        <f t="shared" ref="E3462:E3467" si="282">C3462*D3462</f>
        <v>58.536120000000004</v>
      </c>
    </row>
    <row r="3463" spans="1:5" ht="18" x14ac:dyDescent="0.35">
      <c r="A3463" s="5" t="s">
        <v>201</v>
      </c>
      <c r="B3463" s="50" t="s">
        <v>33</v>
      </c>
      <c r="C3463" s="7">
        <v>1.2390000000000001</v>
      </c>
      <c r="D3463" s="7">
        <v>16.170000000000002</v>
      </c>
      <c r="E3463" s="85">
        <f t="shared" si="282"/>
        <v>20.034630000000003</v>
      </c>
    </row>
    <row r="3464" spans="1:5" ht="18" x14ac:dyDescent="0.35">
      <c r="A3464" s="5" t="s">
        <v>677</v>
      </c>
      <c r="B3464" s="50" t="s">
        <v>991</v>
      </c>
      <c r="C3464" s="7">
        <v>2</v>
      </c>
      <c r="D3464" s="7">
        <v>1.1499999999999999</v>
      </c>
      <c r="E3464" s="85">
        <f t="shared" si="282"/>
        <v>2.2999999999999998</v>
      </c>
    </row>
    <row r="3465" spans="1:5" ht="18" x14ac:dyDescent="0.35">
      <c r="A3465" s="5"/>
      <c r="B3465" s="50" t="s">
        <v>34</v>
      </c>
      <c r="C3465" s="7">
        <v>0.04</v>
      </c>
      <c r="D3465" s="7">
        <v>14.61</v>
      </c>
      <c r="E3465" s="85">
        <f t="shared" si="282"/>
        <v>0.58440000000000003</v>
      </c>
    </row>
    <row r="3466" spans="1:5" ht="18" x14ac:dyDescent="0.35">
      <c r="A3466" s="5"/>
      <c r="B3466" s="50" t="s">
        <v>35</v>
      </c>
      <c r="C3466" s="7">
        <v>4</v>
      </c>
      <c r="D3466" s="7">
        <v>2.91</v>
      </c>
      <c r="E3466" s="85">
        <f t="shared" si="282"/>
        <v>11.64</v>
      </c>
    </row>
    <row r="3467" spans="1:5" ht="18" x14ac:dyDescent="0.35">
      <c r="A3467" s="5"/>
      <c r="B3467" s="50" t="s">
        <v>36</v>
      </c>
      <c r="C3467" s="7">
        <v>4</v>
      </c>
      <c r="D3467" s="7">
        <v>0.61</v>
      </c>
      <c r="E3467" s="85">
        <f t="shared" si="282"/>
        <v>2.44</v>
      </c>
    </row>
    <row r="3468" spans="1:5" ht="18" x14ac:dyDescent="0.35">
      <c r="A3468" s="5"/>
      <c r="B3468" s="5"/>
      <c r="C3468" s="54"/>
      <c r="D3468" s="54"/>
      <c r="E3468" s="89">
        <f>SUM(E3462:E3467)</f>
        <v>95.535150000000002</v>
      </c>
    </row>
    <row r="3469" spans="1:5" ht="18" x14ac:dyDescent="0.35">
      <c r="A3469" s="5"/>
      <c r="B3469" s="5"/>
      <c r="C3469" s="54"/>
      <c r="D3469" s="54" t="s">
        <v>1063</v>
      </c>
      <c r="E3469" s="89">
        <f>E3468+E3468*40%</f>
        <v>133.74921000000001</v>
      </c>
    </row>
    <row r="3470" spans="1:5" ht="18" x14ac:dyDescent="0.35">
      <c r="A3470" s="5"/>
      <c r="B3470" s="50" t="s">
        <v>37</v>
      </c>
      <c r="C3470" s="54">
        <v>0.2</v>
      </c>
      <c r="D3470" s="54">
        <v>200</v>
      </c>
      <c r="E3470" s="85">
        <v>66</v>
      </c>
    </row>
    <row r="3471" spans="1:5" ht="18" x14ac:dyDescent="0.35">
      <c r="A3471" s="5"/>
      <c r="B3471" s="5"/>
      <c r="C3471" s="54"/>
      <c r="D3471" s="54"/>
      <c r="E3471" s="85">
        <f>SUM(E3469:E3470)</f>
        <v>199.74921000000001</v>
      </c>
    </row>
    <row r="3472" spans="1:5" x14ac:dyDescent="0.3">
      <c r="A3472" s="120" t="s">
        <v>1239</v>
      </c>
      <c r="B3472" s="120"/>
    </row>
    <row r="3473" spans="1:5" ht="21" x14ac:dyDescent="0.4">
      <c r="A3473" s="40" t="s">
        <v>1238</v>
      </c>
      <c r="B3473" s="40"/>
      <c r="C3473" s="40"/>
      <c r="D3473" s="12"/>
      <c r="E3473" s="12"/>
    </row>
    <row r="3474" spans="1:5" ht="18" x14ac:dyDescent="0.35">
      <c r="A3474" s="5"/>
      <c r="B3474" s="5"/>
      <c r="C3474" s="7" t="s">
        <v>28</v>
      </c>
      <c r="D3474" s="7" t="s">
        <v>29</v>
      </c>
      <c r="E3474" s="7" t="s">
        <v>30</v>
      </c>
    </row>
    <row r="3475" spans="1:5" ht="18" x14ac:dyDescent="0.35">
      <c r="A3475" s="5" t="s">
        <v>1237</v>
      </c>
      <c r="B3475" s="50" t="s">
        <v>32</v>
      </c>
      <c r="C3475" s="7">
        <v>2.7839999999999998</v>
      </c>
      <c r="D3475" s="7">
        <v>30.44</v>
      </c>
      <c r="E3475" s="85">
        <f>C3475*D3475</f>
        <v>84.744959999999992</v>
      </c>
    </row>
    <row r="3476" spans="1:5" ht="18" x14ac:dyDescent="0.35">
      <c r="A3476" s="5" t="s">
        <v>114</v>
      </c>
      <c r="B3476" s="50" t="s">
        <v>33</v>
      </c>
      <c r="C3476" s="7">
        <v>30.03</v>
      </c>
      <c r="D3476" s="7">
        <v>17.059999999999999</v>
      </c>
      <c r="E3476" s="85">
        <f>C3476*D3476</f>
        <v>512.31179999999995</v>
      </c>
    </row>
    <row r="3477" spans="1:5" ht="18" x14ac:dyDescent="0.35">
      <c r="A3477" s="5" t="s">
        <v>595</v>
      </c>
      <c r="B3477" s="50" t="s">
        <v>137</v>
      </c>
      <c r="C3477" s="7">
        <v>1.2</v>
      </c>
      <c r="D3477" s="7">
        <v>17.190000000000001</v>
      </c>
      <c r="E3477" s="85">
        <f>C3477*D3477</f>
        <v>20.628</v>
      </c>
    </row>
    <row r="3478" spans="1:5" ht="18" x14ac:dyDescent="0.35">
      <c r="A3478" s="5" t="s">
        <v>1121</v>
      </c>
      <c r="B3478" s="50" t="s">
        <v>35</v>
      </c>
      <c r="C3478" s="7">
        <v>4</v>
      </c>
      <c r="D3478" s="7">
        <v>2.91</v>
      </c>
      <c r="E3478" s="85">
        <f>C3478*D3478</f>
        <v>11.64</v>
      </c>
    </row>
    <row r="3479" spans="1:5" ht="18" x14ac:dyDescent="0.35">
      <c r="A3479" s="5"/>
      <c r="B3479" s="50" t="s">
        <v>36</v>
      </c>
      <c r="C3479" s="7">
        <v>4</v>
      </c>
      <c r="D3479" s="7">
        <v>0.61</v>
      </c>
      <c r="E3479" s="85">
        <f>C3479*D3479</f>
        <v>2.44</v>
      </c>
    </row>
    <row r="3480" spans="1:5" ht="18" x14ac:dyDescent="0.35">
      <c r="A3480" s="5"/>
      <c r="B3480" s="96"/>
      <c r="C3480" s="87"/>
      <c r="D3480" s="87"/>
      <c r="E3480" s="94">
        <f>SUM(E3475:E3479)</f>
        <v>631.76476000000002</v>
      </c>
    </row>
    <row r="3481" spans="1:5" ht="18" x14ac:dyDescent="0.35">
      <c r="A3481" s="5"/>
      <c r="B3481" s="96"/>
      <c r="C3481" s="87"/>
      <c r="D3481" s="87" t="s">
        <v>1066</v>
      </c>
      <c r="E3481" s="94">
        <f>E3480+E3480*40%</f>
        <v>884.47066400000006</v>
      </c>
    </row>
    <row r="3482" spans="1:5" ht="18" x14ac:dyDescent="0.35">
      <c r="A3482" s="5"/>
      <c r="B3482" s="50" t="s">
        <v>37</v>
      </c>
      <c r="C3482" s="7">
        <v>1</v>
      </c>
      <c r="D3482" s="93">
        <v>200</v>
      </c>
      <c r="E3482" s="85">
        <f>C3482*D3482</f>
        <v>200</v>
      </c>
    </row>
    <row r="3483" spans="1:5" ht="18" x14ac:dyDescent="0.35">
      <c r="D3483" s="12" t="s">
        <v>1083</v>
      </c>
      <c r="E3483" s="109">
        <f>SUM(E3481:E3482)</f>
        <v>1084.4706639999999</v>
      </c>
    </row>
    <row r="3485" spans="1:5" ht="21" x14ac:dyDescent="0.4">
      <c r="A3485" s="40" t="s">
        <v>1240</v>
      </c>
      <c r="B3485" s="40"/>
      <c r="C3485" s="40"/>
      <c r="D3485" s="12"/>
      <c r="E3485" s="12"/>
    </row>
    <row r="3486" spans="1:5" ht="18" x14ac:dyDescent="0.35">
      <c r="A3486" s="5"/>
      <c r="B3486" s="5"/>
      <c r="C3486" s="7" t="s">
        <v>28</v>
      </c>
      <c r="D3486" s="7" t="s">
        <v>29</v>
      </c>
      <c r="E3486" s="7" t="s">
        <v>30</v>
      </c>
    </row>
    <row r="3487" spans="1:5" ht="18" x14ac:dyDescent="0.35">
      <c r="A3487" s="5" t="s">
        <v>311</v>
      </c>
      <c r="B3487" s="50" t="s">
        <v>32</v>
      </c>
      <c r="C3487" s="7">
        <v>2.0289999999999999</v>
      </c>
      <c r="D3487" s="7">
        <v>30.44</v>
      </c>
      <c r="E3487" s="85">
        <f>C3487*D3487</f>
        <v>61.76276</v>
      </c>
    </row>
    <row r="3488" spans="1:5" ht="18" x14ac:dyDescent="0.35">
      <c r="A3488" s="5" t="s">
        <v>1241</v>
      </c>
      <c r="B3488" s="50" t="s">
        <v>33</v>
      </c>
      <c r="C3488" s="7">
        <v>14.784000000000001</v>
      </c>
      <c r="D3488" s="7">
        <v>17.059999999999999</v>
      </c>
      <c r="E3488" s="85">
        <f>C3488*D3488</f>
        <v>252.21503999999999</v>
      </c>
    </row>
    <row r="3489" spans="1:11" ht="18" x14ac:dyDescent="0.35">
      <c r="A3489" s="5" t="s">
        <v>589</v>
      </c>
      <c r="B3489" s="50" t="s">
        <v>137</v>
      </c>
      <c r="C3489" s="7">
        <v>0.9</v>
      </c>
      <c r="D3489" s="7">
        <v>17.190000000000001</v>
      </c>
      <c r="E3489" s="85">
        <f>C3489*D3489</f>
        <v>15.471000000000002</v>
      </c>
    </row>
    <row r="3490" spans="1:11" ht="18" x14ac:dyDescent="0.35">
      <c r="A3490" s="5" t="s">
        <v>1121</v>
      </c>
      <c r="B3490" s="50" t="s">
        <v>35</v>
      </c>
      <c r="C3490" s="7">
        <v>4</v>
      </c>
      <c r="D3490" s="7">
        <v>2.91</v>
      </c>
      <c r="E3490" s="85">
        <f>C3490*D3490</f>
        <v>11.64</v>
      </c>
    </row>
    <row r="3491" spans="1:11" ht="18" x14ac:dyDescent="0.35">
      <c r="A3491" s="5"/>
      <c r="B3491" s="50" t="s">
        <v>36</v>
      </c>
      <c r="C3491" s="7">
        <v>4</v>
      </c>
      <c r="D3491" s="7">
        <v>0.61</v>
      </c>
      <c r="E3491" s="85">
        <f>C3491*D3491</f>
        <v>2.44</v>
      </c>
    </row>
    <row r="3492" spans="1:11" ht="18" x14ac:dyDescent="0.35">
      <c r="A3492" s="5"/>
      <c r="B3492" s="96"/>
      <c r="C3492" s="87"/>
      <c r="D3492" s="87"/>
      <c r="E3492" s="94">
        <f>SUM(E3487:E3491)</f>
        <v>343.52879999999999</v>
      </c>
    </row>
    <row r="3493" spans="1:11" ht="18" x14ac:dyDescent="0.35">
      <c r="A3493" s="5"/>
      <c r="B3493" s="96"/>
      <c r="C3493" s="87"/>
      <c r="D3493" s="87" t="s">
        <v>1066</v>
      </c>
      <c r="E3493" s="94">
        <f>E3492+E3492*40%</f>
        <v>480.94031999999999</v>
      </c>
    </row>
    <row r="3494" spans="1:11" ht="18" x14ac:dyDescent="0.35">
      <c r="A3494" s="5"/>
      <c r="B3494" s="50" t="s">
        <v>37</v>
      </c>
      <c r="C3494" s="7">
        <v>0.55000000000000004</v>
      </c>
      <c r="D3494" s="93">
        <v>200</v>
      </c>
      <c r="E3494" s="85">
        <f>C3494*D3494</f>
        <v>110.00000000000001</v>
      </c>
    </row>
    <row r="3495" spans="1:11" ht="18" x14ac:dyDescent="0.35">
      <c r="D3495" s="12" t="s">
        <v>1083</v>
      </c>
      <c r="E3495" s="109">
        <f>SUM(E3493:E3494)</f>
        <v>590.94032000000004</v>
      </c>
    </row>
    <row r="3498" spans="1:11" ht="21" x14ac:dyDescent="0.4">
      <c r="A3498" s="40" t="s">
        <v>1250</v>
      </c>
      <c r="B3498" s="40"/>
      <c r="C3498" s="40"/>
      <c r="D3498" s="12"/>
      <c r="E3498" s="12"/>
      <c r="G3498" s="40" t="s">
        <v>1250</v>
      </c>
      <c r="H3498" s="40"/>
      <c r="I3498" s="40"/>
      <c r="J3498" s="12"/>
      <c r="K3498" s="12"/>
    </row>
    <row r="3499" spans="1:11" ht="18" x14ac:dyDescent="0.35">
      <c r="A3499" s="5"/>
      <c r="B3499" s="5"/>
      <c r="C3499" s="7" t="s">
        <v>28</v>
      </c>
      <c r="D3499" s="7" t="s">
        <v>29</v>
      </c>
      <c r="E3499" s="7" t="s">
        <v>30</v>
      </c>
      <c r="G3499" s="5"/>
      <c r="H3499" s="5"/>
      <c r="I3499" s="7" t="s">
        <v>28</v>
      </c>
      <c r="J3499" s="7" t="s">
        <v>29</v>
      </c>
      <c r="K3499" s="7" t="s">
        <v>30</v>
      </c>
    </row>
    <row r="3500" spans="1:11" ht="18" x14ac:dyDescent="0.35">
      <c r="A3500" s="5" t="s">
        <v>107</v>
      </c>
      <c r="B3500" s="50" t="s">
        <v>32</v>
      </c>
      <c r="C3500" s="7">
        <v>2.448</v>
      </c>
      <c r="D3500" s="7">
        <v>29.12</v>
      </c>
      <c r="E3500" s="85">
        <f>C3500*D3500</f>
        <v>71.285759999999996</v>
      </c>
      <c r="G3500" s="5" t="s">
        <v>107</v>
      </c>
      <c r="H3500" s="50" t="s">
        <v>32</v>
      </c>
      <c r="I3500" s="7">
        <v>2.3319999999999999</v>
      </c>
      <c r="J3500" s="7">
        <v>29.12</v>
      </c>
      <c r="K3500" s="85">
        <f>I3500*J3500</f>
        <v>67.907839999999993</v>
      </c>
    </row>
    <row r="3501" spans="1:11" ht="18" x14ac:dyDescent="0.35">
      <c r="A3501" s="5" t="s">
        <v>167</v>
      </c>
      <c r="B3501" s="50" t="s">
        <v>33</v>
      </c>
      <c r="C3501" s="7">
        <v>17.419</v>
      </c>
      <c r="D3501" s="7">
        <v>15.25</v>
      </c>
      <c r="E3501" s="85">
        <f>C3501*D3501</f>
        <v>265.63974999999999</v>
      </c>
      <c r="G3501" s="5" t="s">
        <v>167</v>
      </c>
      <c r="H3501" s="50" t="s">
        <v>33</v>
      </c>
      <c r="I3501" s="7">
        <v>16.59</v>
      </c>
      <c r="J3501" s="7">
        <v>15.25</v>
      </c>
      <c r="K3501" s="85">
        <f>I3501*J3501</f>
        <v>252.9975</v>
      </c>
    </row>
    <row r="3502" spans="1:11" ht="18" x14ac:dyDescent="0.35">
      <c r="A3502" s="5" t="s">
        <v>663</v>
      </c>
      <c r="B3502" s="50" t="s">
        <v>137</v>
      </c>
      <c r="C3502" s="7">
        <v>0.63</v>
      </c>
      <c r="D3502" s="7">
        <v>17.190000000000001</v>
      </c>
      <c r="E3502" s="85">
        <f>C3502*D3502</f>
        <v>10.829700000000001</v>
      </c>
      <c r="G3502" s="5" t="s">
        <v>663</v>
      </c>
      <c r="H3502" s="50" t="s">
        <v>137</v>
      </c>
      <c r="I3502" s="7">
        <v>0.6</v>
      </c>
      <c r="J3502" s="7">
        <v>17.190000000000001</v>
      </c>
      <c r="K3502" s="85">
        <f>I3502*J3502</f>
        <v>10.314</v>
      </c>
    </row>
    <row r="3503" spans="1:11" ht="18" x14ac:dyDescent="0.35">
      <c r="A3503" s="5" t="s">
        <v>1121</v>
      </c>
      <c r="B3503" s="50" t="s">
        <v>35</v>
      </c>
      <c r="C3503" s="7">
        <v>4</v>
      </c>
      <c r="D3503" s="7">
        <v>2.91</v>
      </c>
      <c r="E3503" s="85">
        <f>C3503*D3503</f>
        <v>11.64</v>
      </c>
      <c r="G3503" s="5" t="s">
        <v>1251</v>
      </c>
      <c r="H3503" s="50" t="s">
        <v>35</v>
      </c>
      <c r="I3503" s="7">
        <v>4</v>
      </c>
      <c r="J3503" s="7">
        <v>2.91</v>
      </c>
      <c r="K3503" s="85">
        <f>I3503*J3503</f>
        <v>11.64</v>
      </c>
    </row>
    <row r="3504" spans="1:11" ht="18" x14ac:dyDescent="0.35">
      <c r="A3504" s="5"/>
      <c r="B3504" s="50" t="s">
        <v>36</v>
      </c>
      <c r="C3504" s="7">
        <v>4</v>
      </c>
      <c r="D3504" s="7">
        <v>0.61</v>
      </c>
      <c r="E3504" s="85">
        <f>C3504*D3504</f>
        <v>2.44</v>
      </c>
      <c r="G3504" s="5"/>
      <c r="H3504" s="50" t="s">
        <v>36</v>
      </c>
      <c r="I3504" s="7">
        <v>4</v>
      </c>
      <c r="J3504" s="7">
        <v>0.61</v>
      </c>
      <c r="K3504" s="85">
        <f>I3504*J3504</f>
        <v>2.44</v>
      </c>
    </row>
    <row r="3505" spans="1:11" ht="18" x14ac:dyDescent="0.35">
      <c r="A3505" s="5"/>
      <c r="B3505" s="96"/>
      <c r="C3505" s="87"/>
      <c r="D3505" s="87"/>
      <c r="E3505" s="94">
        <f>SUM(E3500:E3504)</f>
        <v>361.83520999999996</v>
      </c>
      <c r="G3505" s="5"/>
      <c r="H3505" s="96"/>
      <c r="I3505" s="87"/>
      <c r="J3505" s="87"/>
      <c r="K3505" s="94">
        <f>SUM(K3500:K3504)</f>
        <v>345.29934000000003</v>
      </c>
    </row>
    <row r="3506" spans="1:11" ht="18" x14ac:dyDescent="0.35">
      <c r="A3506" s="5"/>
      <c r="B3506" s="96"/>
      <c r="C3506" s="87"/>
      <c r="D3506" s="87" t="s">
        <v>1161</v>
      </c>
      <c r="E3506" s="94">
        <f>E3505+E3505*30%</f>
        <v>470.38577299999997</v>
      </c>
      <c r="G3506" s="5"/>
      <c r="H3506" s="96"/>
      <c r="I3506" s="87"/>
      <c r="J3506" s="87"/>
      <c r="K3506" s="94"/>
    </row>
    <row r="3507" spans="1:11" ht="18" x14ac:dyDescent="0.35">
      <c r="A3507" s="5"/>
      <c r="B3507" s="50" t="s">
        <v>37</v>
      </c>
      <c r="C3507" s="7">
        <v>0.5</v>
      </c>
      <c r="D3507" s="93">
        <v>200</v>
      </c>
      <c r="E3507" s="85">
        <f>C3507*D3507</f>
        <v>100</v>
      </c>
      <c r="G3507" s="5"/>
      <c r="H3507" s="50" t="s">
        <v>37</v>
      </c>
      <c r="I3507" s="7">
        <v>0.22</v>
      </c>
      <c r="J3507" s="93">
        <v>136</v>
      </c>
      <c r="K3507" s="85">
        <f>I3507*J3507</f>
        <v>29.92</v>
      </c>
    </row>
    <row r="3508" spans="1:11" ht="18" x14ac:dyDescent="0.35">
      <c r="D3508" s="12" t="s">
        <v>1083</v>
      </c>
      <c r="E3508" s="109">
        <f>SUM(E3506:E3507)</f>
        <v>570.38577299999997</v>
      </c>
      <c r="J3508" s="12"/>
      <c r="K3508" s="109">
        <f>SUM(K3505:K3507)</f>
        <v>375.21934000000005</v>
      </c>
    </row>
    <row r="3510" spans="1:11" ht="21" x14ac:dyDescent="0.4">
      <c r="A3510" s="40" t="s">
        <v>1252</v>
      </c>
      <c r="B3510" s="40"/>
      <c r="C3510" s="40"/>
      <c r="D3510" s="12"/>
      <c r="E3510" s="12"/>
    </row>
    <row r="3511" spans="1:11" ht="18" x14ac:dyDescent="0.35">
      <c r="A3511" s="5"/>
      <c r="B3511" s="5"/>
      <c r="C3511" s="7" t="s">
        <v>28</v>
      </c>
      <c r="D3511" s="7" t="s">
        <v>29</v>
      </c>
      <c r="E3511" s="7" t="s">
        <v>30</v>
      </c>
    </row>
    <row r="3512" spans="1:11" ht="18" x14ac:dyDescent="0.35">
      <c r="A3512" s="5" t="s">
        <v>1253</v>
      </c>
      <c r="B3512" s="50" t="s">
        <v>32</v>
      </c>
      <c r="C3512" s="7">
        <v>1.02</v>
      </c>
      <c r="D3512" s="7">
        <v>30.44</v>
      </c>
      <c r="E3512" s="85">
        <f>C3512*D3512</f>
        <v>31.048800000000004</v>
      </c>
    </row>
    <row r="3513" spans="1:11" ht="18" x14ac:dyDescent="0.35">
      <c r="A3513" s="5" t="s">
        <v>63</v>
      </c>
      <c r="B3513" s="50" t="s">
        <v>33</v>
      </c>
      <c r="C3513" s="7">
        <v>1.9530000000000001</v>
      </c>
      <c r="D3513" s="7">
        <v>17.059999999999999</v>
      </c>
      <c r="E3513" s="85">
        <f>C3513*D3513</f>
        <v>33.318179999999998</v>
      </c>
    </row>
    <row r="3514" spans="1:11" ht="18" x14ac:dyDescent="0.35">
      <c r="A3514" s="5" t="s">
        <v>677</v>
      </c>
      <c r="B3514" s="50" t="s">
        <v>137</v>
      </c>
      <c r="C3514" s="7">
        <v>0.21</v>
      </c>
      <c r="D3514" s="7">
        <v>17.190000000000001</v>
      </c>
      <c r="E3514" s="85">
        <f>C3514*D3514</f>
        <v>3.6099000000000001</v>
      </c>
    </row>
    <row r="3515" spans="1:11" ht="18" x14ac:dyDescent="0.35">
      <c r="A3515" s="5"/>
      <c r="B3515" s="50" t="s">
        <v>35</v>
      </c>
      <c r="C3515" s="7">
        <v>4</v>
      </c>
      <c r="D3515" s="7">
        <v>2.91</v>
      </c>
      <c r="E3515" s="85">
        <f>C3515*D3515</f>
        <v>11.64</v>
      </c>
    </row>
    <row r="3516" spans="1:11" ht="18" x14ac:dyDescent="0.35">
      <c r="A3516" s="5"/>
      <c r="B3516" s="50" t="s">
        <v>36</v>
      </c>
      <c r="C3516" s="7">
        <v>4</v>
      </c>
      <c r="D3516" s="7">
        <v>0.61</v>
      </c>
      <c r="E3516" s="85">
        <f>C3516*D3516</f>
        <v>2.44</v>
      </c>
    </row>
    <row r="3517" spans="1:11" ht="18" x14ac:dyDescent="0.35">
      <c r="A3517" s="5"/>
      <c r="B3517" s="96"/>
      <c r="C3517" s="87"/>
      <c r="D3517" s="87"/>
      <c r="E3517" s="94">
        <f>SUM(E3512:E3516)</f>
        <v>82.056879999999992</v>
      </c>
    </row>
    <row r="3518" spans="1:11" ht="18" x14ac:dyDescent="0.35">
      <c r="A3518" s="5"/>
      <c r="B3518" s="96"/>
      <c r="C3518" s="87"/>
      <c r="D3518" s="87" t="s">
        <v>1066</v>
      </c>
      <c r="E3518" s="94">
        <f>E3517+E3517*40%</f>
        <v>114.87963199999999</v>
      </c>
    </row>
    <row r="3519" spans="1:11" ht="18" x14ac:dyDescent="0.35">
      <c r="A3519" s="5"/>
      <c r="B3519" s="50" t="s">
        <v>37</v>
      </c>
      <c r="C3519" s="7">
        <v>0.2</v>
      </c>
      <c r="D3519" s="93">
        <v>200</v>
      </c>
      <c r="E3519" s="85">
        <f>C3519*D3519</f>
        <v>40</v>
      </c>
    </row>
    <row r="3520" spans="1:11" ht="18" x14ac:dyDescent="0.35">
      <c r="D3520" s="12" t="s">
        <v>1083</v>
      </c>
      <c r="E3520" s="109">
        <f>SUM(E3518:E3519)</f>
        <v>154.87963199999999</v>
      </c>
    </row>
    <row r="3522" spans="1:5" ht="21" x14ac:dyDescent="0.4">
      <c r="A3522" s="40" t="s">
        <v>1254</v>
      </c>
      <c r="B3522" s="40"/>
      <c r="C3522" s="84"/>
    </row>
    <row r="3523" spans="1:5" ht="18" x14ac:dyDescent="0.35">
      <c r="A3523" s="5"/>
      <c r="B3523" s="5"/>
      <c r="C3523" s="7" t="s">
        <v>28</v>
      </c>
      <c r="D3523" s="7" t="s">
        <v>29</v>
      </c>
      <c r="E3523" s="7" t="s">
        <v>30</v>
      </c>
    </row>
    <row r="3524" spans="1:5" ht="18" x14ac:dyDescent="0.35">
      <c r="A3524" s="5" t="s">
        <v>1255</v>
      </c>
      <c r="B3524" s="50" t="s">
        <v>32</v>
      </c>
      <c r="C3524" s="7">
        <v>2.5950000000000002</v>
      </c>
      <c r="D3524" s="7">
        <v>10.34</v>
      </c>
      <c r="E3524" s="85">
        <f t="shared" ref="E3524:E3529" si="283">C3524*D3524</f>
        <v>26.8323</v>
      </c>
    </row>
    <row r="3525" spans="1:5" ht="18" x14ac:dyDescent="0.35">
      <c r="A3525" s="5" t="s">
        <v>168</v>
      </c>
      <c r="B3525" s="50" t="s">
        <v>33</v>
      </c>
      <c r="C3525" s="7">
        <v>17.507999999999999</v>
      </c>
      <c r="D3525" s="7">
        <v>16.170000000000002</v>
      </c>
      <c r="E3525" s="85">
        <f t="shared" si="283"/>
        <v>283.10436000000004</v>
      </c>
    </row>
    <row r="3526" spans="1:5" ht="18" x14ac:dyDescent="0.35">
      <c r="A3526" s="5" t="s">
        <v>1256</v>
      </c>
      <c r="B3526" s="50" t="s">
        <v>113</v>
      </c>
      <c r="C3526" s="7">
        <v>2</v>
      </c>
      <c r="D3526" s="7">
        <v>2.2400000000000002</v>
      </c>
      <c r="E3526" s="85">
        <f t="shared" si="283"/>
        <v>4.4800000000000004</v>
      </c>
    </row>
    <row r="3527" spans="1:5" ht="18" x14ac:dyDescent="0.35">
      <c r="A3527" s="5"/>
      <c r="B3527" s="50" t="s">
        <v>34</v>
      </c>
      <c r="C3527" s="7"/>
      <c r="D3527" s="7">
        <v>14.61</v>
      </c>
      <c r="E3527" s="85">
        <f t="shared" si="283"/>
        <v>0</v>
      </c>
    </row>
    <row r="3528" spans="1:5" ht="18" x14ac:dyDescent="0.35">
      <c r="A3528" s="5"/>
      <c r="B3528" s="50" t="s">
        <v>35</v>
      </c>
      <c r="C3528" s="7">
        <v>4</v>
      </c>
      <c r="D3528" s="7">
        <v>2.91</v>
      </c>
      <c r="E3528" s="85">
        <f t="shared" si="283"/>
        <v>11.64</v>
      </c>
    </row>
    <row r="3529" spans="1:5" ht="18" x14ac:dyDescent="0.35">
      <c r="A3529" s="5"/>
      <c r="B3529" s="50" t="s">
        <v>36</v>
      </c>
      <c r="C3529" s="7">
        <v>4</v>
      </c>
      <c r="D3529" s="7">
        <v>0.61</v>
      </c>
      <c r="E3529" s="85">
        <f t="shared" si="283"/>
        <v>2.44</v>
      </c>
    </row>
    <row r="3530" spans="1:5" ht="18" x14ac:dyDescent="0.35">
      <c r="A3530" s="5"/>
      <c r="B3530" s="5"/>
      <c r="C3530" s="54"/>
      <c r="D3530" s="54"/>
      <c r="E3530" s="89">
        <f>SUM(E3524:E3529)</f>
        <v>328.49666000000002</v>
      </c>
    </row>
    <row r="3531" spans="1:5" ht="18" x14ac:dyDescent="0.35">
      <c r="A3531" s="5"/>
      <c r="B3531" s="5"/>
      <c r="C3531" s="54"/>
      <c r="D3531" s="54" t="s">
        <v>1063</v>
      </c>
      <c r="E3531" s="89">
        <f>E3530+E3530*40%</f>
        <v>459.89532400000007</v>
      </c>
    </row>
    <row r="3532" spans="1:5" ht="18" x14ac:dyDescent="0.35">
      <c r="A3532" s="5"/>
      <c r="B3532" s="50" t="s">
        <v>37</v>
      </c>
      <c r="C3532" s="54">
        <v>0.5</v>
      </c>
      <c r="D3532" s="54">
        <v>200</v>
      </c>
      <c r="E3532" s="85">
        <v>100</v>
      </c>
    </row>
    <row r="3533" spans="1:5" ht="18" x14ac:dyDescent="0.35">
      <c r="A3533" s="5"/>
      <c r="B3533" s="5"/>
      <c r="C3533" s="54"/>
      <c r="D3533" s="54"/>
      <c r="E3533" s="85">
        <f>SUM(E3531:E3532)</f>
        <v>559.89532400000007</v>
      </c>
    </row>
    <row r="3535" spans="1:5" ht="18" x14ac:dyDescent="0.35">
      <c r="A3535" s="111" t="s">
        <v>1166</v>
      </c>
    </row>
    <row r="3536" spans="1:5" ht="21" x14ac:dyDescent="0.4">
      <c r="A3536" s="40" t="s">
        <v>1257</v>
      </c>
      <c r="B3536" s="40"/>
      <c r="C3536" s="84"/>
      <c r="D3536" s="12"/>
      <c r="E3536" s="12"/>
    </row>
    <row r="3537" spans="1:5" ht="21" x14ac:dyDescent="0.4">
      <c r="A3537" s="40"/>
      <c r="B3537" s="40"/>
      <c r="C3537" s="84"/>
      <c r="D3537" s="12"/>
      <c r="E3537" s="12"/>
    </row>
    <row r="3538" spans="1:5" ht="18" x14ac:dyDescent="0.35">
      <c r="A3538" s="5"/>
      <c r="B3538" s="5"/>
      <c r="C3538" s="7" t="s">
        <v>28</v>
      </c>
      <c r="D3538" s="7" t="s">
        <v>29</v>
      </c>
      <c r="E3538" s="7" t="s">
        <v>30</v>
      </c>
    </row>
    <row r="3539" spans="1:5" ht="18" x14ac:dyDescent="0.35">
      <c r="A3539" s="5" t="s">
        <v>104</v>
      </c>
      <c r="B3539" s="50" t="s">
        <v>32</v>
      </c>
      <c r="C3539" s="7">
        <v>1.8180000000000001</v>
      </c>
      <c r="D3539" s="7">
        <v>10.34</v>
      </c>
      <c r="E3539" s="85">
        <f t="shared" ref="E3539:E3546" si="284">C3539*D3539</f>
        <v>18.798120000000001</v>
      </c>
    </row>
    <row r="3540" spans="1:5" ht="18" x14ac:dyDescent="0.35">
      <c r="A3540" s="5" t="s">
        <v>217</v>
      </c>
      <c r="B3540" s="50" t="s">
        <v>33</v>
      </c>
      <c r="C3540" s="7">
        <v>7.2030000000000003</v>
      </c>
      <c r="D3540" s="7">
        <v>16.170000000000002</v>
      </c>
      <c r="E3540" s="85">
        <f t="shared" si="284"/>
        <v>116.47251000000001</v>
      </c>
    </row>
    <row r="3541" spans="1:5" ht="18" x14ac:dyDescent="0.35">
      <c r="A3541" s="5" t="s">
        <v>55</v>
      </c>
      <c r="B3541" s="50" t="s">
        <v>33</v>
      </c>
      <c r="C3541" s="7">
        <v>7.3079999999999998</v>
      </c>
      <c r="D3541" s="7">
        <v>16.170000000000002</v>
      </c>
      <c r="E3541" s="85">
        <f t="shared" si="284"/>
        <v>118.17036000000002</v>
      </c>
    </row>
    <row r="3542" spans="1:5" ht="18" x14ac:dyDescent="0.35">
      <c r="A3542" s="5" t="s">
        <v>673</v>
      </c>
      <c r="B3542" s="50" t="s">
        <v>88</v>
      </c>
      <c r="C3542" s="7">
        <v>2</v>
      </c>
      <c r="D3542" s="7">
        <v>2.2400000000000002</v>
      </c>
      <c r="E3542" s="85">
        <f t="shared" si="284"/>
        <v>4.4800000000000004</v>
      </c>
    </row>
    <row r="3543" spans="1:5" ht="18" x14ac:dyDescent="0.35">
      <c r="A3543" s="5" t="s">
        <v>1097</v>
      </c>
      <c r="B3543" s="50" t="s">
        <v>90</v>
      </c>
      <c r="C3543" s="88">
        <v>2</v>
      </c>
      <c r="D3543" s="88">
        <v>1.7</v>
      </c>
      <c r="E3543" s="90">
        <f t="shared" si="284"/>
        <v>3.4</v>
      </c>
    </row>
    <row r="3544" spans="1:5" ht="18" x14ac:dyDescent="0.35">
      <c r="A3544" s="5"/>
      <c r="B3544" s="50" t="s">
        <v>34</v>
      </c>
      <c r="C3544" s="7"/>
      <c r="D3544" s="7">
        <v>18.05</v>
      </c>
      <c r="E3544" s="85">
        <f t="shared" si="284"/>
        <v>0</v>
      </c>
    </row>
    <row r="3545" spans="1:5" ht="18" x14ac:dyDescent="0.35">
      <c r="A3545" s="5"/>
      <c r="B3545" s="50" t="s">
        <v>35</v>
      </c>
      <c r="C3545" s="7">
        <v>4</v>
      </c>
      <c r="D3545" s="7">
        <v>2.0099999999999998</v>
      </c>
      <c r="E3545" s="85">
        <f t="shared" si="284"/>
        <v>8.0399999999999991</v>
      </c>
    </row>
    <row r="3546" spans="1:5" ht="18" x14ac:dyDescent="0.35">
      <c r="A3546" s="5"/>
      <c r="B3546" s="50" t="s">
        <v>36</v>
      </c>
      <c r="C3546" s="7">
        <v>4</v>
      </c>
      <c r="D3546" s="7">
        <v>0.25</v>
      </c>
      <c r="E3546" s="85">
        <f t="shared" si="284"/>
        <v>1</v>
      </c>
    </row>
    <row r="3547" spans="1:5" ht="18" x14ac:dyDescent="0.35">
      <c r="A3547" s="5"/>
      <c r="B3547" s="5"/>
      <c r="C3547" s="54"/>
      <c r="D3547" s="54"/>
      <c r="E3547" s="89">
        <f>SUM(E3539:E3546)</f>
        <v>270.36099000000002</v>
      </c>
    </row>
    <row r="3548" spans="1:5" ht="18" x14ac:dyDescent="0.35">
      <c r="A3548" s="5"/>
      <c r="B3548" s="5"/>
      <c r="C3548" s="54"/>
      <c r="D3548" s="54" t="s">
        <v>1066</v>
      </c>
      <c r="E3548" s="89">
        <f>E3547+E3547*40%</f>
        <v>378.50538600000004</v>
      </c>
    </row>
    <row r="3549" spans="1:5" ht="18" x14ac:dyDescent="0.35">
      <c r="A3549" s="5"/>
      <c r="B3549" s="50" t="s">
        <v>37</v>
      </c>
      <c r="C3549" s="54">
        <v>0.5</v>
      </c>
      <c r="D3549" s="54">
        <v>200</v>
      </c>
      <c r="E3549" s="85">
        <f>C3549*D3549</f>
        <v>100</v>
      </c>
    </row>
    <row r="3550" spans="1:5" ht="18" x14ac:dyDescent="0.35">
      <c r="A3550" s="5"/>
      <c r="B3550" s="5"/>
      <c r="C3550" s="54"/>
      <c r="D3550" s="54"/>
      <c r="E3550" s="112">
        <f>SUM(E3548:E3549)</f>
        <v>478.50538600000004</v>
      </c>
    </row>
    <row r="3552" spans="1:5" ht="21" x14ac:dyDescent="0.4">
      <c r="A3552" s="40" t="s">
        <v>1260</v>
      </c>
      <c r="B3552" s="40"/>
      <c r="C3552" s="84"/>
    </row>
    <row r="3553" spans="1:5" ht="18" x14ac:dyDescent="0.35">
      <c r="A3553" s="5"/>
      <c r="B3553" s="5"/>
      <c r="C3553" s="7" t="s">
        <v>28</v>
      </c>
      <c r="D3553" s="7" t="s">
        <v>29</v>
      </c>
      <c r="E3553" s="7" t="s">
        <v>30</v>
      </c>
    </row>
    <row r="3554" spans="1:5" ht="18" x14ac:dyDescent="0.35">
      <c r="A3554" s="5" t="s">
        <v>304</v>
      </c>
      <c r="B3554" s="50" t="s">
        <v>32</v>
      </c>
      <c r="C3554" s="7">
        <v>4.4219999999999997</v>
      </c>
      <c r="D3554" s="7">
        <v>10.34</v>
      </c>
      <c r="E3554" s="85">
        <f t="shared" ref="E3554:E3559" si="285">C3554*D3554</f>
        <v>45.723479999999995</v>
      </c>
    </row>
    <row r="3555" spans="1:5" ht="18" x14ac:dyDescent="0.35">
      <c r="A3555" s="5" t="s">
        <v>246</v>
      </c>
      <c r="B3555" s="50" t="s">
        <v>33</v>
      </c>
      <c r="C3555" s="7">
        <v>2.089</v>
      </c>
      <c r="D3555" s="7">
        <v>16.170000000000002</v>
      </c>
      <c r="E3555" s="85">
        <f t="shared" si="285"/>
        <v>33.779130000000002</v>
      </c>
    </row>
    <row r="3556" spans="1:5" ht="18" x14ac:dyDescent="0.35">
      <c r="A3556" s="5" t="s">
        <v>674</v>
      </c>
      <c r="B3556" s="50" t="s">
        <v>42</v>
      </c>
      <c r="C3556" s="7">
        <v>2</v>
      </c>
      <c r="D3556" s="7">
        <v>1.1499999999999999</v>
      </c>
      <c r="E3556" s="85">
        <f t="shared" si="285"/>
        <v>2.2999999999999998</v>
      </c>
    </row>
    <row r="3557" spans="1:5" ht="18" x14ac:dyDescent="0.35">
      <c r="A3557" s="5"/>
      <c r="B3557" s="50" t="s">
        <v>34</v>
      </c>
      <c r="C3557" s="7">
        <v>0.2</v>
      </c>
      <c r="D3557" s="7">
        <v>14.61</v>
      </c>
      <c r="E3557" s="85">
        <f t="shared" si="285"/>
        <v>2.9220000000000002</v>
      </c>
    </row>
    <row r="3558" spans="1:5" ht="18" x14ac:dyDescent="0.35">
      <c r="A3558" s="5"/>
      <c r="B3558" s="50" t="s">
        <v>35</v>
      </c>
      <c r="C3558" s="7">
        <v>4</v>
      </c>
      <c r="D3558" s="7">
        <v>2.91</v>
      </c>
      <c r="E3558" s="85">
        <f t="shared" si="285"/>
        <v>11.64</v>
      </c>
    </row>
    <row r="3559" spans="1:5" ht="18" x14ac:dyDescent="0.35">
      <c r="A3559" s="5"/>
      <c r="B3559" s="50" t="s">
        <v>36</v>
      </c>
      <c r="C3559" s="7">
        <v>4</v>
      </c>
      <c r="D3559" s="7">
        <v>0.61</v>
      </c>
      <c r="E3559" s="85">
        <f t="shared" si="285"/>
        <v>2.44</v>
      </c>
    </row>
    <row r="3560" spans="1:5" ht="18" x14ac:dyDescent="0.35">
      <c r="A3560" s="5"/>
      <c r="B3560" s="96" t="s">
        <v>1261</v>
      </c>
      <c r="C3560" s="87"/>
      <c r="D3560" s="87"/>
      <c r="E3560" s="94">
        <v>20</v>
      </c>
    </row>
    <row r="3561" spans="1:5" ht="18" x14ac:dyDescent="0.35">
      <c r="A3561" s="5"/>
      <c r="B3561" s="5"/>
      <c r="C3561" s="54"/>
      <c r="D3561" s="54"/>
      <c r="E3561" s="89">
        <f>SUM(E3554:E3560)</f>
        <v>118.80461</v>
      </c>
    </row>
    <row r="3562" spans="1:5" ht="18" x14ac:dyDescent="0.35">
      <c r="A3562" s="5"/>
      <c r="B3562" s="5"/>
      <c r="C3562" s="54"/>
      <c r="D3562" s="54" t="s">
        <v>1063</v>
      </c>
      <c r="E3562" s="89">
        <f>E3561+E3561*40%</f>
        <v>166.32645400000001</v>
      </c>
    </row>
    <row r="3563" spans="1:5" ht="18" x14ac:dyDescent="0.35">
      <c r="A3563" s="5"/>
      <c r="B3563" s="50" t="s">
        <v>37</v>
      </c>
      <c r="C3563" s="54">
        <v>0.5</v>
      </c>
      <c r="D3563" s="54">
        <v>200</v>
      </c>
      <c r="E3563" s="85">
        <v>100</v>
      </c>
    </row>
    <row r="3564" spans="1:5" ht="18" x14ac:dyDescent="0.35">
      <c r="A3564" s="5"/>
      <c r="B3564" s="5"/>
      <c r="C3564" s="54"/>
      <c r="D3564" s="54"/>
      <c r="E3564" s="85">
        <f>SUM(E3562:E3563)</f>
        <v>266.32645400000001</v>
      </c>
    </row>
    <row r="3567" spans="1:5" ht="21" x14ac:dyDescent="0.4">
      <c r="A3567" s="40" t="s">
        <v>1260</v>
      </c>
      <c r="B3567" s="40"/>
      <c r="C3567" s="84"/>
    </row>
    <row r="3568" spans="1:5" ht="18" x14ac:dyDescent="0.35">
      <c r="A3568" s="5"/>
      <c r="B3568" s="5"/>
      <c r="C3568" s="7" t="s">
        <v>28</v>
      </c>
      <c r="D3568" s="7" t="s">
        <v>29</v>
      </c>
      <c r="E3568" s="7" t="s">
        <v>30</v>
      </c>
    </row>
    <row r="3569" spans="1:5" ht="18" x14ac:dyDescent="0.35">
      <c r="A3569" s="5" t="s">
        <v>247</v>
      </c>
      <c r="B3569" s="50" t="s">
        <v>32</v>
      </c>
      <c r="C3569" s="7">
        <v>2.7629999999999999</v>
      </c>
      <c r="D3569" s="7">
        <v>10.34</v>
      </c>
      <c r="E3569" s="85">
        <f t="shared" ref="E3569:E3574" si="286">C3569*D3569</f>
        <v>28.569419999999997</v>
      </c>
    </row>
    <row r="3570" spans="1:5" ht="18" x14ac:dyDescent="0.35">
      <c r="A3570" s="5" t="s">
        <v>201</v>
      </c>
      <c r="B3570" s="50" t="s">
        <v>33</v>
      </c>
      <c r="C3570" s="7">
        <v>2.4990000000000001</v>
      </c>
      <c r="D3570" s="7">
        <v>16.170000000000002</v>
      </c>
      <c r="E3570" s="85">
        <f t="shared" si="286"/>
        <v>40.408830000000009</v>
      </c>
    </row>
    <row r="3571" spans="1:5" ht="18" x14ac:dyDescent="0.35">
      <c r="A3571" s="5" t="s">
        <v>696</v>
      </c>
      <c r="B3571" s="50" t="s">
        <v>42</v>
      </c>
      <c r="C3571" s="7">
        <v>2</v>
      </c>
      <c r="D3571" s="7">
        <v>1.1499999999999999</v>
      </c>
      <c r="E3571" s="85">
        <f t="shared" si="286"/>
        <v>2.2999999999999998</v>
      </c>
    </row>
    <row r="3572" spans="1:5" ht="18" x14ac:dyDescent="0.35">
      <c r="A3572" s="5"/>
      <c r="B3572" s="50" t="s">
        <v>34</v>
      </c>
      <c r="C3572" s="7">
        <v>0.25</v>
      </c>
      <c r="D3572" s="7">
        <v>14.61</v>
      </c>
      <c r="E3572" s="85">
        <f t="shared" si="286"/>
        <v>3.6524999999999999</v>
      </c>
    </row>
    <row r="3573" spans="1:5" ht="18" x14ac:dyDescent="0.35">
      <c r="A3573" s="5"/>
      <c r="B3573" s="50" t="s">
        <v>35</v>
      </c>
      <c r="C3573" s="7">
        <v>4</v>
      </c>
      <c r="D3573" s="7">
        <v>2.91</v>
      </c>
      <c r="E3573" s="85">
        <f t="shared" si="286"/>
        <v>11.64</v>
      </c>
    </row>
    <row r="3574" spans="1:5" ht="18" x14ac:dyDescent="0.35">
      <c r="A3574" s="5"/>
      <c r="B3574" s="50" t="s">
        <v>36</v>
      </c>
      <c r="C3574" s="7">
        <v>4</v>
      </c>
      <c r="D3574" s="7">
        <v>0.61</v>
      </c>
      <c r="E3574" s="85">
        <f t="shared" si="286"/>
        <v>2.44</v>
      </c>
    </row>
    <row r="3575" spans="1:5" ht="18" x14ac:dyDescent="0.35">
      <c r="A3575" s="5"/>
      <c r="B3575" s="96" t="s">
        <v>1261</v>
      </c>
      <c r="C3575" s="87"/>
      <c r="D3575" s="87"/>
      <c r="E3575" s="94">
        <v>20</v>
      </c>
    </row>
    <row r="3576" spans="1:5" ht="18" x14ac:dyDescent="0.35">
      <c r="A3576" s="5"/>
      <c r="B3576" s="5"/>
      <c r="C3576" s="54"/>
      <c r="D3576" s="54"/>
      <c r="E3576" s="89">
        <f>SUM(E3569:E3575)</f>
        <v>109.01075</v>
      </c>
    </row>
    <row r="3577" spans="1:5" ht="18" x14ac:dyDescent="0.35">
      <c r="A3577" s="5"/>
      <c r="B3577" s="5"/>
      <c r="C3577" s="54"/>
      <c r="D3577" s="54" t="s">
        <v>1063</v>
      </c>
      <c r="E3577" s="89">
        <f>E3576+E3576*40%</f>
        <v>152.61505</v>
      </c>
    </row>
    <row r="3578" spans="1:5" ht="18" x14ac:dyDescent="0.35">
      <c r="A3578" s="5"/>
      <c r="B3578" s="50" t="s">
        <v>37</v>
      </c>
      <c r="C3578" s="54">
        <v>0.5</v>
      </c>
      <c r="D3578" s="54">
        <v>200</v>
      </c>
      <c r="E3578" s="85">
        <v>100</v>
      </c>
    </row>
    <row r="3579" spans="1:5" ht="18" x14ac:dyDescent="0.35">
      <c r="A3579" s="5"/>
      <c r="B3579" s="5"/>
      <c r="C3579" s="54"/>
      <c r="D3579" s="54"/>
      <c r="E3579" s="85">
        <f>SUM(E3577:E3578)</f>
        <v>252.61505</v>
      </c>
    </row>
    <row r="3581" spans="1:5" ht="21" x14ac:dyDescent="0.4">
      <c r="A3581" s="40" t="s">
        <v>1260</v>
      </c>
      <c r="B3581" s="40"/>
      <c r="C3581" s="84"/>
    </row>
    <row r="3582" spans="1:5" ht="18" x14ac:dyDescent="0.35">
      <c r="A3582" s="5"/>
      <c r="B3582" s="5"/>
      <c r="C3582" s="7" t="s">
        <v>28</v>
      </c>
      <c r="D3582" s="7" t="s">
        <v>29</v>
      </c>
      <c r="E3582" s="7" t="s">
        <v>30</v>
      </c>
    </row>
    <row r="3583" spans="1:5" ht="18" x14ac:dyDescent="0.35">
      <c r="A3583" s="5" t="s">
        <v>210</v>
      </c>
      <c r="B3583" s="50" t="s">
        <v>32</v>
      </c>
      <c r="C3583" s="7">
        <v>2.343</v>
      </c>
      <c r="D3583" s="7">
        <v>10.34</v>
      </c>
      <c r="E3583" s="85">
        <f t="shared" ref="E3583:E3588" si="287">C3583*D3583</f>
        <v>24.22662</v>
      </c>
    </row>
    <row r="3584" spans="1:5" ht="18" x14ac:dyDescent="0.35">
      <c r="A3584" s="5" t="s">
        <v>545</v>
      </c>
      <c r="B3584" s="50" t="s">
        <v>33</v>
      </c>
      <c r="C3584" s="7">
        <v>9.1240000000000006</v>
      </c>
      <c r="D3584" s="7">
        <v>16.170000000000002</v>
      </c>
      <c r="E3584" s="85">
        <f t="shared" si="287"/>
        <v>147.53508000000002</v>
      </c>
    </row>
    <row r="3585" spans="1:5" ht="18" x14ac:dyDescent="0.35">
      <c r="A3585" s="5" t="s">
        <v>659</v>
      </c>
      <c r="B3585" s="50" t="s">
        <v>42</v>
      </c>
      <c r="C3585" s="7">
        <v>2</v>
      </c>
      <c r="D3585" s="7">
        <v>1.08</v>
      </c>
      <c r="E3585" s="85">
        <f t="shared" si="287"/>
        <v>2.16</v>
      </c>
    </row>
    <row r="3586" spans="1:5" ht="18" x14ac:dyDescent="0.35">
      <c r="A3586" s="5"/>
      <c r="B3586" s="50" t="s">
        <v>34</v>
      </c>
      <c r="C3586" s="7">
        <v>0.27</v>
      </c>
      <c r="D3586" s="7">
        <v>14.61</v>
      </c>
      <c r="E3586" s="85">
        <f t="shared" si="287"/>
        <v>3.9447000000000001</v>
      </c>
    </row>
    <row r="3587" spans="1:5" ht="18" x14ac:dyDescent="0.35">
      <c r="A3587" s="5"/>
      <c r="B3587" s="50" t="s">
        <v>35</v>
      </c>
      <c r="C3587" s="7">
        <v>4</v>
      </c>
      <c r="D3587" s="7">
        <v>2.91</v>
      </c>
      <c r="E3587" s="85">
        <f t="shared" si="287"/>
        <v>11.64</v>
      </c>
    </row>
    <row r="3588" spans="1:5" ht="18" x14ac:dyDescent="0.35">
      <c r="A3588" s="5"/>
      <c r="B3588" s="50" t="s">
        <v>36</v>
      </c>
      <c r="C3588" s="7">
        <v>4</v>
      </c>
      <c r="D3588" s="7">
        <v>0.61</v>
      </c>
      <c r="E3588" s="85">
        <f t="shared" si="287"/>
        <v>2.44</v>
      </c>
    </row>
    <row r="3589" spans="1:5" ht="18" x14ac:dyDescent="0.35">
      <c r="A3589" s="5"/>
      <c r="B3589" s="96" t="s">
        <v>1261</v>
      </c>
      <c r="C3589" s="87"/>
      <c r="D3589" s="87"/>
      <c r="E3589" s="94">
        <v>20</v>
      </c>
    </row>
    <row r="3590" spans="1:5" ht="18" x14ac:dyDescent="0.35">
      <c r="A3590" s="5"/>
      <c r="B3590" s="5"/>
      <c r="C3590" s="54"/>
      <c r="D3590" s="54"/>
      <c r="E3590" s="89">
        <f>SUM(E3583:E3589)</f>
        <v>211.94640000000004</v>
      </c>
    </row>
    <row r="3591" spans="1:5" ht="18" x14ac:dyDescent="0.35">
      <c r="A3591" s="5"/>
      <c r="B3591" s="5"/>
      <c r="C3591" s="54"/>
      <c r="D3591" s="54" t="s">
        <v>1063</v>
      </c>
      <c r="E3591" s="89">
        <f>E3590+E3590*40%</f>
        <v>296.72496000000007</v>
      </c>
    </row>
    <row r="3592" spans="1:5" ht="18" x14ac:dyDescent="0.35">
      <c r="A3592" s="5"/>
      <c r="B3592" s="50" t="s">
        <v>37</v>
      </c>
      <c r="C3592" s="54">
        <v>0.5</v>
      </c>
      <c r="D3592" s="54">
        <v>200</v>
      </c>
      <c r="E3592" s="85">
        <v>100</v>
      </c>
    </row>
    <row r="3593" spans="1:5" ht="18" x14ac:dyDescent="0.35">
      <c r="A3593" s="5"/>
      <c r="B3593" s="5"/>
      <c r="C3593" s="54"/>
      <c r="D3593" s="54"/>
      <c r="E3593" s="85">
        <f>SUM(E3591:E3592)</f>
        <v>396.72496000000007</v>
      </c>
    </row>
    <row r="3595" spans="1:5" x14ac:dyDescent="0.3">
      <c r="A3595" s="120" t="s">
        <v>1265</v>
      </c>
    </row>
    <row r="3596" spans="1:5" ht="21" x14ac:dyDescent="0.4">
      <c r="A3596" s="40" t="s">
        <v>1263</v>
      </c>
      <c r="B3596" s="40"/>
      <c r="C3596" s="40"/>
      <c r="D3596" s="12"/>
      <c r="E3596" s="12"/>
    </row>
    <row r="3597" spans="1:5" ht="18" x14ac:dyDescent="0.35">
      <c r="A3597" s="5"/>
      <c r="B3597" s="5"/>
      <c r="C3597" s="7" t="s">
        <v>28</v>
      </c>
      <c r="D3597" s="7" t="s">
        <v>29</v>
      </c>
      <c r="E3597" s="7" t="s">
        <v>30</v>
      </c>
    </row>
    <row r="3598" spans="1:5" ht="18" x14ac:dyDescent="0.35">
      <c r="A3598" s="5" t="s">
        <v>292</v>
      </c>
      <c r="B3598" s="50" t="s">
        <v>32</v>
      </c>
      <c r="C3598" s="7">
        <v>3.2879999999999998</v>
      </c>
      <c r="D3598" s="7">
        <v>10.34</v>
      </c>
      <c r="E3598" s="85">
        <f>C3598*D3598</f>
        <v>33.997920000000001</v>
      </c>
    </row>
    <row r="3599" spans="1:5" ht="18" x14ac:dyDescent="0.35">
      <c r="A3599" s="5" t="s">
        <v>538</v>
      </c>
      <c r="B3599" s="50" t="s">
        <v>33</v>
      </c>
      <c r="C3599" s="7">
        <v>36.381999999999998</v>
      </c>
      <c r="D3599" s="7">
        <v>17.059999999999999</v>
      </c>
      <c r="E3599" s="85">
        <f>C3599*D3599</f>
        <v>620.67691999999988</v>
      </c>
    </row>
    <row r="3600" spans="1:5" ht="18" x14ac:dyDescent="0.35">
      <c r="A3600" s="5" t="s">
        <v>1264</v>
      </c>
      <c r="B3600" s="50" t="s">
        <v>137</v>
      </c>
      <c r="C3600" s="7">
        <v>1</v>
      </c>
      <c r="D3600" s="7">
        <v>17.190000000000001</v>
      </c>
      <c r="E3600" s="85">
        <f>C3600*D3600</f>
        <v>17.190000000000001</v>
      </c>
    </row>
    <row r="3601" spans="1:5" ht="18" x14ac:dyDescent="0.35">
      <c r="A3601" s="5"/>
      <c r="B3601" s="50" t="s">
        <v>35</v>
      </c>
      <c r="C3601" s="7">
        <v>4</v>
      </c>
      <c r="D3601" s="7">
        <v>2.91</v>
      </c>
      <c r="E3601" s="85">
        <f>C3601*D3601</f>
        <v>11.64</v>
      </c>
    </row>
    <row r="3602" spans="1:5" ht="18" x14ac:dyDescent="0.35">
      <c r="A3602" s="5"/>
      <c r="B3602" s="50" t="s">
        <v>36</v>
      </c>
      <c r="C3602" s="7">
        <v>4</v>
      </c>
      <c r="D3602" s="7">
        <v>0.61</v>
      </c>
      <c r="E3602" s="85">
        <f>C3602*D3602</f>
        <v>2.44</v>
      </c>
    </row>
    <row r="3603" spans="1:5" ht="18" x14ac:dyDescent="0.35">
      <c r="A3603" s="5"/>
      <c r="B3603" s="50"/>
      <c r="C3603" s="87"/>
      <c r="D3603" s="88"/>
      <c r="E3603" s="85">
        <f>SUM(E3598:E3602)</f>
        <v>685.94484</v>
      </c>
    </row>
    <row r="3604" spans="1:5" ht="18" x14ac:dyDescent="0.35">
      <c r="A3604" s="5"/>
      <c r="B3604" s="50"/>
      <c r="C3604" s="87"/>
      <c r="D3604" s="88" t="s">
        <v>1266</v>
      </c>
      <c r="E3604" s="85">
        <f>E3603+E3603*40%</f>
        <v>960.32277599999998</v>
      </c>
    </row>
    <row r="3605" spans="1:5" ht="18" x14ac:dyDescent="0.35">
      <c r="A3605" s="5"/>
      <c r="B3605" s="50" t="s">
        <v>37</v>
      </c>
      <c r="C3605" s="54">
        <v>0.5</v>
      </c>
      <c r="D3605" s="86">
        <v>200</v>
      </c>
      <c r="E3605" s="85">
        <f>C3605*D3605</f>
        <v>100</v>
      </c>
    </row>
    <row r="3606" spans="1:5" ht="18" x14ac:dyDescent="0.35">
      <c r="A3606" s="5"/>
      <c r="B3606" s="5"/>
      <c r="C3606" s="54"/>
      <c r="D3606" s="54"/>
      <c r="E3606" s="85">
        <f>SUM(E3604:E3605)</f>
        <v>1060.322776</v>
      </c>
    </row>
    <row r="3609" spans="1:5" ht="21" x14ac:dyDescent="0.4">
      <c r="A3609" s="40" t="s">
        <v>1268</v>
      </c>
      <c r="B3609" s="40"/>
      <c r="C3609" s="40"/>
      <c r="D3609" s="12"/>
      <c r="E3609" s="12"/>
    </row>
    <row r="3610" spans="1:5" ht="18" x14ac:dyDescent="0.35">
      <c r="A3610" s="5"/>
      <c r="B3610" s="5"/>
      <c r="C3610" s="7" t="s">
        <v>28</v>
      </c>
      <c r="D3610" s="7" t="s">
        <v>29</v>
      </c>
      <c r="E3610" s="7" t="s">
        <v>30</v>
      </c>
    </row>
    <row r="3611" spans="1:5" ht="18" x14ac:dyDescent="0.35">
      <c r="A3611" s="5" t="s">
        <v>1267</v>
      </c>
      <c r="B3611" s="50" t="s">
        <v>32</v>
      </c>
      <c r="C3611" s="7"/>
      <c r="D3611" s="7"/>
      <c r="E3611" s="85">
        <f>C3611*D3611</f>
        <v>0</v>
      </c>
    </row>
    <row r="3612" spans="1:5" ht="18" x14ac:dyDescent="0.35">
      <c r="A3612" s="5" t="s">
        <v>538</v>
      </c>
      <c r="B3612" s="50" t="s">
        <v>33</v>
      </c>
      <c r="C3612" s="7">
        <v>2.1</v>
      </c>
      <c r="D3612" s="7">
        <v>17.059999999999999</v>
      </c>
      <c r="E3612" s="85">
        <f>C3612*D3612</f>
        <v>35.826000000000001</v>
      </c>
    </row>
    <row r="3613" spans="1:5" ht="18" x14ac:dyDescent="0.35">
      <c r="A3613" s="5" t="s">
        <v>1264</v>
      </c>
      <c r="B3613" s="50" t="s">
        <v>137</v>
      </c>
      <c r="C3613" s="7">
        <v>0.08</v>
      </c>
      <c r="D3613" s="7">
        <v>17.190000000000001</v>
      </c>
      <c r="E3613" s="85">
        <f>C3613*D3613</f>
        <v>1.3752000000000002</v>
      </c>
    </row>
    <row r="3614" spans="1:5" ht="18" x14ac:dyDescent="0.35">
      <c r="A3614" s="5"/>
      <c r="B3614" s="50" t="s">
        <v>35</v>
      </c>
      <c r="C3614" s="7">
        <v>4</v>
      </c>
      <c r="D3614" s="7">
        <v>2.91</v>
      </c>
      <c r="E3614" s="85">
        <f>C3614*D3614</f>
        <v>11.64</v>
      </c>
    </row>
    <row r="3615" spans="1:5" ht="18" x14ac:dyDescent="0.35">
      <c r="A3615" s="5"/>
      <c r="B3615" s="50" t="s">
        <v>36</v>
      </c>
      <c r="C3615" s="7">
        <v>4</v>
      </c>
      <c r="D3615" s="7">
        <v>0.61</v>
      </c>
      <c r="E3615" s="85">
        <f>C3615*D3615</f>
        <v>2.44</v>
      </c>
    </row>
    <row r="3616" spans="1:5" ht="18" x14ac:dyDescent="0.35">
      <c r="A3616" s="5"/>
      <c r="B3616" s="50"/>
      <c r="C3616" s="87"/>
      <c r="D3616" s="88"/>
      <c r="E3616" s="85">
        <f>SUM(E3611:E3615)</f>
        <v>51.281199999999998</v>
      </c>
    </row>
    <row r="3617" spans="1:5" ht="18" x14ac:dyDescent="0.35">
      <c r="A3617" s="5"/>
      <c r="B3617" s="50"/>
      <c r="C3617" s="87"/>
      <c r="D3617" s="88" t="s">
        <v>1266</v>
      </c>
      <c r="E3617" s="85">
        <f>E3616+E3616*40%</f>
        <v>71.793679999999995</v>
      </c>
    </row>
    <row r="3618" spans="1:5" ht="18" x14ac:dyDescent="0.35">
      <c r="A3618" s="5"/>
      <c r="B3618" s="50" t="s">
        <v>37</v>
      </c>
      <c r="C3618" s="54">
        <v>0.25</v>
      </c>
      <c r="D3618" s="86">
        <v>200</v>
      </c>
      <c r="E3618" s="85">
        <f>C3618*D3618</f>
        <v>50</v>
      </c>
    </row>
    <row r="3619" spans="1:5" ht="18" x14ac:dyDescent="0.35">
      <c r="A3619" s="5"/>
      <c r="B3619" s="5"/>
      <c r="C3619" s="54"/>
      <c r="D3619" s="54"/>
      <c r="E3619" s="85">
        <f>SUM(E3617:E3618)</f>
        <v>121.79367999999999</v>
      </c>
    </row>
    <row r="3621" spans="1:5" ht="21" x14ac:dyDescent="0.4">
      <c r="A3621" s="40" t="s">
        <v>1269</v>
      </c>
      <c r="B3621" s="40"/>
      <c r="C3621" s="84"/>
    </row>
    <row r="3622" spans="1:5" ht="18" x14ac:dyDescent="0.35">
      <c r="A3622" s="5"/>
      <c r="B3622" s="5"/>
      <c r="C3622" s="7" t="s">
        <v>28</v>
      </c>
      <c r="D3622" s="7" t="s">
        <v>29</v>
      </c>
      <c r="E3622" s="7" t="s">
        <v>30</v>
      </c>
    </row>
    <row r="3623" spans="1:5" ht="18" x14ac:dyDescent="0.35">
      <c r="A3623" s="5" t="s">
        <v>305</v>
      </c>
      <c r="B3623" s="50" t="s">
        <v>32</v>
      </c>
      <c r="C3623" s="7">
        <v>6.5220000000000002</v>
      </c>
      <c r="D3623" s="7">
        <v>10.34</v>
      </c>
      <c r="E3623" s="85">
        <f t="shared" ref="E3623:E3628" si="288">C3623*D3623</f>
        <v>67.437480000000008</v>
      </c>
    </row>
    <row r="3624" spans="1:5" ht="18" x14ac:dyDescent="0.35">
      <c r="A3624" s="5" t="s">
        <v>246</v>
      </c>
      <c r="B3624" s="50" t="s">
        <v>33</v>
      </c>
      <c r="C3624" s="7">
        <v>3.1389999999999998</v>
      </c>
      <c r="D3624" s="7">
        <v>16.170000000000002</v>
      </c>
      <c r="E3624" s="85">
        <f t="shared" si="288"/>
        <v>50.757629999999999</v>
      </c>
    </row>
    <row r="3625" spans="1:5" ht="18" x14ac:dyDescent="0.35">
      <c r="A3625" s="5" t="s">
        <v>616</v>
      </c>
      <c r="B3625" s="50" t="s">
        <v>42</v>
      </c>
      <c r="C3625" s="7">
        <v>2</v>
      </c>
      <c r="D3625" s="7">
        <v>1.08</v>
      </c>
      <c r="E3625" s="85">
        <f t="shared" si="288"/>
        <v>2.16</v>
      </c>
    </row>
    <row r="3626" spans="1:5" ht="18" x14ac:dyDescent="0.35">
      <c r="A3626" s="5"/>
      <c r="B3626" s="50" t="s">
        <v>34</v>
      </c>
      <c r="C3626" s="7">
        <v>0.24</v>
      </c>
      <c r="D3626" s="7">
        <v>14.61</v>
      </c>
      <c r="E3626" s="85">
        <f t="shared" si="288"/>
        <v>3.5063999999999997</v>
      </c>
    </row>
    <row r="3627" spans="1:5" ht="18" x14ac:dyDescent="0.35">
      <c r="A3627" s="5"/>
      <c r="B3627" s="50" t="s">
        <v>35</v>
      </c>
      <c r="C3627" s="7">
        <v>4</v>
      </c>
      <c r="D3627" s="7">
        <v>2.91</v>
      </c>
      <c r="E3627" s="85">
        <f t="shared" si="288"/>
        <v>11.64</v>
      </c>
    </row>
    <row r="3628" spans="1:5" ht="18" x14ac:dyDescent="0.35">
      <c r="A3628" s="5"/>
      <c r="B3628" s="50" t="s">
        <v>36</v>
      </c>
      <c r="C3628" s="7">
        <v>4</v>
      </c>
      <c r="D3628" s="7">
        <v>0.61</v>
      </c>
      <c r="E3628" s="85">
        <f t="shared" si="288"/>
        <v>2.44</v>
      </c>
    </row>
    <row r="3629" spans="1:5" ht="18" x14ac:dyDescent="0.35">
      <c r="A3629" s="5"/>
      <c r="B3629" s="96"/>
      <c r="C3629" s="87"/>
      <c r="D3629" s="87"/>
      <c r="E3629" s="94"/>
    </row>
    <row r="3630" spans="1:5" ht="18" x14ac:dyDescent="0.35">
      <c r="A3630" s="5"/>
      <c r="B3630" s="5"/>
      <c r="C3630" s="54"/>
      <c r="D3630" s="54"/>
      <c r="E3630" s="89">
        <f>SUM(E3623:E3628)</f>
        <v>137.94150999999999</v>
      </c>
    </row>
    <row r="3631" spans="1:5" ht="18" x14ac:dyDescent="0.35">
      <c r="A3631" s="5"/>
      <c r="B3631" s="5"/>
      <c r="C3631" s="54"/>
      <c r="D3631" s="54" t="s">
        <v>1063</v>
      </c>
      <c r="E3631" s="89">
        <f>E3630+E3630*40%</f>
        <v>193.11811399999999</v>
      </c>
    </row>
    <row r="3632" spans="1:5" ht="18" x14ac:dyDescent="0.35">
      <c r="A3632" s="5"/>
      <c r="B3632" s="50" t="s">
        <v>37</v>
      </c>
      <c r="C3632" s="54">
        <v>1</v>
      </c>
      <c r="D3632" s="54">
        <v>200</v>
      </c>
      <c r="E3632" s="85">
        <v>200</v>
      </c>
    </row>
    <row r="3633" spans="1:5" ht="18" x14ac:dyDescent="0.35">
      <c r="A3633" s="5"/>
      <c r="B3633" s="5"/>
      <c r="C3633" s="54"/>
      <c r="D3633" s="54"/>
      <c r="E3633" s="85">
        <f>SUM(E3631:E3632)</f>
        <v>393.11811399999999</v>
      </c>
    </row>
    <row r="3636" spans="1:5" ht="21" x14ac:dyDescent="0.4">
      <c r="A3636" s="40" t="s">
        <v>1269</v>
      </c>
      <c r="B3636" s="40"/>
      <c r="C3636" s="84"/>
    </row>
    <row r="3637" spans="1:5" ht="18" x14ac:dyDescent="0.35">
      <c r="A3637" s="5"/>
      <c r="B3637" s="5"/>
      <c r="C3637" s="7" t="s">
        <v>28</v>
      </c>
      <c r="D3637" s="7" t="s">
        <v>29</v>
      </c>
      <c r="E3637" s="7" t="s">
        <v>30</v>
      </c>
    </row>
    <row r="3638" spans="1:5" ht="18" x14ac:dyDescent="0.35">
      <c r="A3638" s="5" t="s">
        <v>487</v>
      </c>
      <c r="B3638" s="50" t="s">
        <v>32</v>
      </c>
      <c r="C3638" s="7">
        <v>6.6479999999999997</v>
      </c>
      <c r="D3638" s="7">
        <v>10.34</v>
      </c>
      <c r="E3638" s="85">
        <f t="shared" ref="E3638:E3643" si="289">C3638*D3638</f>
        <v>68.740319999999997</v>
      </c>
    </row>
    <row r="3639" spans="1:5" ht="18" x14ac:dyDescent="0.35">
      <c r="A3639" s="5" t="s">
        <v>39</v>
      </c>
      <c r="B3639" s="50" t="s">
        <v>33</v>
      </c>
      <c r="C3639" s="7">
        <v>12.558</v>
      </c>
      <c r="D3639" s="7">
        <v>16.170000000000002</v>
      </c>
      <c r="E3639" s="85">
        <f t="shared" si="289"/>
        <v>203.06286000000003</v>
      </c>
    </row>
    <row r="3640" spans="1:5" ht="18" x14ac:dyDescent="0.35">
      <c r="A3640" s="5" t="s">
        <v>616</v>
      </c>
      <c r="B3640" s="50" t="s">
        <v>42</v>
      </c>
      <c r="C3640" s="7">
        <v>2</v>
      </c>
      <c r="D3640" s="7">
        <v>1.08</v>
      </c>
      <c r="E3640" s="85">
        <f t="shared" si="289"/>
        <v>2.16</v>
      </c>
    </row>
    <row r="3641" spans="1:5" ht="18" x14ac:dyDescent="0.35">
      <c r="A3641" s="5"/>
      <c r="B3641" s="50" t="s">
        <v>34</v>
      </c>
      <c r="C3641" s="7">
        <v>0.6</v>
      </c>
      <c r="D3641" s="7">
        <v>14.61</v>
      </c>
      <c r="E3641" s="85">
        <f t="shared" si="289"/>
        <v>8.766</v>
      </c>
    </row>
    <row r="3642" spans="1:5" ht="18" x14ac:dyDescent="0.35">
      <c r="A3642" s="5"/>
      <c r="B3642" s="50" t="s">
        <v>35</v>
      </c>
      <c r="C3642" s="7">
        <v>4</v>
      </c>
      <c r="D3642" s="7">
        <v>2.91</v>
      </c>
      <c r="E3642" s="85">
        <f t="shared" si="289"/>
        <v>11.64</v>
      </c>
    </row>
    <row r="3643" spans="1:5" ht="18" x14ac:dyDescent="0.35">
      <c r="A3643" s="5"/>
      <c r="B3643" s="50" t="s">
        <v>36</v>
      </c>
      <c r="C3643" s="7">
        <v>4</v>
      </c>
      <c r="D3643" s="7">
        <v>0.61</v>
      </c>
      <c r="E3643" s="85">
        <f t="shared" si="289"/>
        <v>2.44</v>
      </c>
    </row>
    <row r="3644" spans="1:5" ht="18" x14ac:dyDescent="0.35">
      <c r="A3644" s="5"/>
      <c r="B3644" s="96"/>
      <c r="C3644" s="87"/>
      <c r="D3644" s="87"/>
      <c r="E3644" s="94"/>
    </row>
    <row r="3645" spans="1:5" ht="18" x14ac:dyDescent="0.35">
      <c r="A3645" s="5"/>
      <c r="B3645" s="5"/>
      <c r="C3645" s="54"/>
      <c r="D3645" s="54"/>
      <c r="E3645" s="89">
        <f>SUM(E3638:E3643)</f>
        <v>296.80918000000003</v>
      </c>
    </row>
    <row r="3646" spans="1:5" ht="18" x14ac:dyDescent="0.35">
      <c r="A3646" s="5"/>
      <c r="B3646" s="5"/>
      <c r="C3646" s="54"/>
      <c r="D3646" s="54" t="s">
        <v>1063</v>
      </c>
      <c r="E3646" s="89">
        <f>E3645+E3645*40%</f>
        <v>415.53285200000005</v>
      </c>
    </row>
    <row r="3647" spans="1:5" ht="18" x14ac:dyDescent="0.35">
      <c r="A3647" s="5"/>
      <c r="B3647" s="50" t="s">
        <v>37</v>
      </c>
      <c r="C3647" s="54">
        <v>1</v>
      </c>
      <c r="D3647" s="54">
        <v>200</v>
      </c>
      <c r="E3647" s="85">
        <v>200</v>
      </c>
    </row>
    <row r="3648" spans="1:5" ht="18" x14ac:dyDescent="0.35">
      <c r="A3648" s="5"/>
      <c r="B3648" s="5"/>
      <c r="C3648" s="54"/>
      <c r="D3648" s="54"/>
      <c r="E3648" s="85">
        <f>SUM(E3646:E3647)</f>
        <v>615.53285200000005</v>
      </c>
    </row>
    <row r="3650" spans="1:5" ht="21" x14ac:dyDescent="0.4">
      <c r="A3650" s="40" t="s">
        <v>1269</v>
      </c>
      <c r="B3650" s="40"/>
      <c r="C3650" s="84"/>
    </row>
    <row r="3651" spans="1:5" ht="18" x14ac:dyDescent="0.35">
      <c r="A3651" s="5"/>
      <c r="B3651" s="5"/>
      <c r="C3651" s="7" t="s">
        <v>28</v>
      </c>
      <c r="D3651" s="7" t="s">
        <v>29</v>
      </c>
      <c r="E3651" s="7" t="s">
        <v>30</v>
      </c>
    </row>
    <row r="3652" spans="1:5" ht="18" x14ac:dyDescent="0.35">
      <c r="A3652" s="5" t="s">
        <v>304</v>
      </c>
      <c r="B3652" s="50" t="s">
        <v>32</v>
      </c>
      <c r="C3652" s="7">
        <v>4.4219999999999997</v>
      </c>
      <c r="D3652" s="7">
        <v>10.34</v>
      </c>
      <c r="E3652" s="85">
        <f t="shared" ref="E3652:E3657" si="290">C3652*D3652</f>
        <v>45.723479999999995</v>
      </c>
    </row>
    <row r="3653" spans="1:5" ht="18" x14ac:dyDescent="0.35">
      <c r="A3653" s="5" t="s">
        <v>246</v>
      </c>
      <c r="B3653" s="50" t="s">
        <v>33</v>
      </c>
      <c r="C3653" s="7">
        <v>2.089</v>
      </c>
      <c r="D3653" s="7">
        <v>16.170000000000002</v>
      </c>
      <c r="E3653" s="85">
        <f t="shared" si="290"/>
        <v>33.779130000000002</v>
      </c>
    </row>
    <row r="3654" spans="1:5" ht="18" x14ac:dyDescent="0.35">
      <c r="A3654" s="5" t="s">
        <v>616</v>
      </c>
      <c r="B3654" s="50" t="s">
        <v>42</v>
      </c>
      <c r="C3654" s="7">
        <v>0.09</v>
      </c>
      <c r="D3654" s="7">
        <v>1.08</v>
      </c>
      <c r="E3654" s="85">
        <f t="shared" si="290"/>
        <v>9.7200000000000009E-2</v>
      </c>
    </row>
    <row r="3655" spans="1:5" ht="18" x14ac:dyDescent="0.35">
      <c r="A3655" s="5"/>
      <c r="B3655" s="50" t="s">
        <v>34</v>
      </c>
      <c r="C3655" s="7">
        <v>0.24</v>
      </c>
      <c r="D3655" s="7">
        <v>14.61</v>
      </c>
      <c r="E3655" s="85">
        <f t="shared" si="290"/>
        <v>3.5063999999999997</v>
      </c>
    </row>
    <row r="3656" spans="1:5" ht="18" x14ac:dyDescent="0.35">
      <c r="A3656" s="5"/>
      <c r="B3656" s="50" t="s">
        <v>35</v>
      </c>
      <c r="C3656" s="7">
        <v>4</v>
      </c>
      <c r="D3656" s="7">
        <v>2.91</v>
      </c>
      <c r="E3656" s="85">
        <f t="shared" si="290"/>
        <v>11.64</v>
      </c>
    </row>
    <row r="3657" spans="1:5" ht="18" x14ac:dyDescent="0.35">
      <c r="A3657" s="5"/>
      <c r="B3657" s="50" t="s">
        <v>36</v>
      </c>
      <c r="C3657" s="7">
        <v>4</v>
      </c>
      <c r="D3657" s="7">
        <v>0.61</v>
      </c>
      <c r="E3657" s="85">
        <f t="shared" si="290"/>
        <v>2.44</v>
      </c>
    </row>
    <row r="3658" spans="1:5" ht="18" x14ac:dyDescent="0.35">
      <c r="A3658" s="5"/>
      <c r="B3658" s="96"/>
      <c r="C3658" s="87"/>
      <c r="D3658" s="87"/>
      <c r="E3658" s="94"/>
    </row>
    <row r="3659" spans="1:5" ht="18" x14ac:dyDescent="0.35">
      <c r="A3659" s="5"/>
      <c r="B3659" s="5"/>
      <c r="C3659" s="54"/>
      <c r="D3659" s="54"/>
      <c r="E3659" s="89">
        <f>SUM(E3652:E3657)</f>
        <v>97.186210000000003</v>
      </c>
    </row>
    <row r="3660" spans="1:5" ht="18" x14ac:dyDescent="0.35">
      <c r="A3660" s="5"/>
      <c r="B3660" s="5"/>
      <c r="C3660" s="54"/>
      <c r="D3660" s="54" t="s">
        <v>1063</v>
      </c>
      <c r="E3660" s="89">
        <f>E3659+E3659*40%</f>
        <v>136.06069400000001</v>
      </c>
    </row>
    <row r="3661" spans="1:5" ht="18" x14ac:dyDescent="0.35">
      <c r="A3661" s="5"/>
      <c r="B3661" s="50" t="s">
        <v>37</v>
      </c>
      <c r="C3661" s="54">
        <v>1</v>
      </c>
      <c r="D3661" s="54">
        <v>200</v>
      </c>
      <c r="E3661" s="85">
        <v>200</v>
      </c>
    </row>
    <row r="3662" spans="1:5" ht="18" x14ac:dyDescent="0.35">
      <c r="A3662" s="5"/>
      <c r="B3662" s="5"/>
      <c r="C3662" s="54"/>
      <c r="D3662" s="54"/>
      <c r="E3662" s="85">
        <f>SUM(E3660:E3661)</f>
        <v>336.06069400000001</v>
      </c>
    </row>
    <row r="3664" spans="1:5" ht="21" x14ac:dyDescent="0.4">
      <c r="A3664" s="40" t="s">
        <v>1269</v>
      </c>
      <c r="B3664" s="40"/>
      <c r="C3664" s="84"/>
    </row>
    <row r="3665" spans="1:5" ht="18" x14ac:dyDescent="0.35">
      <c r="A3665" s="5"/>
      <c r="B3665" s="5"/>
      <c r="C3665" s="7" t="s">
        <v>28</v>
      </c>
      <c r="D3665" s="7" t="s">
        <v>29</v>
      </c>
      <c r="E3665" s="7" t="s">
        <v>30</v>
      </c>
    </row>
    <row r="3666" spans="1:5" ht="18" x14ac:dyDescent="0.35">
      <c r="A3666" s="5" t="s">
        <v>305</v>
      </c>
      <c r="B3666" s="50" t="s">
        <v>32</v>
      </c>
      <c r="C3666" s="7">
        <v>6.5220000000000002</v>
      </c>
      <c r="D3666" s="7">
        <v>10.34</v>
      </c>
      <c r="E3666" s="85">
        <f t="shared" ref="E3666:E3671" si="291">C3666*D3666</f>
        <v>67.437480000000008</v>
      </c>
    </row>
    <row r="3667" spans="1:5" ht="18" x14ac:dyDescent="0.35">
      <c r="A3667" s="5" t="s">
        <v>246</v>
      </c>
      <c r="B3667" s="50" t="s">
        <v>33</v>
      </c>
      <c r="C3667" s="7">
        <v>3.1389999999999998</v>
      </c>
      <c r="D3667" s="7">
        <v>16.170000000000002</v>
      </c>
      <c r="E3667" s="85">
        <f t="shared" si="291"/>
        <v>50.757629999999999</v>
      </c>
    </row>
    <row r="3668" spans="1:5" ht="18" x14ac:dyDescent="0.35">
      <c r="A3668" s="5" t="s">
        <v>616</v>
      </c>
      <c r="B3668" s="50" t="s">
        <v>42</v>
      </c>
      <c r="C3668" s="7">
        <v>0.24</v>
      </c>
      <c r="D3668" s="7">
        <v>1.08</v>
      </c>
      <c r="E3668" s="85">
        <f t="shared" si="291"/>
        <v>0.25919999999999999</v>
      </c>
    </row>
    <row r="3669" spans="1:5" ht="18" x14ac:dyDescent="0.35">
      <c r="A3669" s="5"/>
      <c r="B3669" s="50" t="s">
        <v>34</v>
      </c>
      <c r="C3669" s="7">
        <v>0.24</v>
      </c>
      <c r="D3669" s="7">
        <v>14.61</v>
      </c>
      <c r="E3669" s="85">
        <f t="shared" si="291"/>
        <v>3.5063999999999997</v>
      </c>
    </row>
    <row r="3670" spans="1:5" ht="18" x14ac:dyDescent="0.35">
      <c r="A3670" s="5"/>
      <c r="B3670" s="50" t="s">
        <v>35</v>
      </c>
      <c r="C3670" s="7">
        <v>4</v>
      </c>
      <c r="D3670" s="7">
        <v>2.91</v>
      </c>
      <c r="E3670" s="85">
        <f t="shared" si="291"/>
        <v>11.64</v>
      </c>
    </row>
    <row r="3671" spans="1:5" ht="18" x14ac:dyDescent="0.35">
      <c r="A3671" s="5"/>
      <c r="B3671" s="50" t="s">
        <v>36</v>
      </c>
      <c r="C3671" s="7">
        <v>4</v>
      </c>
      <c r="D3671" s="7">
        <v>0.61</v>
      </c>
      <c r="E3671" s="85">
        <f t="shared" si="291"/>
        <v>2.44</v>
      </c>
    </row>
    <row r="3672" spans="1:5" ht="18" x14ac:dyDescent="0.35">
      <c r="A3672" s="5"/>
      <c r="B3672" s="96"/>
      <c r="C3672" s="87"/>
      <c r="D3672" s="87"/>
      <c r="E3672" s="94"/>
    </row>
    <row r="3673" spans="1:5" ht="18" x14ac:dyDescent="0.35">
      <c r="A3673" s="5"/>
      <c r="B3673" s="5"/>
      <c r="C3673" s="54"/>
      <c r="D3673" s="54"/>
      <c r="E3673" s="89">
        <f>SUM(E3666:E3671)</f>
        <v>136.04070999999999</v>
      </c>
    </row>
    <row r="3674" spans="1:5" ht="18" x14ac:dyDescent="0.35">
      <c r="A3674" s="5"/>
      <c r="B3674" s="5"/>
      <c r="C3674" s="54"/>
      <c r="D3674" s="54" t="s">
        <v>1063</v>
      </c>
      <c r="E3674" s="89">
        <f>E3673+E3673*40%</f>
        <v>190.45699399999998</v>
      </c>
    </row>
    <row r="3675" spans="1:5" ht="18" x14ac:dyDescent="0.35">
      <c r="A3675" s="5"/>
      <c r="B3675" s="50" t="s">
        <v>37</v>
      </c>
      <c r="C3675" s="54">
        <v>1</v>
      </c>
      <c r="D3675" s="54">
        <v>200</v>
      </c>
      <c r="E3675" s="85">
        <v>200</v>
      </c>
    </row>
    <row r="3676" spans="1:5" ht="18" x14ac:dyDescent="0.35">
      <c r="A3676" s="5"/>
      <c r="B3676" s="5"/>
      <c r="C3676" s="54"/>
      <c r="D3676" s="54"/>
      <c r="E3676" s="85">
        <f>SUM(E3674:E3675)</f>
        <v>390.45699400000001</v>
      </c>
    </row>
    <row r="3678" spans="1:5" x14ac:dyDescent="0.3">
      <c r="A3678" t="s">
        <v>1271</v>
      </c>
    </row>
    <row r="3679" spans="1:5" ht="21" x14ac:dyDescent="0.4">
      <c r="A3679" s="40" t="s">
        <v>1270</v>
      </c>
      <c r="B3679" s="40"/>
      <c r="C3679" s="40"/>
      <c r="D3679" s="12"/>
      <c r="E3679" s="12"/>
    </row>
    <row r="3680" spans="1:5" ht="18" x14ac:dyDescent="0.35">
      <c r="A3680" s="5"/>
      <c r="B3680" s="5"/>
      <c r="C3680" s="7" t="s">
        <v>28</v>
      </c>
      <c r="D3680" s="7" t="s">
        <v>29</v>
      </c>
      <c r="E3680" s="7" t="s">
        <v>30</v>
      </c>
    </row>
    <row r="3681" spans="1:5" ht="18" x14ac:dyDescent="0.35">
      <c r="A3681" s="5" t="s">
        <v>235</v>
      </c>
      <c r="B3681" s="50" t="s">
        <v>32</v>
      </c>
      <c r="C3681" s="7">
        <v>2.343</v>
      </c>
      <c r="D3681" s="7">
        <v>10.34</v>
      </c>
      <c r="E3681" s="85">
        <f>C3681*D3681</f>
        <v>24.22662</v>
      </c>
    </row>
    <row r="3682" spans="1:5" ht="18" x14ac:dyDescent="0.35">
      <c r="A3682" s="5" t="s">
        <v>171</v>
      </c>
      <c r="B3682" s="50" t="s">
        <v>33</v>
      </c>
      <c r="C3682" s="7">
        <v>2.0790000000000002</v>
      </c>
      <c r="D3682" s="7">
        <v>17.059999999999999</v>
      </c>
      <c r="E3682" s="85">
        <f>C3682*D3682</f>
        <v>35.467739999999999</v>
      </c>
    </row>
    <row r="3683" spans="1:5" ht="18" x14ac:dyDescent="0.35">
      <c r="A3683" s="5" t="s">
        <v>799</v>
      </c>
      <c r="B3683" s="50" t="s">
        <v>137</v>
      </c>
      <c r="C3683" s="7">
        <v>0.15</v>
      </c>
      <c r="D3683" s="7">
        <v>17.190000000000001</v>
      </c>
      <c r="E3683" s="85">
        <f>C3683*D3683</f>
        <v>2.5785</v>
      </c>
    </row>
    <row r="3684" spans="1:5" ht="18" x14ac:dyDescent="0.35">
      <c r="A3684" s="5"/>
      <c r="B3684" s="50" t="s">
        <v>35</v>
      </c>
      <c r="C3684" s="7">
        <v>4</v>
      </c>
      <c r="D3684" s="7">
        <v>2.91</v>
      </c>
      <c r="E3684" s="85">
        <f>C3684*D3684</f>
        <v>11.64</v>
      </c>
    </row>
    <row r="3685" spans="1:5" ht="18" x14ac:dyDescent="0.35">
      <c r="A3685" s="5"/>
      <c r="B3685" s="50" t="s">
        <v>36</v>
      </c>
      <c r="C3685" s="7">
        <v>4</v>
      </c>
      <c r="D3685" s="7">
        <v>0.61</v>
      </c>
      <c r="E3685" s="85">
        <f>C3685*D3685</f>
        <v>2.44</v>
      </c>
    </row>
    <row r="3686" spans="1:5" ht="18" x14ac:dyDescent="0.35">
      <c r="A3686" s="5"/>
      <c r="B3686" s="50"/>
      <c r="C3686" s="87"/>
      <c r="D3686" s="88"/>
      <c r="E3686" s="85">
        <f>SUM(E3681:E3685)</f>
        <v>76.352859999999993</v>
      </c>
    </row>
    <row r="3687" spans="1:5" ht="18" x14ac:dyDescent="0.35">
      <c r="A3687" s="5"/>
      <c r="B3687" s="50"/>
      <c r="C3687" s="87"/>
      <c r="D3687" s="88" t="s">
        <v>1266</v>
      </c>
      <c r="E3687" s="85">
        <f>E3686+E3686*40%</f>
        <v>106.894004</v>
      </c>
    </row>
    <row r="3688" spans="1:5" ht="18" x14ac:dyDescent="0.35">
      <c r="A3688" s="5"/>
      <c r="B3688" s="50" t="s">
        <v>37</v>
      </c>
      <c r="C3688" s="54">
        <v>0.5</v>
      </c>
      <c r="D3688" s="86">
        <v>200</v>
      </c>
      <c r="E3688" s="85">
        <f>C3688*D3688</f>
        <v>100</v>
      </c>
    </row>
    <row r="3689" spans="1:5" ht="18" x14ac:dyDescent="0.35">
      <c r="A3689" s="5"/>
      <c r="B3689" s="5"/>
      <c r="C3689" s="54"/>
      <c r="D3689" s="54"/>
      <c r="E3689" s="85">
        <f>SUM(E3687:E3688)</f>
        <v>206.894004</v>
      </c>
    </row>
    <row r="3690" spans="1:5" ht="21" x14ac:dyDescent="0.4">
      <c r="A3690" s="40" t="s">
        <v>1270</v>
      </c>
      <c r="B3690" s="40"/>
      <c r="C3690" s="40"/>
      <c r="D3690" s="12"/>
      <c r="E3690" s="12"/>
    </row>
    <row r="3691" spans="1:5" ht="18" x14ac:dyDescent="0.35">
      <c r="A3691" s="5"/>
      <c r="B3691" s="5"/>
      <c r="C3691" s="7" t="s">
        <v>28</v>
      </c>
      <c r="D3691" s="7" t="s">
        <v>29</v>
      </c>
      <c r="E3691" s="7" t="s">
        <v>30</v>
      </c>
    </row>
    <row r="3692" spans="1:5" ht="18" x14ac:dyDescent="0.35">
      <c r="A3692" s="5" t="s">
        <v>748</v>
      </c>
      <c r="B3692" s="50" t="s">
        <v>32</v>
      </c>
      <c r="C3692" s="7">
        <v>3.6030000000000002</v>
      </c>
      <c r="D3692" s="7">
        <v>10.34</v>
      </c>
      <c r="E3692" s="85">
        <f>C3692*D3692</f>
        <v>37.255020000000002</v>
      </c>
    </row>
    <row r="3693" spans="1:5" ht="18" x14ac:dyDescent="0.35">
      <c r="A3693" s="5" t="s">
        <v>232</v>
      </c>
      <c r="B3693" s="50" t="s">
        <v>33</v>
      </c>
      <c r="C3693" s="7">
        <v>15.645</v>
      </c>
      <c r="D3693" s="7">
        <v>17.059999999999999</v>
      </c>
      <c r="E3693" s="85">
        <f>C3693*D3693</f>
        <v>266.90369999999996</v>
      </c>
    </row>
    <row r="3694" spans="1:5" ht="18" x14ac:dyDescent="0.35">
      <c r="A3694" s="5" t="s">
        <v>799</v>
      </c>
      <c r="B3694" s="50" t="s">
        <v>137</v>
      </c>
      <c r="C3694" s="7">
        <v>0.75</v>
      </c>
      <c r="D3694" s="7">
        <v>17.190000000000001</v>
      </c>
      <c r="E3694" s="85">
        <f>C3694*D3694</f>
        <v>12.892500000000002</v>
      </c>
    </row>
    <row r="3695" spans="1:5" ht="18" x14ac:dyDescent="0.35">
      <c r="A3695" s="5"/>
      <c r="B3695" s="50" t="s">
        <v>35</v>
      </c>
      <c r="C3695" s="7">
        <v>4</v>
      </c>
      <c r="D3695" s="7">
        <v>2.91</v>
      </c>
      <c r="E3695" s="85">
        <f>C3695*D3695</f>
        <v>11.64</v>
      </c>
    </row>
    <row r="3696" spans="1:5" ht="18" x14ac:dyDescent="0.35">
      <c r="A3696" s="5"/>
      <c r="B3696" s="50" t="s">
        <v>36</v>
      </c>
      <c r="C3696" s="7">
        <v>4</v>
      </c>
      <c r="D3696" s="7">
        <v>0.61</v>
      </c>
      <c r="E3696" s="85">
        <f>C3696*D3696</f>
        <v>2.44</v>
      </c>
    </row>
    <row r="3697" spans="1:5" ht="18" x14ac:dyDescent="0.35">
      <c r="A3697" s="5"/>
      <c r="B3697" s="50"/>
      <c r="C3697" s="87"/>
      <c r="D3697" s="88"/>
      <c r="E3697" s="85">
        <f>SUM(E3692:E3696)</f>
        <v>331.13121999999993</v>
      </c>
    </row>
    <row r="3698" spans="1:5" ht="18" x14ac:dyDescent="0.35">
      <c r="A3698" s="5"/>
      <c r="B3698" s="50"/>
      <c r="C3698" s="87"/>
      <c r="D3698" s="88" t="s">
        <v>1266</v>
      </c>
      <c r="E3698" s="85">
        <f>E3697+E3697*40%</f>
        <v>463.58370799999989</v>
      </c>
    </row>
    <row r="3699" spans="1:5" ht="18" x14ac:dyDescent="0.35">
      <c r="A3699" s="5"/>
      <c r="B3699" s="50" t="s">
        <v>37</v>
      </c>
      <c r="C3699" s="54">
        <v>1.5</v>
      </c>
      <c r="D3699" s="86">
        <v>200</v>
      </c>
      <c r="E3699" s="85">
        <f>C3699*D3699</f>
        <v>300</v>
      </c>
    </row>
    <row r="3700" spans="1:5" ht="18" x14ac:dyDescent="0.35">
      <c r="A3700" s="5"/>
      <c r="B3700" s="5"/>
      <c r="C3700" s="54"/>
      <c r="D3700" s="54"/>
      <c r="E3700" s="85">
        <f>SUM(E3698:E3699)</f>
        <v>763.58370799999989</v>
      </c>
    </row>
    <row r="3702" spans="1:5" ht="18" x14ac:dyDescent="0.35">
      <c r="A3702" s="111" t="s">
        <v>1272</v>
      </c>
    </row>
    <row r="3703" spans="1:5" ht="21" x14ac:dyDescent="0.4">
      <c r="A3703" s="40" t="s">
        <v>1062</v>
      </c>
      <c r="B3703" s="40"/>
      <c r="C3703" s="84"/>
      <c r="D3703" s="12"/>
      <c r="E3703" s="12"/>
    </row>
    <row r="3704" spans="1:5" ht="21" x14ac:dyDescent="0.4">
      <c r="A3704" s="40"/>
      <c r="B3704" s="40"/>
      <c r="C3704" s="84"/>
      <c r="D3704" s="12"/>
      <c r="E3704" s="12"/>
    </row>
    <row r="3705" spans="1:5" ht="18" x14ac:dyDescent="0.35">
      <c r="A3705" s="5"/>
      <c r="B3705" s="5"/>
      <c r="C3705" s="7" t="s">
        <v>28</v>
      </c>
      <c r="D3705" s="7" t="s">
        <v>29</v>
      </c>
      <c r="E3705" s="7" t="s">
        <v>30</v>
      </c>
    </row>
    <row r="3706" spans="1:5" ht="18" x14ac:dyDescent="0.35">
      <c r="A3706" s="5" t="s">
        <v>48</v>
      </c>
      <c r="B3706" s="50" t="s">
        <v>32</v>
      </c>
      <c r="C3706" s="7">
        <v>2.448</v>
      </c>
      <c r="D3706" s="7">
        <v>45.07</v>
      </c>
      <c r="E3706" s="85">
        <f t="shared" ref="E3706:E3713" si="292">C3706*D3706</f>
        <v>110.33136</v>
      </c>
    </row>
    <row r="3707" spans="1:5" ht="18" x14ac:dyDescent="0.35">
      <c r="A3707" s="5" t="s">
        <v>238</v>
      </c>
      <c r="B3707" s="50" t="s">
        <v>33</v>
      </c>
      <c r="C3707" s="7">
        <v>4.1580000000000004</v>
      </c>
      <c r="D3707" s="7">
        <v>16.170000000000002</v>
      </c>
      <c r="E3707" s="85">
        <f t="shared" si="292"/>
        <v>67.234860000000012</v>
      </c>
    </row>
    <row r="3708" spans="1:5" ht="18" x14ac:dyDescent="0.35">
      <c r="A3708" s="5" t="s">
        <v>1273</v>
      </c>
      <c r="B3708" s="50" t="s">
        <v>33</v>
      </c>
      <c r="C3708" s="7">
        <v>4.7249999999999996</v>
      </c>
      <c r="D3708" s="7">
        <v>16.170000000000002</v>
      </c>
      <c r="E3708" s="85">
        <f t="shared" si="292"/>
        <v>76.40325</v>
      </c>
    </row>
    <row r="3709" spans="1:5" ht="18" x14ac:dyDescent="0.35">
      <c r="A3709" s="5" t="s">
        <v>673</v>
      </c>
      <c r="B3709" s="50" t="s">
        <v>43</v>
      </c>
      <c r="C3709" s="7">
        <v>2</v>
      </c>
      <c r="D3709" s="7">
        <v>1.1499999999999999</v>
      </c>
      <c r="E3709" s="85">
        <f t="shared" si="292"/>
        <v>2.2999999999999998</v>
      </c>
    </row>
    <row r="3710" spans="1:5" ht="18" x14ac:dyDescent="0.35">
      <c r="A3710" s="5" t="s">
        <v>1097</v>
      </c>
      <c r="B3710" s="50" t="s">
        <v>94</v>
      </c>
      <c r="C3710" s="88">
        <v>4</v>
      </c>
      <c r="D3710" s="88">
        <v>2.2400000000000002</v>
      </c>
      <c r="E3710" s="90">
        <f t="shared" si="292"/>
        <v>8.9600000000000009</v>
      </c>
    </row>
    <row r="3711" spans="1:5" ht="18" x14ac:dyDescent="0.35">
      <c r="A3711" s="5"/>
      <c r="B3711" s="50" t="s">
        <v>34</v>
      </c>
      <c r="C3711" s="7">
        <v>0.2</v>
      </c>
      <c r="D3711" s="7">
        <v>18.05</v>
      </c>
      <c r="E3711" s="85">
        <f t="shared" si="292"/>
        <v>3.6100000000000003</v>
      </c>
    </row>
    <row r="3712" spans="1:5" ht="18" x14ac:dyDescent="0.35">
      <c r="A3712" s="5"/>
      <c r="B3712" s="50" t="s">
        <v>35</v>
      </c>
      <c r="C3712" s="7">
        <v>4</v>
      </c>
      <c r="D3712" s="7">
        <v>2.0099999999999998</v>
      </c>
      <c r="E3712" s="85">
        <f t="shared" si="292"/>
        <v>8.0399999999999991</v>
      </c>
    </row>
    <row r="3713" spans="1:5" ht="18" x14ac:dyDescent="0.35">
      <c r="A3713" s="5"/>
      <c r="B3713" s="50" t="s">
        <v>36</v>
      </c>
      <c r="C3713" s="7">
        <v>4</v>
      </c>
      <c r="D3713" s="7">
        <v>0.25</v>
      </c>
      <c r="E3713" s="85">
        <f t="shared" si="292"/>
        <v>1</v>
      </c>
    </row>
    <row r="3714" spans="1:5" ht="18" x14ac:dyDescent="0.35">
      <c r="A3714" s="5"/>
      <c r="B3714" s="5"/>
      <c r="C3714" s="54"/>
      <c r="D3714" s="54"/>
      <c r="E3714" s="89">
        <f>SUM(E3706:E3713)</f>
        <v>277.87947000000003</v>
      </c>
    </row>
    <row r="3715" spans="1:5" ht="18" x14ac:dyDescent="0.35">
      <c r="A3715" s="5"/>
      <c r="B3715" s="5"/>
      <c r="C3715" s="54"/>
      <c r="D3715" s="54" t="s">
        <v>1161</v>
      </c>
      <c r="E3715" s="89">
        <f>E3714+E3714*30%</f>
        <v>361.24331100000006</v>
      </c>
    </row>
    <row r="3716" spans="1:5" ht="18" x14ac:dyDescent="0.35">
      <c r="A3716" s="5"/>
      <c r="B3716" s="50" t="s">
        <v>37</v>
      </c>
      <c r="C3716" s="54">
        <v>0.5</v>
      </c>
      <c r="D3716" s="54">
        <v>200</v>
      </c>
      <c r="E3716" s="85">
        <f>C3716*D3716</f>
        <v>100</v>
      </c>
    </row>
    <row r="3717" spans="1:5" ht="18" x14ac:dyDescent="0.35">
      <c r="A3717" s="5"/>
      <c r="B3717" s="5"/>
      <c r="C3717" s="54"/>
      <c r="D3717" s="54"/>
      <c r="E3717" s="112">
        <f>SUM(E3715:E3716)</f>
        <v>461.24331100000006</v>
      </c>
    </row>
    <row r="3719" spans="1:5" ht="18" x14ac:dyDescent="0.35">
      <c r="A3719" s="111" t="s">
        <v>1166</v>
      </c>
    </row>
    <row r="3720" spans="1:5" ht="21" x14ac:dyDescent="0.4">
      <c r="A3720" s="40" t="s">
        <v>1167</v>
      </c>
      <c r="B3720" s="40"/>
      <c r="C3720" s="84"/>
      <c r="D3720" s="12"/>
      <c r="E3720" s="12"/>
    </row>
    <row r="3721" spans="1:5" ht="21" x14ac:dyDescent="0.4">
      <c r="A3721" s="40"/>
      <c r="B3721" s="40"/>
      <c r="C3721" s="84"/>
      <c r="D3721" s="12"/>
      <c r="E3721" s="12"/>
    </row>
    <row r="3722" spans="1:5" ht="18" x14ac:dyDescent="0.35">
      <c r="A3722" s="5"/>
      <c r="B3722" s="5"/>
      <c r="C3722" s="7" t="s">
        <v>28</v>
      </c>
      <c r="D3722" s="7" t="s">
        <v>29</v>
      </c>
      <c r="E3722" s="7" t="s">
        <v>30</v>
      </c>
    </row>
    <row r="3723" spans="1:5" ht="18" x14ac:dyDescent="0.35">
      <c r="A3723" s="5" t="s">
        <v>64</v>
      </c>
      <c r="B3723" s="50" t="s">
        <v>32</v>
      </c>
      <c r="C3723" s="7">
        <v>1.083</v>
      </c>
      <c r="D3723" s="7">
        <v>10.34</v>
      </c>
      <c r="E3723" s="85">
        <f t="shared" ref="E3723:E3730" si="293">C3723*D3723</f>
        <v>11.198219999999999</v>
      </c>
    </row>
    <row r="3724" spans="1:5" ht="18" x14ac:dyDescent="0.35">
      <c r="A3724" s="5" t="s">
        <v>53</v>
      </c>
      <c r="B3724" s="50" t="s">
        <v>33</v>
      </c>
      <c r="C3724" s="7">
        <v>2.0579999999999998</v>
      </c>
      <c r="D3724" s="7">
        <v>16.170000000000002</v>
      </c>
      <c r="E3724" s="85">
        <f t="shared" si="293"/>
        <v>33.277860000000004</v>
      </c>
    </row>
    <row r="3725" spans="1:5" ht="18" x14ac:dyDescent="0.35">
      <c r="A3725" s="5" t="s">
        <v>63</v>
      </c>
      <c r="B3725" s="50" t="s">
        <v>33</v>
      </c>
      <c r="C3725" s="7">
        <v>1.827</v>
      </c>
      <c r="D3725" s="7">
        <v>16.170000000000002</v>
      </c>
      <c r="E3725" s="85">
        <f t="shared" si="293"/>
        <v>29.542590000000004</v>
      </c>
    </row>
    <row r="3726" spans="1:5" ht="18" x14ac:dyDescent="0.35">
      <c r="A3726" s="5" t="s">
        <v>677</v>
      </c>
      <c r="B3726" s="50" t="s">
        <v>128</v>
      </c>
      <c r="C3726" s="7">
        <v>2</v>
      </c>
      <c r="D3726" s="7">
        <v>1.81</v>
      </c>
      <c r="E3726" s="85">
        <f t="shared" si="293"/>
        <v>3.62</v>
      </c>
    </row>
    <row r="3727" spans="1:5" ht="18" x14ac:dyDescent="0.35">
      <c r="A3727" s="5" t="s">
        <v>1097</v>
      </c>
      <c r="B3727" s="50" t="s">
        <v>43</v>
      </c>
      <c r="C3727" s="88">
        <v>2</v>
      </c>
      <c r="D3727" s="88">
        <v>1.1499999999999999</v>
      </c>
      <c r="E3727" s="90">
        <f t="shared" si="293"/>
        <v>2.2999999999999998</v>
      </c>
    </row>
    <row r="3728" spans="1:5" ht="18" x14ac:dyDescent="0.35">
      <c r="A3728" s="5"/>
      <c r="B3728" s="50" t="s">
        <v>34</v>
      </c>
      <c r="C3728" s="7"/>
      <c r="D3728" s="7">
        <v>18.05</v>
      </c>
      <c r="E3728" s="85">
        <f t="shared" si="293"/>
        <v>0</v>
      </c>
    </row>
    <row r="3729" spans="1:5" ht="18" x14ac:dyDescent="0.35">
      <c r="A3729" s="5"/>
      <c r="B3729" s="50" t="s">
        <v>35</v>
      </c>
      <c r="C3729" s="7">
        <v>4</v>
      </c>
      <c r="D3729" s="7">
        <v>2.0099999999999998</v>
      </c>
      <c r="E3729" s="85">
        <f t="shared" si="293"/>
        <v>8.0399999999999991</v>
      </c>
    </row>
    <row r="3730" spans="1:5" ht="18" x14ac:dyDescent="0.35">
      <c r="A3730" s="5"/>
      <c r="B3730" s="50" t="s">
        <v>36</v>
      </c>
      <c r="C3730" s="7">
        <v>4</v>
      </c>
      <c r="D3730" s="7">
        <v>0.25</v>
      </c>
      <c r="E3730" s="85">
        <f t="shared" si="293"/>
        <v>1</v>
      </c>
    </row>
    <row r="3731" spans="1:5" ht="18" x14ac:dyDescent="0.35">
      <c r="A3731" s="5"/>
      <c r="B3731" s="5"/>
      <c r="C3731" s="54"/>
      <c r="D3731" s="54"/>
      <c r="E3731" s="89">
        <f>SUM(E3723:E3730)</f>
        <v>88.978670000000022</v>
      </c>
    </row>
    <row r="3732" spans="1:5" ht="18" x14ac:dyDescent="0.35">
      <c r="A3732" s="5"/>
      <c r="B3732" s="5"/>
      <c r="C3732" s="54"/>
      <c r="D3732" s="54" t="s">
        <v>1161</v>
      </c>
      <c r="E3732" s="89">
        <f>E3731+E3731*30%</f>
        <v>115.67227100000002</v>
      </c>
    </row>
    <row r="3733" spans="1:5" ht="18" x14ac:dyDescent="0.35">
      <c r="A3733" s="5"/>
      <c r="B3733" s="50" t="s">
        <v>37</v>
      </c>
      <c r="C3733" s="54">
        <v>0.2</v>
      </c>
      <c r="D3733" s="54">
        <v>200</v>
      </c>
      <c r="E3733" s="85">
        <f>C3733*D3733</f>
        <v>40</v>
      </c>
    </row>
    <row r="3734" spans="1:5" ht="18" x14ac:dyDescent="0.35">
      <c r="A3734" s="5"/>
      <c r="B3734" s="5"/>
      <c r="C3734" s="54"/>
      <c r="D3734" s="54"/>
      <c r="E3734" s="112">
        <f>SUM(E3732:E3733)</f>
        <v>155.67227100000002</v>
      </c>
    </row>
    <row r="3735" spans="1:5" x14ac:dyDescent="0.3">
      <c r="A3735" s="120" t="s">
        <v>1279</v>
      </c>
    </row>
    <row r="3736" spans="1:5" ht="21" x14ac:dyDescent="0.4">
      <c r="A3736" s="40" t="s">
        <v>1278</v>
      </c>
      <c r="B3736" s="40"/>
      <c r="C3736" s="84"/>
    </row>
    <row r="3737" spans="1:5" ht="18" x14ac:dyDescent="0.35">
      <c r="A3737" s="5"/>
      <c r="B3737" s="5"/>
      <c r="C3737" s="7" t="s">
        <v>28</v>
      </c>
      <c r="D3737" s="7" t="s">
        <v>29</v>
      </c>
      <c r="E3737" s="7" t="s">
        <v>30</v>
      </c>
    </row>
    <row r="3738" spans="1:5" ht="18" x14ac:dyDescent="0.35">
      <c r="A3738" s="5" t="s">
        <v>79</v>
      </c>
      <c r="B3738" s="50" t="s">
        <v>32</v>
      </c>
      <c r="C3738" s="7">
        <v>2.238</v>
      </c>
      <c r="D3738" s="7">
        <v>10.34</v>
      </c>
      <c r="E3738" s="85">
        <f t="shared" ref="E3738:E3743" si="294">C3738*D3738</f>
        <v>23.140920000000001</v>
      </c>
    </row>
    <row r="3739" spans="1:5" ht="18" x14ac:dyDescent="0.35">
      <c r="A3739" s="5" t="s">
        <v>52</v>
      </c>
      <c r="B3739" s="50" t="s">
        <v>33</v>
      </c>
      <c r="C3739" s="7">
        <v>7.4649999999999999</v>
      </c>
      <c r="D3739" s="7">
        <v>16.170000000000002</v>
      </c>
      <c r="E3739" s="85">
        <f t="shared" si="294"/>
        <v>120.70905</v>
      </c>
    </row>
    <row r="3740" spans="1:5" ht="18" x14ac:dyDescent="0.35">
      <c r="A3740" s="5" t="s">
        <v>616</v>
      </c>
      <c r="B3740" s="50" t="s">
        <v>85</v>
      </c>
      <c r="C3740" s="7">
        <v>2</v>
      </c>
      <c r="D3740" s="7">
        <v>1.08</v>
      </c>
      <c r="E3740" s="85">
        <f t="shared" si="294"/>
        <v>2.16</v>
      </c>
    </row>
    <row r="3741" spans="1:5" ht="18" x14ac:dyDescent="0.35">
      <c r="A3741" s="5"/>
      <c r="B3741" s="50" t="s">
        <v>34</v>
      </c>
      <c r="C3741" s="7">
        <v>0.24</v>
      </c>
      <c r="D3741" s="7">
        <v>14.61</v>
      </c>
      <c r="E3741" s="85">
        <f t="shared" si="294"/>
        <v>3.5063999999999997</v>
      </c>
    </row>
    <row r="3742" spans="1:5" ht="18" x14ac:dyDescent="0.35">
      <c r="A3742" s="5"/>
      <c r="B3742" s="50" t="s">
        <v>35</v>
      </c>
      <c r="C3742" s="7">
        <v>4</v>
      </c>
      <c r="D3742" s="7">
        <v>2.91</v>
      </c>
      <c r="E3742" s="85">
        <f t="shared" si="294"/>
        <v>11.64</v>
      </c>
    </row>
    <row r="3743" spans="1:5" ht="18" x14ac:dyDescent="0.35">
      <c r="A3743" s="5"/>
      <c r="B3743" s="50" t="s">
        <v>36</v>
      </c>
      <c r="C3743" s="7">
        <v>4</v>
      </c>
      <c r="D3743" s="7">
        <v>0.61</v>
      </c>
      <c r="E3743" s="85">
        <f t="shared" si="294"/>
        <v>2.44</v>
      </c>
    </row>
    <row r="3744" spans="1:5" ht="18" x14ac:dyDescent="0.35">
      <c r="A3744" s="5"/>
      <c r="B3744" s="96"/>
      <c r="C3744" s="87"/>
      <c r="D3744" s="87"/>
      <c r="E3744" s="94"/>
    </row>
    <row r="3745" spans="1:5" ht="18" x14ac:dyDescent="0.35">
      <c r="A3745" s="5"/>
      <c r="B3745" s="5"/>
      <c r="C3745" s="54"/>
      <c r="D3745" s="54"/>
      <c r="E3745" s="89">
        <f>SUM(E3738:E3743)</f>
        <v>163.59637000000004</v>
      </c>
    </row>
    <row r="3746" spans="1:5" ht="18" x14ac:dyDescent="0.35">
      <c r="A3746" s="5"/>
      <c r="B3746" s="5"/>
      <c r="C3746" s="54"/>
      <c r="D3746" s="54" t="s">
        <v>1063</v>
      </c>
      <c r="E3746" s="89">
        <f>E3745+E3745*40%</f>
        <v>229.03491800000006</v>
      </c>
    </row>
    <row r="3747" spans="1:5" ht="18" x14ac:dyDescent="0.35">
      <c r="A3747" s="5"/>
      <c r="B3747" s="50" t="s">
        <v>37</v>
      </c>
      <c r="C3747" s="54">
        <v>0.5</v>
      </c>
      <c r="D3747" s="54">
        <v>200</v>
      </c>
      <c r="E3747" s="85">
        <v>100</v>
      </c>
    </row>
    <row r="3748" spans="1:5" ht="18" x14ac:dyDescent="0.35">
      <c r="A3748" s="5"/>
      <c r="B3748" s="5"/>
      <c r="C3748" s="54"/>
      <c r="D3748" s="54"/>
      <c r="E3748" s="85">
        <f>SUM(E3746:E3747)</f>
        <v>329.03491800000006</v>
      </c>
    </row>
    <row r="3750" spans="1:5" ht="18" x14ac:dyDescent="0.35">
      <c r="A3750" s="111" t="s">
        <v>1280</v>
      </c>
    </row>
    <row r="3751" spans="1:5" ht="21" x14ac:dyDescent="0.4">
      <c r="A3751" s="40" t="s">
        <v>1167</v>
      </c>
      <c r="B3751" s="40"/>
      <c r="C3751" s="84"/>
      <c r="D3751" s="12"/>
      <c r="E3751" s="12"/>
    </row>
    <row r="3752" spans="1:5" ht="21" x14ac:dyDescent="0.4">
      <c r="A3752" s="40"/>
      <c r="B3752" s="40"/>
      <c r="C3752" s="84"/>
      <c r="D3752" s="12"/>
      <c r="E3752" s="12"/>
    </row>
    <row r="3753" spans="1:5" ht="18" x14ac:dyDescent="0.35">
      <c r="A3753" s="5"/>
      <c r="B3753" s="5"/>
      <c r="C3753" s="7" t="s">
        <v>28</v>
      </c>
      <c r="D3753" s="7" t="s">
        <v>29</v>
      </c>
      <c r="E3753" s="7" t="s">
        <v>30</v>
      </c>
    </row>
    <row r="3754" spans="1:5" ht="18" x14ac:dyDescent="0.35">
      <c r="A3754" s="5" t="s">
        <v>67</v>
      </c>
      <c r="B3754" s="50" t="s">
        <v>32</v>
      </c>
      <c r="C3754" s="7">
        <v>1.7130000000000001</v>
      </c>
      <c r="D3754" s="7">
        <v>45.07</v>
      </c>
      <c r="E3754" s="85">
        <f t="shared" ref="E3754:E3761" si="295">C3754*D3754</f>
        <v>77.204909999999998</v>
      </c>
    </row>
    <row r="3755" spans="1:5" ht="18" x14ac:dyDescent="0.35">
      <c r="A3755" s="5" t="s">
        <v>63</v>
      </c>
      <c r="B3755" s="50" t="s">
        <v>33</v>
      </c>
      <c r="C3755" s="7">
        <v>3.7170000000000001</v>
      </c>
      <c r="D3755" s="7">
        <v>16.170000000000002</v>
      </c>
      <c r="E3755" s="85">
        <f t="shared" si="295"/>
        <v>60.103890000000007</v>
      </c>
    </row>
    <row r="3756" spans="1:5" ht="18" x14ac:dyDescent="0.35">
      <c r="A3756" s="5" t="s">
        <v>168</v>
      </c>
      <c r="B3756" s="50" t="s">
        <v>33</v>
      </c>
      <c r="C3756" s="7">
        <v>4.2629999999999999</v>
      </c>
      <c r="D3756" s="7">
        <v>16.170000000000002</v>
      </c>
      <c r="E3756" s="85">
        <f t="shared" si="295"/>
        <v>68.93271</v>
      </c>
    </row>
    <row r="3757" spans="1:5" ht="18" x14ac:dyDescent="0.35">
      <c r="A3757" s="5" t="s">
        <v>1124</v>
      </c>
      <c r="B3757" s="50" t="s">
        <v>89</v>
      </c>
      <c r="C3757" s="7">
        <v>2</v>
      </c>
      <c r="D3757" s="7">
        <v>3.4</v>
      </c>
      <c r="E3757" s="85">
        <f t="shared" si="295"/>
        <v>6.8</v>
      </c>
    </row>
    <row r="3758" spans="1:5" ht="18" x14ac:dyDescent="0.35">
      <c r="A3758" s="5" t="s">
        <v>1097</v>
      </c>
      <c r="B3758" s="50" t="s">
        <v>96</v>
      </c>
      <c r="C3758" s="88">
        <v>2</v>
      </c>
      <c r="D3758" s="88">
        <v>1.6</v>
      </c>
      <c r="E3758" s="90">
        <f t="shared" si="295"/>
        <v>3.2</v>
      </c>
    </row>
    <row r="3759" spans="1:5" ht="18" x14ac:dyDescent="0.35">
      <c r="A3759" s="5"/>
      <c r="B3759" s="50" t="s">
        <v>34</v>
      </c>
      <c r="C3759" s="7">
        <v>0.2</v>
      </c>
      <c r="D3759" s="7">
        <v>18.05</v>
      </c>
      <c r="E3759" s="85">
        <f t="shared" si="295"/>
        <v>3.6100000000000003</v>
      </c>
    </row>
    <row r="3760" spans="1:5" ht="18" x14ac:dyDescent="0.35">
      <c r="A3760" s="5"/>
      <c r="B3760" s="50" t="s">
        <v>35</v>
      </c>
      <c r="C3760" s="7">
        <v>4</v>
      </c>
      <c r="D3760" s="7">
        <v>2.0099999999999998</v>
      </c>
      <c r="E3760" s="85">
        <f t="shared" si="295"/>
        <v>8.0399999999999991</v>
      </c>
    </row>
    <row r="3761" spans="1:5" ht="18" x14ac:dyDescent="0.35">
      <c r="A3761" s="5"/>
      <c r="B3761" s="50" t="s">
        <v>36</v>
      </c>
      <c r="C3761" s="7">
        <v>4</v>
      </c>
      <c r="D3761" s="7">
        <v>0.25</v>
      </c>
      <c r="E3761" s="85">
        <f t="shared" si="295"/>
        <v>1</v>
      </c>
    </row>
    <row r="3762" spans="1:5" ht="18" x14ac:dyDescent="0.35">
      <c r="A3762" s="5"/>
      <c r="B3762" s="5"/>
      <c r="C3762" s="54"/>
      <c r="D3762" s="54"/>
      <c r="E3762" s="89">
        <f>SUM(E3754:E3761)</f>
        <v>228.89151000000001</v>
      </c>
    </row>
    <row r="3763" spans="1:5" ht="18" x14ac:dyDescent="0.35">
      <c r="A3763" s="5"/>
      <c r="B3763" s="5"/>
      <c r="C3763" s="54"/>
      <c r="D3763" s="54" t="s">
        <v>1066</v>
      </c>
      <c r="E3763" s="89">
        <f>E3762+E3762*40%</f>
        <v>320.44811400000003</v>
      </c>
    </row>
    <row r="3764" spans="1:5" ht="18" x14ac:dyDescent="0.35">
      <c r="A3764" s="5"/>
      <c r="B3764" s="50" t="s">
        <v>37</v>
      </c>
      <c r="C3764" s="54">
        <v>0.5</v>
      </c>
      <c r="D3764" s="54">
        <v>200</v>
      </c>
      <c r="E3764" s="85">
        <f>C3764*D3764</f>
        <v>100</v>
      </c>
    </row>
    <row r="3765" spans="1:5" ht="18" x14ac:dyDescent="0.35">
      <c r="A3765" s="5"/>
      <c r="B3765" s="5"/>
      <c r="C3765" s="54"/>
      <c r="D3765" s="54"/>
      <c r="E3765" s="112">
        <f>SUM(E3763:E3764)</f>
        <v>420.44811400000003</v>
      </c>
    </row>
    <row r="3767" spans="1:5" ht="18" x14ac:dyDescent="0.35">
      <c r="A3767" s="111" t="s">
        <v>1281</v>
      </c>
    </row>
    <row r="3768" spans="1:5" ht="21" x14ac:dyDescent="0.4">
      <c r="A3768" s="40" t="s">
        <v>1282</v>
      </c>
      <c r="B3768" s="40"/>
      <c r="C3768" s="84"/>
      <c r="D3768" s="12"/>
      <c r="E3768" s="12"/>
    </row>
    <row r="3769" spans="1:5" ht="21" x14ac:dyDescent="0.4">
      <c r="A3769" s="40"/>
      <c r="B3769" s="40"/>
      <c r="C3769" s="84"/>
      <c r="D3769" s="12"/>
      <c r="E3769" s="12"/>
    </row>
    <row r="3770" spans="1:5" ht="18" x14ac:dyDescent="0.35">
      <c r="A3770" s="5"/>
      <c r="B3770" s="5"/>
      <c r="C3770" s="7" t="s">
        <v>28</v>
      </c>
      <c r="D3770" s="7" t="s">
        <v>29</v>
      </c>
      <c r="E3770" s="7" t="s">
        <v>30</v>
      </c>
    </row>
    <row r="3771" spans="1:5" ht="18" x14ac:dyDescent="0.35">
      <c r="A3771" s="5" t="s">
        <v>123</v>
      </c>
      <c r="B3771" s="50" t="s">
        <v>32</v>
      </c>
      <c r="C3771" s="7">
        <v>3.0790000000000002</v>
      </c>
      <c r="D3771" s="7">
        <v>45.07</v>
      </c>
      <c r="E3771" s="85">
        <f t="shared" ref="E3771:E3778" si="296">C3771*D3771</f>
        <v>138.77053000000001</v>
      </c>
    </row>
    <row r="3772" spans="1:5" ht="18" x14ac:dyDescent="0.35">
      <c r="A3772" s="5" t="s">
        <v>117</v>
      </c>
      <c r="B3772" s="50" t="s">
        <v>33</v>
      </c>
      <c r="C3772" s="7">
        <v>19.75</v>
      </c>
      <c r="D3772" s="7">
        <v>16.170000000000002</v>
      </c>
      <c r="E3772" s="85">
        <f t="shared" si="296"/>
        <v>319.35750000000002</v>
      </c>
    </row>
    <row r="3773" spans="1:5" ht="18" x14ac:dyDescent="0.35">
      <c r="A3773" s="5" t="s">
        <v>310</v>
      </c>
      <c r="B3773" s="50" t="s">
        <v>33</v>
      </c>
      <c r="C3773" s="7">
        <v>20.475000000000001</v>
      </c>
      <c r="D3773" s="7">
        <v>16.170000000000002</v>
      </c>
      <c r="E3773" s="85">
        <f t="shared" si="296"/>
        <v>331.08075000000008</v>
      </c>
    </row>
    <row r="3774" spans="1:5" ht="18" x14ac:dyDescent="0.35">
      <c r="A3774" s="5" t="s">
        <v>595</v>
      </c>
      <c r="B3774" s="50" t="s">
        <v>128</v>
      </c>
      <c r="C3774" s="7">
        <v>2</v>
      </c>
      <c r="D3774" s="7">
        <v>1.81</v>
      </c>
      <c r="E3774" s="85">
        <f t="shared" si="296"/>
        <v>3.62</v>
      </c>
    </row>
    <row r="3775" spans="1:5" ht="18" x14ac:dyDescent="0.35">
      <c r="A3775" s="5" t="s">
        <v>1097</v>
      </c>
      <c r="B3775" s="50" t="s">
        <v>88</v>
      </c>
      <c r="C3775" s="88">
        <v>4</v>
      </c>
      <c r="D3775" s="88">
        <v>2.2400000000000002</v>
      </c>
      <c r="E3775" s="90">
        <f t="shared" si="296"/>
        <v>8.9600000000000009</v>
      </c>
    </row>
    <row r="3776" spans="1:5" ht="18" x14ac:dyDescent="0.35">
      <c r="A3776" s="5"/>
      <c r="B3776" s="50" t="s">
        <v>34</v>
      </c>
      <c r="C3776" s="7">
        <v>1.26</v>
      </c>
      <c r="D3776" s="7">
        <v>18.05</v>
      </c>
      <c r="E3776" s="85">
        <f t="shared" si="296"/>
        <v>22.743000000000002</v>
      </c>
    </row>
    <row r="3777" spans="1:5" ht="18" x14ac:dyDescent="0.35">
      <c r="A3777" s="5"/>
      <c r="B3777" s="50" t="s">
        <v>35</v>
      </c>
      <c r="C3777" s="7">
        <v>4</v>
      </c>
      <c r="D3777" s="7">
        <v>2.0099999999999998</v>
      </c>
      <c r="E3777" s="85">
        <f t="shared" si="296"/>
        <v>8.0399999999999991</v>
      </c>
    </row>
    <row r="3778" spans="1:5" ht="18" x14ac:dyDescent="0.35">
      <c r="A3778" s="5"/>
      <c r="B3778" s="50" t="s">
        <v>36</v>
      </c>
      <c r="C3778" s="7">
        <v>4</v>
      </c>
      <c r="D3778" s="7">
        <v>0.25</v>
      </c>
      <c r="E3778" s="85">
        <f t="shared" si="296"/>
        <v>1</v>
      </c>
    </row>
    <row r="3779" spans="1:5" ht="18" x14ac:dyDescent="0.35">
      <c r="A3779" s="5"/>
      <c r="B3779" s="5"/>
      <c r="C3779" s="54"/>
      <c r="D3779" s="54"/>
      <c r="E3779" s="89">
        <f>SUM(E3771:E3778)</f>
        <v>833.57178000000022</v>
      </c>
    </row>
    <row r="3780" spans="1:5" ht="18" x14ac:dyDescent="0.35">
      <c r="A3780" s="5"/>
      <c r="B3780" s="5"/>
      <c r="C3780" s="54"/>
      <c r="D3780" s="54" t="s">
        <v>1066</v>
      </c>
      <c r="E3780" s="89">
        <f>E3779+E3779*40%</f>
        <v>1167.0004920000003</v>
      </c>
    </row>
    <row r="3781" spans="1:5" ht="18" x14ac:dyDescent="0.35">
      <c r="A3781" s="5"/>
      <c r="B3781" s="50" t="s">
        <v>37</v>
      </c>
      <c r="C3781" s="54">
        <v>1.5</v>
      </c>
      <c r="D3781" s="54">
        <v>200</v>
      </c>
      <c r="E3781" s="85">
        <f>C3781*D3781</f>
        <v>300</v>
      </c>
    </row>
    <row r="3782" spans="1:5" ht="18" x14ac:dyDescent="0.35">
      <c r="A3782" s="5"/>
      <c r="B3782" s="5"/>
      <c r="C3782" s="54"/>
      <c r="D3782" s="54"/>
      <c r="E3782" s="112">
        <f>SUM(E3780:E3781)</f>
        <v>1467.0004920000003</v>
      </c>
    </row>
    <row r="3784" spans="1:5" ht="21" x14ac:dyDescent="0.4">
      <c r="A3784" s="40" t="s">
        <v>1282</v>
      </c>
      <c r="B3784" s="40"/>
      <c r="C3784" s="84"/>
      <c r="D3784" s="12"/>
      <c r="E3784" s="12"/>
    </row>
    <row r="3785" spans="1:5" ht="21" x14ac:dyDescent="0.4">
      <c r="A3785" s="40"/>
      <c r="B3785" s="40"/>
      <c r="C3785" s="84"/>
      <c r="D3785" s="12"/>
      <c r="E3785" s="12"/>
    </row>
    <row r="3786" spans="1:5" ht="18" x14ac:dyDescent="0.35">
      <c r="A3786" s="5"/>
      <c r="B3786" s="5"/>
      <c r="C3786" s="7" t="s">
        <v>28</v>
      </c>
      <c r="D3786" s="7" t="s">
        <v>29</v>
      </c>
      <c r="E3786" s="7" t="s">
        <v>30</v>
      </c>
    </row>
    <row r="3787" spans="1:5" ht="18" x14ac:dyDescent="0.35">
      <c r="A3787" s="5" t="s">
        <v>292</v>
      </c>
      <c r="B3787" s="50" t="s">
        <v>32</v>
      </c>
      <c r="C3787" s="7">
        <v>3.2879999999999998</v>
      </c>
      <c r="D3787" s="7">
        <v>45.07</v>
      </c>
      <c r="E3787" s="85">
        <f t="shared" ref="E3787:E3794" si="297">C3787*D3787</f>
        <v>148.19015999999999</v>
      </c>
    </row>
    <row r="3788" spans="1:5" ht="18" x14ac:dyDescent="0.35">
      <c r="A3788" s="5" t="s">
        <v>411</v>
      </c>
      <c r="B3788" s="50" t="s">
        <v>33</v>
      </c>
      <c r="C3788" s="7">
        <v>22.869</v>
      </c>
      <c r="D3788" s="7">
        <v>16.170000000000002</v>
      </c>
      <c r="E3788" s="85">
        <f t="shared" si="297"/>
        <v>369.79173000000003</v>
      </c>
    </row>
    <row r="3789" spans="1:5" ht="18" x14ac:dyDescent="0.35">
      <c r="A3789" s="5" t="s">
        <v>310</v>
      </c>
      <c r="B3789" s="50" t="s">
        <v>33</v>
      </c>
      <c r="C3789" s="7">
        <v>25.725000000000001</v>
      </c>
      <c r="D3789" s="7">
        <v>16.170000000000002</v>
      </c>
      <c r="E3789" s="85">
        <f t="shared" si="297"/>
        <v>415.97325000000006</v>
      </c>
    </row>
    <row r="3790" spans="1:5" ht="18" x14ac:dyDescent="0.35">
      <c r="A3790" s="5" t="s">
        <v>595</v>
      </c>
      <c r="B3790" s="50" t="s">
        <v>715</v>
      </c>
      <c r="C3790" s="7">
        <v>2</v>
      </c>
      <c r="D3790" s="7">
        <v>1.81</v>
      </c>
      <c r="E3790" s="85">
        <f t="shared" si="297"/>
        <v>3.62</v>
      </c>
    </row>
    <row r="3791" spans="1:5" ht="18" x14ac:dyDescent="0.35">
      <c r="A3791" s="5" t="s">
        <v>1097</v>
      </c>
      <c r="B3791" s="50" t="s">
        <v>88</v>
      </c>
      <c r="C3791" s="88">
        <v>4</v>
      </c>
      <c r="D3791" s="88">
        <v>2.2400000000000002</v>
      </c>
      <c r="E3791" s="90">
        <f t="shared" si="297"/>
        <v>8.9600000000000009</v>
      </c>
    </row>
    <row r="3792" spans="1:5" ht="18" x14ac:dyDescent="0.35">
      <c r="A3792" s="5"/>
      <c r="B3792" s="50" t="s">
        <v>34</v>
      </c>
      <c r="C3792" s="7">
        <v>1.5</v>
      </c>
      <c r="D3792" s="7">
        <v>18.05</v>
      </c>
      <c r="E3792" s="85">
        <f t="shared" si="297"/>
        <v>27.075000000000003</v>
      </c>
    </row>
    <row r="3793" spans="1:5" ht="18" x14ac:dyDescent="0.35">
      <c r="A3793" s="5"/>
      <c r="B3793" s="50" t="s">
        <v>35</v>
      </c>
      <c r="C3793" s="7">
        <v>4</v>
      </c>
      <c r="D3793" s="7">
        <v>2.0099999999999998</v>
      </c>
      <c r="E3793" s="85">
        <f t="shared" si="297"/>
        <v>8.0399999999999991</v>
      </c>
    </row>
    <row r="3794" spans="1:5" ht="18" x14ac:dyDescent="0.35">
      <c r="A3794" s="5"/>
      <c r="B3794" s="50" t="s">
        <v>36</v>
      </c>
      <c r="C3794" s="7">
        <v>4</v>
      </c>
      <c r="D3794" s="7">
        <v>0.25</v>
      </c>
      <c r="E3794" s="85">
        <f t="shared" si="297"/>
        <v>1</v>
      </c>
    </row>
    <row r="3795" spans="1:5" ht="18" x14ac:dyDescent="0.35">
      <c r="A3795" s="5"/>
      <c r="B3795" s="5"/>
      <c r="C3795" s="54"/>
      <c r="D3795" s="54"/>
      <c r="E3795" s="89">
        <f>SUM(E3787:E3794)</f>
        <v>982.65014000000008</v>
      </c>
    </row>
    <row r="3796" spans="1:5" ht="18" x14ac:dyDescent="0.35">
      <c r="A3796" s="5"/>
      <c r="B3796" s="5"/>
      <c r="C3796" s="54"/>
      <c r="D3796" s="54" t="s">
        <v>1066</v>
      </c>
      <c r="E3796" s="89">
        <f>E3795+E3795*40%</f>
        <v>1375.710196</v>
      </c>
    </row>
    <row r="3797" spans="1:5" ht="18" x14ac:dyDescent="0.35">
      <c r="A3797" s="5"/>
      <c r="B3797" s="50" t="s">
        <v>37</v>
      </c>
      <c r="C3797" s="54">
        <v>1.5</v>
      </c>
      <c r="D3797" s="54">
        <v>200</v>
      </c>
      <c r="E3797" s="85">
        <f>C3797*D3797</f>
        <v>300</v>
      </c>
    </row>
    <row r="3798" spans="1:5" ht="18" x14ac:dyDescent="0.35">
      <c r="A3798" s="5"/>
      <c r="B3798" s="5"/>
      <c r="C3798" s="54"/>
      <c r="D3798" s="54"/>
      <c r="E3798" s="112">
        <f>SUM(E3796:E3797)</f>
        <v>1675.710196</v>
      </c>
    </row>
    <row r="3800" spans="1:5" x14ac:dyDescent="0.3">
      <c r="A3800" s="120" t="s">
        <v>1283</v>
      </c>
    </row>
    <row r="3801" spans="1:5" ht="21" x14ac:dyDescent="0.4">
      <c r="A3801" s="40" t="s">
        <v>1284</v>
      </c>
      <c r="B3801" s="40"/>
      <c r="C3801" s="84"/>
    </row>
    <row r="3802" spans="1:5" ht="18" x14ac:dyDescent="0.35">
      <c r="A3802" s="5"/>
      <c r="B3802" s="5"/>
      <c r="C3802" s="7" t="s">
        <v>28</v>
      </c>
      <c r="D3802" s="7" t="s">
        <v>29</v>
      </c>
      <c r="E3802" s="7" t="s">
        <v>30</v>
      </c>
    </row>
    <row r="3803" spans="1:5" ht="18" x14ac:dyDescent="0.35">
      <c r="A3803" s="5" t="s">
        <v>123</v>
      </c>
      <c r="B3803" s="50" t="s">
        <v>32</v>
      </c>
      <c r="C3803" s="7">
        <v>3.0779999999999998</v>
      </c>
      <c r="D3803" s="7">
        <v>10.34</v>
      </c>
      <c r="E3803" s="85">
        <f t="shared" ref="E3803:E3808" si="298">C3803*D3803</f>
        <v>31.826519999999999</v>
      </c>
    </row>
    <row r="3804" spans="1:5" ht="18" x14ac:dyDescent="0.35">
      <c r="A3804" s="5" t="s">
        <v>117</v>
      </c>
      <c r="B3804" s="50" t="s">
        <v>33</v>
      </c>
      <c r="C3804" s="7">
        <v>19.75</v>
      </c>
      <c r="D3804" s="7">
        <v>16.170000000000002</v>
      </c>
      <c r="E3804" s="85">
        <f t="shared" si="298"/>
        <v>319.35750000000002</v>
      </c>
    </row>
    <row r="3805" spans="1:5" ht="18" x14ac:dyDescent="0.35">
      <c r="A3805" s="5" t="s">
        <v>595</v>
      </c>
      <c r="B3805" s="50" t="s">
        <v>87</v>
      </c>
      <c r="C3805" s="7">
        <v>2</v>
      </c>
      <c r="D3805" s="7">
        <v>1.81</v>
      </c>
      <c r="E3805" s="85">
        <f t="shared" si="298"/>
        <v>3.62</v>
      </c>
    </row>
    <row r="3806" spans="1:5" ht="18" x14ac:dyDescent="0.35">
      <c r="A3806" s="5"/>
      <c r="B3806" s="50" t="s">
        <v>34</v>
      </c>
      <c r="C3806" s="7">
        <v>1.2</v>
      </c>
      <c r="D3806" s="7">
        <v>14.61</v>
      </c>
      <c r="E3806" s="85">
        <f t="shared" si="298"/>
        <v>17.532</v>
      </c>
    </row>
    <row r="3807" spans="1:5" ht="18" x14ac:dyDescent="0.35">
      <c r="A3807" s="5"/>
      <c r="B3807" s="50" t="s">
        <v>35</v>
      </c>
      <c r="C3807" s="7">
        <v>4</v>
      </c>
      <c r="D3807" s="7">
        <v>2.91</v>
      </c>
      <c r="E3807" s="85">
        <f t="shared" si="298"/>
        <v>11.64</v>
      </c>
    </row>
    <row r="3808" spans="1:5" ht="18" x14ac:dyDescent="0.35">
      <c r="A3808" s="5"/>
      <c r="B3808" s="50" t="s">
        <v>36</v>
      </c>
      <c r="C3808" s="7">
        <v>4</v>
      </c>
      <c r="D3808" s="7">
        <v>0.61</v>
      </c>
      <c r="E3808" s="85">
        <f t="shared" si="298"/>
        <v>2.44</v>
      </c>
    </row>
    <row r="3809" spans="1:8" ht="18" x14ac:dyDescent="0.35">
      <c r="A3809" s="5"/>
      <c r="B3809" s="5"/>
      <c r="C3809" s="54"/>
      <c r="D3809" s="54"/>
      <c r="E3809" s="89">
        <f>SUM(E3803:E3808)</f>
        <v>386.41602</v>
      </c>
    </row>
    <row r="3810" spans="1:8" ht="18" x14ac:dyDescent="0.35">
      <c r="A3810" s="5"/>
      <c r="B3810" s="5"/>
      <c r="C3810" s="54"/>
      <c r="D3810" s="54" t="s">
        <v>1063</v>
      </c>
      <c r="E3810" s="89">
        <f>E3809+E3809*40%</f>
        <v>540.98242800000003</v>
      </c>
    </row>
    <row r="3811" spans="1:8" ht="18" x14ac:dyDescent="0.35">
      <c r="A3811" s="5"/>
      <c r="B3811" s="50" t="s">
        <v>37</v>
      </c>
      <c r="C3811" s="54">
        <v>1</v>
      </c>
      <c r="D3811" s="54">
        <v>200</v>
      </c>
      <c r="E3811" s="85">
        <f>C3811*D3811</f>
        <v>200</v>
      </c>
    </row>
    <row r="3812" spans="1:8" ht="18" x14ac:dyDescent="0.35">
      <c r="A3812" s="5"/>
      <c r="B3812" s="5"/>
      <c r="C3812" s="54"/>
      <c r="D3812" s="54"/>
      <c r="E3812" s="85">
        <f>SUM(E3810:E3811)</f>
        <v>740.98242800000003</v>
      </c>
    </row>
    <row r="3815" spans="1:8" x14ac:dyDescent="0.3">
      <c r="A3815" s="120" t="s">
        <v>1188</v>
      </c>
    </row>
    <row r="3816" spans="1:8" ht="21" x14ac:dyDescent="0.4">
      <c r="A3816" s="40" t="s">
        <v>1285</v>
      </c>
      <c r="B3816" s="40"/>
      <c r="C3816" s="84"/>
      <c r="G3816" s="12">
        <v>875</v>
      </c>
    </row>
    <row r="3817" spans="1:8" ht="18" x14ac:dyDescent="0.35">
      <c r="A3817" s="5"/>
      <c r="B3817" s="5"/>
      <c r="C3817" s="7" t="s">
        <v>28</v>
      </c>
      <c r="D3817" s="7" t="s">
        <v>29</v>
      </c>
      <c r="E3817" s="7" t="s">
        <v>30</v>
      </c>
      <c r="G3817" s="4"/>
    </row>
    <row r="3818" spans="1:8" ht="18" x14ac:dyDescent="0.35">
      <c r="A3818" s="5" t="s">
        <v>1286</v>
      </c>
      <c r="B3818" s="50" t="s">
        <v>32</v>
      </c>
      <c r="C3818" s="7">
        <v>5.0419999999999998</v>
      </c>
      <c r="D3818" s="7">
        <v>10.34</v>
      </c>
      <c r="E3818" s="85">
        <f t="shared" ref="E3818:E3823" si="299">C3818*D3818</f>
        <v>52.134279999999997</v>
      </c>
      <c r="G3818" s="4"/>
    </row>
    <row r="3819" spans="1:8" ht="18" x14ac:dyDescent="0.35">
      <c r="A3819" s="5" t="s">
        <v>1287</v>
      </c>
      <c r="B3819" s="50" t="s">
        <v>33</v>
      </c>
      <c r="C3819" s="7">
        <v>65.394000000000005</v>
      </c>
      <c r="D3819" s="7">
        <v>16.170000000000002</v>
      </c>
      <c r="E3819" s="85">
        <f t="shared" si="299"/>
        <v>1057.4209800000001</v>
      </c>
      <c r="G3819" s="4"/>
    </row>
    <row r="3820" spans="1:8" ht="18" x14ac:dyDescent="0.35">
      <c r="A3820" s="5" t="s">
        <v>1288</v>
      </c>
      <c r="B3820" s="50" t="s">
        <v>113</v>
      </c>
      <c r="C3820" s="7">
        <v>6</v>
      </c>
      <c r="D3820" s="7">
        <v>1.81</v>
      </c>
      <c r="E3820" s="85">
        <f t="shared" si="299"/>
        <v>10.86</v>
      </c>
      <c r="G3820" s="4"/>
      <c r="H3820" s="62">
        <v>1460</v>
      </c>
    </row>
    <row r="3821" spans="1:8" ht="18" x14ac:dyDescent="0.35">
      <c r="A3821" s="5"/>
      <c r="B3821" s="50" t="s">
        <v>34</v>
      </c>
      <c r="C3821" s="7">
        <v>3.06</v>
      </c>
      <c r="D3821" s="7">
        <v>14.61</v>
      </c>
      <c r="E3821" s="85">
        <f t="shared" si="299"/>
        <v>44.706600000000002</v>
      </c>
      <c r="G3821" s="4"/>
    </row>
    <row r="3822" spans="1:8" ht="18" x14ac:dyDescent="0.35">
      <c r="A3822" s="5"/>
      <c r="B3822" s="50" t="s">
        <v>35</v>
      </c>
      <c r="C3822" s="7">
        <v>4</v>
      </c>
      <c r="D3822" s="7">
        <v>2.91</v>
      </c>
      <c r="E3822" s="85">
        <f t="shared" si="299"/>
        <v>11.64</v>
      </c>
      <c r="G3822" s="4"/>
      <c r="H3822" t="s">
        <v>1292</v>
      </c>
    </row>
    <row r="3823" spans="1:8" ht="18" x14ac:dyDescent="0.35">
      <c r="A3823" s="5"/>
      <c r="B3823" s="50" t="s">
        <v>36</v>
      </c>
      <c r="C3823" s="7">
        <v>4</v>
      </c>
      <c r="D3823" s="7">
        <v>0.61</v>
      </c>
      <c r="E3823" s="85">
        <f t="shared" si="299"/>
        <v>2.44</v>
      </c>
      <c r="G3823" s="4"/>
    </row>
    <row r="3824" spans="1:8" ht="18" x14ac:dyDescent="0.35">
      <c r="A3824" s="5"/>
      <c r="B3824" s="5"/>
      <c r="C3824" s="54"/>
      <c r="D3824" s="54"/>
      <c r="E3824" s="89">
        <f>SUM(E3818:E3823)</f>
        <v>1179.2018600000001</v>
      </c>
      <c r="G3824" s="4"/>
    </row>
    <row r="3825" spans="1:8" ht="18" x14ac:dyDescent="0.35">
      <c r="A3825" s="5"/>
      <c r="B3825" s="5"/>
      <c r="C3825" s="54"/>
      <c r="D3825" s="54" t="s">
        <v>1063</v>
      </c>
      <c r="E3825" s="89">
        <f>E3824+E3824*40%</f>
        <v>1650.8826040000001</v>
      </c>
      <c r="G3825" s="4"/>
    </row>
    <row r="3826" spans="1:8" ht="18" x14ac:dyDescent="0.35">
      <c r="A3826" s="5"/>
      <c r="B3826" s="50" t="s">
        <v>37</v>
      </c>
      <c r="C3826" s="54">
        <v>2</v>
      </c>
      <c r="D3826" s="54">
        <v>200</v>
      </c>
      <c r="E3826" s="85">
        <f>C3826*D3826</f>
        <v>400</v>
      </c>
    </row>
    <row r="3827" spans="1:8" ht="18" x14ac:dyDescent="0.35">
      <c r="A3827" s="5"/>
      <c r="B3827" s="5"/>
      <c r="C3827" s="54"/>
      <c r="D3827" s="54"/>
      <c r="E3827" s="85">
        <f>SUM(E3825:E3826)</f>
        <v>2050.8826040000004</v>
      </c>
    </row>
    <row r="3830" spans="1:8" x14ac:dyDescent="0.3">
      <c r="A3830" s="120" t="s">
        <v>1188</v>
      </c>
    </row>
    <row r="3831" spans="1:8" ht="21" x14ac:dyDescent="0.4">
      <c r="A3831" s="40" t="s">
        <v>1291</v>
      </c>
      <c r="B3831" s="40"/>
      <c r="C3831" s="84"/>
      <c r="G3831" s="12">
        <v>875</v>
      </c>
    </row>
    <row r="3832" spans="1:8" ht="18" x14ac:dyDescent="0.35">
      <c r="A3832" s="5"/>
      <c r="B3832" s="5"/>
      <c r="C3832" s="7" t="s">
        <v>28</v>
      </c>
      <c r="D3832" s="7" t="s">
        <v>29</v>
      </c>
      <c r="E3832" s="7" t="s">
        <v>30</v>
      </c>
      <c r="G3832" s="4"/>
    </row>
    <row r="3833" spans="1:8" ht="18" x14ac:dyDescent="0.35">
      <c r="A3833" s="5" t="s">
        <v>1289</v>
      </c>
      <c r="B3833" s="50" t="s">
        <v>32</v>
      </c>
      <c r="C3833" s="7">
        <v>3.3090000000000002</v>
      </c>
      <c r="D3833" s="7">
        <v>10.34</v>
      </c>
      <c r="E3833" s="85">
        <f t="shared" ref="E3833:E3838" si="300">C3833*D3833</f>
        <v>34.215060000000001</v>
      </c>
      <c r="G3833" s="4"/>
    </row>
    <row r="3834" spans="1:8" ht="18" x14ac:dyDescent="0.35">
      <c r="A3834" s="5" t="s">
        <v>391</v>
      </c>
      <c r="B3834" s="50" t="s">
        <v>33</v>
      </c>
      <c r="C3834" s="7">
        <v>27.247</v>
      </c>
      <c r="D3834" s="7">
        <v>16.170000000000002</v>
      </c>
      <c r="E3834" s="85">
        <f t="shared" si="300"/>
        <v>440.58399000000003</v>
      </c>
      <c r="G3834" s="4"/>
    </row>
    <row r="3835" spans="1:8" ht="18" x14ac:dyDescent="0.35">
      <c r="A3835" s="5" t="s">
        <v>1290</v>
      </c>
      <c r="B3835" s="50" t="s">
        <v>113</v>
      </c>
      <c r="C3835" s="7">
        <v>4</v>
      </c>
      <c r="D3835" s="7">
        <v>1.81</v>
      </c>
      <c r="E3835" s="85">
        <f t="shared" si="300"/>
        <v>7.24</v>
      </c>
      <c r="G3835" s="4"/>
      <c r="H3835" s="62">
        <v>635</v>
      </c>
    </row>
    <row r="3836" spans="1:8" ht="18" x14ac:dyDescent="0.35">
      <c r="A3836" s="5"/>
      <c r="B3836" s="50" t="s">
        <v>34</v>
      </c>
      <c r="C3836" s="7">
        <v>0.66</v>
      </c>
      <c r="D3836" s="7">
        <v>14.61</v>
      </c>
      <c r="E3836" s="85">
        <f t="shared" si="300"/>
        <v>9.6425999999999998</v>
      </c>
      <c r="G3836" s="4"/>
      <c r="H3836" t="s">
        <v>1293</v>
      </c>
    </row>
    <row r="3837" spans="1:8" ht="18" x14ac:dyDescent="0.35">
      <c r="A3837" s="5"/>
      <c r="B3837" s="50" t="s">
        <v>35</v>
      </c>
      <c r="C3837" s="7">
        <v>4</v>
      </c>
      <c r="D3837" s="7">
        <v>2.91</v>
      </c>
      <c r="E3837" s="85">
        <f t="shared" si="300"/>
        <v>11.64</v>
      </c>
      <c r="G3837" s="4"/>
    </row>
    <row r="3838" spans="1:8" ht="18" x14ac:dyDescent="0.35">
      <c r="A3838" s="5"/>
      <c r="B3838" s="50" t="s">
        <v>36</v>
      </c>
      <c r="C3838" s="7">
        <v>4</v>
      </c>
      <c r="D3838" s="7">
        <v>0.61</v>
      </c>
      <c r="E3838" s="85">
        <f t="shared" si="300"/>
        <v>2.44</v>
      </c>
      <c r="G3838" s="4"/>
    </row>
    <row r="3839" spans="1:8" ht="18" x14ac:dyDescent="0.35">
      <c r="A3839" s="5"/>
      <c r="B3839" s="5"/>
      <c r="C3839" s="54"/>
      <c r="D3839" s="54"/>
      <c r="E3839" s="89">
        <f>SUM(E3833:E3838)</f>
        <v>505.76165000000003</v>
      </c>
      <c r="G3839" s="4"/>
    </row>
    <row r="3840" spans="1:8" ht="18" x14ac:dyDescent="0.35">
      <c r="A3840" s="5"/>
      <c r="B3840" s="5"/>
      <c r="C3840" s="54"/>
      <c r="D3840" s="54" t="s">
        <v>1063</v>
      </c>
      <c r="E3840" s="89">
        <f>E3839+E3839*40%</f>
        <v>708.06631000000004</v>
      </c>
      <c r="G3840" s="4"/>
    </row>
    <row r="3841" spans="1:5" ht="18" x14ac:dyDescent="0.35">
      <c r="A3841" s="5"/>
      <c r="B3841" s="50" t="s">
        <v>37</v>
      </c>
      <c r="C3841" s="54">
        <v>1.5</v>
      </c>
      <c r="D3841" s="54">
        <v>200</v>
      </c>
      <c r="E3841" s="85">
        <f>C3841*D3841</f>
        <v>300</v>
      </c>
    </row>
    <row r="3842" spans="1:5" ht="18" x14ac:dyDescent="0.35">
      <c r="A3842" s="5"/>
      <c r="B3842" s="5"/>
      <c r="C3842" s="54"/>
      <c r="D3842" s="54"/>
      <c r="E3842" s="85">
        <f>SUM(E3840:E3841)</f>
        <v>1008.06631</v>
      </c>
    </row>
    <row r="3844" spans="1:5" ht="21" x14ac:dyDescent="0.4">
      <c r="A3844" s="40" t="s">
        <v>1078</v>
      </c>
      <c r="B3844" s="40"/>
      <c r="C3844" s="84"/>
      <c r="D3844" s="12"/>
      <c r="E3844" s="12"/>
    </row>
    <row r="3845" spans="1:5" ht="21" x14ac:dyDescent="0.4">
      <c r="A3845" s="40"/>
      <c r="B3845" s="40"/>
      <c r="C3845" s="84"/>
      <c r="D3845" s="12"/>
      <c r="E3845" s="12"/>
    </row>
    <row r="3846" spans="1:5" ht="18" x14ac:dyDescent="0.35">
      <c r="A3846" s="5"/>
      <c r="B3846" s="5"/>
      <c r="C3846" s="7" t="s">
        <v>28</v>
      </c>
      <c r="D3846" s="7" t="s">
        <v>29</v>
      </c>
      <c r="E3846" s="7" t="s">
        <v>30</v>
      </c>
    </row>
    <row r="3847" spans="1:5" ht="18" x14ac:dyDescent="0.35">
      <c r="A3847" s="5" t="s">
        <v>41</v>
      </c>
      <c r="B3847" s="50" t="s">
        <v>32</v>
      </c>
      <c r="C3847" s="7">
        <v>1.3979999999999999</v>
      </c>
      <c r="D3847" s="7">
        <v>45.07</v>
      </c>
      <c r="E3847" s="85">
        <f t="shared" ref="E3847:E3854" si="301">C3847*D3847</f>
        <v>63.007859999999994</v>
      </c>
    </row>
    <row r="3848" spans="1:5" ht="18" x14ac:dyDescent="0.35">
      <c r="A3848" s="5" t="s">
        <v>39</v>
      </c>
      <c r="B3848" s="50" t="s">
        <v>33</v>
      </c>
      <c r="C3848" s="7">
        <v>2.0579999999999998</v>
      </c>
      <c r="D3848" s="7">
        <v>16.170000000000002</v>
      </c>
      <c r="E3848" s="85">
        <f t="shared" si="301"/>
        <v>33.277860000000004</v>
      </c>
    </row>
    <row r="3849" spans="1:5" ht="18" x14ac:dyDescent="0.35">
      <c r="A3849" s="5" t="s">
        <v>293</v>
      </c>
      <c r="B3849" s="50" t="s">
        <v>33</v>
      </c>
      <c r="C3849" s="7">
        <v>2.2679999999999998</v>
      </c>
      <c r="D3849" s="7">
        <v>16.170000000000002</v>
      </c>
      <c r="E3849" s="85">
        <f t="shared" si="301"/>
        <v>36.673560000000002</v>
      </c>
    </row>
    <row r="3850" spans="1:5" ht="18" x14ac:dyDescent="0.35">
      <c r="A3850" s="5" t="s">
        <v>623</v>
      </c>
      <c r="B3850" s="50" t="s">
        <v>43</v>
      </c>
      <c r="C3850" s="7">
        <v>2</v>
      </c>
      <c r="D3850" s="7">
        <v>1.1499999999999999</v>
      </c>
      <c r="E3850" s="85">
        <f t="shared" si="301"/>
        <v>2.2999999999999998</v>
      </c>
    </row>
    <row r="3851" spans="1:5" ht="18" x14ac:dyDescent="0.35">
      <c r="A3851" s="5" t="s">
        <v>1097</v>
      </c>
      <c r="B3851" s="50" t="s">
        <v>88</v>
      </c>
      <c r="C3851" s="88">
        <v>4</v>
      </c>
      <c r="D3851" s="88">
        <v>2.2400000000000002</v>
      </c>
      <c r="E3851" s="90">
        <f t="shared" si="301"/>
        <v>8.9600000000000009</v>
      </c>
    </row>
    <row r="3852" spans="1:5" ht="18" x14ac:dyDescent="0.35">
      <c r="A3852" s="5"/>
      <c r="B3852" s="50" t="s">
        <v>34</v>
      </c>
      <c r="C3852" s="7"/>
      <c r="D3852" s="7">
        <v>18.05</v>
      </c>
      <c r="E3852" s="85">
        <f t="shared" si="301"/>
        <v>0</v>
      </c>
    </row>
    <row r="3853" spans="1:5" ht="18" x14ac:dyDescent="0.35">
      <c r="A3853" s="5"/>
      <c r="B3853" s="50" t="s">
        <v>35</v>
      </c>
      <c r="C3853" s="7">
        <v>4</v>
      </c>
      <c r="D3853" s="7">
        <v>2.0099999999999998</v>
      </c>
      <c r="E3853" s="85">
        <f t="shared" si="301"/>
        <v>8.0399999999999991</v>
      </c>
    </row>
    <row r="3854" spans="1:5" ht="18" x14ac:dyDescent="0.35">
      <c r="A3854" s="5"/>
      <c r="B3854" s="50" t="s">
        <v>36</v>
      </c>
      <c r="C3854" s="7">
        <v>4</v>
      </c>
      <c r="D3854" s="7">
        <v>0.25</v>
      </c>
      <c r="E3854" s="85">
        <f t="shared" si="301"/>
        <v>1</v>
      </c>
    </row>
    <row r="3855" spans="1:5" ht="18" x14ac:dyDescent="0.35">
      <c r="A3855" s="5"/>
      <c r="B3855" s="5"/>
      <c r="C3855" s="54"/>
      <c r="D3855" s="54"/>
      <c r="E3855" s="89">
        <f>SUM(E3847:E3854)</f>
        <v>153.25928000000002</v>
      </c>
    </row>
    <row r="3856" spans="1:5" ht="18" x14ac:dyDescent="0.35">
      <c r="A3856" s="5"/>
      <c r="B3856" s="5"/>
      <c r="C3856" s="54"/>
      <c r="D3856" s="54" t="s">
        <v>1066</v>
      </c>
      <c r="E3856" s="89">
        <f>E3855+E3855*40%</f>
        <v>214.56299200000004</v>
      </c>
    </row>
    <row r="3857" spans="1:5" ht="18" x14ac:dyDescent="0.35">
      <c r="A3857" s="5"/>
      <c r="B3857" s="50" t="s">
        <v>37</v>
      </c>
      <c r="C3857" s="54">
        <v>0.5</v>
      </c>
      <c r="D3857" s="54">
        <v>200</v>
      </c>
      <c r="E3857" s="85">
        <f>C3857*D3857</f>
        <v>100</v>
      </c>
    </row>
    <row r="3858" spans="1:5" ht="18" x14ac:dyDescent="0.35">
      <c r="A3858" s="5"/>
      <c r="B3858" s="5"/>
      <c r="C3858" s="54"/>
      <c r="D3858" s="54"/>
      <c r="E3858" s="112">
        <f>SUM(E3856:E3857)</f>
        <v>314.56299200000001</v>
      </c>
    </row>
    <row r="3860" spans="1:5" ht="21" x14ac:dyDescent="0.4">
      <c r="A3860" s="40" t="s">
        <v>1291</v>
      </c>
      <c r="B3860" s="40"/>
      <c r="C3860" s="84"/>
    </row>
    <row r="3861" spans="1:5" ht="18" x14ac:dyDescent="0.35">
      <c r="A3861" s="5"/>
      <c r="B3861" s="5"/>
      <c r="C3861" s="7" t="s">
        <v>28</v>
      </c>
      <c r="D3861" s="7" t="s">
        <v>29</v>
      </c>
      <c r="E3861" s="7" t="s">
        <v>30</v>
      </c>
    </row>
    <row r="3862" spans="1:5" ht="18" x14ac:dyDescent="0.35">
      <c r="A3862" s="5" t="s">
        <v>1297</v>
      </c>
      <c r="B3862" s="50" t="s">
        <v>32</v>
      </c>
      <c r="C3862" s="7">
        <v>2.1539999999999999</v>
      </c>
      <c r="D3862" s="7">
        <v>11.37</v>
      </c>
      <c r="E3862" s="85">
        <f t="shared" ref="E3862:E3867" si="302">C3862*D3862</f>
        <v>24.490979999999997</v>
      </c>
    </row>
    <row r="3863" spans="1:5" ht="18" x14ac:dyDescent="0.35">
      <c r="A3863" s="5" t="s">
        <v>780</v>
      </c>
      <c r="B3863" s="50" t="s">
        <v>33</v>
      </c>
      <c r="C3863" s="7">
        <v>10.92</v>
      </c>
      <c r="D3863" s="7">
        <v>14.94</v>
      </c>
      <c r="E3863" s="85">
        <f t="shared" si="302"/>
        <v>163.1448</v>
      </c>
    </row>
    <row r="3864" spans="1:5" ht="18" x14ac:dyDescent="0.35">
      <c r="A3864" s="5" t="s">
        <v>891</v>
      </c>
      <c r="B3864" s="50" t="s">
        <v>113</v>
      </c>
      <c r="C3864" s="7">
        <v>2</v>
      </c>
      <c r="D3864" s="7">
        <v>1.81</v>
      </c>
      <c r="E3864" s="85">
        <f t="shared" si="302"/>
        <v>3.62</v>
      </c>
    </row>
    <row r="3865" spans="1:5" ht="18" x14ac:dyDescent="0.35">
      <c r="A3865" s="5" t="s">
        <v>1298</v>
      </c>
      <c r="B3865" s="50" t="s">
        <v>34</v>
      </c>
      <c r="C3865" s="7"/>
      <c r="D3865" s="7">
        <v>14.61</v>
      </c>
      <c r="E3865" s="85">
        <f t="shared" si="302"/>
        <v>0</v>
      </c>
    </row>
    <row r="3866" spans="1:5" ht="18" x14ac:dyDescent="0.35">
      <c r="A3866" s="5"/>
      <c r="B3866" s="50" t="s">
        <v>35</v>
      </c>
      <c r="C3866" s="7">
        <v>4</v>
      </c>
      <c r="D3866" s="7">
        <v>2.91</v>
      </c>
      <c r="E3866" s="85">
        <f t="shared" si="302"/>
        <v>11.64</v>
      </c>
    </row>
    <row r="3867" spans="1:5" ht="18" x14ac:dyDescent="0.35">
      <c r="A3867" s="5"/>
      <c r="B3867" s="50" t="s">
        <v>36</v>
      </c>
      <c r="C3867" s="7">
        <v>4</v>
      </c>
      <c r="D3867" s="7">
        <v>0.61</v>
      </c>
      <c r="E3867" s="85">
        <f t="shared" si="302"/>
        <v>2.44</v>
      </c>
    </row>
    <row r="3868" spans="1:5" ht="18" x14ac:dyDescent="0.35">
      <c r="A3868" s="5"/>
      <c r="B3868" s="5"/>
      <c r="C3868" s="54"/>
      <c r="D3868" s="54"/>
      <c r="E3868" s="89">
        <f>SUM(E3862:E3867)</f>
        <v>205.33578</v>
      </c>
    </row>
    <row r="3869" spans="1:5" ht="18" x14ac:dyDescent="0.35">
      <c r="A3869" s="5"/>
      <c r="B3869" s="5"/>
      <c r="C3869" s="54"/>
      <c r="D3869" s="54" t="s">
        <v>1063</v>
      </c>
      <c r="E3869" s="89">
        <f>E3868+E3868*30%</f>
        <v>266.93651399999999</v>
      </c>
    </row>
    <row r="3870" spans="1:5" ht="18" x14ac:dyDescent="0.35">
      <c r="A3870" s="5"/>
      <c r="B3870" s="50" t="s">
        <v>37</v>
      </c>
      <c r="C3870" s="54">
        <v>0.5</v>
      </c>
      <c r="D3870" s="54">
        <v>140</v>
      </c>
      <c r="E3870" s="85">
        <f>C3870*D3870</f>
        <v>70</v>
      </c>
    </row>
    <row r="3871" spans="1:5" ht="18" x14ac:dyDescent="0.35">
      <c r="A3871" s="5"/>
      <c r="B3871" s="5"/>
      <c r="C3871" s="54"/>
      <c r="D3871" s="54"/>
      <c r="E3871" s="85">
        <f>SUM(E3869:E3870)</f>
        <v>336.93651399999999</v>
      </c>
    </row>
    <row r="3873" spans="1:5" ht="21" x14ac:dyDescent="0.4">
      <c r="A3873" s="40" t="s">
        <v>1299</v>
      </c>
      <c r="B3873" s="40"/>
      <c r="C3873" s="84"/>
      <c r="D3873" s="12"/>
      <c r="E3873" s="12"/>
    </row>
    <row r="3874" spans="1:5" ht="21" x14ac:dyDescent="0.4">
      <c r="A3874" s="40"/>
      <c r="B3874" s="40"/>
      <c r="C3874" s="84"/>
      <c r="D3874" s="12"/>
      <c r="E3874" s="12"/>
    </row>
    <row r="3875" spans="1:5" ht="18" x14ac:dyDescent="0.35">
      <c r="A3875" s="5"/>
      <c r="B3875" s="5"/>
      <c r="C3875" s="7" t="s">
        <v>28</v>
      </c>
      <c r="D3875" s="7" t="s">
        <v>29</v>
      </c>
      <c r="E3875" s="7" t="s">
        <v>30</v>
      </c>
    </row>
    <row r="3876" spans="1:5" ht="18" x14ac:dyDescent="0.35">
      <c r="A3876" s="5" t="s">
        <v>335</v>
      </c>
      <c r="B3876" s="50" t="s">
        <v>32</v>
      </c>
      <c r="C3876" s="7">
        <v>2.343</v>
      </c>
      <c r="D3876" s="7">
        <v>14.96</v>
      </c>
      <c r="E3876" s="85">
        <f t="shared" ref="E3876:E3883" si="303">C3876*D3876</f>
        <v>35.051279999999998</v>
      </c>
    </row>
    <row r="3877" spans="1:5" ht="18" x14ac:dyDescent="0.35">
      <c r="A3877" s="5" t="s">
        <v>408</v>
      </c>
      <c r="B3877" s="50" t="s">
        <v>33</v>
      </c>
      <c r="C3877" s="7">
        <v>11.592000000000001</v>
      </c>
      <c r="D3877" s="7">
        <v>16.170000000000002</v>
      </c>
      <c r="E3877" s="85">
        <f t="shared" si="303"/>
        <v>187.44264000000004</v>
      </c>
    </row>
    <row r="3878" spans="1:5" ht="18" x14ac:dyDescent="0.35">
      <c r="A3878" s="5" t="s">
        <v>591</v>
      </c>
      <c r="B3878" s="50" t="s">
        <v>33</v>
      </c>
      <c r="C3878" s="7">
        <v>11.781000000000001</v>
      </c>
      <c r="D3878" s="7">
        <v>16.170000000000002</v>
      </c>
      <c r="E3878" s="85">
        <f t="shared" si="303"/>
        <v>190.49877000000004</v>
      </c>
    </row>
    <row r="3879" spans="1:5" ht="18" x14ac:dyDescent="0.35">
      <c r="A3879" s="5" t="s">
        <v>1300</v>
      </c>
      <c r="B3879" s="50" t="s">
        <v>650</v>
      </c>
      <c r="C3879" s="7">
        <v>2</v>
      </c>
      <c r="D3879" s="7">
        <v>2.2400000000000002</v>
      </c>
      <c r="E3879" s="85">
        <f t="shared" si="303"/>
        <v>4.4800000000000004</v>
      </c>
    </row>
    <row r="3880" spans="1:5" ht="18" x14ac:dyDescent="0.35">
      <c r="A3880" s="5" t="s">
        <v>1301</v>
      </c>
      <c r="B3880" s="50" t="s">
        <v>88</v>
      </c>
      <c r="C3880" s="88">
        <v>4</v>
      </c>
      <c r="D3880" s="88">
        <v>2.2400000000000002</v>
      </c>
      <c r="E3880" s="90">
        <f t="shared" si="303"/>
        <v>8.9600000000000009</v>
      </c>
    </row>
    <row r="3881" spans="1:5" ht="18" x14ac:dyDescent="0.35">
      <c r="A3881" s="5"/>
      <c r="B3881" s="50" t="s">
        <v>34</v>
      </c>
      <c r="C3881" s="7">
        <v>0.35</v>
      </c>
      <c r="D3881" s="7">
        <v>18.05</v>
      </c>
      <c r="E3881" s="85">
        <f t="shared" si="303"/>
        <v>6.3174999999999999</v>
      </c>
    </row>
    <row r="3882" spans="1:5" ht="18" x14ac:dyDescent="0.35">
      <c r="A3882" s="5"/>
      <c r="B3882" s="50" t="s">
        <v>35</v>
      </c>
      <c r="C3882" s="7">
        <v>4</v>
      </c>
      <c r="D3882" s="7">
        <v>2.0099999999999998</v>
      </c>
      <c r="E3882" s="85">
        <f t="shared" si="303"/>
        <v>8.0399999999999991</v>
      </c>
    </row>
    <row r="3883" spans="1:5" ht="18" x14ac:dyDescent="0.35">
      <c r="A3883" s="5"/>
      <c r="B3883" s="50" t="s">
        <v>36</v>
      </c>
      <c r="C3883" s="7">
        <v>4</v>
      </c>
      <c r="D3883" s="7">
        <v>0.25</v>
      </c>
      <c r="E3883" s="85">
        <f t="shared" si="303"/>
        <v>1</v>
      </c>
    </row>
    <row r="3884" spans="1:5" ht="18" x14ac:dyDescent="0.35">
      <c r="A3884" s="5"/>
      <c r="B3884" s="5"/>
      <c r="C3884" s="54"/>
      <c r="D3884" s="54"/>
      <c r="E3884" s="89">
        <f>SUM(E3876:E3883)</f>
        <v>441.79019000000005</v>
      </c>
    </row>
    <row r="3885" spans="1:5" ht="18" x14ac:dyDescent="0.35">
      <c r="A3885" s="5"/>
      <c r="B3885" s="5"/>
      <c r="C3885" s="54"/>
      <c r="D3885" s="54" t="s">
        <v>1161</v>
      </c>
      <c r="E3885" s="89">
        <f>E3884+E3884*30%</f>
        <v>574.32724700000006</v>
      </c>
    </row>
    <row r="3886" spans="1:5" ht="18" x14ac:dyDescent="0.35">
      <c r="A3886" s="5"/>
      <c r="B3886" s="50" t="s">
        <v>37</v>
      </c>
      <c r="C3886" s="54">
        <v>0.55000000000000004</v>
      </c>
      <c r="D3886" s="54">
        <v>200</v>
      </c>
      <c r="E3886" s="85">
        <f>C3886*D3886</f>
        <v>110.00000000000001</v>
      </c>
    </row>
    <row r="3887" spans="1:5" ht="18" x14ac:dyDescent="0.35">
      <c r="A3887" s="5"/>
      <c r="B3887" s="5"/>
      <c r="C3887" s="54"/>
      <c r="D3887" s="54"/>
      <c r="E3887" s="112">
        <f>SUM(E3885:E3886)</f>
        <v>684.32724700000006</v>
      </c>
    </row>
    <row r="3889" spans="1:5" ht="21" x14ac:dyDescent="0.4">
      <c r="A3889" s="40" t="s">
        <v>1302</v>
      </c>
      <c r="B3889" s="40"/>
      <c r="C3889" s="84"/>
    </row>
    <row r="3890" spans="1:5" ht="18" x14ac:dyDescent="0.35">
      <c r="A3890" s="5"/>
      <c r="B3890" s="5"/>
      <c r="C3890" s="7" t="s">
        <v>28</v>
      </c>
      <c r="D3890" s="7" t="s">
        <v>29</v>
      </c>
      <c r="E3890" s="7" t="s">
        <v>30</v>
      </c>
    </row>
    <row r="3891" spans="1:5" ht="18" x14ac:dyDescent="0.35">
      <c r="A3891" s="5" t="s">
        <v>46</v>
      </c>
      <c r="B3891" s="50" t="s">
        <v>32</v>
      </c>
      <c r="C3891" s="7">
        <v>2.028</v>
      </c>
      <c r="D3891" s="7">
        <v>10.34</v>
      </c>
      <c r="E3891" s="85">
        <f t="shared" ref="E3891:E3896" si="304">C3891*D3891</f>
        <v>20.969519999999999</v>
      </c>
    </row>
    <row r="3892" spans="1:5" ht="18" x14ac:dyDescent="0.35">
      <c r="A3892" s="5" t="s">
        <v>238</v>
      </c>
      <c r="B3892" s="50" t="s">
        <v>33</v>
      </c>
      <c r="C3892" s="7">
        <v>3.3180000000000001</v>
      </c>
      <c r="D3892" s="7">
        <v>14.94</v>
      </c>
      <c r="E3892" s="85">
        <f t="shared" si="304"/>
        <v>49.570920000000001</v>
      </c>
    </row>
    <row r="3893" spans="1:5" ht="18" x14ac:dyDescent="0.35">
      <c r="A3893" s="5" t="s">
        <v>674</v>
      </c>
      <c r="B3893" s="50" t="s">
        <v>42</v>
      </c>
      <c r="C3893" s="7">
        <v>2</v>
      </c>
      <c r="D3893" s="7">
        <v>1.1499999999999999</v>
      </c>
      <c r="E3893" s="85">
        <f t="shared" si="304"/>
        <v>2.2999999999999998</v>
      </c>
    </row>
    <row r="3894" spans="1:5" ht="18" x14ac:dyDescent="0.35">
      <c r="A3894" s="5" t="s">
        <v>1298</v>
      </c>
      <c r="B3894" s="50" t="s">
        <v>34</v>
      </c>
      <c r="C3894" s="7">
        <v>0.1</v>
      </c>
      <c r="D3894" s="7">
        <v>14.61</v>
      </c>
      <c r="E3894" s="85">
        <f t="shared" si="304"/>
        <v>1.4610000000000001</v>
      </c>
    </row>
    <row r="3895" spans="1:5" ht="18" x14ac:dyDescent="0.35">
      <c r="A3895" s="5"/>
      <c r="B3895" s="50" t="s">
        <v>35</v>
      </c>
      <c r="C3895" s="7">
        <v>4</v>
      </c>
      <c r="D3895" s="7">
        <v>2.91</v>
      </c>
      <c r="E3895" s="85">
        <f t="shared" si="304"/>
        <v>11.64</v>
      </c>
    </row>
    <row r="3896" spans="1:5" ht="18" x14ac:dyDescent="0.35">
      <c r="A3896" s="5"/>
      <c r="B3896" s="50" t="s">
        <v>36</v>
      </c>
      <c r="C3896" s="7">
        <v>4</v>
      </c>
      <c r="D3896" s="7">
        <v>0.61</v>
      </c>
      <c r="E3896" s="85">
        <f t="shared" si="304"/>
        <v>2.44</v>
      </c>
    </row>
    <row r="3897" spans="1:5" ht="18" x14ac:dyDescent="0.35">
      <c r="A3897" s="5"/>
      <c r="B3897" s="5"/>
      <c r="C3897" s="54"/>
      <c r="D3897" s="54"/>
      <c r="E3897" s="89">
        <f>SUM(E3891:E3896)</f>
        <v>88.381439999999998</v>
      </c>
    </row>
    <row r="3898" spans="1:5" ht="18" x14ac:dyDescent="0.35">
      <c r="A3898" s="5"/>
      <c r="B3898" s="5"/>
      <c r="C3898" s="54"/>
      <c r="D3898" s="54" t="s">
        <v>1116</v>
      </c>
      <c r="E3898" s="89">
        <f>E3897+E3897*30%</f>
        <v>114.895872</v>
      </c>
    </row>
    <row r="3899" spans="1:5" ht="18" x14ac:dyDescent="0.35">
      <c r="A3899" s="5"/>
      <c r="B3899" s="50" t="s">
        <v>37</v>
      </c>
      <c r="C3899" s="54">
        <v>0.2</v>
      </c>
      <c r="D3899" s="54">
        <v>200</v>
      </c>
      <c r="E3899" s="85">
        <v>80</v>
      </c>
    </row>
    <row r="3900" spans="1:5" ht="18" x14ac:dyDescent="0.35">
      <c r="A3900" s="5"/>
      <c r="B3900" s="5"/>
      <c r="C3900" s="54"/>
      <c r="D3900" s="54"/>
      <c r="E3900" s="85">
        <f>SUM(E3898:E3899)</f>
        <v>194.895872</v>
      </c>
    </row>
    <row r="3902" spans="1:5" ht="21" x14ac:dyDescent="0.4">
      <c r="A3902" s="40" t="s">
        <v>1303</v>
      </c>
      <c r="B3902" s="40"/>
      <c r="C3902" s="84"/>
    </row>
    <row r="3903" spans="1:5" ht="18" x14ac:dyDescent="0.35">
      <c r="A3903" s="5"/>
      <c r="B3903" s="5"/>
      <c r="C3903" s="7" t="s">
        <v>28</v>
      </c>
      <c r="D3903" s="7" t="s">
        <v>29</v>
      </c>
      <c r="E3903" s="7" t="s">
        <v>30</v>
      </c>
    </row>
    <row r="3904" spans="1:5" ht="18" x14ac:dyDescent="0.35">
      <c r="A3904" s="5" t="s">
        <v>45</v>
      </c>
      <c r="B3904" s="50" t="s">
        <v>32</v>
      </c>
      <c r="C3904" s="7">
        <v>1.8180000000000001</v>
      </c>
      <c r="D3904" s="7">
        <v>10.34</v>
      </c>
      <c r="E3904" s="85">
        <f t="shared" ref="E3904:E3909" si="305">C3904*D3904</f>
        <v>18.798120000000001</v>
      </c>
    </row>
    <row r="3905" spans="1:5" ht="18" x14ac:dyDescent="0.35">
      <c r="A3905" s="5" t="s">
        <v>238</v>
      </c>
      <c r="B3905" s="50" t="s">
        <v>33</v>
      </c>
      <c r="C3905" s="7">
        <v>2.8980000000000001</v>
      </c>
      <c r="D3905" s="7">
        <v>14.94</v>
      </c>
      <c r="E3905" s="85">
        <f t="shared" si="305"/>
        <v>43.296120000000002</v>
      </c>
    </row>
    <row r="3906" spans="1:5" ht="18" x14ac:dyDescent="0.35">
      <c r="A3906" s="5" t="s">
        <v>705</v>
      </c>
      <c r="B3906" s="50" t="s">
        <v>42</v>
      </c>
      <c r="C3906" s="7">
        <v>2</v>
      </c>
      <c r="D3906" s="7">
        <v>1.1499999999999999</v>
      </c>
      <c r="E3906" s="85">
        <f t="shared" si="305"/>
        <v>2.2999999999999998</v>
      </c>
    </row>
    <row r="3907" spans="1:5" ht="18" x14ac:dyDescent="0.35">
      <c r="A3907" s="5" t="s">
        <v>1298</v>
      </c>
      <c r="B3907" s="50" t="s">
        <v>34</v>
      </c>
      <c r="C3907" s="7">
        <v>0.1</v>
      </c>
      <c r="D3907" s="7">
        <v>14.61</v>
      </c>
      <c r="E3907" s="85">
        <f t="shared" si="305"/>
        <v>1.4610000000000001</v>
      </c>
    </row>
    <row r="3908" spans="1:5" ht="18" x14ac:dyDescent="0.35">
      <c r="A3908" s="5"/>
      <c r="B3908" s="50" t="s">
        <v>35</v>
      </c>
      <c r="C3908" s="7">
        <v>4</v>
      </c>
      <c r="D3908" s="7">
        <v>2.91</v>
      </c>
      <c r="E3908" s="85">
        <f t="shared" si="305"/>
        <v>11.64</v>
      </c>
    </row>
    <row r="3909" spans="1:5" ht="18" x14ac:dyDescent="0.35">
      <c r="A3909" s="5"/>
      <c r="B3909" s="50" t="s">
        <v>36</v>
      </c>
      <c r="C3909" s="7">
        <v>4</v>
      </c>
      <c r="D3909" s="7">
        <v>0.61</v>
      </c>
      <c r="E3909" s="85">
        <f t="shared" si="305"/>
        <v>2.44</v>
      </c>
    </row>
    <row r="3910" spans="1:5" ht="18" x14ac:dyDescent="0.35">
      <c r="A3910" s="5"/>
      <c r="B3910" s="5"/>
      <c r="C3910" s="54"/>
      <c r="D3910" s="54"/>
      <c r="E3910" s="89">
        <f>SUM(E3904:E3909)</f>
        <v>79.935239999999993</v>
      </c>
    </row>
    <row r="3911" spans="1:5" ht="18" x14ac:dyDescent="0.35">
      <c r="A3911" s="5"/>
      <c r="B3911" s="5"/>
      <c r="C3911" s="54"/>
      <c r="D3911" s="54" t="s">
        <v>1116</v>
      </c>
      <c r="E3911" s="89">
        <f>E3910+E3910*30%</f>
        <v>103.91581199999999</v>
      </c>
    </row>
    <row r="3912" spans="1:5" ht="18" x14ac:dyDescent="0.35">
      <c r="A3912" s="5"/>
      <c r="B3912" s="50" t="s">
        <v>37</v>
      </c>
      <c r="C3912" s="54">
        <v>0.2</v>
      </c>
      <c r="D3912" s="54">
        <v>200</v>
      </c>
      <c r="E3912" s="85">
        <v>70</v>
      </c>
    </row>
    <row r="3913" spans="1:5" ht="18" x14ac:dyDescent="0.35">
      <c r="A3913" s="5"/>
      <c r="B3913" s="5"/>
      <c r="C3913" s="54"/>
      <c r="D3913" s="54"/>
      <c r="E3913" s="85">
        <f>SUM(E3911:E3912)</f>
        <v>173.91581199999999</v>
      </c>
    </row>
    <row r="3916" spans="1:5" ht="21" x14ac:dyDescent="0.4">
      <c r="A3916" s="40" t="s">
        <v>1308</v>
      </c>
      <c r="B3916" s="40"/>
      <c r="C3916" s="40"/>
      <c r="D3916" s="12"/>
      <c r="E3916" s="12"/>
    </row>
    <row r="3917" spans="1:5" ht="18" x14ac:dyDescent="0.35">
      <c r="A3917" s="5"/>
      <c r="B3917" s="5"/>
      <c r="C3917" s="7" t="s">
        <v>28</v>
      </c>
      <c r="D3917" s="7" t="s">
        <v>29</v>
      </c>
      <c r="E3917" s="7" t="s">
        <v>30</v>
      </c>
    </row>
    <row r="3918" spans="1:5" ht="18" x14ac:dyDescent="0.35">
      <c r="A3918" s="5" t="s">
        <v>1304</v>
      </c>
      <c r="B3918" s="50" t="s">
        <v>32</v>
      </c>
      <c r="C3918" s="7">
        <v>6.5640000000000001</v>
      </c>
      <c r="D3918" s="7">
        <v>6.5430000000000001</v>
      </c>
      <c r="E3918" s="85">
        <f>C3918*D3918</f>
        <v>42.948252000000004</v>
      </c>
    </row>
    <row r="3919" spans="1:5" ht="18" x14ac:dyDescent="0.35">
      <c r="A3919" s="5" t="s">
        <v>171</v>
      </c>
      <c r="B3919" s="50" t="s">
        <v>33</v>
      </c>
      <c r="C3919" s="7">
        <v>6.2789999999999999</v>
      </c>
      <c r="D3919" s="7">
        <v>17.059999999999999</v>
      </c>
      <c r="E3919" s="85">
        <f>C3919*D3919</f>
        <v>107.11973999999999</v>
      </c>
    </row>
    <row r="3920" spans="1:5" ht="18" x14ac:dyDescent="0.35">
      <c r="A3920" s="5" t="s">
        <v>1305</v>
      </c>
      <c r="B3920" s="50" t="s">
        <v>137</v>
      </c>
      <c r="C3920" s="7">
        <v>0.5</v>
      </c>
      <c r="D3920" s="7">
        <v>17.190000000000001</v>
      </c>
      <c r="E3920" s="85">
        <f>C3920*D3920</f>
        <v>8.5950000000000006</v>
      </c>
    </row>
    <row r="3921" spans="1:5" ht="18" x14ac:dyDescent="0.35">
      <c r="A3921" s="5"/>
      <c r="B3921" s="50" t="s">
        <v>35</v>
      </c>
      <c r="C3921" s="7">
        <v>4</v>
      </c>
      <c r="D3921" s="7">
        <v>2.91</v>
      </c>
      <c r="E3921" s="85">
        <f>C3921*D3921</f>
        <v>11.64</v>
      </c>
    </row>
    <row r="3922" spans="1:5" ht="18" x14ac:dyDescent="0.35">
      <c r="A3922" s="5"/>
      <c r="B3922" s="50" t="s">
        <v>36</v>
      </c>
      <c r="C3922" s="7">
        <v>4</v>
      </c>
      <c r="D3922" s="7">
        <v>0.61</v>
      </c>
      <c r="E3922" s="85">
        <f>C3922*D3922</f>
        <v>2.44</v>
      </c>
    </row>
    <row r="3923" spans="1:5" ht="18" x14ac:dyDescent="0.35">
      <c r="A3923" s="5"/>
      <c r="B3923" s="50"/>
      <c r="C3923" s="87"/>
      <c r="D3923" s="88"/>
      <c r="E3923" s="85">
        <f>SUM(E3918:E3922)</f>
        <v>172.74299200000002</v>
      </c>
    </row>
    <row r="3924" spans="1:5" ht="18" x14ac:dyDescent="0.35">
      <c r="A3924" s="5"/>
      <c r="B3924" s="50"/>
      <c r="C3924" s="87"/>
      <c r="D3924" s="88" t="s">
        <v>1266</v>
      </c>
      <c r="E3924" s="85">
        <f>E3923+E3923*40%</f>
        <v>241.84018880000002</v>
      </c>
    </row>
    <row r="3925" spans="1:5" ht="18" x14ac:dyDescent="0.35">
      <c r="A3925" s="5"/>
      <c r="B3925" s="50" t="s">
        <v>37</v>
      </c>
      <c r="C3925" s="54">
        <v>1.5</v>
      </c>
      <c r="D3925" s="86">
        <v>200</v>
      </c>
      <c r="E3925" s="85">
        <f>C3925*D3925</f>
        <v>300</v>
      </c>
    </row>
    <row r="3926" spans="1:5" ht="18" x14ac:dyDescent="0.35">
      <c r="A3926" s="5"/>
      <c r="B3926" s="5"/>
      <c r="C3926" s="54"/>
      <c r="D3926" s="54"/>
      <c r="E3926" s="85">
        <f>SUM(E3924:E3925)</f>
        <v>541.84018880000008</v>
      </c>
    </row>
    <row r="3928" spans="1:5" ht="21" x14ac:dyDescent="0.4">
      <c r="A3928" s="40" t="s">
        <v>1306</v>
      </c>
      <c r="B3928" s="40"/>
      <c r="C3928" s="84"/>
    </row>
    <row r="3929" spans="1:5" ht="18" x14ac:dyDescent="0.35">
      <c r="A3929" s="5"/>
      <c r="B3929" s="5"/>
      <c r="C3929" s="7" t="s">
        <v>28</v>
      </c>
      <c r="D3929" s="7" t="s">
        <v>29</v>
      </c>
      <c r="E3929" s="7" t="s">
        <v>30</v>
      </c>
    </row>
    <row r="3930" spans="1:5" ht="18" x14ac:dyDescent="0.35">
      <c r="A3930" s="5" t="s">
        <v>1307</v>
      </c>
      <c r="B3930" s="50" t="s">
        <v>32</v>
      </c>
      <c r="C3930" s="7">
        <v>1.65</v>
      </c>
      <c r="D3930" s="7">
        <v>10.34</v>
      </c>
      <c r="E3930" s="85">
        <f t="shared" ref="E3930:E3935" si="306">C3930*D3930</f>
        <v>17.061</v>
      </c>
    </row>
    <row r="3931" spans="1:5" ht="18" x14ac:dyDescent="0.35">
      <c r="A3931" s="5" t="s">
        <v>219</v>
      </c>
      <c r="B3931" s="50" t="s">
        <v>33</v>
      </c>
      <c r="C3931" s="7">
        <v>0.70299999999999996</v>
      </c>
      <c r="D3931" s="7">
        <v>14.94</v>
      </c>
      <c r="E3931" s="85">
        <f t="shared" si="306"/>
        <v>10.50282</v>
      </c>
    </row>
    <row r="3932" spans="1:5" ht="18" x14ac:dyDescent="0.35">
      <c r="A3932" s="5" t="s">
        <v>1048</v>
      </c>
      <c r="B3932" s="50" t="s">
        <v>911</v>
      </c>
      <c r="C3932" s="7">
        <v>2</v>
      </c>
      <c r="D3932" s="7">
        <v>1.1499999999999999</v>
      </c>
      <c r="E3932" s="85">
        <f t="shared" si="306"/>
        <v>2.2999999999999998</v>
      </c>
    </row>
    <row r="3933" spans="1:5" ht="18" x14ac:dyDescent="0.35">
      <c r="A3933" s="5" t="s">
        <v>1298</v>
      </c>
      <c r="B3933" s="50" t="s">
        <v>34</v>
      </c>
      <c r="C3933" s="7">
        <v>0.04</v>
      </c>
      <c r="D3933" s="7">
        <v>14.61</v>
      </c>
      <c r="E3933" s="85">
        <f t="shared" si="306"/>
        <v>0.58440000000000003</v>
      </c>
    </row>
    <row r="3934" spans="1:5" ht="18" x14ac:dyDescent="0.35">
      <c r="A3934" s="5"/>
      <c r="B3934" s="50" t="s">
        <v>35</v>
      </c>
      <c r="C3934" s="7">
        <v>4</v>
      </c>
      <c r="D3934" s="7">
        <v>2.91</v>
      </c>
      <c r="E3934" s="85">
        <f t="shared" si="306"/>
        <v>11.64</v>
      </c>
    </row>
    <row r="3935" spans="1:5" ht="18" x14ac:dyDescent="0.35">
      <c r="A3935" s="5"/>
      <c r="B3935" s="50" t="s">
        <v>36</v>
      </c>
      <c r="C3935" s="7">
        <v>4</v>
      </c>
      <c r="D3935" s="7">
        <v>0.61</v>
      </c>
      <c r="E3935" s="85">
        <f t="shared" si="306"/>
        <v>2.44</v>
      </c>
    </row>
    <row r="3936" spans="1:5" ht="18" x14ac:dyDescent="0.35">
      <c r="A3936" s="5"/>
      <c r="B3936" s="5"/>
      <c r="C3936" s="54"/>
      <c r="D3936" s="54"/>
      <c r="E3936" s="89">
        <f>SUM(E3930:E3935)</f>
        <v>44.528219999999997</v>
      </c>
    </row>
    <row r="3937" spans="1:5" ht="18" x14ac:dyDescent="0.35">
      <c r="A3937" s="5"/>
      <c r="B3937" s="5"/>
      <c r="C3937" s="54"/>
      <c r="D3937" s="54" t="s">
        <v>1063</v>
      </c>
      <c r="E3937" s="89">
        <f>E3936+E3936*40%</f>
        <v>62.339507999999995</v>
      </c>
    </row>
    <row r="3938" spans="1:5" ht="18" x14ac:dyDescent="0.35">
      <c r="A3938" s="5"/>
      <c r="B3938" s="50" t="s">
        <v>37</v>
      </c>
      <c r="C3938" s="54">
        <v>0.25</v>
      </c>
      <c r="D3938" s="54">
        <v>200</v>
      </c>
      <c r="E3938" s="85">
        <f>C3938*D3938</f>
        <v>50</v>
      </c>
    </row>
    <row r="3939" spans="1:5" ht="18" x14ac:dyDescent="0.35">
      <c r="A3939" s="5"/>
      <c r="B3939" s="5"/>
      <c r="C3939" s="54"/>
      <c r="D3939" s="54"/>
      <c r="E3939" s="85">
        <f>SUM(E3937:E3938)</f>
        <v>112.339508</v>
      </c>
    </row>
    <row r="3941" spans="1:5" ht="21" x14ac:dyDescent="0.4">
      <c r="A3941" s="40" t="s">
        <v>1309</v>
      </c>
      <c r="B3941" s="40"/>
      <c r="C3941" s="40"/>
      <c r="D3941" s="12"/>
      <c r="E3941" s="12"/>
    </row>
    <row r="3942" spans="1:5" ht="18" x14ac:dyDescent="0.35">
      <c r="A3942" s="5"/>
      <c r="B3942" s="5"/>
      <c r="C3942" s="7" t="s">
        <v>28</v>
      </c>
      <c r="D3942" s="7" t="s">
        <v>29</v>
      </c>
      <c r="E3942" s="7" t="s">
        <v>30</v>
      </c>
    </row>
    <row r="3943" spans="1:5" ht="18" x14ac:dyDescent="0.35">
      <c r="A3943" s="5" t="s">
        <v>1310</v>
      </c>
      <c r="B3943" s="50" t="s">
        <v>32</v>
      </c>
      <c r="C3943" s="7">
        <v>1.944</v>
      </c>
      <c r="D3943" s="7">
        <v>10.34</v>
      </c>
      <c r="E3943" s="85">
        <f>C3943*D3943</f>
        <v>20.100960000000001</v>
      </c>
    </row>
    <row r="3944" spans="1:5" ht="18" x14ac:dyDescent="0.35">
      <c r="A3944" s="5" t="s">
        <v>56</v>
      </c>
      <c r="B3944" s="50" t="s">
        <v>33</v>
      </c>
      <c r="C3944" s="7">
        <v>14.311</v>
      </c>
      <c r="D3944" s="7">
        <v>17.059999999999999</v>
      </c>
      <c r="E3944" s="85">
        <f>C3944*D3944</f>
        <v>244.14565999999999</v>
      </c>
    </row>
    <row r="3945" spans="1:5" ht="18" x14ac:dyDescent="0.35">
      <c r="A3945" s="5" t="s">
        <v>1311</v>
      </c>
      <c r="B3945" s="50" t="s">
        <v>137</v>
      </c>
      <c r="C3945" s="7">
        <v>0.8</v>
      </c>
      <c r="D3945" s="7">
        <v>17.190000000000001</v>
      </c>
      <c r="E3945" s="85">
        <f>C3945*D3945</f>
        <v>13.752000000000002</v>
      </c>
    </row>
    <row r="3946" spans="1:5" ht="18" x14ac:dyDescent="0.35">
      <c r="A3946" s="5"/>
      <c r="B3946" s="50" t="s">
        <v>35</v>
      </c>
      <c r="C3946" s="7">
        <v>4</v>
      </c>
      <c r="D3946" s="7">
        <v>2.91</v>
      </c>
      <c r="E3946" s="85">
        <f>C3946*D3946</f>
        <v>11.64</v>
      </c>
    </row>
    <row r="3947" spans="1:5" ht="18" x14ac:dyDescent="0.35">
      <c r="A3947" s="5"/>
      <c r="B3947" s="50" t="s">
        <v>36</v>
      </c>
      <c r="C3947" s="7">
        <v>4</v>
      </c>
      <c r="D3947" s="7">
        <v>0.61</v>
      </c>
      <c r="E3947" s="85">
        <f>C3947*D3947</f>
        <v>2.44</v>
      </c>
    </row>
    <row r="3948" spans="1:5" ht="18" x14ac:dyDescent="0.35">
      <c r="A3948" s="5"/>
      <c r="B3948" s="50"/>
      <c r="C3948" s="87"/>
      <c r="D3948" s="88"/>
      <c r="E3948" s="85">
        <f>SUM(E3943:E3947)</f>
        <v>292.07862</v>
      </c>
    </row>
    <row r="3949" spans="1:5" ht="18" x14ac:dyDescent="0.35">
      <c r="A3949" s="5"/>
      <c r="B3949" s="50"/>
      <c r="C3949" s="87"/>
      <c r="D3949" s="88" t="s">
        <v>1266</v>
      </c>
      <c r="E3949" s="85">
        <f>E3948+E3948*40%</f>
        <v>408.91006800000002</v>
      </c>
    </row>
    <row r="3950" spans="1:5" ht="18" x14ac:dyDescent="0.35">
      <c r="A3950" s="5"/>
      <c r="B3950" s="50" t="s">
        <v>37</v>
      </c>
      <c r="C3950" s="54">
        <v>0.5</v>
      </c>
      <c r="D3950" s="86">
        <v>200</v>
      </c>
      <c r="E3950" s="85">
        <f>C3950*D3950</f>
        <v>100</v>
      </c>
    </row>
    <row r="3951" spans="1:5" ht="18" x14ac:dyDescent="0.35">
      <c r="A3951" s="5"/>
      <c r="B3951" s="5"/>
      <c r="C3951" s="54"/>
      <c r="D3951" s="54"/>
      <c r="E3951" s="85">
        <f>SUM(E3949:E3950)</f>
        <v>508.91006800000002</v>
      </c>
    </row>
    <row r="3953" spans="1:5" ht="21" x14ac:dyDescent="0.4">
      <c r="A3953" s="40" t="s">
        <v>1312</v>
      </c>
      <c r="B3953" s="40"/>
      <c r="C3953" s="84"/>
      <c r="D3953" s="12"/>
      <c r="E3953" s="12"/>
    </row>
    <row r="3954" spans="1:5" ht="21" x14ac:dyDescent="0.4">
      <c r="A3954" s="40"/>
      <c r="B3954" s="40"/>
      <c r="C3954" s="84"/>
      <c r="D3954" s="12"/>
      <c r="E3954" s="12"/>
    </row>
    <row r="3955" spans="1:5" ht="18" x14ac:dyDescent="0.35">
      <c r="A3955" s="5"/>
      <c r="B3955" s="5"/>
      <c r="C3955" s="7" t="s">
        <v>28</v>
      </c>
      <c r="D3955" s="7" t="s">
        <v>29</v>
      </c>
      <c r="E3955" s="7" t="s">
        <v>30</v>
      </c>
    </row>
    <row r="3956" spans="1:5" ht="18" x14ac:dyDescent="0.35">
      <c r="A3956" s="5" t="s">
        <v>1313</v>
      </c>
      <c r="B3956" s="50" t="s">
        <v>32</v>
      </c>
      <c r="C3956" s="7">
        <v>3.2879999999999998</v>
      </c>
      <c r="D3956" s="7">
        <v>14.96</v>
      </c>
      <c r="E3956" s="85">
        <f t="shared" ref="E3956:E3963" si="307">C3956*D3956</f>
        <v>49.188479999999998</v>
      </c>
    </row>
    <row r="3957" spans="1:5" ht="18" x14ac:dyDescent="0.35">
      <c r="A3957" s="5" t="s">
        <v>39</v>
      </c>
      <c r="B3957" s="50" t="s">
        <v>33</v>
      </c>
      <c r="C3957" s="7">
        <v>5.8380000000000001</v>
      </c>
      <c r="D3957" s="7">
        <v>16.170000000000002</v>
      </c>
      <c r="E3957" s="85">
        <f t="shared" si="307"/>
        <v>94.40046000000001</v>
      </c>
    </row>
    <row r="3958" spans="1:5" ht="18" x14ac:dyDescent="0.35">
      <c r="A3958" s="5" t="s">
        <v>1314</v>
      </c>
      <c r="B3958" s="50" t="s">
        <v>33</v>
      </c>
      <c r="C3958" s="7">
        <v>6.6150000000000002</v>
      </c>
      <c r="D3958" s="7">
        <v>16.170000000000002</v>
      </c>
      <c r="E3958" s="85">
        <f t="shared" si="307"/>
        <v>106.96455000000002</v>
      </c>
    </row>
    <row r="3959" spans="1:5" ht="18" x14ac:dyDescent="0.35">
      <c r="A3959" s="5" t="s">
        <v>1073</v>
      </c>
      <c r="B3959" s="50" t="s">
        <v>43</v>
      </c>
      <c r="C3959" s="7">
        <v>2</v>
      </c>
      <c r="D3959" s="7">
        <v>1.1499999999999999</v>
      </c>
      <c r="E3959" s="85">
        <f t="shared" si="307"/>
        <v>2.2999999999999998</v>
      </c>
    </row>
    <row r="3960" spans="1:5" ht="18" x14ac:dyDescent="0.35">
      <c r="A3960" s="5" t="s">
        <v>1301</v>
      </c>
      <c r="B3960" s="50" t="s">
        <v>88</v>
      </c>
      <c r="C3960" s="88">
        <v>6</v>
      </c>
      <c r="D3960" s="88">
        <v>2.2400000000000002</v>
      </c>
      <c r="E3960" s="90">
        <f t="shared" si="307"/>
        <v>13.440000000000001</v>
      </c>
    </row>
    <row r="3961" spans="1:5" ht="18" x14ac:dyDescent="0.35">
      <c r="A3961" s="5"/>
      <c r="B3961" s="50" t="s">
        <v>34</v>
      </c>
      <c r="C3961" s="7">
        <v>0.84</v>
      </c>
      <c r="D3961" s="7">
        <v>18.05</v>
      </c>
      <c r="E3961" s="85">
        <f t="shared" si="307"/>
        <v>15.162000000000001</v>
      </c>
    </row>
    <row r="3962" spans="1:5" ht="18" x14ac:dyDescent="0.35">
      <c r="A3962" s="5"/>
      <c r="B3962" s="50" t="s">
        <v>35</v>
      </c>
      <c r="C3962" s="7">
        <v>6</v>
      </c>
      <c r="D3962" s="7">
        <v>2.0099999999999998</v>
      </c>
      <c r="E3962" s="85">
        <f t="shared" si="307"/>
        <v>12.059999999999999</v>
      </c>
    </row>
    <row r="3963" spans="1:5" ht="18" x14ac:dyDescent="0.35">
      <c r="A3963" s="5"/>
      <c r="B3963" s="50" t="s">
        <v>36</v>
      </c>
      <c r="C3963" s="7">
        <v>4</v>
      </c>
      <c r="D3963" s="7">
        <v>0.25</v>
      </c>
      <c r="E3963" s="85">
        <f t="shared" si="307"/>
        <v>1</v>
      </c>
    </row>
    <row r="3964" spans="1:5" ht="18" x14ac:dyDescent="0.35">
      <c r="A3964" s="5"/>
      <c r="B3964" s="5"/>
      <c r="C3964" s="54"/>
      <c r="D3964" s="54"/>
      <c r="E3964" s="89">
        <f>SUM(E3956:E3963)</f>
        <v>294.51549</v>
      </c>
    </row>
    <row r="3965" spans="1:5" ht="18" x14ac:dyDescent="0.35">
      <c r="A3965" s="5"/>
      <c r="B3965" s="5"/>
      <c r="C3965" s="54"/>
      <c r="D3965" s="54" t="s">
        <v>1066</v>
      </c>
      <c r="E3965" s="89">
        <f>E3964+E3964*40%</f>
        <v>412.321686</v>
      </c>
    </row>
    <row r="3966" spans="1:5" ht="18" x14ac:dyDescent="0.35">
      <c r="A3966" s="5"/>
      <c r="B3966" s="50" t="s">
        <v>37</v>
      </c>
      <c r="C3966" s="54">
        <v>1</v>
      </c>
      <c r="D3966" s="54">
        <v>200</v>
      </c>
      <c r="E3966" s="85">
        <f>C3966*D3966</f>
        <v>200</v>
      </c>
    </row>
    <row r="3967" spans="1:5" ht="18" x14ac:dyDescent="0.35">
      <c r="A3967" s="5"/>
      <c r="B3967" s="5"/>
      <c r="C3967" s="54"/>
      <c r="D3967" s="54"/>
      <c r="E3967" s="112">
        <f>SUM(E3965:E3966)</f>
        <v>612.321686</v>
      </c>
    </row>
    <row r="3969" spans="1:5" ht="21" x14ac:dyDescent="0.4">
      <c r="A3969" s="40" t="s">
        <v>1270</v>
      </c>
      <c r="B3969" s="40"/>
      <c r="C3969" s="40"/>
      <c r="D3969" s="12"/>
      <c r="E3969" s="12"/>
    </row>
    <row r="3970" spans="1:5" ht="18" x14ac:dyDescent="0.35">
      <c r="A3970" s="5"/>
      <c r="B3970" s="5"/>
      <c r="C3970" s="7" t="s">
        <v>28</v>
      </c>
      <c r="D3970" s="7" t="s">
        <v>29</v>
      </c>
      <c r="E3970" s="7" t="s">
        <v>30</v>
      </c>
    </row>
    <row r="3971" spans="1:5" ht="18" x14ac:dyDescent="0.35">
      <c r="A3971" s="5" t="s">
        <v>748</v>
      </c>
      <c r="B3971" s="50" t="s">
        <v>32</v>
      </c>
      <c r="C3971" s="7">
        <v>3.6030000000000002</v>
      </c>
      <c r="D3971" s="7">
        <v>10.34</v>
      </c>
      <c r="E3971" s="85">
        <f>C3971*D3971</f>
        <v>37.255020000000002</v>
      </c>
    </row>
    <row r="3972" spans="1:5" ht="18" x14ac:dyDescent="0.35">
      <c r="A3972" s="5" t="s">
        <v>232</v>
      </c>
      <c r="B3972" s="50" t="s">
        <v>33</v>
      </c>
      <c r="C3972" s="7">
        <v>15.645</v>
      </c>
      <c r="D3972" s="7">
        <v>17.059999999999999</v>
      </c>
      <c r="E3972" s="85">
        <f>C3972*D3972</f>
        <v>266.90369999999996</v>
      </c>
    </row>
    <row r="3973" spans="1:5" ht="18" x14ac:dyDescent="0.35">
      <c r="A3973" s="5" t="s">
        <v>799</v>
      </c>
      <c r="B3973" s="50" t="s">
        <v>137</v>
      </c>
      <c r="C3973" s="7">
        <v>0.75</v>
      </c>
      <c r="D3973" s="7">
        <v>17.190000000000001</v>
      </c>
      <c r="E3973" s="85">
        <f>C3973*D3973</f>
        <v>12.892500000000002</v>
      </c>
    </row>
    <row r="3974" spans="1:5" ht="18" x14ac:dyDescent="0.35">
      <c r="A3974" s="5"/>
      <c r="B3974" s="50" t="s">
        <v>35</v>
      </c>
      <c r="C3974" s="7">
        <v>4</v>
      </c>
      <c r="D3974" s="7">
        <v>2.91</v>
      </c>
      <c r="E3974" s="85">
        <f>C3974*D3974</f>
        <v>11.64</v>
      </c>
    </row>
    <row r="3975" spans="1:5" ht="18" x14ac:dyDescent="0.35">
      <c r="A3975" s="5"/>
      <c r="B3975" s="50" t="s">
        <v>36</v>
      </c>
      <c r="C3975" s="7">
        <v>4</v>
      </c>
      <c r="D3975" s="7">
        <v>0.61</v>
      </c>
      <c r="E3975" s="85">
        <f>C3975*D3975</f>
        <v>2.44</v>
      </c>
    </row>
    <row r="3976" spans="1:5" ht="18" x14ac:dyDescent="0.35">
      <c r="A3976" s="5"/>
      <c r="B3976" s="50"/>
      <c r="C3976" s="87"/>
      <c r="D3976" s="88"/>
      <c r="E3976" s="85">
        <f>SUM(E3971:E3975)</f>
        <v>331.13121999999993</v>
      </c>
    </row>
    <row r="3977" spans="1:5" ht="18" x14ac:dyDescent="0.35">
      <c r="A3977" s="5"/>
      <c r="B3977" s="50"/>
      <c r="C3977" s="87"/>
      <c r="D3977" s="88" t="s">
        <v>1266</v>
      </c>
      <c r="E3977" s="85">
        <f>E3976+E3976*40%</f>
        <v>463.58370799999989</v>
      </c>
    </row>
    <row r="3978" spans="1:5" ht="18" x14ac:dyDescent="0.35">
      <c r="A3978" s="5"/>
      <c r="B3978" s="50" t="s">
        <v>37</v>
      </c>
      <c r="C3978" s="54">
        <v>1.5</v>
      </c>
      <c r="D3978" s="86">
        <v>200</v>
      </c>
      <c r="E3978" s="85">
        <f>C3978*D3978</f>
        <v>300</v>
      </c>
    </row>
    <row r="3979" spans="1:5" ht="18" x14ac:dyDescent="0.35">
      <c r="A3979" s="5"/>
      <c r="B3979" s="5"/>
      <c r="C3979" s="54"/>
      <c r="D3979" s="54"/>
      <c r="E3979" s="85">
        <f>SUM(E3977:E3978)</f>
        <v>763.58370799999989</v>
      </c>
    </row>
    <row r="3983" spans="1:5" ht="21" x14ac:dyDescent="0.4">
      <c r="A3983" s="40" t="s">
        <v>1315</v>
      </c>
      <c r="B3983" s="40"/>
      <c r="C3983" s="40"/>
      <c r="D3983" s="12"/>
      <c r="E3983" s="12"/>
    </row>
    <row r="3984" spans="1:5" ht="18" x14ac:dyDescent="0.35">
      <c r="A3984" s="5"/>
      <c r="B3984" s="5"/>
      <c r="C3984" s="7" t="s">
        <v>28</v>
      </c>
      <c r="D3984" s="7" t="s">
        <v>29</v>
      </c>
      <c r="E3984" s="7" t="s">
        <v>30</v>
      </c>
    </row>
    <row r="3985" spans="1:5" ht="18" x14ac:dyDescent="0.35">
      <c r="A3985" s="5" t="s">
        <v>1316</v>
      </c>
      <c r="B3985" s="50" t="s">
        <v>32</v>
      </c>
      <c r="C3985" s="7">
        <v>0.95699999999999996</v>
      </c>
      <c r="D3985" s="7">
        <v>10.34</v>
      </c>
      <c r="E3985" s="85">
        <f>C3985*D3985</f>
        <v>9.8953799999999994</v>
      </c>
    </row>
    <row r="3986" spans="1:5" ht="18" x14ac:dyDescent="0.35">
      <c r="A3986" s="5" t="s">
        <v>219</v>
      </c>
      <c r="B3986" s="50" t="s">
        <v>33</v>
      </c>
      <c r="C3986" s="7">
        <v>0.35699999999999998</v>
      </c>
      <c r="D3986" s="7">
        <v>17.059999999999999</v>
      </c>
      <c r="E3986" s="85">
        <f>C3986*D3986</f>
        <v>6.0904199999999991</v>
      </c>
    </row>
    <row r="3987" spans="1:5" ht="18" x14ac:dyDescent="0.35">
      <c r="A3987" s="5" t="s">
        <v>1317</v>
      </c>
      <c r="B3987" s="50" t="s">
        <v>137</v>
      </c>
      <c r="C3987" s="7">
        <v>0.1</v>
      </c>
      <c r="D3987" s="7">
        <v>17.190000000000001</v>
      </c>
      <c r="E3987" s="85">
        <f>C3987*D3987</f>
        <v>1.7190000000000003</v>
      </c>
    </row>
    <row r="3988" spans="1:5" ht="18" x14ac:dyDescent="0.35">
      <c r="A3988" s="5"/>
      <c r="B3988" s="50" t="s">
        <v>35</v>
      </c>
      <c r="C3988" s="7">
        <v>4</v>
      </c>
      <c r="D3988" s="7">
        <v>2.91</v>
      </c>
      <c r="E3988" s="85">
        <f>C3988*D3988</f>
        <v>11.64</v>
      </c>
    </row>
    <row r="3989" spans="1:5" ht="18" x14ac:dyDescent="0.35">
      <c r="A3989" s="5"/>
      <c r="B3989" s="50" t="s">
        <v>36</v>
      </c>
      <c r="C3989" s="7">
        <v>4</v>
      </c>
      <c r="D3989" s="7">
        <v>0.61</v>
      </c>
      <c r="E3989" s="85">
        <f>C3989*D3989</f>
        <v>2.44</v>
      </c>
    </row>
    <row r="3990" spans="1:5" ht="18" x14ac:dyDescent="0.35">
      <c r="A3990" s="5"/>
      <c r="B3990" s="50"/>
      <c r="C3990" s="87"/>
      <c r="D3990" s="88"/>
      <c r="E3990" s="85">
        <f>SUM(E3985:E3989)</f>
        <v>31.784800000000001</v>
      </c>
    </row>
    <row r="3991" spans="1:5" ht="18" x14ac:dyDescent="0.35">
      <c r="A3991" s="5"/>
      <c r="B3991" s="50"/>
      <c r="C3991" s="87"/>
      <c r="D3991" s="88" t="s">
        <v>1266</v>
      </c>
      <c r="E3991" s="85">
        <f>E3990+E3990*40%</f>
        <v>44.498720000000006</v>
      </c>
    </row>
    <row r="3992" spans="1:5" ht="18" x14ac:dyDescent="0.35">
      <c r="A3992" s="5"/>
      <c r="B3992" s="50" t="s">
        <v>37</v>
      </c>
      <c r="C3992" s="54">
        <v>0.25</v>
      </c>
      <c r="D3992" s="86">
        <v>200</v>
      </c>
      <c r="E3992" s="85">
        <f>C3992*D3992</f>
        <v>50</v>
      </c>
    </row>
    <row r="3993" spans="1:5" ht="18" x14ac:dyDescent="0.35">
      <c r="A3993" s="5"/>
      <c r="B3993" s="5"/>
      <c r="C3993" s="54"/>
      <c r="D3993" s="54"/>
      <c r="E3993" s="85">
        <f>SUM(E3991:E3992)</f>
        <v>94.498720000000006</v>
      </c>
    </row>
    <row r="3995" spans="1:5" ht="21" x14ac:dyDescent="0.4">
      <c r="A3995" s="40" t="s">
        <v>1319</v>
      </c>
      <c r="B3995" s="40"/>
      <c r="C3995" s="40"/>
      <c r="D3995" s="12"/>
      <c r="E3995" s="12"/>
    </row>
    <row r="3996" spans="1:5" ht="18" x14ac:dyDescent="0.35">
      <c r="A3996" s="5"/>
      <c r="B3996" s="5"/>
      <c r="C3996" s="7" t="s">
        <v>28</v>
      </c>
      <c r="D3996" s="7" t="s">
        <v>29</v>
      </c>
      <c r="E3996" s="7" t="s">
        <v>30</v>
      </c>
    </row>
    <row r="3997" spans="1:5" ht="18" x14ac:dyDescent="0.35">
      <c r="A3997" s="5" t="s">
        <v>1320</v>
      </c>
      <c r="B3997" s="50" t="s">
        <v>32</v>
      </c>
      <c r="C3997" s="7">
        <v>6.6269999999999998</v>
      </c>
      <c r="D3997" s="7">
        <v>10.34</v>
      </c>
      <c r="E3997" s="85">
        <f>C3997*D3997</f>
        <v>68.523179999999996</v>
      </c>
    </row>
    <row r="3998" spans="1:5" ht="18" x14ac:dyDescent="0.35">
      <c r="A3998" s="5" t="s">
        <v>259</v>
      </c>
      <c r="B3998" s="50" t="s">
        <v>33</v>
      </c>
      <c r="C3998" s="7">
        <v>15.696999999999999</v>
      </c>
      <c r="D3998" s="7">
        <v>17.059999999999999</v>
      </c>
      <c r="E3998" s="85">
        <f>C3998*D3998</f>
        <v>267.79081999999994</v>
      </c>
    </row>
    <row r="3999" spans="1:5" ht="18" x14ac:dyDescent="0.35">
      <c r="A3999" s="5" t="s">
        <v>1321</v>
      </c>
      <c r="B3999" s="50" t="s">
        <v>137</v>
      </c>
      <c r="C3999" s="7">
        <v>0.56000000000000005</v>
      </c>
      <c r="D3999" s="7">
        <v>17.190000000000001</v>
      </c>
      <c r="E3999" s="85">
        <f>C3999*D3999</f>
        <v>9.6264000000000021</v>
      </c>
    </row>
    <row r="4000" spans="1:5" ht="18" x14ac:dyDescent="0.35">
      <c r="A4000" s="5"/>
      <c r="B4000" s="50" t="s">
        <v>35</v>
      </c>
      <c r="C4000" s="7">
        <v>4</v>
      </c>
      <c r="D4000" s="7">
        <v>2.91</v>
      </c>
      <c r="E4000" s="85">
        <f>C4000*D4000</f>
        <v>11.64</v>
      </c>
    </row>
    <row r="4001" spans="1:5" ht="18" x14ac:dyDescent="0.35">
      <c r="A4001" s="5"/>
      <c r="B4001" s="50" t="s">
        <v>36</v>
      </c>
      <c r="C4001" s="7">
        <v>4</v>
      </c>
      <c r="D4001" s="7">
        <v>0.61</v>
      </c>
      <c r="E4001" s="85">
        <f>C4001*D4001</f>
        <v>2.44</v>
      </c>
    </row>
    <row r="4002" spans="1:5" ht="18" x14ac:dyDescent="0.35">
      <c r="A4002" s="5"/>
      <c r="B4002" s="50"/>
      <c r="C4002" s="87"/>
      <c r="D4002" s="88"/>
      <c r="E4002" s="85">
        <f>SUM(E3997:E4001)</f>
        <v>360.02039999999994</v>
      </c>
    </row>
    <row r="4003" spans="1:5" ht="18" x14ac:dyDescent="0.35">
      <c r="A4003" s="5"/>
      <c r="B4003" s="50"/>
      <c r="C4003" s="87"/>
      <c r="D4003" s="88" t="s">
        <v>1266</v>
      </c>
      <c r="E4003" s="85">
        <f>E4002+E4002*40%</f>
        <v>504.02855999999991</v>
      </c>
    </row>
    <row r="4004" spans="1:5" ht="18" x14ac:dyDescent="0.35">
      <c r="A4004" s="5"/>
      <c r="B4004" s="50" t="s">
        <v>37</v>
      </c>
      <c r="C4004" s="54">
        <v>1</v>
      </c>
      <c r="D4004" s="86">
        <v>200</v>
      </c>
      <c r="E4004" s="85">
        <f>C4004*D4004</f>
        <v>200</v>
      </c>
    </row>
    <row r="4005" spans="1:5" ht="18" x14ac:dyDescent="0.35">
      <c r="A4005" s="5"/>
      <c r="B4005" s="5"/>
      <c r="C4005" s="54"/>
      <c r="D4005" s="54"/>
      <c r="E4005" s="85">
        <f>SUM(E4003:E4004)</f>
        <v>704.02855999999997</v>
      </c>
    </row>
    <row r="4019" spans="1:5" ht="21" x14ac:dyDescent="0.4">
      <c r="A4019" s="40" t="s">
        <v>1318</v>
      </c>
      <c r="B4019" s="40"/>
      <c r="C4019" s="40"/>
      <c r="D4019" s="12" t="s">
        <v>1328</v>
      </c>
      <c r="E4019" s="12"/>
    </row>
    <row r="4020" spans="1:5" ht="18" x14ac:dyDescent="0.35">
      <c r="A4020" s="5"/>
      <c r="B4020" s="5"/>
      <c r="C4020" s="7" t="s">
        <v>28</v>
      </c>
      <c r="D4020" s="7" t="s">
        <v>29</v>
      </c>
      <c r="E4020" s="7" t="s">
        <v>30</v>
      </c>
    </row>
    <row r="4021" spans="1:5" ht="18" x14ac:dyDescent="0.35">
      <c r="A4021" s="5" t="s">
        <v>305</v>
      </c>
      <c r="B4021" s="50" t="s">
        <v>32</v>
      </c>
      <c r="C4021" s="7">
        <v>6.5220000000000002</v>
      </c>
      <c r="D4021" s="7">
        <v>10.34</v>
      </c>
      <c r="E4021" s="85">
        <f>C4021*D4021</f>
        <v>67.437480000000008</v>
      </c>
    </row>
    <row r="4022" spans="1:5" ht="18" x14ac:dyDescent="0.35">
      <c r="A4022" s="5" t="s">
        <v>219</v>
      </c>
      <c r="B4022" s="50" t="s">
        <v>33</v>
      </c>
      <c r="C4022" s="7">
        <v>3.1389999999999998</v>
      </c>
      <c r="D4022" s="7">
        <v>17.059999999999999</v>
      </c>
      <c r="E4022" s="85">
        <f>C4022*D4022</f>
        <v>53.551339999999989</v>
      </c>
    </row>
    <row r="4023" spans="1:5" ht="18" x14ac:dyDescent="0.35">
      <c r="A4023" s="5" t="s">
        <v>616</v>
      </c>
      <c r="B4023" s="50" t="s">
        <v>137</v>
      </c>
      <c r="C4023" s="7">
        <v>0.25</v>
      </c>
      <c r="D4023" s="7">
        <v>17.190000000000001</v>
      </c>
      <c r="E4023" s="85">
        <f>C4023*D4023</f>
        <v>4.2975000000000003</v>
      </c>
    </row>
    <row r="4024" spans="1:5" ht="18" x14ac:dyDescent="0.35">
      <c r="A4024" s="5"/>
      <c r="B4024" s="50" t="s">
        <v>35</v>
      </c>
      <c r="C4024" s="7">
        <v>4</v>
      </c>
      <c r="D4024" s="7">
        <v>2.91</v>
      </c>
      <c r="E4024" s="85">
        <f>C4024*D4024</f>
        <v>11.64</v>
      </c>
    </row>
    <row r="4025" spans="1:5" ht="18" x14ac:dyDescent="0.35">
      <c r="A4025" s="5"/>
      <c r="B4025" s="50" t="s">
        <v>36</v>
      </c>
      <c r="C4025" s="7">
        <v>4</v>
      </c>
      <c r="D4025" s="7">
        <v>0.61</v>
      </c>
      <c r="E4025" s="85">
        <f>C4025*D4025</f>
        <v>2.44</v>
      </c>
    </row>
    <row r="4026" spans="1:5" ht="18" x14ac:dyDescent="0.35">
      <c r="A4026" s="5"/>
      <c r="B4026" s="50"/>
      <c r="C4026" s="87"/>
      <c r="D4026" s="88"/>
      <c r="E4026" s="85">
        <f>SUM(E4021:E4025)</f>
        <v>139.36632</v>
      </c>
    </row>
    <row r="4027" spans="1:5" ht="18" x14ac:dyDescent="0.35">
      <c r="A4027" s="5"/>
      <c r="B4027" s="50"/>
      <c r="C4027" s="87"/>
      <c r="D4027" s="88" t="s">
        <v>1266</v>
      </c>
      <c r="E4027" s="85">
        <f>E4026+E4026*40%</f>
        <v>195.11284800000001</v>
      </c>
    </row>
    <row r="4028" spans="1:5" ht="18" x14ac:dyDescent="0.35">
      <c r="A4028" s="5"/>
      <c r="B4028" s="50" t="s">
        <v>37</v>
      </c>
      <c r="C4028" s="54">
        <v>1</v>
      </c>
      <c r="D4028" s="86">
        <v>200</v>
      </c>
      <c r="E4028" s="85">
        <f>C4028*D4028</f>
        <v>200</v>
      </c>
    </row>
    <row r="4029" spans="1:5" ht="18" x14ac:dyDescent="0.35">
      <c r="A4029" s="5"/>
      <c r="B4029" s="5"/>
      <c r="C4029" s="54"/>
      <c r="D4029" s="54"/>
      <c r="E4029" s="85">
        <f>SUM(E4027:E4028)</f>
        <v>395.11284799999999</v>
      </c>
    </row>
    <row r="4031" spans="1:5" ht="21" x14ac:dyDescent="0.4">
      <c r="A4031" s="40" t="s">
        <v>1324</v>
      </c>
      <c r="B4031" s="40"/>
      <c r="C4031" s="40"/>
      <c r="D4031" s="12" t="s">
        <v>1328</v>
      </c>
      <c r="E4031" s="12"/>
    </row>
    <row r="4032" spans="1:5" ht="18" x14ac:dyDescent="0.35">
      <c r="A4032" s="5"/>
      <c r="B4032" s="5"/>
      <c r="C4032" s="7" t="s">
        <v>28</v>
      </c>
      <c r="D4032" s="7" t="s">
        <v>29</v>
      </c>
      <c r="E4032" s="7" t="s">
        <v>30</v>
      </c>
    </row>
    <row r="4033" spans="1:5" ht="18" x14ac:dyDescent="0.35">
      <c r="A4033" s="5" t="s">
        <v>304</v>
      </c>
      <c r="B4033" s="50" t="s">
        <v>32</v>
      </c>
      <c r="C4033" s="7">
        <v>6.5220000000000002</v>
      </c>
      <c r="D4033" s="7">
        <v>10.34</v>
      </c>
      <c r="E4033" s="85">
        <f>C4033*D4033</f>
        <v>67.437480000000008</v>
      </c>
    </row>
    <row r="4034" spans="1:5" ht="18" x14ac:dyDescent="0.35">
      <c r="A4034" s="5" t="s">
        <v>219</v>
      </c>
      <c r="B4034" s="50" t="s">
        <v>33</v>
      </c>
      <c r="C4034" s="7">
        <v>3.1389999999999998</v>
      </c>
      <c r="D4034" s="7">
        <v>17.059999999999999</v>
      </c>
      <c r="E4034" s="85">
        <f>C4034*D4034</f>
        <v>53.551339999999989</v>
      </c>
    </row>
    <row r="4035" spans="1:5" ht="18" x14ac:dyDescent="0.35">
      <c r="A4035" s="5" t="s">
        <v>674</v>
      </c>
      <c r="B4035" s="50" t="s">
        <v>137</v>
      </c>
      <c r="C4035" s="7">
        <v>0.25</v>
      </c>
      <c r="D4035" s="7">
        <v>17.190000000000001</v>
      </c>
      <c r="E4035" s="85">
        <f>C4035*D4035</f>
        <v>4.2975000000000003</v>
      </c>
    </row>
    <row r="4036" spans="1:5" ht="18" x14ac:dyDescent="0.35">
      <c r="A4036" s="5"/>
      <c r="B4036" s="50" t="s">
        <v>35</v>
      </c>
      <c r="C4036" s="7">
        <v>4</v>
      </c>
      <c r="D4036" s="7">
        <v>2.91</v>
      </c>
      <c r="E4036" s="85">
        <f>C4036*D4036</f>
        <v>11.64</v>
      </c>
    </row>
    <row r="4037" spans="1:5" ht="18" x14ac:dyDescent="0.35">
      <c r="A4037" s="5"/>
      <c r="B4037" s="50" t="s">
        <v>36</v>
      </c>
      <c r="C4037" s="7">
        <v>4</v>
      </c>
      <c r="D4037" s="7">
        <v>0.61</v>
      </c>
      <c r="E4037" s="85">
        <f>C4037*D4037</f>
        <v>2.44</v>
      </c>
    </row>
    <row r="4038" spans="1:5" ht="18" x14ac:dyDescent="0.35">
      <c r="A4038" s="5"/>
      <c r="B4038" s="50"/>
      <c r="C4038" s="87"/>
      <c r="D4038" s="88"/>
      <c r="E4038" s="85">
        <f>SUM(E4033:E4037)</f>
        <v>139.36632</v>
      </c>
    </row>
    <row r="4039" spans="1:5" ht="18" x14ac:dyDescent="0.35">
      <c r="A4039" s="5"/>
      <c r="B4039" s="50"/>
      <c r="C4039" s="87"/>
      <c r="D4039" s="88" t="s">
        <v>1266</v>
      </c>
      <c r="E4039" s="85">
        <f>E4038+E4038*40%</f>
        <v>195.11284800000001</v>
      </c>
    </row>
    <row r="4040" spans="1:5" ht="18" x14ac:dyDescent="0.35">
      <c r="A4040" s="5"/>
      <c r="B4040" s="50" t="s">
        <v>37</v>
      </c>
      <c r="C4040" s="54">
        <v>1</v>
      </c>
      <c r="D4040" s="86">
        <v>200</v>
      </c>
      <c r="E4040" s="85">
        <f>C4040*D4040</f>
        <v>200</v>
      </c>
    </row>
    <row r="4041" spans="1:5" ht="18" x14ac:dyDescent="0.35">
      <c r="A4041" s="5"/>
      <c r="B4041" s="5"/>
      <c r="C4041" s="54"/>
      <c r="D4041" s="54"/>
      <c r="E4041" s="85">
        <f>SUM(E4039:E4040)</f>
        <v>395.11284799999999</v>
      </c>
    </row>
    <row r="4044" spans="1:5" ht="21" x14ac:dyDescent="0.4">
      <c r="A4044" s="40" t="s">
        <v>1326</v>
      </c>
      <c r="B4044" s="40"/>
      <c r="C4044" s="40"/>
      <c r="D4044" s="12" t="s">
        <v>1329</v>
      </c>
      <c r="E4044" s="12"/>
    </row>
    <row r="4045" spans="1:5" ht="18" x14ac:dyDescent="0.35">
      <c r="A4045" s="5"/>
      <c r="B4045" s="5"/>
      <c r="C4045" s="7" t="s">
        <v>28</v>
      </c>
      <c r="D4045" s="7" t="s">
        <v>29</v>
      </c>
      <c r="E4045" s="7" t="s">
        <v>30</v>
      </c>
    </row>
    <row r="4046" spans="1:5" ht="18" x14ac:dyDescent="0.35">
      <c r="A4046" s="5" t="s">
        <v>182</v>
      </c>
      <c r="B4046" s="50" t="s">
        <v>32</v>
      </c>
      <c r="C4046" s="7">
        <v>1.5029999999999999</v>
      </c>
      <c r="D4046" s="7">
        <v>10.34</v>
      </c>
      <c r="E4046" s="85">
        <f>C4046*D4046</f>
        <v>15.541019999999998</v>
      </c>
    </row>
    <row r="4047" spans="1:5" ht="18" x14ac:dyDescent="0.35">
      <c r="A4047" s="5" t="s">
        <v>171</v>
      </c>
      <c r="B4047" s="50" t="s">
        <v>33</v>
      </c>
      <c r="C4047" s="7">
        <v>1.2390000000000001</v>
      </c>
      <c r="D4047" s="7">
        <v>17.059999999999999</v>
      </c>
      <c r="E4047" s="85">
        <f>C4047*D4047</f>
        <v>21.137340000000002</v>
      </c>
    </row>
    <row r="4048" spans="1:5" ht="18" x14ac:dyDescent="0.35">
      <c r="A4048" s="5" t="s">
        <v>619</v>
      </c>
      <c r="B4048" s="50" t="s">
        <v>137</v>
      </c>
      <c r="C4048" s="7">
        <v>0.1</v>
      </c>
      <c r="D4048" s="7">
        <v>17.190000000000001</v>
      </c>
      <c r="E4048" s="85">
        <f>C4048*D4048</f>
        <v>1.7190000000000003</v>
      </c>
    </row>
    <row r="4049" spans="1:5" ht="18" x14ac:dyDescent="0.35">
      <c r="A4049" s="5"/>
      <c r="B4049" s="50" t="s">
        <v>35</v>
      </c>
      <c r="C4049" s="7">
        <v>4</v>
      </c>
      <c r="D4049" s="7">
        <v>2.91</v>
      </c>
      <c r="E4049" s="85">
        <f>C4049*D4049</f>
        <v>11.64</v>
      </c>
    </row>
    <row r="4050" spans="1:5" ht="18" x14ac:dyDescent="0.35">
      <c r="A4050" s="5"/>
      <c r="B4050" s="50" t="s">
        <v>36</v>
      </c>
      <c r="C4050" s="7">
        <v>4</v>
      </c>
      <c r="D4050" s="7">
        <v>0.61</v>
      </c>
      <c r="E4050" s="85">
        <f>C4050*D4050</f>
        <v>2.44</v>
      </c>
    </row>
    <row r="4051" spans="1:5" ht="18" x14ac:dyDescent="0.35">
      <c r="A4051" s="5"/>
      <c r="B4051" s="50"/>
      <c r="C4051" s="87"/>
      <c r="D4051" s="88"/>
      <c r="E4051" s="85">
        <f>SUM(E4046:E4050)</f>
        <v>52.477359999999997</v>
      </c>
    </row>
    <row r="4052" spans="1:5" ht="18" x14ac:dyDescent="0.35">
      <c r="A4052" s="5"/>
      <c r="B4052" s="50"/>
      <c r="C4052" s="87"/>
      <c r="D4052" s="88" t="s">
        <v>1266</v>
      </c>
      <c r="E4052" s="85">
        <f>E4051+E4051*40%</f>
        <v>73.468303999999989</v>
      </c>
    </row>
    <row r="4053" spans="1:5" ht="18" x14ac:dyDescent="0.35">
      <c r="A4053" s="5"/>
      <c r="B4053" s="50" t="s">
        <v>37</v>
      </c>
      <c r="C4053" s="54">
        <v>0.3</v>
      </c>
      <c r="D4053" s="86">
        <v>200</v>
      </c>
      <c r="E4053" s="85">
        <f>C4053*D4053</f>
        <v>60</v>
      </c>
    </row>
    <row r="4054" spans="1:5" ht="18" x14ac:dyDescent="0.35">
      <c r="A4054" s="5"/>
      <c r="B4054" s="5"/>
      <c r="C4054" s="54"/>
      <c r="D4054" s="54"/>
      <c r="E4054" s="85">
        <f>SUM(E4052:E4053)</f>
        <v>133.46830399999999</v>
      </c>
    </row>
    <row r="4056" spans="1:5" ht="21" x14ac:dyDescent="0.4">
      <c r="A4056" s="40" t="s">
        <v>1325</v>
      </c>
      <c r="B4056" s="40"/>
      <c r="C4056" s="40"/>
      <c r="D4056" s="12" t="s">
        <v>1329</v>
      </c>
      <c r="E4056" s="12"/>
    </row>
    <row r="4057" spans="1:5" ht="18" x14ac:dyDescent="0.35">
      <c r="A4057" s="5"/>
      <c r="B4057" s="5"/>
      <c r="C4057" s="7" t="s">
        <v>28</v>
      </c>
      <c r="D4057" s="7" t="s">
        <v>29</v>
      </c>
      <c r="E4057" s="7" t="s">
        <v>30</v>
      </c>
    </row>
    <row r="4058" spans="1:5" ht="18" x14ac:dyDescent="0.35">
      <c r="A4058" s="5" t="s">
        <v>46</v>
      </c>
      <c r="B4058" s="50" t="s">
        <v>32</v>
      </c>
      <c r="C4058" s="7">
        <v>2.028</v>
      </c>
      <c r="D4058" s="7">
        <v>10.34</v>
      </c>
      <c r="E4058" s="85">
        <f>C4058*D4058</f>
        <v>20.969519999999999</v>
      </c>
    </row>
    <row r="4059" spans="1:5" ht="18" x14ac:dyDescent="0.35">
      <c r="A4059" s="5" t="s">
        <v>143</v>
      </c>
      <c r="B4059" s="50" t="s">
        <v>33</v>
      </c>
      <c r="C4059" s="7">
        <v>4.9770000000000003</v>
      </c>
      <c r="D4059" s="7">
        <v>17.059999999999999</v>
      </c>
      <c r="E4059" s="85">
        <f>C4059*D4059</f>
        <v>84.907619999999994</v>
      </c>
    </row>
    <row r="4060" spans="1:5" ht="18" x14ac:dyDescent="0.35">
      <c r="A4060" s="5" t="s">
        <v>674</v>
      </c>
      <c r="B4060" s="50" t="s">
        <v>137</v>
      </c>
      <c r="C4060" s="7">
        <v>0.2</v>
      </c>
      <c r="D4060" s="7">
        <v>17.190000000000001</v>
      </c>
      <c r="E4060" s="85">
        <f>C4060*D4060</f>
        <v>3.4380000000000006</v>
      </c>
    </row>
    <row r="4061" spans="1:5" ht="18" x14ac:dyDescent="0.35">
      <c r="A4061" s="5"/>
      <c r="B4061" s="50" t="s">
        <v>35</v>
      </c>
      <c r="C4061" s="7">
        <v>4</v>
      </c>
      <c r="D4061" s="7">
        <v>2.91</v>
      </c>
      <c r="E4061" s="85">
        <f>C4061*D4061</f>
        <v>11.64</v>
      </c>
    </row>
    <row r="4062" spans="1:5" ht="18" x14ac:dyDescent="0.35">
      <c r="A4062" s="5"/>
      <c r="B4062" s="50" t="s">
        <v>36</v>
      </c>
      <c r="C4062" s="7">
        <v>4</v>
      </c>
      <c r="D4062" s="7">
        <v>0.61</v>
      </c>
      <c r="E4062" s="85">
        <f>C4062*D4062</f>
        <v>2.44</v>
      </c>
    </row>
    <row r="4063" spans="1:5" ht="18" x14ac:dyDescent="0.35">
      <c r="A4063" s="5"/>
      <c r="B4063" s="50"/>
      <c r="C4063" s="87"/>
      <c r="D4063" s="88"/>
      <c r="E4063" s="85">
        <f>SUM(E4058:E4062)</f>
        <v>123.39514</v>
      </c>
    </row>
    <row r="4064" spans="1:5" ht="18" x14ac:dyDescent="0.35">
      <c r="A4064" s="5"/>
      <c r="B4064" s="50"/>
      <c r="C4064" s="87"/>
      <c r="D4064" s="88" t="s">
        <v>1266</v>
      </c>
      <c r="E4064" s="85">
        <f>E4063+E4063*40%</f>
        <v>172.753196</v>
      </c>
    </row>
    <row r="4065" spans="1:5" ht="18" x14ac:dyDescent="0.35">
      <c r="A4065" s="5"/>
      <c r="B4065" s="50" t="s">
        <v>37</v>
      </c>
      <c r="C4065" s="54">
        <v>0.4</v>
      </c>
      <c r="D4065" s="86">
        <v>200</v>
      </c>
      <c r="E4065" s="85">
        <f>C4065*D4065</f>
        <v>80</v>
      </c>
    </row>
    <row r="4066" spans="1:5" ht="18" x14ac:dyDescent="0.35">
      <c r="A4066" s="5"/>
      <c r="B4066" s="5"/>
      <c r="C4066" s="54"/>
      <c r="D4066" s="54"/>
      <c r="E4066" s="85">
        <f>SUM(E4064:E4065)</f>
        <v>252.753196</v>
      </c>
    </row>
    <row r="4068" spans="1:5" ht="21" x14ac:dyDescent="0.4">
      <c r="A4068" s="40" t="s">
        <v>1327</v>
      </c>
      <c r="B4068" s="40"/>
      <c r="C4068" s="40"/>
      <c r="D4068" s="12" t="s">
        <v>1329</v>
      </c>
      <c r="E4068" s="12"/>
    </row>
    <row r="4069" spans="1:5" ht="18" x14ac:dyDescent="0.35">
      <c r="A4069" s="5"/>
      <c r="B4069" s="5"/>
      <c r="C4069" s="7" t="s">
        <v>28</v>
      </c>
      <c r="D4069" s="7" t="s">
        <v>29</v>
      </c>
      <c r="E4069" s="7" t="s">
        <v>30</v>
      </c>
    </row>
    <row r="4070" spans="1:5" ht="18" x14ac:dyDescent="0.35">
      <c r="A4070" s="5" t="s">
        <v>1304</v>
      </c>
      <c r="B4070" s="50" t="s">
        <v>32</v>
      </c>
      <c r="C4070" s="7">
        <v>6.5890000000000004</v>
      </c>
      <c r="D4070" s="7">
        <v>10.34</v>
      </c>
      <c r="E4070" s="85">
        <f>C4070*D4070</f>
        <v>68.130260000000007</v>
      </c>
    </row>
    <row r="4071" spans="1:5" ht="18" x14ac:dyDescent="0.35">
      <c r="A4071" s="5" t="s">
        <v>171</v>
      </c>
      <c r="B4071" s="50" t="s">
        <v>33</v>
      </c>
      <c r="C4071" s="7">
        <v>6.2789999999999999</v>
      </c>
      <c r="D4071" s="7">
        <v>17.059999999999999</v>
      </c>
      <c r="E4071" s="85">
        <f>C4071*D4071</f>
        <v>107.11973999999999</v>
      </c>
    </row>
    <row r="4072" spans="1:5" ht="18" x14ac:dyDescent="0.35">
      <c r="A4072" s="5" t="s">
        <v>674</v>
      </c>
      <c r="B4072" s="50" t="s">
        <v>137</v>
      </c>
      <c r="C4072" s="7">
        <v>0.3</v>
      </c>
      <c r="D4072" s="7">
        <v>17.190000000000001</v>
      </c>
      <c r="E4072" s="85">
        <f>C4072*D4072</f>
        <v>5.157</v>
      </c>
    </row>
    <row r="4073" spans="1:5" ht="18" x14ac:dyDescent="0.35">
      <c r="A4073" s="5"/>
      <c r="B4073" s="50" t="s">
        <v>35</v>
      </c>
      <c r="C4073" s="7">
        <v>4</v>
      </c>
      <c r="D4073" s="7">
        <v>2.91</v>
      </c>
      <c r="E4073" s="85">
        <f>C4073*D4073</f>
        <v>11.64</v>
      </c>
    </row>
    <row r="4074" spans="1:5" ht="18" x14ac:dyDescent="0.35">
      <c r="A4074" s="5"/>
      <c r="B4074" s="50" t="s">
        <v>36</v>
      </c>
      <c r="C4074" s="7">
        <v>4</v>
      </c>
      <c r="D4074" s="7">
        <v>0.61</v>
      </c>
      <c r="E4074" s="85">
        <f>C4074*D4074</f>
        <v>2.44</v>
      </c>
    </row>
    <row r="4075" spans="1:5" ht="18" x14ac:dyDescent="0.35">
      <c r="A4075" s="5"/>
      <c r="B4075" s="50"/>
      <c r="C4075" s="87"/>
      <c r="D4075" s="88"/>
      <c r="E4075" s="85">
        <f>SUM(E4070:E4074)</f>
        <v>194.48700000000002</v>
      </c>
    </row>
    <row r="4076" spans="1:5" ht="18" x14ac:dyDescent="0.35">
      <c r="A4076" s="5"/>
      <c r="B4076" s="50"/>
      <c r="C4076" s="87"/>
      <c r="D4076" s="88" t="s">
        <v>1266</v>
      </c>
      <c r="E4076" s="85">
        <f>E4075+E4075*40%</f>
        <v>272.28180000000003</v>
      </c>
    </row>
    <row r="4077" spans="1:5" ht="18" x14ac:dyDescent="0.35">
      <c r="A4077" s="5"/>
      <c r="B4077" s="50" t="s">
        <v>37</v>
      </c>
      <c r="C4077" s="54">
        <v>1</v>
      </c>
      <c r="D4077" s="86">
        <v>200</v>
      </c>
      <c r="E4077" s="85">
        <f>C4077*D4077</f>
        <v>200</v>
      </c>
    </row>
    <row r="4078" spans="1:5" ht="18" x14ac:dyDescent="0.35">
      <c r="A4078" s="5"/>
      <c r="B4078" s="5"/>
      <c r="C4078" s="54"/>
      <c r="D4078" s="54"/>
      <c r="E4078" s="85">
        <f>SUM(E4076:E4077)</f>
        <v>472.28180000000003</v>
      </c>
    </row>
    <row r="4079" spans="1:5" ht="18" x14ac:dyDescent="0.35">
      <c r="A4079" s="5"/>
      <c r="B4079" s="5"/>
      <c r="C4079" s="54"/>
      <c r="D4079" s="54"/>
      <c r="E4079" s="94"/>
    </row>
    <row r="4080" spans="1:5" ht="21" x14ac:dyDescent="0.4">
      <c r="A4080" s="40" t="s">
        <v>1318</v>
      </c>
      <c r="B4080" s="40"/>
      <c r="C4080" s="40"/>
      <c r="D4080" s="12"/>
      <c r="E4080" s="12"/>
    </row>
    <row r="4081" spans="1:5" ht="18" x14ac:dyDescent="0.35">
      <c r="A4081" s="5"/>
      <c r="B4081" s="5"/>
      <c r="C4081" s="7" t="s">
        <v>28</v>
      </c>
      <c r="D4081" s="7" t="s">
        <v>29</v>
      </c>
      <c r="E4081" s="7" t="s">
        <v>30</v>
      </c>
    </row>
    <row r="4082" spans="1:5" ht="18" x14ac:dyDescent="0.35">
      <c r="A4082" s="5" t="s">
        <v>305</v>
      </c>
      <c r="B4082" s="50" t="s">
        <v>32</v>
      </c>
      <c r="C4082" s="7">
        <v>6.5220000000000002</v>
      </c>
      <c r="D4082" s="7">
        <v>10.34</v>
      </c>
      <c r="E4082" s="85">
        <f>C4082*D4082</f>
        <v>67.437480000000008</v>
      </c>
    </row>
    <row r="4083" spans="1:5" ht="18" x14ac:dyDescent="0.35">
      <c r="A4083" s="5" t="s">
        <v>219</v>
      </c>
      <c r="B4083" s="50" t="s">
        <v>33</v>
      </c>
      <c r="C4083" s="7">
        <v>3.1389999999999998</v>
      </c>
      <c r="D4083" s="7">
        <v>17.059999999999999</v>
      </c>
      <c r="E4083" s="85">
        <f>C4083*D4083</f>
        <v>53.551339999999989</v>
      </c>
    </row>
    <row r="4084" spans="1:5" ht="18" x14ac:dyDescent="0.35">
      <c r="A4084" s="5" t="s">
        <v>1317</v>
      </c>
      <c r="B4084" s="50" t="s">
        <v>137</v>
      </c>
      <c r="C4084" s="7">
        <v>0.25</v>
      </c>
      <c r="D4084" s="7">
        <v>17.190000000000001</v>
      </c>
      <c r="E4084" s="85">
        <f>C4084*D4084</f>
        <v>4.2975000000000003</v>
      </c>
    </row>
    <row r="4085" spans="1:5" ht="18" x14ac:dyDescent="0.35">
      <c r="A4085" s="5"/>
      <c r="B4085" s="50" t="s">
        <v>35</v>
      </c>
      <c r="C4085" s="7">
        <v>4</v>
      </c>
      <c r="D4085" s="7">
        <v>2.91</v>
      </c>
      <c r="E4085" s="85">
        <f>C4085*D4085</f>
        <v>11.64</v>
      </c>
    </row>
    <row r="4086" spans="1:5" ht="18" x14ac:dyDescent="0.35">
      <c r="A4086" s="5"/>
      <c r="B4086" s="50" t="s">
        <v>36</v>
      </c>
      <c r="C4086" s="7">
        <v>4</v>
      </c>
      <c r="D4086" s="7">
        <v>0.61</v>
      </c>
      <c r="E4086" s="85">
        <f>C4086*D4086</f>
        <v>2.44</v>
      </c>
    </row>
    <row r="4087" spans="1:5" ht="18" x14ac:dyDescent="0.35">
      <c r="A4087" s="5"/>
      <c r="B4087" s="50"/>
      <c r="C4087" s="87"/>
      <c r="D4087" s="88"/>
      <c r="E4087" s="85">
        <f>SUM(E4082:E4086)</f>
        <v>139.36632</v>
      </c>
    </row>
    <row r="4088" spans="1:5" ht="18" x14ac:dyDescent="0.35">
      <c r="A4088" s="5"/>
      <c r="B4088" s="50"/>
      <c r="C4088" s="87"/>
      <c r="D4088" s="88" t="s">
        <v>1266</v>
      </c>
      <c r="E4088" s="85">
        <f>E4087+E4087*40%</f>
        <v>195.11284800000001</v>
      </c>
    </row>
    <row r="4089" spans="1:5" ht="18" x14ac:dyDescent="0.35">
      <c r="A4089" s="5"/>
      <c r="B4089" s="50" t="s">
        <v>37</v>
      </c>
      <c r="C4089" s="54">
        <v>1</v>
      </c>
      <c r="D4089" s="86">
        <v>200</v>
      </c>
      <c r="E4089" s="85">
        <v>200</v>
      </c>
    </row>
    <row r="4090" spans="1:5" ht="18" x14ac:dyDescent="0.35">
      <c r="A4090" s="5"/>
      <c r="B4090" s="5"/>
      <c r="C4090" s="54"/>
      <c r="D4090" s="54"/>
      <c r="E4090" s="85">
        <f>SUM(E4088:E4089)</f>
        <v>395.11284799999999</v>
      </c>
    </row>
    <row r="4091" spans="1:5" ht="18" x14ac:dyDescent="0.35">
      <c r="A4091" s="5"/>
      <c r="B4091" s="5"/>
      <c r="C4091" s="54"/>
      <c r="D4091" s="54"/>
      <c r="E4091" s="94"/>
    </row>
    <row r="4092" spans="1:5" ht="21" x14ac:dyDescent="0.4">
      <c r="A4092" s="40" t="s">
        <v>1324</v>
      </c>
      <c r="B4092" s="40"/>
      <c r="C4092" s="40"/>
      <c r="D4092" s="12" t="s">
        <v>1328</v>
      </c>
      <c r="E4092" s="12"/>
    </row>
    <row r="4093" spans="1:5" ht="18" x14ac:dyDescent="0.35">
      <c r="A4093" s="5"/>
      <c r="B4093" s="5"/>
      <c r="C4093" s="7" t="s">
        <v>28</v>
      </c>
      <c r="D4093" s="7" t="s">
        <v>29</v>
      </c>
      <c r="E4093" s="7" t="s">
        <v>30</v>
      </c>
    </row>
    <row r="4094" spans="1:5" ht="18" x14ac:dyDescent="0.35">
      <c r="A4094" s="5" t="s">
        <v>304</v>
      </c>
      <c r="B4094" s="50" t="s">
        <v>32</v>
      </c>
      <c r="C4094" s="7">
        <v>4.4219999999999997</v>
      </c>
      <c r="D4094" s="7">
        <v>10.34</v>
      </c>
      <c r="E4094" s="85">
        <f>C4094*D4094</f>
        <v>45.723479999999995</v>
      </c>
    </row>
    <row r="4095" spans="1:5" ht="18" x14ac:dyDescent="0.35">
      <c r="A4095" s="5" t="s">
        <v>219</v>
      </c>
      <c r="B4095" s="50" t="s">
        <v>33</v>
      </c>
      <c r="C4095" s="7">
        <v>2.089</v>
      </c>
      <c r="D4095" s="7">
        <v>17.059999999999999</v>
      </c>
      <c r="E4095" s="85">
        <f>C4095*D4095</f>
        <v>35.638339999999999</v>
      </c>
    </row>
    <row r="4096" spans="1:5" ht="18" x14ac:dyDescent="0.35">
      <c r="A4096" s="5" t="s">
        <v>674</v>
      </c>
      <c r="B4096" s="50" t="s">
        <v>137</v>
      </c>
      <c r="C4096" s="7">
        <v>0.25</v>
      </c>
      <c r="D4096" s="7">
        <v>17.190000000000001</v>
      </c>
      <c r="E4096" s="85">
        <f>C4096*D4096</f>
        <v>4.2975000000000003</v>
      </c>
    </row>
    <row r="4097" spans="1:5" ht="18" x14ac:dyDescent="0.35">
      <c r="A4097" s="5"/>
      <c r="B4097" s="50" t="s">
        <v>35</v>
      </c>
      <c r="C4097" s="7">
        <v>4</v>
      </c>
      <c r="D4097" s="7">
        <v>2.91</v>
      </c>
      <c r="E4097" s="85">
        <f>C4097*D4097</f>
        <v>11.64</v>
      </c>
    </row>
    <row r="4098" spans="1:5" ht="18" x14ac:dyDescent="0.35">
      <c r="A4098" s="5"/>
      <c r="B4098" s="50" t="s">
        <v>36</v>
      </c>
      <c r="C4098" s="7">
        <v>4</v>
      </c>
      <c r="D4098" s="7">
        <v>0.61</v>
      </c>
      <c r="E4098" s="85">
        <f>C4098*D4098</f>
        <v>2.44</v>
      </c>
    </row>
    <row r="4099" spans="1:5" ht="18" x14ac:dyDescent="0.35">
      <c r="A4099" s="5"/>
      <c r="B4099" s="50"/>
      <c r="C4099" s="87"/>
      <c r="D4099" s="88"/>
      <c r="E4099" s="85">
        <f>SUM(E4094:E4098)</f>
        <v>99.739319999999992</v>
      </c>
    </row>
    <row r="4100" spans="1:5" ht="18" x14ac:dyDescent="0.35">
      <c r="A4100" s="5"/>
      <c r="B4100" s="50"/>
      <c r="C4100" s="87"/>
      <c r="D4100" s="88" t="s">
        <v>1266</v>
      </c>
      <c r="E4100" s="85">
        <f>E4099+E4099*40%</f>
        <v>139.63504799999998</v>
      </c>
    </row>
    <row r="4101" spans="1:5" ht="18" x14ac:dyDescent="0.35">
      <c r="A4101" s="5"/>
      <c r="B4101" s="50" t="s">
        <v>37</v>
      </c>
      <c r="C4101" s="54">
        <v>1</v>
      </c>
      <c r="D4101" s="86">
        <v>200</v>
      </c>
      <c r="E4101" s="85">
        <f>C4101*D4101</f>
        <v>200</v>
      </c>
    </row>
    <row r="4102" spans="1:5" ht="18" x14ac:dyDescent="0.35">
      <c r="A4102" s="5"/>
      <c r="B4102" s="5"/>
      <c r="C4102" s="54"/>
      <c r="D4102" s="54"/>
      <c r="E4102" s="85">
        <f>SUM(E4100:E4101)</f>
        <v>339.63504799999998</v>
      </c>
    </row>
    <row r="4103" spans="1:5" ht="18" x14ac:dyDescent="0.35">
      <c r="A4103" s="5"/>
      <c r="B4103" s="5"/>
      <c r="C4103" s="54"/>
      <c r="D4103" s="54"/>
      <c r="E4103" s="94"/>
    </row>
    <row r="4105" spans="1:5" ht="21" x14ac:dyDescent="0.4">
      <c r="A4105" s="40" t="s">
        <v>1332</v>
      </c>
      <c r="B4105" s="40"/>
      <c r="C4105" s="40"/>
      <c r="D4105" s="12" t="s">
        <v>1328</v>
      </c>
      <c r="E4105" s="12"/>
    </row>
    <row r="4106" spans="1:5" ht="18" x14ac:dyDescent="0.35">
      <c r="A4106" s="5"/>
      <c r="B4106" s="5"/>
      <c r="C4106" s="7" t="s">
        <v>28</v>
      </c>
      <c r="D4106" s="7" t="s">
        <v>29</v>
      </c>
      <c r="E4106" s="7" t="s">
        <v>30</v>
      </c>
    </row>
    <row r="4107" spans="1:5" ht="18" x14ac:dyDescent="0.35">
      <c r="A4107" s="5" t="s">
        <v>758</v>
      </c>
      <c r="B4107" s="50" t="s">
        <v>32</v>
      </c>
      <c r="C4107" s="7">
        <v>3.3719999999999999</v>
      </c>
      <c r="D4107" s="7">
        <v>10.34</v>
      </c>
      <c r="E4107" s="85">
        <f>C4107*D4107</f>
        <v>34.866479999999996</v>
      </c>
    </row>
    <row r="4108" spans="1:5" ht="18" x14ac:dyDescent="0.35">
      <c r="A4108" s="5" t="s">
        <v>219</v>
      </c>
      <c r="B4108" s="50" t="s">
        <v>33</v>
      </c>
      <c r="C4108" s="7">
        <v>1.5649999999999999</v>
      </c>
      <c r="D4108" s="7">
        <v>17.059999999999999</v>
      </c>
      <c r="E4108" s="85">
        <f>C4108*D4108</f>
        <v>26.698899999999998</v>
      </c>
    </row>
    <row r="4109" spans="1:5" ht="18" x14ac:dyDescent="0.35">
      <c r="A4109" s="5" t="s">
        <v>696</v>
      </c>
      <c r="B4109" s="50" t="s">
        <v>137</v>
      </c>
      <c r="C4109" s="7">
        <v>0.25</v>
      </c>
      <c r="D4109" s="7">
        <v>17.190000000000001</v>
      </c>
      <c r="E4109" s="85">
        <f>C4109*D4109</f>
        <v>4.2975000000000003</v>
      </c>
    </row>
    <row r="4110" spans="1:5" ht="18" x14ac:dyDescent="0.35">
      <c r="A4110" s="5"/>
      <c r="B4110" s="50" t="s">
        <v>35</v>
      </c>
      <c r="C4110" s="7">
        <v>4</v>
      </c>
      <c r="D4110" s="7">
        <v>2.91</v>
      </c>
      <c r="E4110" s="85">
        <f>C4110*D4110</f>
        <v>11.64</v>
      </c>
    </row>
    <row r="4111" spans="1:5" ht="18" x14ac:dyDescent="0.35">
      <c r="A4111" s="5"/>
      <c r="B4111" s="50" t="s">
        <v>36</v>
      </c>
      <c r="C4111" s="7">
        <v>4</v>
      </c>
      <c r="D4111" s="7">
        <v>0.61</v>
      </c>
      <c r="E4111" s="85">
        <f>C4111*D4111</f>
        <v>2.44</v>
      </c>
    </row>
    <row r="4112" spans="1:5" ht="18" x14ac:dyDescent="0.35">
      <c r="A4112" s="5"/>
      <c r="B4112" s="50"/>
      <c r="C4112" s="87"/>
      <c r="D4112" s="88"/>
      <c r="E4112" s="85">
        <f>SUM(E4107:E4111)</f>
        <v>79.942879999999988</v>
      </c>
    </row>
    <row r="4113" spans="1:5" ht="18" x14ac:dyDescent="0.35">
      <c r="A4113" s="5"/>
      <c r="B4113" s="50"/>
      <c r="C4113" s="87"/>
      <c r="D4113" s="88" t="s">
        <v>1266</v>
      </c>
      <c r="E4113" s="85">
        <f>E4112+E4112*40%</f>
        <v>111.92003199999999</v>
      </c>
    </row>
    <row r="4114" spans="1:5" ht="18" x14ac:dyDescent="0.35">
      <c r="A4114" s="5"/>
      <c r="B4114" s="50" t="s">
        <v>37</v>
      </c>
      <c r="C4114" s="54">
        <v>0.75</v>
      </c>
      <c r="D4114" s="86">
        <v>200</v>
      </c>
      <c r="E4114" s="85">
        <f>C4114*D4114</f>
        <v>150</v>
      </c>
    </row>
    <row r="4115" spans="1:5" ht="18" x14ac:dyDescent="0.35">
      <c r="A4115" s="5"/>
      <c r="B4115" s="5"/>
      <c r="C4115" s="54"/>
      <c r="D4115" s="54"/>
      <c r="E4115" s="85">
        <f>SUM(E4113:E4114)</f>
        <v>261.92003199999999</v>
      </c>
    </row>
    <row r="4117" spans="1:5" ht="21" x14ac:dyDescent="0.4">
      <c r="A4117" s="40" t="s">
        <v>1330</v>
      </c>
      <c r="B4117" s="40"/>
      <c r="C4117" s="40"/>
      <c r="D4117" s="12" t="s">
        <v>1328</v>
      </c>
      <c r="E4117" s="12"/>
    </row>
    <row r="4118" spans="1:5" ht="18" x14ac:dyDescent="0.35">
      <c r="A4118" s="5"/>
      <c r="B4118" s="5"/>
      <c r="C4118" s="7" t="s">
        <v>28</v>
      </c>
      <c r="D4118" s="7" t="s">
        <v>29</v>
      </c>
      <c r="E4118" s="7" t="s">
        <v>30</v>
      </c>
    </row>
    <row r="4119" spans="1:5" ht="18" x14ac:dyDescent="0.35">
      <c r="A4119" s="5" t="s">
        <v>234</v>
      </c>
      <c r="B4119" s="50" t="s">
        <v>32</v>
      </c>
      <c r="C4119" s="7">
        <v>2.3220000000000001</v>
      </c>
      <c r="D4119" s="7">
        <v>10.34</v>
      </c>
      <c r="E4119" s="85">
        <f>C4119*D4119</f>
        <v>24.00948</v>
      </c>
    </row>
    <row r="4120" spans="1:5" ht="18" x14ac:dyDescent="0.35">
      <c r="A4120" s="5" t="s">
        <v>219</v>
      </c>
      <c r="B4120" s="50" t="s">
        <v>33</v>
      </c>
      <c r="C4120" s="7">
        <v>1.0389999999999999</v>
      </c>
      <c r="D4120" s="7">
        <v>17.059999999999999</v>
      </c>
      <c r="E4120" s="85">
        <f>C4120*D4120</f>
        <v>17.725339999999996</v>
      </c>
    </row>
    <row r="4121" spans="1:5" ht="18" x14ac:dyDescent="0.35">
      <c r="A4121" s="5" t="s">
        <v>1331</v>
      </c>
      <c r="B4121" s="50" t="s">
        <v>137</v>
      </c>
      <c r="C4121" s="7">
        <v>0.16</v>
      </c>
      <c r="D4121" s="7">
        <v>17.190000000000001</v>
      </c>
      <c r="E4121" s="85">
        <f>C4121*D4121</f>
        <v>2.7504000000000004</v>
      </c>
    </row>
    <row r="4122" spans="1:5" ht="18" x14ac:dyDescent="0.35">
      <c r="A4122" s="5"/>
      <c r="B4122" s="50" t="s">
        <v>35</v>
      </c>
      <c r="C4122" s="7">
        <v>4</v>
      </c>
      <c r="D4122" s="7">
        <v>2.91</v>
      </c>
      <c r="E4122" s="85">
        <f>C4122*D4122</f>
        <v>11.64</v>
      </c>
    </row>
    <row r="4123" spans="1:5" ht="18" x14ac:dyDescent="0.35">
      <c r="A4123" s="5"/>
      <c r="B4123" s="50" t="s">
        <v>36</v>
      </c>
      <c r="C4123" s="7">
        <v>4</v>
      </c>
      <c r="D4123" s="7">
        <v>0.61</v>
      </c>
      <c r="E4123" s="85">
        <f>C4123*D4123</f>
        <v>2.44</v>
      </c>
    </row>
    <row r="4124" spans="1:5" ht="18" x14ac:dyDescent="0.35">
      <c r="A4124" s="5"/>
      <c r="B4124" s="50"/>
      <c r="C4124" s="87"/>
      <c r="D4124" s="88"/>
      <c r="E4124" s="85">
        <f>SUM(E4119:E4123)</f>
        <v>58.565219999999997</v>
      </c>
    </row>
    <row r="4125" spans="1:5" ht="18" x14ac:dyDescent="0.35">
      <c r="A4125" s="5"/>
      <c r="B4125" s="50"/>
      <c r="C4125" s="87"/>
      <c r="D4125" s="88" t="s">
        <v>1266</v>
      </c>
      <c r="E4125" s="85">
        <f>E4124+E4124*40%</f>
        <v>81.991308000000004</v>
      </c>
    </row>
    <row r="4126" spans="1:5" ht="18" x14ac:dyDescent="0.35">
      <c r="A4126" s="5"/>
      <c r="B4126" s="50" t="s">
        <v>37</v>
      </c>
      <c r="C4126" s="54">
        <v>0.5</v>
      </c>
      <c r="D4126" s="86">
        <v>200</v>
      </c>
      <c r="E4126" s="85">
        <f>C4126*D4126</f>
        <v>100</v>
      </c>
    </row>
    <row r="4127" spans="1:5" ht="18" x14ac:dyDescent="0.35">
      <c r="A4127" s="5"/>
      <c r="B4127" s="5"/>
      <c r="C4127" s="54"/>
      <c r="D4127" s="54"/>
      <c r="E4127" s="85">
        <f>SUM(E4125:E4126)</f>
        <v>181.991308</v>
      </c>
    </row>
    <row r="4130" spans="1:5" ht="21" x14ac:dyDescent="0.4">
      <c r="A4130" s="40" t="s">
        <v>1333</v>
      </c>
      <c r="B4130" s="40"/>
      <c r="C4130" s="84"/>
      <c r="D4130" t="s">
        <v>1328</v>
      </c>
    </row>
    <row r="4131" spans="1:5" ht="18" x14ac:dyDescent="0.35">
      <c r="A4131" s="5"/>
      <c r="B4131" s="5"/>
      <c r="C4131" s="7" t="s">
        <v>28</v>
      </c>
      <c r="D4131" s="7" t="s">
        <v>29</v>
      </c>
      <c r="E4131" s="7" t="s">
        <v>30</v>
      </c>
    </row>
    <row r="4132" spans="1:5" ht="18" x14ac:dyDescent="0.35">
      <c r="A4132" s="5" t="s">
        <v>305</v>
      </c>
      <c r="B4132" s="50" t="s">
        <v>32</v>
      </c>
      <c r="C4132" s="7">
        <v>6.5220000000000002</v>
      </c>
      <c r="D4132" s="7">
        <v>10.34</v>
      </c>
      <c r="E4132" s="85">
        <f t="shared" ref="E4132:E4137" si="308">C4132*D4132</f>
        <v>67.437480000000008</v>
      </c>
    </row>
    <row r="4133" spans="1:5" ht="18" x14ac:dyDescent="0.35">
      <c r="A4133" s="5" t="s">
        <v>219</v>
      </c>
      <c r="B4133" s="50" t="s">
        <v>33</v>
      </c>
      <c r="C4133" s="7">
        <v>3.1389999999999998</v>
      </c>
      <c r="D4133" s="7">
        <v>14.94</v>
      </c>
      <c r="E4133" s="85">
        <f t="shared" si="308"/>
        <v>46.896659999999997</v>
      </c>
    </row>
    <row r="4134" spans="1:5" ht="18" x14ac:dyDescent="0.35">
      <c r="A4134" s="5" t="s">
        <v>616</v>
      </c>
      <c r="B4134" s="50" t="s">
        <v>42</v>
      </c>
      <c r="C4134" s="7">
        <v>2</v>
      </c>
      <c r="D4134" s="7">
        <v>1.1499999999999999</v>
      </c>
      <c r="E4134" s="85">
        <f t="shared" si="308"/>
        <v>2.2999999999999998</v>
      </c>
    </row>
    <row r="4135" spans="1:5" ht="18" x14ac:dyDescent="0.35">
      <c r="A4135" s="5"/>
      <c r="B4135" s="50" t="s">
        <v>34</v>
      </c>
      <c r="C4135" s="7">
        <v>0.25</v>
      </c>
      <c r="D4135" s="7">
        <v>14.61</v>
      </c>
      <c r="E4135" s="85">
        <f t="shared" si="308"/>
        <v>3.6524999999999999</v>
      </c>
    </row>
    <row r="4136" spans="1:5" ht="18" x14ac:dyDescent="0.35">
      <c r="A4136" s="5"/>
      <c r="B4136" s="50" t="s">
        <v>35</v>
      </c>
      <c r="C4136" s="7">
        <v>4</v>
      </c>
      <c r="D4136" s="7">
        <v>2.91</v>
      </c>
      <c r="E4136" s="85">
        <f t="shared" si="308"/>
        <v>11.64</v>
      </c>
    </row>
    <row r="4137" spans="1:5" ht="18" x14ac:dyDescent="0.35">
      <c r="A4137" s="5"/>
      <c r="B4137" s="50" t="s">
        <v>36</v>
      </c>
      <c r="C4137" s="7">
        <v>4</v>
      </c>
      <c r="D4137" s="7">
        <v>0.61</v>
      </c>
      <c r="E4137" s="85">
        <f t="shared" si="308"/>
        <v>2.44</v>
      </c>
    </row>
    <row r="4138" spans="1:5" ht="18" x14ac:dyDescent="0.35">
      <c r="A4138" s="5"/>
      <c r="B4138" s="5"/>
      <c r="C4138" s="54"/>
      <c r="D4138" s="54"/>
      <c r="E4138" s="89">
        <f>SUM(E4132:E4137)</f>
        <v>134.36664000000002</v>
      </c>
    </row>
    <row r="4139" spans="1:5" ht="18" x14ac:dyDescent="0.35">
      <c r="A4139" s="5"/>
      <c r="B4139" s="5"/>
      <c r="C4139" s="54"/>
      <c r="D4139" s="54" t="s">
        <v>1063</v>
      </c>
      <c r="E4139" s="89">
        <f>E4138+E4138*40%</f>
        <v>188.11329600000002</v>
      </c>
    </row>
    <row r="4140" spans="1:5" ht="18" x14ac:dyDescent="0.35">
      <c r="A4140" s="5"/>
      <c r="B4140" s="50" t="s">
        <v>37</v>
      </c>
      <c r="C4140" s="54">
        <v>1</v>
      </c>
      <c r="D4140" s="54">
        <v>200</v>
      </c>
      <c r="E4140" s="85">
        <f>C4140*D4140</f>
        <v>200</v>
      </c>
    </row>
    <row r="4141" spans="1:5" ht="18" x14ac:dyDescent="0.35">
      <c r="A4141" s="5"/>
      <c r="B4141" s="5"/>
      <c r="C4141" s="54"/>
      <c r="D4141" s="54"/>
      <c r="E4141" s="85">
        <f>SUM(E4139:E4140)</f>
        <v>388.11329599999999</v>
      </c>
    </row>
    <row r="4144" spans="1:5" ht="21" x14ac:dyDescent="0.4">
      <c r="A4144" s="40" t="s">
        <v>1334</v>
      </c>
      <c r="B4144" s="40"/>
      <c r="C4144" s="84"/>
      <c r="D4144" t="s">
        <v>1328</v>
      </c>
    </row>
    <row r="4145" spans="1:5" ht="18" x14ac:dyDescent="0.35">
      <c r="A4145" s="5"/>
      <c r="B4145" s="5"/>
      <c r="C4145" s="7" t="s">
        <v>28</v>
      </c>
      <c r="D4145" s="7" t="s">
        <v>29</v>
      </c>
      <c r="E4145" s="7" t="s">
        <v>30</v>
      </c>
    </row>
    <row r="4146" spans="1:5" ht="18" x14ac:dyDescent="0.35">
      <c r="A4146" s="5" t="s">
        <v>304</v>
      </c>
      <c r="B4146" s="50" t="s">
        <v>32</v>
      </c>
      <c r="C4146" s="7">
        <v>4.4219999999999997</v>
      </c>
      <c r="D4146" s="7">
        <v>10.34</v>
      </c>
      <c r="E4146" s="85">
        <f t="shared" ref="E4146:E4151" si="309">C4146*D4146</f>
        <v>45.723479999999995</v>
      </c>
    </row>
    <row r="4147" spans="1:5" ht="18" x14ac:dyDescent="0.35">
      <c r="A4147" s="5" t="s">
        <v>219</v>
      </c>
      <c r="B4147" s="50" t="s">
        <v>33</v>
      </c>
      <c r="C4147" s="7">
        <v>2.089</v>
      </c>
      <c r="D4147" s="7">
        <v>14.94</v>
      </c>
      <c r="E4147" s="85">
        <f t="shared" si="309"/>
        <v>31.20966</v>
      </c>
    </row>
    <row r="4148" spans="1:5" ht="18" x14ac:dyDescent="0.35">
      <c r="A4148" s="5" t="s">
        <v>674</v>
      </c>
      <c r="B4148" s="50" t="s">
        <v>42</v>
      </c>
      <c r="C4148" s="7">
        <v>2</v>
      </c>
      <c r="D4148" s="7">
        <v>1.1499999999999999</v>
      </c>
      <c r="E4148" s="85">
        <f t="shared" si="309"/>
        <v>2.2999999999999998</v>
      </c>
    </row>
    <row r="4149" spans="1:5" ht="18" x14ac:dyDescent="0.35">
      <c r="A4149" s="5"/>
      <c r="B4149" s="50" t="s">
        <v>34</v>
      </c>
      <c r="C4149" s="7">
        <v>0.25</v>
      </c>
      <c r="D4149" s="7">
        <v>14.61</v>
      </c>
      <c r="E4149" s="85">
        <f t="shared" si="309"/>
        <v>3.6524999999999999</v>
      </c>
    </row>
    <row r="4150" spans="1:5" ht="18" x14ac:dyDescent="0.35">
      <c r="A4150" s="5"/>
      <c r="B4150" s="50" t="s">
        <v>35</v>
      </c>
      <c r="C4150" s="7">
        <v>4</v>
      </c>
      <c r="D4150" s="7">
        <v>2.91</v>
      </c>
      <c r="E4150" s="85">
        <f t="shared" si="309"/>
        <v>11.64</v>
      </c>
    </row>
    <row r="4151" spans="1:5" ht="18" x14ac:dyDescent="0.35">
      <c r="A4151" s="5"/>
      <c r="B4151" s="50" t="s">
        <v>36</v>
      </c>
      <c r="C4151" s="7">
        <v>4</v>
      </c>
      <c r="D4151" s="7">
        <v>0.61</v>
      </c>
      <c r="E4151" s="85">
        <f t="shared" si="309"/>
        <v>2.44</v>
      </c>
    </row>
    <row r="4152" spans="1:5" ht="18" x14ac:dyDescent="0.35">
      <c r="A4152" s="5"/>
      <c r="B4152" s="5"/>
      <c r="C4152" s="54"/>
      <c r="D4152" s="54"/>
      <c r="E4152" s="89">
        <f>SUM(E4146:E4151)</f>
        <v>96.965639999999993</v>
      </c>
    </row>
    <row r="4153" spans="1:5" ht="18" x14ac:dyDescent="0.35">
      <c r="A4153" s="5"/>
      <c r="B4153" s="5"/>
      <c r="C4153" s="54"/>
      <c r="D4153" s="54" t="s">
        <v>1063</v>
      </c>
      <c r="E4153" s="89">
        <f>E4152+E4152*40%</f>
        <v>135.75189599999999</v>
      </c>
    </row>
    <row r="4154" spans="1:5" ht="18" x14ac:dyDescent="0.35">
      <c r="A4154" s="5"/>
      <c r="B4154" s="50" t="s">
        <v>37</v>
      </c>
      <c r="C4154" s="54">
        <v>0.75</v>
      </c>
      <c r="D4154" s="54">
        <v>200</v>
      </c>
      <c r="E4154" s="85">
        <f>C4154*D4154</f>
        <v>150</v>
      </c>
    </row>
    <row r="4155" spans="1:5" ht="18" x14ac:dyDescent="0.35">
      <c r="A4155" s="5"/>
      <c r="B4155" s="5"/>
      <c r="C4155" s="54"/>
      <c r="D4155" s="54"/>
      <c r="E4155" s="85">
        <f>SUM(E4153:E4154)</f>
        <v>285.75189599999999</v>
      </c>
    </row>
    <row r="4158" spans="1:5" ht="21" x14ac:dyDescent="0.4">
      <c r="A4158" s="40" t="s">
        <v>1335</v>
      </c>
      <c r="B4158" s="40"/>
      <c r="C4158" s="84"/>
      <c r="D4158" t="s">
        <v>1328</v>
      </c>
    </row>
    <row r="4159" spans="1:5" ht="18" x14ac:dyDescent="0.35">
      <c r="A4159" s="5"/>
      <c r="B4159" s="5"/>
      <c r="C4159" s="7" t="s">
        <v>28</v>
      </c>
      <c r="D4159" s="7" t="s">
        <v>29</v>
      </c>
      <c r="E4159" s="7" t="s">
        <v>30</v>
      </c>
    </row>
    <row r="4160" spans="1:5" ht="18" x14ac:dyDescent="0.35">
      <c r="A4160" s="5" t="s">
        <v>758</v>
      </c>
      <c r="B4160" s="50" t="s">
        <v>32</v>
      </c>
      <c r="C4160" s="7">
        <v>3.3730000000000002</v>
      </c>
      <c r="D4160" s="7">
        <v>10.34</v>
      </c>
      <c r="E4160" s="85">
        <f t="shared" ref="E4160:E4165" si="310">C4160*D4160</f>
        <v>34.876820000000002</v>
      </c>
    </row>
    <row r="4161" spans="1:5" ht="18" x14ac:dyDescent="0.35">
      <c r="A4161" s="5" t="s">
        <v>219</v>
      </c>
      <c r="B4161" s="50" t="s">
        <v>33</v>
      </c>
      <c r="C4161" s="7">
        <v>1.5640000000000001</v>
      </c>
      <c r="D4161" s="7">
        <v>14.94</v>
      </c>
      <c r="E4161" s="85">
        <f t="shared" si="310"/>
        <v>23.366160000000001</v>
      </c>
    </row>
    <row r="4162" spans="1:5" ht="18" x14ac:dyDescent="0.35">
      <c r="A4162" s="5" t="s">
        <v>696</v>
      </c>
      <c r="B4162" s="50" t="s">
        <v>42</v>
      </c>
      <c r="C4162" s="7">
        <v>2</v>
      </c>
      <c r="D4162" s="7">
        <v>1.1499999999999999</v>
      </c>
      <c r="E4162" s="85">
        <f t="shared" si="310"/>
        <v>2.2999999999999998</v>
      </c>
    </row>
    <row r="4163" spans="1:5" ht="18" x14ac:dyDescent="0.35">
      <c r="A4163" s="5"/>
      <c r="B4163" s="50" t="s">
        <v>34</v>
      </c>
      <c r="C4163" s="7">
        <v>0.21</v>
      </c>
      <c r="D4163" s="7">
        <v>14.61</v>
      </c>
      <c r="E4163" s="85">
        <f t="shared" si="310"/>
        <v>3.0680999999999998</v>
      </c>
    </row>
    <row r="4164" spans="1:5" ht="18" x14ac:dyDescent="0.35">
      <c r="A4164" s="5"/>
      <c r="B4164" s="50" t="s">
        <v>35</v>
      </c>
      <c r="C4164" s="7">
        <v>4</v>
      </c>
      <c r="D4164" s="7">
        <v>2.91</v>
      </c>
      <c r="E4164" s="85">
        <f t="shared" si="310"/>
        <v>11.64</v>
      </c>
    </row>
    <row r="4165" spans="1:5" ht="18" x14ac:dyDescent="0.35">
      <c r="A4165" s="5"/>
      <c r="B4165" s="50" t="s">
        <v>36</v>
      </c>
      <c r="C4165" s="7">
        <v>4</v>
      </c>
      <c r="D4165" s="7">
        <v>0.61</v>
      </c>
      <c r="E4165" s="85">
        <f t="shared" si="310"/>
        <v>2.44</v>
      </c>
    </row>
    <row r="4166" spans="1:5" ht="18" x14ac:dyDescent="0.35">
      <c r="A4166" s="5"/>
      <c r="B4166" s="5"/>
      <c r="C4166" s="54"/>
      <c r="D4166" s="54"/>
      <c r="E4166" s="89">
        <f>SUM(E4160:E4165)</f>
        <v>77.691079999999999</v>
      </c>
    </row>
    <row r="4167" spans="1:5" ht="18" x14ac:dyDescent="0.35">
      <c r="A4167" s="5"/>
      <c r="B4167" s="5"/>
      <c r="C4167" s="54"/>
      <c r="D4167" s="54" t="s">
        <v>1063</v>
      </c>
      <c r="E4167" s="89">
        <f>E4166+E4166*40%</f>
        <v>108.767512</v>
      </c>
    </row>
    <row r="4168" spans="1:5" ht="18" x14ac:dyDescent="0.35">
      <c r="A4168" s="5"/>
      <c r="B4168" s="50" t="s">
        <v>37</v>
      </c>
      <c r="C4168" s="54">
        <v>0.5</v>
      </c>
      <c r="D4168" s="54">
        <v>200</v>
      </c>
      <c r="E4168" s="85">
        <f>C4168*D4168</f>
        <v>100</v>
      </c>
    </row>
    <row r="4169" spans="1:5" ht="18" x14ac:dyDescent="0.35">
      <c r="A4169" s="5"/>
      <c r="B4169" s="5"/>
      <c r="C4169" s="54"/>
      <c r="D4169" s="54"/>
      <c r="E4169" s="85">
        <f>SUM(E4167:E4168)</f>
        <v>208.76751200000001</v>
      </c>
    </row>
    <row r="4172" spans="1:5" ht="21" x14ac:dyDescent="0.4">
      <c r="A4172" s="40" t="s">
        <v>1336</v>
      </c>
      <c r="B4172" s="40"/>
      <c r="C4172" s="84"/>
      <c r="D4172" t="s">
        <v>1328</v>
      </c>
    </row>
    <row r="4173" spans="1:5" ht="18" x14ac:dyDescent="0.35">
      <c r="A4173" s="5"/>
      <c r="B4173" s="5"/>
      <c r="C4173" s="7" t="s">
        <v>28</v>
      </c>
      <c r="D4173" s="7" t="s">
        <v>29</v>
      </c>
      <c r="E4173" s="7" t="s">
        <v>30</v>
      </c>
    </row>
    <row r="4174" spans="1:5" ht="18" x14ac:dyDescent="0.35">
      <c r="A4174" s="5" t="s">
        <v>234</v>
      </c>
      <c r="B4174" s="50" t="s">
        <v>32</v>
      </c>
      <c r="C4174" s="7">
        <v>2.3220000000000001</v>
      </c>
      <c r="D4174" s="7">
        <v>10.34</v>
      </c>
      <c r="E4174" s="85">
        <f t="shared" ref="E4174:E4179" si="311">C4174*D4174</f>
        <v>24.00948</v>
      </c>
    </row>
    <row r="4175" spans="1:5" ht="18" x14ac:dyDescent="0.35">
      <c r="A4175" s="5" t="s">
        <v>219</v>
      </c>
      <c r="B4175" s="50" t="s">
        <v>33</v>
      </c>
      <c r="C4175" s="7">
        <v>1.04</v>
      </c>
      <c r="D4175" s="7">
        <v>14.94</v>
      </c>
      <c r="E4175" s="85">
        <f t="shared" si="311"/>
        <v>15.537599999999999</v>
      </c>
    </row>
    <row r="4176" spans="1:5" ht="18" x14ac:dyDescent="0.35">
      <c r="A4176" s="5" t="s">
        <v>677</v>
      </c>
      <c r="B4176" s="50" t="s">
        <v>42</v>
      </c>
      <c r="C4176" s="7">
        <v>2</v>
      </c>
      <c r="D4176" s="7">
        <v>1.1499999999999999</v>
      </c>
      <c r="E4176" s="85">
        <f t="shared" si="311"/>
        <v>2.2999999999999998</v>
      </c>
    </row>
    <row r="4177" spans="1:5" ht="18" x14ac:dyDescent="0.35">
      <c r="A4177" s="5"/>
      <c r="B4177" s="50" t="s">
        <v>34</v>
      </c>
      <c r="C4177" s="7">
        <v>0.16</v>
      </c>
      <c r="D4177" s="7">
        <v>14.61</v>
      </c>
      <c r="E4177" s="85">
        <f t="shared" si="311"/>
        <v>2.3376000000000001</v>
      </c>
    </row>
    <row r="4178" spans="1:5" ht="18" x14ac:dyDescent="0.35">
      <c r="A4178" s="5"/>
      <c r="B4178" s="50" t="s">
        <v>35</v>
      </c>
      <c r="C4178" s="7">
        <v>4</v>
      </c>
      <c r="D4178" s="7">
        <v>2.91</v>
      </c>
      <c r="E4178" s="85">
        <f t="shared" si="311"/>
        <v>11.64</v>
      </c>
    </row>
    <row r="4179" spans="1:5" ht="18" x14ac:dyDescent="0.35">
      <c r="A4179" s="5"/>
      <c r="B4179" s="50" t="s">
        <v>36</v>
      </c>
      <c r="C4179" s="7">
        <v>4</v>
      </c>
      <c r="D4179" s="7">
        <v>0.61</v>
      </c>
      <c r="E4179" s="85">
        <f t="shared" si="311"/>
        <v>2.44</v>
      </c>
    </row>
    <row r="4180" spans="1:5" ht="18" x14ac:dyDescent="0.35">
      <c r="A4180" s="5"/>
      <c r="B4180" s="5"/>
      <c r="C4180" s="54"/>
      <c r="D4180" s="54"/>
      <c r="E4180" s="89">
        <f>SUM(E4174:E4179)</f>
        <v>58.264679999999998</v>
      </c>
    </row>
    <row r="4181" spans="1:5" ht="18" x14ac:dyDescent="0.35">
      <c r="A4181" s="5"/>
      <c r="B4181" s="5"/>
      <c r="C4181" s="54"/>
      <c r="D4181" s="54" t="s">
        <v>1063</v>
      </c>
      <c r="E4181" s="89">
        <f>E4180+E4180*40%</f>
        <v>81.570551999999992</v>
      </c>
    </row>
    <row r="4182" spans="1:5" ht="18" x14ac:dyDescent="0.35">
      <c r="A4182" s="5"/>
      <c r="B4182" s="50" t="s">
        <v>37</v>
      </c>
      <c r="C4182" s="54">
        <v>0.5</v>
      </c>
      <c r="D4182" s="54">
        <v>200</v>
      </c>
      <c r="E4182" s="85">
        <f>C4182*D4182</f>
        <v>100</v>
      </c>
    </row>
    <row r="4183" spans="1:5" ht="18" x14ac:dyDescent="0.35">
      <c r="A4183" s="5"/>
      <c r="B4183" s="5"/>
      <c r="C4183" s="54"/>
      <c r="D4183" s="54"/>
      <c r="E4183" s="85">
        <f>SUM(E4181:E4182)</f>
        <v>181.57055199999999</v>
      </c>
    </row>
    <row r="4185" spans="1:5" ht="21" x14ac:dyDescent="0.4">
      <c r="A4185" s="40" t="s">
        <v>1322</v>
      </c>
      <c r="B4185" s="40"/>
      <c r="C4185" s="40"/>
      <c r="D4185" s="12" t="s">
        <v>1339</v>
      </c>
      <c r="E4185" s="12"/>
    </row>
    <row r="4186" spans="1:5" ht="18" x14ac:dyDescent="0.35">
      <c r="A4186" s="5"/>
      <c r="B4186" s="5"/>
      <c r="C4186" s="7" t="s">
        <v>28</v>
      </c>
      <c r="D4186" s="7" t="s">
        <v>29</v>
      </c>
      <c r="E4186" s="7" t="s">
        <v>30</v>
      </c>
    </row>
    <row r="4187" spans="1:5" ht="18" x14ac:dyDescent="0.35">
      <c r="A4187" s="5" t="s">
        <v>1323</v>
      </c>
      <c r="B4187" s="50" t="s">
        <v>32</v>
      </c>
      <c r="C4187" s="7">
        <v>4.5270000000000001</v>
      </c>
      <c r="D4187" s="7">
        <v>10.34</v>
      </c>
      <c r="E4187" s="85">
        <f>C4187*D4187</f>
        <v>46.809179999999998</v>
      </c>
    </row>
    <row r="4188" spans="1:5" ht="18" x14ac:dyDescent="0.35">
      <c r="A4188" s="5" t="s">
        <v>259</v>
      </c>
      <c r="B4188" s="50" t="s">
        <v>33</v>
      </c>
      <c r="C4188" s="7">
        <v>10.446999999999999</v>
      </c>
      <c r="D4188" s="7">
        <v>17.059999999999999</v>
      </c>
      <c r="E4188" s="85">
        <f>C4188*D4188</f>
        <v>178.22581999999997</v>
      </c>
    </row>
    <row r="4189" spans="1:5" ht="18" x14ac:dyDescent="0.35">
      <c r="A4189" s="5" t="s">
        <v>1321</v>
      </c>
      <c r="B4189" s="50" t="s">
        <v>137</v>
      </c>
      <c r="C4189" s="7">
        <v>0.54</v>
      </c>
      <c r="D4189" s="7">
        <v>17.190000000000001</v>
      </c>
      <c r="E4189" s="85">
        <f>C4189*D4189</f>
        <v>9.2826000000000022</v>
      </c>
    </row>
    <row r="4190" spans="1:5" ht="18" x14ac:dyDescent="0.35">
      <c r="A4190" s="5"/>
      <c r="B4190" s="50" t="s">
        <v>35</v>
      </c>
      <c r="C4190" s="7">
        <v>4</v>
      </c>
      <c r="D4190" s="7">
        <v>2.91</v>
      </c>
      <c r="E4190" s="85">
        <f>C4190*D4190</f>
        <v>11.64</v>
      </c>
    </row>
    <row r="4191" spans="1:5" ht="18" x14ac:dyDescent="0.35">
      <c r="A4191" s="5"/>
      <c r="B4191" s="50" t="s">
        <v>36</v>
      </c>
      <c r="C4191" s="7">
        <v>4</v>
      </c>
      <c r="D4191" s="7">
        <v>0.61</v>
      </c>
      <c r="E4191" s="85">
        <f>C4191*D4191</f>
        <v>2.44</v>
      </c>
    </row>
    <row r="4192" spans="1:5" ht="18" x14ac:dyDescent="0.35">
      <c r="A4192" s="5"/>
      <c r="B4192" s="50"/>
      <c r="C4192" s="87"/>
      <c r="D4192" s="88"/>
      <c r="E4192" s="85">
        <f>SUM(E4187:E4191)</f>
        <v>248.39759999999995</v>
      </c>
    </row>
    <row r="4193" spans="1:5" ht="18" x14ac:dyDescent="0.35">
      <c r="A4193" s="5"/>
      <c r="B4193" s="50"/>
      <c r="C4193" s="87"/>
      <c r="D4193" s="88" t="s">
        <v>1266</v>
      </c>
      <c r="E4193" s="85">
        <f>E4192+E4192*40%</f>
        <v>347.75663999999995</v>
      </c>
    </row>
    <row r="4194" spans="1:5" ht="18" x14ac:dyDescent="0.35">
      <c r="A4194" s="5"/>
      <c r="B4194" s="50" t="s">
        <v>37</v>
      </c>
      <c r="C4194" s="54">
        <v>1</v>
      </c>
      <c r="D4194" s="86">
        <v>200</v>
      </c>
      <c r="E4194" s="85">
        <f>C4194*D4194</f>
        <v>200</v>
      </c>
    </row>
    <row r="4195" spans="1:5" ht="18" x14ac:dyDescent="0.35">
      <c r="A4195" s="5"/>
      <c r="B4195" s="5"/>
      <c r="C4195" s="54"/>
      <c r="D4195" s="54"/>
      <c r="E4195" s="85">
        <f>SUM(E4193:E4194)</f>
        <v>547.75663999999995</v>
      </c>
    </row>
    <row r="4197" spans="1:5" ht="21" x14ac:dyDescent="0.4">
      <c r="A4197" s="40" t="s">
        <v>1337</v>
      </c>
      <c r="B4197" s="40"/>
      <c r="C4197" s="84"/>
      <c r="D4197" s="12"/>
      <c r="E4197" s="12"/>
    </row>
    <row r="4198" spans="1:5" ht="21" x14ac:dyDescent="0.4">
      <c r="A4198" s="40"/>
      <c r="B4198" s="40"/>
      <c r="C4198" s="84"/>
      <c r="D4198" s="12" t="s">
        <v>1339</v>
      </c>
      <c r="E4198" s="12"/>
    </row>
    <row r="4199" spans="1:5" ht="18" x14ac:dyDescent="0.35">
      <c r="A4199" s="5"/>
      <c r="B4199" s="5"/>
      <c r="C4199" s="7" t="s">
        <v>28</v>
      </c>
      <c r="D4199" s="7" t="s">
        <v>29</v>
      </c>
      <c r="E4199" s="7" t="s">
        <v>30</v>
      </c>
    </row>
    <row r="4200" spans="1:5" ht="18" x14ac:dyDescent="0.35">
      <c r="A4200" s="5" t="s">
        <v>49</v>
      </c>
      <c r="B4200" s="50" t="s">
        <v>32</v>
      </c>
      <c r="C4200" s="7">
        <v>2.8679999999999999</v>
      </c>
      <c r="D4200" s="7">
        <v>14.93</v>
      </c>
      <c r="E4200" s="85">
        <f t="shared" ref="E4200:E4207" si="312">C4200*D4200</f>
        <v>42.819240000000001</v>
      </c>
    </row>
    <row r="4201" spans="1:5" ht="18" x14ac:dyDescent="0.35">
      <c r="A4201" s="5" t="s">
        <v>39</v>
      </c>
      <c r="B4201" s="50" t="s">
        <v>33</v>
      </c>
      <c r="C4201" s="7">
        <v>4.9980000000000002</v>
      </c>
      <c r="D4201" s="7">
        <v>16.170000000000002</v>
      </c>
      <c r="E4201" s="85">
        <f t="shared" si="312"/>
        <v>80.817660000000018</v>
      </c>
    </row>
    <row r="4202" spans="1:5" ht="18" x14ac:dyDescent="0.35">
      <c r="A4202" s="5" t="s">
        <v>285</v>
      </c>
      <c r="B4202" s="50" t="s">
        <v>33</v>
      </c>
      <c r="C4202" s="7">
        <v>5.67</v>
      </c>
      <c r="D4202" s="7">
        <v>16.170000000000002</v>
      </c>
      <c r="E4202" s="85">
        <f t="shared" si="312"/>
        <v>91.683900000000008</v>
      </c>
    </row>
    <row r="4203" spans="1:5" ht="18" x14ac:dyDescent="0.35">
      <c r="A4203" s="5" t="s">
        <v>616</v>
      </c>
      <c r="B4203" s="50" t="s">
        <v>43</v>
      </c>
      <c r="C4203" s="7">
        <v>2</v>
      </c>
      <c r="D4203" s="7">
        <v>1.1499999999999999</v>
      </c>
      <c r="E4203" s="85">
        <f t="shared" si="312"/>
        <v>2.2999999999999998</v>
      </c>
    </row>
    <row r="4204" spans="1:5" ht="18" x14ac:dyDescent="0.35">
      <c r="A4204" s="5" t="s">
        <v>1301</v>
      </c>
      <c r="B4204" s="50" t="s">
        <v>88</v>
      </c>
      <c r="C4204" s="88">
        <v>2</v>
      </c>
      <c r="D4204" s="88">
        <v>3.39</v>
      </c>
      <c r="E4204" s="90">
        <f t="shared" si="312"/>
        <v>6.78</v>
      </c>
    </row>
    <row r="4205" spans="1:5" ht="18" x14ac:dyDescent="0.35">
      <c r="A4205" s="5"/>
      <c r="B4205" s="50" t="s">
        <v>34</v>
      </c>
      <c r="C4205" s="7">
        <v>0.7</v>
      </c>
      <c r="D4205" s="7">
        <v>18.05</v>
      </c>
      <c r="E4205" s="85">
        <f t="shared" si="312"/>
        <v>12.635</v>
      </c>
    </row>
    <row r="4206" spans="1:5" ht="18" x14ac:dyDescent="0.35">
      <c r="A4206" s="5"/>
      <c r="B4206" s="50" t="s">
        <v>35</v>
      </c>
      <c r="C4206" s="7">
        <v>6</v>
      </c>
      <c r="D4206" s="7">
        <v>2.0099999999999998</v>
      </c>
      <c r="E4206" s="85">
        <f t="shared" si="312"/>
        <v>12.059999999999999</v>
      </c>
    </row>
    <row r="4207" spans="1:5" ht="18" x14ac:dyDescent="0.35">
      <c r="A4207" s="5"/>
      <c r="B4207" s="50" t="s">
        <v>36</v>
      </c>
      <c r="C4207" s="7">
        <v>4</v>
      </c>
      <c r="D4207" s="7">
        <v>0.25</v>
      </c>
      <c r="E4207" s="85">
        <f t="shared" si="312"/>
        <v>1</v>
      </c>
    </row>
    <row r="4208" spans="1:5" ht="18" x14ac:dyDescent="0.35">
      <c r="A4208" s="5"/>
      <c r="B4208" s="5"/>
      <c r="C4208" s="54"/>
      <c r="D4208" s="54"/>
      <c r="E4208" s="89">
        <f>SUM(E4200:E4207)</f>
        <v>250.09580000000003</v>
      </c>
    </row>
    <row r="4209" spans="1:5" ht="18" x14ac:dyDescent="0.35">
      <c r="A4209" s="5"/>
      <c r="B4209" s="5"/>
      <c r="C4209" s="54"/>
      <c r="D4209" s="54" t="s">
        <v>1066</v>
      </c>
      <c r="E4209" s="89">
        <f>E4208+E4208*40%</f>
        <v>350.13412000000005</v>
      </c>
    </row>
    <row r="4210" spans="1:5" ht="18" x14ac:dyDescent="0.35">
      <c r="A4210" s="5"/>
      <c r="B4210" s="50" t="s">
        <v>37</v>
      </c>
      <c r="C4210" s="54">
        <v>1</v>
      </c>
      <c r="D4210" s="54">
        <v>200</v>
      </c>
      <c r="E4210" s="85">
        <f>C4210*D4210</f>
        <v>200</v>
      </c>
    </row>
    <row r="4211" spans="1:5" ht="18" x14ac:dyDescent="0.35">
      <c r="A4211" s="5"/>
      <c r="B4211" s="5"/>
      <c r="C4211" s="54"/>
      <c r="D4211" s="54"/>
      <c r="E4211" s="112">
        <f>SUM(E4209:E4210)</f>
        <v>550.13412000000005</v>
      </c>
    </row>
    <row r="4213" spans="1:5" ht="21" x14ac:dyDescent="0.4">
      <c r="A4213" s="40" t="s">
        <v>1338</v>
      </c>
      <c r="B4213" s="40"/>
      <c r="C4213" s="84"/>
      <c r="D4213" t="s">
        <v>1339</v>
      </c>
    </row>
    <row r="4214" spans="1:5" ht="18" x14ac:dyDescent="0.35">
      <c r="A4214" s="5"/>
      <c r="B4214" s="5"/>
      <c r="C4214" s="7" t="s">
        <v>28</v>
      </c>
      <c r="D4214" s="7" t="s">
        <v>29</v>
      </c>
      <c r="E4214" s="7" t="s">
        <v>30</v>
      </c>
    </row>
    <row r="4215" spans="1:5" ht="18" x14ac:dyDescent="0.35">
      <c r="A4215" s="5" t="s">
        <v>72</v>
      </c>
      <c r="B4215" s="50" t="s">
        <v>32</v>
      </c>
      <c r="C4215" s="7">
        <v>2.9729999999999999</v>
      </c>
      <c r="D4215" s="7">
        <v>10.34</v>
      </c>
      <c r="E4215" s="85">
        <f t="shared" ref="E4215:E4220" si="313">C4215*D4215</f>
        <v>30.740819999999999</v>
      </c>
    </row>
    <row r="4216" spans="1:5" ht="18" x14ac:dyDescent="0.35">
      <c r="A4216" s="5" t="s">
        <v>143</v>
      </c>
      <c r="B4216" s="50" t="s">
        <v>33</v>
      </c>
      <c r="C4216" s="7">
        <v>7.4969999999999999</v>
      </c>
      <c r="D4216" s="7">
        <v>14.94</v>
      </c>
      <c r="E4216" s="85">
        <f t="shared" si="313"/>
        <v>112.00518</v>
      </c>
    </row>
    <row r="4217" spans="1:5" ht="18" x14ac:dyDescent="0.35">
      <c r="A4217" s="5" t="s">
        <v>427</v>
      </c>
      <c r="B4217" s="50" t="s">
        <v>84</v>
      </c>
      <c r="C4217" s="7">
        <v>2</v>
      </c>
      <c r="D4217" s="7">
        <v>1.6</v>
      </c>
      <c r="E4217" s="85">
        <f t="shared" si="313"/>
        <v>3.2</v>
      </c>
    </row>
    <row r="4218" spans="1:5" ht="18" x14ac:dyDescent="0.35">
      <c r="A4218" s="5"/>
      <c r="B4218" s="50" t="s">
        <v>34</v>
      </c>
      <c r="C4218" s="7">
        <v>0.65</v>
      </c>
      <c r="D4218" s="7">
        <v>14.61</v>
      </c>
      <c r="E4218" s="85">
        <f t="shared" si="313"/>
        <v>9.4964999999999993</v>
      </c>
    </row>
    <row r="4219" spans="1:5" ht="18" x14ac:dyDescent="0.35">
      <c r="A4219" s="5"/>
      <c r="B4219" s="50" t="s">
        <v>35</v>
      </c>
      <c r="C4219" s="7">
        <v>4</v>
      </c>
      <c r="D4219" s="7">
        <v>2.91</v>
      </c>
      <c r="E4219" s="85">
        <f t="shared" si="313"/>
        <v>11.64</v>
      </c>
    </row>
    <row r="4220" spans="1:5" ht="18" x14ac:dyDescent="0.35">
      <c r="A4220" s="5"/>
      <c r="B4220" s="50" t="s">
        <v>36</v>
      </c>
      <c r="C4220" s="7">
        <v>4</v>
      </c>
      <c r="D4220" s="7">
        <v>0.61</v>
      </c>
      <c r="E4220" s="85">
        <f t="shared" si="313"/>
        <v>2.44</v>
      </c>
    </row>
    <row r="4221" spans="1:5" ht="18" x14ac:dyDescent="0.35">
      <c r="A4221" s="5"/>
      <c r="B4221" s="5"/>
      <c r="C4221" s="54"/>
      <c r="D4221" s="54"/>
      <c r="E4221" s="89">
        <f>SUM(E4215:E4220)</f>
        <v>169.52249999999998</v>
      </c>
    </row>
    <row r="4222" spans="1:5" ht="18" x14ac:dyDescent="0.35">
      <c r="A4222" s="5"/>
      <c r="B4222" s="5"/>
      <c r="C4222" s="54"/>
      <c r="D4222" s="54" t="s">
        <v>1063</v>
      </c>
      <c r="E4222" s="89">
        <f>E4221+E4221*40%</f>
        <v>237.33149999999998</v>
      </c>
    </row>
    <row r="4223" spans="1:5" ht="18" x14ac:dyDescent="0.35">
      <c r="A4223" s="5"/>
      <c r="B4223" s="50" t="s">
        <v>37</v>
      </c>
      <c r="C4223" s="54">
        <v>0.75</v>
      </c>
      <c r="D4223" s="54">
        <v>200</v>
      </c>
      <c r="E4223" s="85">
        <f>C4223*D4223</f>
        <v>150</v>
      </c>
    </row>
    <row r="4224" spans="1:5" ht="18" x14ac:dyDescent="0.35">
      <c r="A4224" s="5"/>
      <c r="B4224" s="5"/>
      <c r="C4224" s="54"/>
      <c r="D4224" s="54"/>
      <c r="E4224" s="85">
        <f>SUM(E4222:E4223)</f>
        <v>387.33150000000001</v>
      </c>
    </row>
    <row r="4226" spans="1:5" ht="21" x14ac:dyDescent="0.4">
      <c r="A4226" s="40" t="s">
        <v>1340</v>
      </c>
      <c r="B4226" s="40"/>
      <c r="C4226" s="84"/>
      <c r="D4226" t="s">
        <v>1339</v>
      </c>
    </row>
    <row r="4227" spans="1:5" ht="18" x14ac:dyDescent="0.35">
      <c r="A4227" s="5"/>
      <c r="B4227" s="5"/>
      <c r="C4227" s="7" t="s">
        <v>28</v>
      </c>
      <c r="D4227" s="7" t="s">
        <v>29</v>
      </c>
      <c r="E4227" s="7" t="s">
        <v>30</v>
      </c>
    </row>
    <row r="4228" spans="1:5" ht="18" x14ac:dyDescent="0.35">
      <c r="A4228" s="5" t="s">
        <v>248</v>
      </c>
      <c r="B4228" s="50" t="s">
        <v>32</v>
      </c>
      <c r="C4228" s="7">
        <v>2.7839999999999998</v>
      </c>
      <c r="D4228" s="7">
        <v>10.34</v>
      </c>
      <c r="E4228" s="85">
        <f t="shared" ref="E4228:E4233" si="314">C4228*D4228</f>
        <v>28.786559999999998</v>
      </c>
    </row>
    <row r="4229" spans="1:5" ht="18" x14ac:dyDescent="0.35">
      <c r="A4229" s="5" t="s">
        <v>171</v>
      </c>
      <c r="B4229" s="50" t="s">
        <v>33</v>
      </c>
      <c r="C4229" s="7">
        <v>2.4990000000000001</v>
      </c>
      <c r="D4229" s="7">
        <v>16.170000000000002</v>
      </c>
      <c r="E4229" s="85">
        <f t="shared" si="314"/>
        <v>40.408830000000009</v>
      </c>
    </row>
    <row r="4230" spans="1:5" ht="18" x14ac:dyDescent="0.35">
      <c r="A4230" s="5" t="s">
        <v>705</v>
      </c>
      <c r="B4230" s="50" t="s">
        <v>42</v>
      </c>
      <c r="C4230" s="7">
        <v>2</v>
      </c>
      <c r="D4230" s="7">
        <v>1.1499999999999999</v>
      </c>
      <c r="E4230" s="85">
        <f t="shared" si="314"/>
        <v>2.2999999999999998</v>
      </c>
    </row>
    <row r="4231" spans="1:5" ht="18" x14ac:dyDescent="0.35">
      <c r="A4231" s="5"/>
      <c r="B4231" s="50" t="s">
        <v>34</v>
      </c>
      <c r="C4231" s="7">
        <v>0.25</v>
      </c>
      <c r="D4231" s="7">
        <v>14.61</v>
      </c>
      <c r="E4231" s="85">
        <f t="shared" si="314"/>
        <v>3.6524999999999999</v>
      </c>
    </row>
    <row r="4232" spans="1:5" ht="18" x14ac:dyDescent="0.35">
      <c r="A4232" s="5"/>
      <c r="B4232" s="50" t="s">
        <v>35</v>
      </c>
      <c r="C4232" s="7">
        <v>4</v>
      </c>
      <c r="D4232" s="7">
        <v>2.91</v>
      </c>
      <c r="E4232" s="85">
        <f t="shared" si="314"/>
        <v>11.64</v>
      </c>
    </row>
    <row r="4233" spans="1:5" ht="18" x14ac:dyDescent="0.35">
      <c r="A4233" s="5"/>
      <c r="B4233" s="50" t="s">
        <v>36</v>
      </c>
      <c r="C4233" s="7">
        <v>4</v>
      </c>
      <c r="D4233" s="7">
        <v>0.61</v>
      </c>
      <c r="E4233" s="85">
        <f t="shared" si="314"/>
        <v>2.44</v>
      </c>
    </row>
    <row r="4234" spans="1:5" ht="18" x14ac:dyDescent="0.35">
      <c r="A4234" s="5"/>
      <c r="B4234" s="5"/>
      <c r="C4234" s="54"/>
      <c r="D4234" s="54"/>
      <c r="E4234" s="89">
        <f>SUM(E4228:E4233)</f>
        <v>89.227890000000002</v>
      </c>
    </row>
    <row r="4235" spans="1:5" ht="18" x14ac:dyDescent="0.35">
      <c r="A4235" s="5"/>
      <c r="B4235" s="5"/>
      <c r="C4235" s="54"/>
      <c r="D4235" s="54" t="s">
        <v>1063</v>
      </c>
      <c r="E4235" s="89">
        <f>E4234+E4234*40%</f>
        <v>124.91904600000001</v>
      </c>
    </row>
    <row r="4236" spans="1:5" ht="18" x14ac:dyDescent="0.35">
      <c r="A4236" s="5"/>
      <c r="B4236" s="50" t="s">
        <v>37</v>
      </c>
      <c r="C4236" s="54">
        <v>0.75</v>
      </c>
      <c r="D4236" s="54">
        <v>200</v>
      </c>
      <c r="E4236" s="85">
        <f>C4236*D4236</f>
        <v>150</v>
      </c>
    </row>
    <row r="4237" spans="1:5" ht="18" x14ac:dyDescent="0.35">
      <c r="A4237" s="5"/>
      <c r="B4237" s="5"/>
      <c r="C4237" s="54"/>
      <c r="D4237" s="54"/>
      <c r="E4237" s="85">
        <f>SUM(E4235:E4236)</f>
        <v>274.91904599999998</v>
      </c>
    </row>
    <row r="4239" spans="1:5" ht="21" x14ac:dyDescent="0.4">
      <c r="A4239" s="40" t="s">
        <v>1341</v>
      </c>
      <c r="B4239" s="40"/>
      <c r="C4239" s="84"/>
      <c r="D4239" t="s">
        <v>1339</v>
      </c>
    </row>
    <row r="4240" spans="1:5" ht="18" x14ac:dyDescent="0.35">
      <c r="A4240" s="5"/>
      <c r="B4240" s="5"/>
      <c r="C4240" s="7" t="s">
        <v>28</v>
      </c>
      <c r="D4240" s="7" t="s">
        <v>29</v>
      </c>
      <c r="E4240" s="7" t="s">
        <v>30</v>
      </c>
    </row>
    <row r="4241" spans="1:5" ht="18" x14ac:dyDescent="0.35">
      <c r="A4241" s="5" t="s">
        <v>236</v>
      </c>
      <c r="B4241" s="50" t="s">
        <v>32</v>
      </c>
      <c r="C4241" s="7">
        <v>2.3639999999999999</v>
      </c>
      <c r="D4241" s="7">
        <v>10.34</v>
      </c>
      <c r="E4241" s="85">
        <f t="shared" ref="E4241:E4246" si="315">C4241*D4241</f>
        <v>24.443759999999997</v>
      </c>
    </row>
    <row r="4242" spans="1:5" ht="18" x14ac:dyDescent="0.35">
      <c r="A4242" s="5" t="s">
        <v>171</v>
      </c>
      <c r="B4242" s="50" t="s">
        <v>33</v>
      </c>
      <c r="C4242" s="7">
        <v>2.0790000000000002</v>
      </c>
      <c r="D4242" s="7">
        <v>16.170000000000002</v>
      </c>
      <c r="E4242" s="85">
        <f t="shared" si="315"/>
        <v>33.617430000000006</v>
      </c>
    </row>
    <row r="4243" spans="1:5" ht="18" x14ac:dyDescent="0.35">
      <c r="A4243" s="5" t="s">
        <v>705</v>
      </c>
      <c r="B4243" s="50" t="s">
        <v>42</v>
      </c>
      <c r="C4243" s="7">
        <v>2</v>
      </c>
      <c r="D4243" s="7">
        <v>1.1499999999999999</v>
      </c>
      <c r="E4243" s="85">
        <f t="shared" si="315"/>
        <v>2.2999999999999998</v>
      </c>
    </row>
    <row r="4244" spans="1:5" ht="18" x14ac:dyDescent="0.35">
      <c r="A4244" s="5"/>
      <c r="B4244" s="50" t="s">
        <v>34</v>
      </c>
      <c r="C4244" s="7">
        <v>0.25</v>
      </c>
      <c r="D4244" s="7">
        <v>14.61</v>
      </c>
      <c r="E4244" s="85">
        <f t="shared" si="315"/>
        <v>3.6524999999999999</v>
      </c>
    </row>
    <row r="4245" spans="1:5" ht="18" x14ac:dyDescent="0.35">
      <c r="A4245" s="5"/>
      <c r="B4245" s="50" t="s">
        <v>35</v>
      </c>
      <c r="C4245" s="7">
        <v>4</v>
      </c>
      <c r="D4245" s="7">
        <v>2.91</v>
      </c>
      <c r="E4245" s="85">
        <f t="shared" si="315"/>
        <v>11.64</v>
      </c>
    </row>
    <row r="4246" spans="1:5" ht="18" x14ac:dyDescent="0.35">
      <c r="A4246" s="5"/>
      <c r="B4246" s="50" t="s">
        <v>36</v>
      </c>
      <c r="C4246" s="7">
        <v>4</v>
      </c>
      <c r="D4246" s="7">
        <v>0.61</v>
      </c>
      <c r="E4246" s="85">
        <f t="shared" si="315"/>
        <v>2.44</v>
      </c>
    </row>
    <row r="4247" spans="1:5" ht="18" x14ac:dyDescent="0.35">
      <c r="A4247" s="5"/>
      <c r="B4247" s="5"/>
      <c r="C4247" s="54"/>
      <c r="D4247" s="54"/>
      <c r="E4247" s="89">
        <f>SUM(E4241:E4246)</f>
        <v>78.093689999999995</v>
      </c>
    </row>
    <row r="4248" spans="1:5" ht="18" x14ac:dyDescent="0.35">
      <c r="A4248" s="5"/>
      <c r="B4248" s="5"/>
      <c r="C4248" s="54"/>
      <c r="D4248" s="54" t="s">
        <v>1063</v>
      </c>
      <c r="E4248" s="89">
        <f>E4247+E4247*40%</f>
        <v>109.331166</v>
      </c>
    </row>
    <row r="4249" spans="1:5" ht="18" x14ac:dyDescent="0.35">
      <c r="A4249" s="5"/>
      <c r="B4249" s="50" t="s">
        <v>37</v>
      </c>
      <c r="C4249" s="54">
        <v>0.75</v>
      </c>
      <c r="D4249" s="54">
        <v>200</v>
      </c>
      <c r="E4249" s="85">
        <f>C4249*D4249</f>
        <v>150</v>
      </c>
    </row>
    <row r="4250" spans="1:5" ht="18" x14ac:dyDescent="0.35">
      <c r="A4250" s="5"/>
      <c r="B4250" s="5"/>
      <c r="C4250" s="54"/>
      <c r="D4250" s="54"/>
      <c r="E4250" s="85">
        <f>SUM(E4248:E4249)</f>
        <v>259.331166</v>
      </c>
    </row>
    <row r="4252" spans="1:5" ht="21" x14ac:dyDescent="0.4">
      <c r="A4252" s="40" t="s">
        <v>1343</v>
      </c>
      <c r="B4252" s="40"/>
      <c r="C4252" s="84"/>
      <c r="D4252" s="12"/>
      <c r="E4252" s="12"/>
    </row>
    <row r="4253" spans="1:5" ht="21" x14ac:dyDescent="0.4">
      <c r="A4253" s="40"/>
      <c r="B4253" s="40"/>
      <c r="C4253" s="84"/>
      <c r="D4253" s="12" t="s">
        <v>1339</v>
      </c>
      <c r="E4253" s="12"/>
    </row>
    <row r="4254" spans="1:5" ht="18" x14ac:dyDescent="0.35">
      <c r="A4254" s="5"/>
      <c r="B4254" s="5"/>
      <c r="C4254" s="7" t="s">
        <v>28</v>
      </c>
      <c r="D4254" s="7" t="s">
        <v>29</v>
      </c>
      <c r="E4254" s="7" t="s">
        <v>30</v>
      </c>
    </row>
    <row r="4255" spans="1:5" ht="18" x14ac:dyDescent="0.35">
      <c r="A4255" s="5" t="s">
        <v>1342</v>
      </c>
      <c r="B4255" s="50" t="s">
        <v>32</v>
      </c>
      <c r="C4255" s="7">
        <v>2.1120000000000001</v>
      </c>
      <c r="D4255" s="7">
        <v>14.93</v>
      </c>
      <c r="E4255" s="85">
        <f t="shared" ref="E4255:E4262" si="316">C4255*D4255</f>
        <v>31.532160000000001</v>
      </c>
    </row>
    <row r="4256" spans="1:5" ht="18" x14ac:dyDescent="0.35">
      <c r="A4256" s="5" t="s">
        <v>63</v>
      </c>
      <c r="B4256" s="50" t="s">
        <v>33</v>
      </c>
      <c r="C4256" s="7">
        <v>4.9770000000000003</v>
      </c>
      <c r="D4256" s="7">
        <v>16.170000000000002</v>
      </c>
      <c r="E4256" s="85">
        <f t="shared" si="316"/>
        <v>80.478090000000009</v>
      </c>
    </row>
    <row r="4257" spans="1:5" ht="18" x14ac:dyDescent="0.35">
      <c r="A4257" s="5" t="s">
        <v>346</v>
      </c>
      <c r="B4257" s="50" t="s">
        <v>33</v>
      </c>
      <c r="C4257" s="7">
        <v>5.46</v>
      </c>
      <c r="D4257" s="7">
        <v>16.170000000000002</v>
      </c>
      <c r="E4257" s="85">
        <f t="shared" si="316"/>
        <v>88.288200000000003</v>
      </c>
    </row>
    <row r="4258" spans="1:5" ht="18" x14ac:dyDescent="0.35">
      <c r="A4258" s="5" t="s">
        <v>616</v>
      </c>
      <c r="B4258" s="50" t="s">
        <v>96</v>
      </c>
      <c r="C4258" s="7">
        <v>2</v>
      </c>
      <c r="D4258" s="7">
        <v>1.6</v>
      </c>
      <c r="E4258" s="85">
        <f t="shared" si="316"/>
        <v>3.2</v>
      </c>
    </row>
    <row r="4259" spans="1:5" ht="18" x14ac:dyDescent="0.35">
      <c r="A4259" s="5" t="s">
        <v>1301</v>
      </c>
      <c r="B4259" s="50" t="s">
        <v>128</v>
      </c>
      <c r="C4259" s="88">
        <v>4</v>
      </c>
      <c r="D4259" s="88">
        <v>1.81</v>
      </c>
      <c r="E4259" s="90">
        <f t="shared" si="316"/>
        <v>7.24</v>
      </c>
    </row>
    <row r="4260" spans="1:5" ht="18" x14ac:dyDescent="0.35">
      <c r="A4260" s="5"/>
      <c r="B4260" s="50" t="s">
        <v>34</v>
      </c>
      <c r="C4260" s="7">
        <v>0.14000000000000001</v>
      </c>
      <c r="D4260" s="7">
        <v>18.05</v>
      </c>
      <c r="E4260" s="85">
        <f t="shared" si="316"/>
        <v>2.5270000000000001</v>
      </c>
    </row>
    <row r="4261" spans="1:5" ht="18" x14ac:dyDescent="0.35">
      <c r="A4261" s="5"/>
      <c r="B4261" s="50" t="s">
        <v>35</v>
      </c>
      <c r="C4261" s="7">
        <v>4</v>
      </c>
      <c r="D4261" s="7">
        <v>2.0099999999999998</v>
      </c>
      <c r="E4261" s="85">
        <f t="shared" si="316"/>
        <v>8.0399999999999991</v>
      </c>
    </row>
    <row r="4262" spans="1:5" ht="18" x14ac:dyDescent="0.35">
      <c r="A4262" s="5"/>
      <c r="B4262" s="50" t="s">
        <v>36</v>
      </c>
      <c r="C4262" s="7">
        <v>4</v>
      </c>
      <c r="D4262" s="7">
        <v>0.25</v>
      </c>
      <c r="E4262" s="85">
        <f t="shared" si="316"/>
        <v>1</v>
      </c>
    </row>
    <row r="4263" spans="1:5" ht="18" x14ac:dyDescent="0.35">
      <c r="A4263" s="5"/>
      <c r="B4263" s="5"/>
      <c r="C4263" s="54"/>
      <c r="D4263" s="54"/>
      <c r="E4263" s="89">
        <f>SUM(E4255:E4262)</f>
        <v>222.30544999999998</v>
      </c>
    </row>
    <row r="4264" spans="1:5" ht="18" x14ac:dyDescent="0.35">
      <c r="A4264" s="5"/>
      <c r="B4264" s="5"/>
      <c r="C4264" s="54"/>
      <c r="D4264" s="54" t="s">
        <v>1066</v>
      </c>
      <c r="E4264" s="89">
        <f>E4263+E4263*40%</f>
        <v>311.22762999999998</v>
      </c>
    </row>
    <row r="4265" spans="1:5" ht="18" x14ac:dyDescent="0.35">
      <c r="A4265" s="5"/>
      <c r="B4265" s="50" t="s">
        <v>37</v>
      </c>
      <c r="C4265" s="54">
        <v>1</v>
      </c>
      <c r="D4265" s="54">
        <v>200</v>
      </c>
      <c r="E4265" s="85">
        <f>C4265*D4265</f>
        <v>200</v>
      </c>
    </row>
    <row r="4266" spans="1:5" ht="18" x14ac:dyDescent="0.35">
      <c r="A4266" s="5"/>
      <c r="B4266" s="5"/>
      <c r="C4266" s="54"/>
      <c r="D4266" s="54"/>
      <c r="E4266" s="112">
        <f>SUM(E4264:E4265)</f>
        <v>511.22762999999998</v>
      </c>
    </row>
    <row r="4268" spans="1:5" ht="21" x14ac:dyDescent="0.4">
      <c r="A4268" s="40" t="s">
        <v>1344</v>
      </c>
      <c r="B4268" s="40"/>
      <c r="C4268" s="84"/>
      <c r="D4268" t="s">
        <v>1339</v>
      </c>
    </row>
    <row r="4269" spans="1:5" ht="18" x14ac:dyDescent="0.35">
      <c r="A4269" s="5"/>
      <c r="B4269" s="5"/>
      <c r="C4269" s="7" t="s">
        <v>28</v>
      </c>
      <c r="D4269" s="7" t="s">
        <v>29</v>
      </c>
      <c r="E4269" s="7" t="s">
        <v>30</v>
      </c>
    </row>
    <row r="4270" spans="1:5" ht="18" x14ac:dyDescent="0.35">
      <c r="A4270" s="5" t="s">
        <v>65</v>
      </c>
      <c r="B4270" s="50" t="s">
        <v>32</v>
      </c>
      <c r="C4270" s="7">
        <v>1.2929999999999999</v>
      </c>
      <c r="D4270" s="7">
        <v>11.37</v>
      </c>
      <c r="E4270" s="85">
        <f t="shared" ref="E4270:E4275" si="317">C4270*D4270</f>
        <v>14.701409999999997</v>
      </c>
    </row>
    <row r="4271" spans="1:5" ht="18" x14ac:dyDescent="0.35">
      <c r="A4271" s="5" t="s">
        <v>143</v>
      </c>
      <c r="B4271" s="50" t="s">
        <v>33</v>
      </c>
      <c r="C4271" s="7">
        <v>2.4569999999999999</v>
      </c>
      <c r="D4271" s="7">
        <v>14.94</v>
      </c>
      <c r="E4271" s="85">
        <f t="shared" si="317"/>
        <v>36.70758</v>
      </c>
    </row>
    <row r="4272" spans="1:5" ht="18" x14ac:dyDescent="0.35">
      <c r="A4272" s="5" t="s">
        <v>696</v>
      </c>
      <c r="B4272" s="50" t="s">
        <v>84</v>
      </c>
      <c r="C4272" s="7">
        <v>2</v>
      </c>
      <c r="D4272" s="7">
        <v>1.6</v>
      </c>
      <c r="E4272" s="85">
        <f t="shared" si="317"/>
        <v>3.2</v>
      </c>
    </row>
    <row r="4273" spans="1:5" ht="18" x14ac:dyDescent="0.35">
      <c r="A4273" s="5"/>
      <c r="B4273" s="50" t="s">
        <v>34</v>
      </c>
      <c r="C4273" s="7"/>
      <c r="D4273" s="7">
        <v>14.61</v>
      </c>
      <c r="E4273" s="85">
        <f t="shared" si="317"/>
        <v>0</v>
      </c>
    </row>
    <row r="4274" spans="1:5" ht="18" x14ac:dyDescent="0.35">
      <c r="A4274" s="5"/>
      <c r="B4274" s="50" t="s">
        <v>35</v>
      </c>
      <c r="C4274" s="7">
        <v>4</v>
      </c>
      <c r="D4274" s="7">
        <v>2.91</v>
      </c>
      <c r="E4274" s="85">
        <f t="shared" si="317"/>
        <v>11.64</v>
      </c>
    </row>
    <row r="4275" spans="1:5" ht="18" x14ac:dyDescent="0.35">
      <c r="A4275" s="5"/>
      <c r="B4275" s="50" t="s">
        <v>36</v>
      </c>
      <c r="C4275" s="7">
        <v>4</v>
      </c>
      <c r="D4275" s="7">
        <v>0.61</v>
      </c>
      <c r="E4275" s="85">
        <f t="shared" si="317"/>
        <v>2.44</v>
      </c>
    </row>
    <row r="4276" spans="1:5" ht="18" x14ac:dyDescent="0.35">
      <c r="A4276" s="5"/>
      <c r="B4276" s="5"/>
      <c r="C4276" s="54"/>
      <c r="D4276" s="54"/>
      <c r="E4276" s="89">
        <f>SUM(E4270:E4275)</f>
        <v>68.68898999999999</v>
      </c>
    </row>
    <row r="4277" spans="1:5" ht="18" x14ac:dyDescent="0.35">
      <c r="A4277" s="5"/>
      <c r="B4277" s="5"/>
      <c r="C4277" s="54"/>
      <c r="D4277" s="54" t="s">
        <v>1063</v>
      </c>
      <c r="E4277" s="89">
        <f>E4276+E4276*40%</f>
        <v>96.164585999999986</v>
      </c>
    </row>
    <row r="4278" spans="1:5" ht="18" x14ac:dyDescent="0.35">
      <c r="A4278" s="5"/>
      <c r="B4278" s="50" t="s">
        <v>37</v>
      </c>
      <c r="C4278" s="54">
        <v>0.2</v>
      </c>
      <c r="D4278" s="54">
        <v>200</v>
      </c>
      <c r="E4278" s="85">
        <f>C4278*D4278</f>
        <v>40</v>
      </c>
    </row>
    <row r="4279" spans="1:5" ht="18" x14ac:dyDescent="0.35">
      <c r="A4279" s="5"/>
      <c r="B4279" s="5"/>
      <c r="C4279" s="54"/>
      <c r="D4279" s="54"/>
      <c r="E4279" s="85">
        <f>SUM(E4277:E4278)</f>
        <v>136.16458599999999</v>
      </c>
    </row>
    <row r="4281" spans="1:5" ht="21" x14ac:dyDescent="0.4">
      <c r="A4281" s="40" t="s">
        <v>1078</v>
      </c>
      <c r="B4281" s="40"/>
      <c r="C4281" s="84"/>
      <c r="D4281" s="12"/>
      <c r="E4281" s="12"/>
    </row>
    <row r="4282" spans="1:5" ht="21" x14ac:dyDescent="0.4">
      <c r="A4282" s="40"/>
      <c r="B4282" s="40"/>
      <c r="C4282" s="84"/>
      <c r="D4282" s="12" t="s">
        <v>1339</v>
      </c>
      <c r="E4282" s="12"/>
    </row>
    <row r="4283" spans="1:5" ht="18" x14ac:dyDescent="0.35">
      <c r="A4283" s="5"/>
      <c r="B4283" s="5"/>
      <c r="C4283" s="7" t="s">
        <v>28</v>
      </c>
      <c r="D4283" s="7" t="s">
        <v>29</v>
      </c>
      <c r="E4283" s="7" t="s">
        <v>30</v>
      </c>
    </row>
    <row r="4284" spans="1:5" ht="18" x14ac:dyDescent="0.35">
      <c r="A4284" s="5" t="s">
        <v>41</v>
      </c>
      <c r="B4284" s="50" t="s">
        <v>32</v>
      </c>
      <c r="C4284" s="7">
        <v>1.3979999999999999</v>
      </c>
      <c r="D4284" s="7">
        <v>14.93</v>
      </c>
      <c r="E4284" s="85">
        <f t="shared" ref="E4284:E4291" si="318">C4284*D4284</f>
        <v>20.872139999999998</v>
      </c>
    </row>
    <row r="4285" spans="1:5" ht="18" x14ac:dyDescent="0.35">
      <c r="A4285" s="5" t="s">
        <v>39</v>
      </c>
      <c r="B4285" s="50" t="s">
        <v>33</v>
      </c>
      <c r="C4285" s="7">
        <v>2.0579999999999998</v>
      </c>
      <c r="D4285" s="7">
        <v>16.170000000000002</v>
      </c>
      <c r="E4285" s="85">
        <f t="shared" si="318"/>
        <v>33.277860000000004</v>
      </c>
    </row>
    <row r="4286" spans="1:5" ht="18" x14ac:dyDescent="0.35">
      <c r="A4286" s="5" t="s">
        <v>293</v>
      </c>
      <c r="B4286" s="50" t="s">
        <v>33</v>
      </c>
      <c r="C4286" s="7">
        <v>2.2679999999999998</v>
      </c>
      <c r="D4286" s="7">
        <v>16.170000000000002</v>
      </c>
      <c r="E4286" s="85">
        <f t="shared" si="318"/>
        <v>36.673560000000002</v>
      </c>
    </row>
    <row r="4287" spans="1:5" ht="18" x14ac:dyDescent="0.35">
      <c r="A4287" s="5" t="s">
        <v>616</v>
      </c>
      <c r="B4287" s="50" t="s">
        <v>43</v>
      </c>
      <c r="C4287" s="7">
        <v>2</v>
      </c>
      <c r="D4287" s="7">
        <v>1.1499999999999999</v>
      </c>
      <c r="E4287" s="85">
        <f t="shared" si="318"/>
        <v>2.2999999999999998</v>
      </c>
    </row>
    <row r="4288" spans="1:5" ht="18" x14ac:dyDescent="0.35">
      <c r="A4288" s="5" t="s">
        <v>1301</v>
      </c>
      <c r="B4288" s="50" t="s">
        <v>88</v>
      </c>
      <c r="C4288" s="88">
        <v>2</v>
      </c>
      <c r="D4288" s="88">
        <v>2.2400000000000002</v>
      </c>
      <c r="E4288" s="90">
        <f t="shared" si="318"/>
        <v>4.4800000000000004</v>
      </c>
    </row>
    <row r="4289" spans="1:5" ht="18" x14ac:dyDescent="0.35">
      <c r="A4289" s="5"/>
      <c r="B4289" s="50" t="s">
        <v>34</v>
      </c>
      <c r="C4289" s="7"/>
      <c r="D4289" s="7">
        <v>18.05</v>
      </c>
      <c r="E4289" s="85">
        <f t="shared" si="318"/>
        <v>0</v>
      </c>
    </row>
    <row r="4290" spans="1:5" ht="18" x14ac:dyDescent="0.35">
      <c r="A4290" s="5"/>
      <c r="B4290" s="50" t="s">
        <v>35</v>
      </c>
      <c r="C4290" s="7">
        <v>4</v>
      </c>
      <c r="D4290" s="7">
        <v>2.0099999999999998</v>
      </c>
      <c r="E4290" s="85">
        <f t="shared" si="318"/>
        <v>8.0399999999999991</v>
      </c>
    </row>
    <row r="4291" spans="1:5" ht="18" x14ac:dyDescent="0.35">
      <c r="A4291" s="5"/>
      <c r="B4291" s="50" t="s">
        <v>36</v>
      </c>
      <c r="C4291" s="7">
        <v>4</v>
      </c>
      <c r="D4291" s="7">
        <v>0.25</v>
      </c>
      <c r="E4291" s="85">
        <f t="shared" si="318"/>
        <v>1</v>
      </c>
    </row>
    <row r="4292" spans="1:5" ht="18" x14ac:dyDescent="0.35">
      <c r="A4292" s="5"/>
      <c r="B4292" s="5"/>
      <c r="C4292" s="54"/>
      <c r="D4292" s="54"/>
      <c r="E4292" s="89">
        <f>SUM(E4284:E4291)</f>
        <v>106.64356000000001</v>
      </c>
    </row>
    <row r="4293" spans="1:5" ht="18" x14ac:dyDescent="0.35">
      <c r="A4293" s="5"/>
      <c r="B4293" s="5"/>
      <c r="C4293" s="54"/>
      <c r="D4293" s="54" t="s">
        <v>1066</v>
      </c>
      <c r="E4293" s="89">
        <f>E4292+E4292*40%</f>
        <v>149.30098400000003</v>
      </c>
    </row>
    <row r="4294" spans="1:5" ht="18" x14ac:dyDescent="0.35">
      <c r="A4294" s="5"/>
      <c r="B4294" s="50" t="s">
        <v>37</v>
      </c>
      <c r="C4294" s="54">
        <v>0.5</v>
      </c>
      <c r="D4294" s="54">
        <v>200</v>
      </c>
      <c r="E4294" s="85">
        <f>C4294*D4294</f>
        <v>100</v>
      </c>
    </row>
    <row r="4295" spans="1:5" ht="18" x14ac:dyDescent="0.35">
      <c r="A4295" s="5"/>
      <c r="B4295" s="5"/>
      <c r="C4295" s="54"/>
      <c r="D4295" s="54"/>
      <c r="E4295" s="112">
        <f>SUM(E4293:E4294)</f>
        <v>249.30098400000003</v>
      </c>
    </row>
    <row r="4298" spans="1:5" ht="21" x14ac:dyDescent="0.4">
      <c r="A4298" s="40" t="s">
        <v>1345</v>
      </c>
      <c r="B4298" s="40"/>
      <c r="C4298" s="40"/>
      <c r="D4298" s="12"/>
      <c r="E4298" s="12"/>
    </row>
    <row r="4299" spans="1:5" ht="18" x14ac:dyDescent="0.35">
      <c r="A4299" s="5"/>
      <c r="B4299" s="5"/>
      <c r="C4299" s="7" t="s">
        <v>28</v>
      </c>
      <c r="D4299" s="7" t="s">
        <v>29</v>
      </c>
      <c r="E4299" s="7" t="s">
        <v>30</v>
      </c>
    </row>
    <row r="4300" spans="1:5" ht="18" x14ac:dyDescent="0.35">
      <c r="A4300" s="5" t="s">
        <v>79</v>
      </c>
      <c r="B4300" s="50" t="s">
        <v>32</v>
      </c>
      <c r="C4300" s="7">
        <v>2.238</v>
      </c>
      <c r="D4300" s="7">
        <v>30.44</v>
      </c>
      <c r="E4300" s="85">
        <f>C4300*D4300</f>
        <v>68.124719999999996</v>
      </c>
    </row>
    <row r="4301" spans="1:5" ht="18" x14ac:dyDescent="0.35">
      <c r="A4301" s="5" t="s">
        <v>52</v>
      </c>
      <c r="B4301" s="50" t="s">
        <v>33</v>
      </c>
      <c r="C4301" s="7">
        <v>7.4649999999999999</v>
      </c>
      <c r="D4301" s="7">
        <v>17.059999999999999</v>
      </c>
      <c r="E4301" s="85">
        <f>C4301*D4301</f>
        <v>127.35289999999999</v>
      </c>
    </row>
    <row r="4302" spans="1:5" ht="18" x14ac:dyDescent="0.35">
      <c r="A4302" s="5" t="s">
        <v>744</v>
      </c>
      <c r="B4302" s="50" t="s">
        <v>137</v>
      </c>
      <c r="C4302" s="7">
        <v>0.6</v>
      </c>
      <c r="D4302" s="7">
        <v>17.190000000000001</v>
      </c>
      <c r="E4302" s="85">
        <f>C4302*D4302</f>
        <v>10.314</v>
      </c>
    </row>
    <row r="4303" spans="1:5" ht="18" x14ac:dyDescent="0.35">
      <c r="A4303" s="5"/>
      <c r="B4303" s="50" t="s">
        <v>35</v>
      </c>
      <c r="C4303" s="7">
        <v>4</v>
      </c>
      <c r="D4303" s="7">
        <v>2.91</v>
      </c>
      <c r="E4303" s="85">
        <f>C4303*D4303</f>
        <v>11.64</v>
      </c>
    </row>
    <row r="4304" spans="1:5" ht="18" x14ac:dyDescent="0.35">
      <c r="A4304" s="5"/>
      <c r="B4304" s="50" t="s">
        <v>36</v>
      </c>
      <c r="C4304" s="7">
        <v>4</v>
      </c>
      <c r="D4304" s="7">
        <v>0.61</v>
      </c>
      <c r="E4304" s="85">
        <f>C4304*D4304</f>
        <v>2.44</v>
      </c>
    </row>
    <row r="4305" spans="1:5" ht="18" x14ac:dyDescent="0.35">
      <c r="A4305" s="5"/>
      <c r="B4305" s="50"/>
      <c r="C4305" s="87"/>
      <c r="D4305" s="88"/>
      <c r="E4305" s="85">
        <f>SUM(E4300:E4304)</f>
        <v>219.87162000000001</v>
      </c>
    </row>
    <row r="4306" spans="1:5" ht="18" x14ac:dyDescent="0.35">
      <c r="A4306" s="5"/>
      <c r="B4306" s="50"/>
      <c r="C4306" s="87"/>
      <c r="D4306" s="88" t="s">
        <v>1266</v>
      </c>
      <c r="E4306" s="85">
        <f>E4305+E4305*40%</f>
        <v>307.820268</v>
      </c>
    </row>
    <row r="4307" spans="1:5" ht="18" x14ac:dyDescent="0.35">
      <c r="A4307" s="5"/>
      <c r="B4307" s="50" t="s">
        <v>37</v>
      </c>
      <c r="C4307" s="54">
        <v>1</v>
      </c>
      <c r="D4307" s="86">
        <v>200</v>
      </c>
      <c r="E4307" s="85">
        <f>C4307*D4307</f>
        <v>200</v>
      </c>
    </row>
    <row r="4308" spans="1:5" ht="18" x14ac:dyDescent="0.35">
      <c r="A4308" s="5"/>
      <c r="B4308" s="5"/>
      <c r="C4308" s="54"/>
      <c r="D4308" s="54"/>
      <c r="E4308" s="85">
        <f>SUM(E4306:E4307)</f>
        <v>507.820268</v>
      </c>
    </row>
    <row r="4310" spans="1:5" ht="21" x14ac:dyDescent="0.4">
      <c r="A4310" s="40" t="s">
        <v>1346</v>
      </c>
      <c r="B4310" s="40"/>
      <c r="C4310" s="84"/>
      <c r="D4310" t="s">
        <v>1339</v>
      </c>
    </row>
    <row r="4311" spans="1:5" ht="18" x14ac:dyDescent="0.35">
      <c r="A4311" s="5"/>
      <c r="B4311" s="5"/>
      <c r="C4311" s="7" t="s">
        <v>28</v>
      </c>
      <c r="D4311" s="7" t="s">
        <v>29</v>
      </c>
      <c r="E4311" s="7" t="s">
        <v>30</v>
      </c>
    </row>
    <row r="4312" spans="1:5" ht="18" x14ac:dyDescent="0.35">
      <c r="A4312" s="5" t="s">
        <v>1347</v>
      </c>
      <c r="B4312" s="50" t="s">
        <v>32</v>
      </c>
      <c r="C4312" s="7">
        <v>3.3940000000000001</v>
      </c>
      <c r="D4312" s="7">
        <v>11.37</v>
      </c>
      <c r="E4312" s="85">
        <f t="shared" ref="E4312:E4317" si="319">C4312*D4312</f>
        <v>38.589779999999998</v>
      </c>
    </row>
    <row r="4313" spans="1:5" ht="18" x14ac:dyDescent="0.35">
      <c r="A4313" s="5" t="s">
        <v>57</v>
      </c>
      <c r="B4313" s="50" t="s">
        <v>33</v>
      </c>
      <c r="C4313" s="7">
        <v>29.988</v>
      </c>
      <c r="D4313" s="7">
        <v>14.94</v>
      </c>
      <c r="E4313" s="85">
        <f t="shared" si="319"/>
        <v>448.02071999999998</v>
      </c>
    </row>
    <row r="4314" spans="1:5" ht="18" x14ac:dyDescent="0.35">
      <c r="A4314" s="5" t="s">
        <v>696</v>
      </c>
      <c r="B4314" s="50" t="s">
        <v>99</v>
      </c>
      <c r="C4314" s="7">
        <v>2</v>
      </c>
      <c r="D4314" s="7">
        <v>3.51</v>
      </c>
      <c r="E4314" s="85">
        <f t="shared" si="319"/>
        <v>7.02</v>
      </c>
    </row>
    <row r="4315" spans="1:5" ht="18" x14ac:dyDescent="0.35">
      <c r="A4315" s="5"/>
      <c r="B4315" s="50" t="s">
        <v>34</v>
      </c>
      <c r="C4315" s="7">
        <v>0.74</v>
      </c>
      <c r="D4315" s="7">
        <v>14.61</v>
      </c>
      <c r="E4315" s="85">
        <f t="shared" si="319"/>
        <v>10.811399999999999</v>
      </c>
    </row>
    <row r="4316" spans="1:5" ht="18" x14ac:dyDescent="0.35">
      <c r="A4316" s="5"/>
      <c r="B4316" s="50" t="s">
        <v>35</v>
      </c>
      <c r="C4316" s="7">
        <v>4</v>
      </c>
      <c r="D4316" s="7">
        <v>2.91</v>
      </c>
      <c r="E4316" s="85">
        <f t="shared" si="319"/>
        <v>11.64</v>
      </c>
    </row>
    <row r="4317" spans="1:5" ht="18" x14ac:dyDescent="0.35">
      <c r="A4317" s="5"/>
      <c r="B4317" s="50" t="s">
        <v>36</v>
      </c>
      <c r="C4317" s="7">
        <v>4</v>
      </c>
      <c r="D4317" s="7">
        <v>0.61</v>
      </c>
      <c r="E4317" s="85">
        <f t="shared" si="319"/>
        <v>2.44</v>
      </c>
    </row>
    <row r="4318" spans="1:5" ht="18" x14ac:dyDescent="0.35">
      <c r="A4318" s="5"/>
      <c r="B4318" s="5"/>
      <c r="C4318" s="54"/>
      <c r="D4318" s="54"/>
      <c r="E4318" s="89">
        <f>SUM(E4312:E4317)</f>
        <v>518.52190000000007</v>
      </c>
    </row>
    <row r="4319" spans="1:5" ht="18" x14ac:dyDescent="0.35">
      <c r="A4319" s="5"/>
      <c r="B4319" s="5"/>
      <c r="C4319" s="54"/>
      <c r="D4319" s="54" t="s">
        <v>1063</v>
      </c>
      <c r="E4319" s="89">
        <f>E4318+E4318*40%</f>
        <v>725.9306600000001</v>
      </c>
    </row>
    <row r="4320" spans="1:5" ht="18" x14ac:dyDescent="0.35">
      <c r="A4320" s="5"/>
      <c r="B4320" s="50" t="s">
        <v>37</v>
      </c>
      <c r="C4320" s="54">
        <v>1.5</v>
      </c>
      <c r="D4320" s="54">
        <v>200</v>
      </c>
      <c r="E4320" s="85">
        <f>C4320*D4320</f>
        <v>300</v>
      </c>
    </row>
    <row r="4321" spans="1:5" ht="18" x14ac:dyDescent="0.35">
      <c r="A4321" s="5"/>
      <c r="B4321" s="5"/>
      <c r="C4321" s="54"/>
      <c r="D4321" s="54"/>
      <c r="E4321" s="85">
        <f>SUM(E4319:E4320)</f>
        <v>1025.93066</v>
      </c>
    </row>
    <row r="4323" spans="1:5" ht="21" x14ac:dyDescent="0.4">
      <c r="A4323" s="40" t="s">
        <v>1348</v>
      </c>
      <c r="B4323" s="40"/>
      <c r="C4323" s="84"/>
      <c r="D4323" s="12"/>
      <c r="E4323" s="12"/>
    </row>
    <row r="4324" spans="1:5" ht="21" x14ac:dyDescent="0.4">
      <c r="A4324" s="40"/>
      <c r="B4324" s="40"/>
      <c r="C4324" s="84"/>
      <c r="D4324" s="12" t="s">
        <v>1339</v>
      </c>
      <c r="E4324" s="12"/>
    </row>
    <row r="4325" spans="1:5" ht="18" x14ac:dyDescent="0.35">
      <c r="A4325" s="5"/>
      <c r="B4325" s="5"/>
      <c r="C4325" s="7" t="s">
        <v>28</v>
      </c>
      <c r="D4325" s="7" t="s">
        <v>29</v>
      </c>
      <c r="E4325" s="7" t="s">
        <v>30</v>
      </c>
    </row>
    <row r="4326" spans="1:5" ht="18" x14ac:dyDescent="0.35">
      <c r="A4326" s="5" t="s">
        <v>41</v>
      </c>
      <c r="B4326" s="50" t="s">
        <v>32</v>
      </c>
      <c r="C4326" s="7">
        <v>1.3979999999999999</v>
      </c>
      <c r="D4326" s="7">
        <v>14.93</v>
      </c>
      <c r="E4326" s="85">
        <f t="shared" ref="E4326:E4333" si="320">C4326*D4326</f>
        <v>20.872139999999998</v>
      </c>
    </row>
    <row r="4327" spans="1:5" ht="18" x14ac:dyDescent="0.35">
      <c r="A4327" s="5" t="s">
        <v>39</v>
      </c>
      <c r="B4327" s="50" t="s">
        <v>33</v>
      </c>
      <c r="C4327" s="7">
        <v>2.0579999999999998</v>
      </c>
      <c r="D4327" s="7">
        <v>16.170000000000002</v>
      </c>
      <c r="E4327" s="85">
        <f t="shared" si="320"/>
        <v>33.277860000000004</v>
      </c>
    </row>
    <row r="4328" spans="1:5" ht="18" x14ac:dyDescent="0.35">
      <c r="A4328" s="5" t="s">
        <v>293</v>
      </c>
      <c r="B4328" s="50" t="s">
        <v>33</v>
      </c>
      <c r="C4328" s="7">
        <v>2.2679999999999998</v>
      </c>
      <c r="D4328" s="7">
        <v>16.170000000000002</v>
      </c>
      <c r="E4328" s="85">
        <f t="shared" si="320"/>
        <v>36.673560000000002</v>
      </c>
    </row>
    <row r="4329" spans="1:5" ht="18" x14ac:dyDescent="0.35">
      <c r="A4329" s="5" t="s">
        <v>616</v>
      </c>
      <c r="B4329" s="50" t="s">
        <v>43</v>
      </c>
      <c r="C4329" s="7">
        <v>2</v>
      </c>
      <c r="D4329" s="7">
        <v>1.1499999999999999</v>
      </c>
      <c r="E4329" s="85">
        <f t="shared" si="320"/>
        <v>2.2999999999999998</v>
      </c>
    </row>
    <row r="4330" spans="1:5" ht="18" x14ac:dyDescent="0.35">
      <c r="A4330" s="5" t="s">
        <v>1301</v>
      </c>
      <c r="B4330" s="50" t="s">
        <v>88</v>
      </c>
      <c r="C4330" s="88">
        <v>2</v>
      </c>
      <c r="D4330" s="88">
        <v>2.2400000000000002</v>
      </c>
      <c r="E4330" s="90">
        <f t="shared" si="320"/>
        <v>4.4800000000000004</v>
      </c>
    </row>
    <row r="4331" spans="1:5" ht="18" x14ac:dyDescent="0.35">
      <c r="A4331" s="5"/>
      <c r="B4331" s="50" t="s">
        <v>34</v>
      </c>
      <c r="C4331" s="7"/>
      <c r="D4331" s="7">
        <v>18.05</v>
      </c>
      <c r="E4331" s="85">
        <f t="shared" si="320"/>
        <v>0</v>
      </c>
    </row>
    <row r="4332" spans="1:5" ht="18" x14ac:dyDescent="0.35">
      <c r="A4332" s="5"/>
      <c r="B4332" s="50" t="s">
        <v>35</v>
      </c>
      <c r="C4332" s="7">
        <v>4</v>
      </c>
      <c r="D4332" s="7">
        <v>2.0099999999999998</v>
      </c>
      <c r="E4332" s="85">
        <f t="shared" si="320"/>
        <v>8.0399999999999991</v>
      </c>
    </row>
    <row r="4333" spans="1:5" ht="18" x14ac:dyDescent="0.35">
      <c r="A4333" s="5"/>
      <c r="B4333" s="50" t="s">
        <v>36</v>
      </c>
      <c r="C4333" s="7">
        <v>4</v>
      </c>
      <c r="D4333" s="7">
        <v>0.25</v>
      </c>
      <c r="E4333" s="85">
        <f t="shared" si="320"/>
        <v>1</v>
      </c>
    </row>
    <row r="4334" spans="1:5" ht="18" x14ac:dyDescent="0.35">
      <c r="A4334" s="5"/>
      <c r="B4334" s="5"/>
      <c r="C4334" s="54"/>
      <c r="D4334" s="54"/>
      <c r="E4334" s="89">
        <f>SUM(E4326:E4333)</f>
        <v>106.64356000000001</v>
      </c>
    </row>
    <row r="4335" spans="1:5" ht="18" x14ac:dyDescent="0.35">
      <c r="A4335" s="5"/>
      <c r="B4335" s="5"/>
      <c r="C4335" s="54"/>
      <c r="D4335" s="54" t="s">
        <v>1066</v>
      </c>
      <c r="E4335" s="89">
        <f>E4334+E4334*40%</f>
        <v>149.30098400000003</v>
      </c>
    </row>
    <row r="4336" spans="1:5" ht="18" x14ac:dyDescent="0.35">
      <c r="A4336" s="5"/>
      <c r="B4336" s="50" t="s">
        <v>37</v>
      </c>
      <c r="C4336" s="54">
        <v>0.5</v>
      </c>
      <c r="D4336" s="54">
        <v>200</v>
      </c>
      <c r="E4336" s="85">
        <f>C4336*D4336</f>
        <v>100</v>
      </c>
    </row>
    <row r="4337" spans="1:5" ht="18" x14ac:dyDescent="0.35">
      <c r="A4337" s="5"/>
      <c r="B4337" s="5"/>
      <c r="C4337" s="54"/>
      <c r="D4337" s="54"/>
      <c r="E4337" s="112">
        <f>SUM(E4335:E4336)</f>
        <v>249.30098400000003</v>
      </c>
    </row>
    <row r="4340" spans="1:5" ht="21" x14ac:dyDescent="0.4">
      <c r="A4340" s="40" t="s">
        <v>1349</v>
      </c>
      <c r="B4340" s="40"/>
      <c r="C4340" s="84"/>
      <c r="D4340" t="s">
        <v>1339</v>
      </c>
    </row>
    <row r="4341" spans="1:5" ht="18" x14ac:dyDescent="0.35">
      <c r="A4341" s="5"/>
      <c r="B4341" s="5"/>
      <c r="C4341" s="7" t="s">
        <v>28</v>
      </c>
      <c r="D4341" s="7" t="s">
        <v>29</v>
      </c>
      <c r="E4341" s="7" t="s">
        <v>30</v>
      </c>
    </row>
    <row r="4342" spans="1:5" ht="18" x14ac:dyDescent="0.35">
      <c r="A4342" s="5" t="s">
        <v>1347</v>
      </c>
      <c r="B4342" s="50" t="s">
        <v>32</v>
      </c>
      <c r="C4342" s="7">
        <v>3.3940000000000001</v>
      </c>
      <c r="D4342" s="7">
        <v>16.43</v>
      </c>
      <c r="E4342" s="85">
        <f t="shared" ref="E4342:E4349" si="321">C4342*D4342</f>
        <v>55.763420000000004</v>
      </c>
    </row>
    <row r="4343" spans="1:5" ht="18" x14ac:dyDescent="0.35">
      <c r="A4343" s="5" t="s">
        <v>57</v>
      </c>
      <c r="B4343" s="50" t="s">
        <v>33</v>
      </c>
      <c r="C4343" s="7">
        <v>29.988</v>
      </c>
      <c r="D4343" s="7">
        <v>14.94</v>
      </c>
      <c r="E4343" s="85">
        <f t="shared" si="321"/>
        <v>448.02071999999998</v>
      </c>
    </row>
    <row r="4344" spans="1:5" ht="18" x14ac:dyDescent="0.35">
      <c r="A4344" s="5" t="s">
        <v>397</v>
      </c>
      <c r="B4344" s="50" t="s">
        <v>33</v>
      </c>
      <c r="C4344" s="7">
        <v>28.98</v>
      </c>
      <c r="D4344" s="7">
        <v>14.94</v>
      </c>
      <c r="E4344" s="85">
        <f t="shared" si="321"/>
        <v>432.96120000000002</v>
      </c>
    </row>
    <row r="4345" spans="1:5" ht="18" x14ac:dyDescent="0.35">
      <c r="A4345" s="5" t="s">
        <v>696</v>
      </c>
      <c r="B4345" s="50" t="s">
        <v>99</v>
      </c>
      <c r="C4345" s="7">
        <v>2</v>
      </c>
      <c r="D4345" s="7">
        <v>3.51</v>
      </c>
      <c r="E4345" s="85">
        <f t="shared" si="321"/>
        <v>7.02</v>
      </c>
    </row>
    <row r="4346" spans="1:5" ht="18" x14ac:dyDescent="0.35">
      <c r="A4346" s="5"/>
      <c r="B4346" s="50" t="s">
        <v>1350</v>
      </c>
      <c r="C4346" s="7">
        <v>2</v>
      </c>
      <c r="D4346" s="7">
        <v>3.51</v>
      </c>
      <c r="E4346" s="85">
        <f t="shared" si="321"/>
        <v>7.02</v>
      </c>
    </row>
    <row r="4347" spans="1:5" ht="18" x14ac:dyDescent="0.35">
      <c r="A4347" s="5"/>
      <c r="B4347" s="50" t="s">
        <v>34</v>
      </c>
      <c r="C4347" s="7">
        <v>0.74</v>
      </c>
      <c r="D4347" s="7">
        <v>14.61</v>
      </c>
      <c r="E4347" s="85">
        <f t="shared" si="321"/>
        <v>10.811399999999999</v>
      </c>
    </row>
    <row r="4348" spans="1:5" ht="18" x14ac:dyDescent="0.35">
      <c r="A4348" s="5"/>
      <c r="B4348" s="50" t="s">
        <v>35</v>
      </c>
      <c r="C4348" s="7">
        <v>4</v>
      </c>
      <c r="D4348" s="7">
        <v>2.91</v>
      </c>
      <c r="E4348" s="85">
        <f t="shared" si="321"/>
        <v>11.64</v>
      </c>
    </row>
    <row r="4349" spans="1:5" ht="18" x14ac:dyDescent="0.35">
      <c r="A4349" s="5"/>
      <c r="B4349" s="50" t="s">
        <v>36</v>
      </c>
      <c r="C4349" s="7">
        <v>4</v>
      </c>
      <c r="D4349" s="7">
        <v>0.61</v>
      </c>
      <c r="E4349" s="85">
        <f t="shared" si="321"/>
        <v>2.44</v>
      </c>
    </row>
    <row r="4350" spans="1:5" ht="18" x14ac:dyDescent="0.35">
      <c r="A4350" s="5"/>
      <c r="B4350" s="5"/>
      <c r="C4350" s="54"/>
      <c r="D4350" s="54"/>
      <c r="E4350" s="89">
        <v>1267</v>
      </c>
    </row>
    <row r="4351" spans="1:5" ht="18" x14ac:dyDescent="0.35">
      <c r="A4351" s="5"/>
      <c r="B4351" s="5"/>
      <c r="C4351" s="54"/>
      <c r="D4351" s="54" t="s">
        <v>1063</v>
      </c>
      <c r="E4351" s="89">
        <f>E4350+E4350*40%</f>
        <v>1773.8</v>
      </c>
    </row>
    <row r="4352" spans="1:5" ht="18" x14ac:dyDescent="0.35">
      <c r="A4352" s="5"/>
      <c r="B4352" s="50" t="s">
        <v>37</v>
      </c>
      <c r="C4352" s="54">
        <v>1.5</v>
      </c>
      <c r="D4352" s="54">
        <v>200</v>
      </c>
      <c r="E4352" s="85">
        <f>C4352*D4352</f>
        <v>300</v>
      </c>
    </row>
    <row r="4353" spans="1:5" ht="18" x14ac:dyDescent="0.35">
      <c r="A4353" s="5"/>
      <c r="B4353" s="5"/>
      <c r="C4353" s="54"/>
      <c r="D4353" s="54"/>
      <c r="E4353" s="85">
        <f>SUM(E4351:E4352)</f>
        <v>2073.8000000000002</v>
      </c>
    </row>
    <row r="4355" spans="1:5" ht="21" x14ac:dyDescent="0.4">
      <c r="A4355" s="40" t="s">
        <v>1352</v>
      </c>
      <c r="B4355" s="40"/>
      <c r="C4355" s="40"/>
      <c r="D4355" s="12"/>
      <c r="E4355" s="12"/>
    </row>
    <row r="4356" spans="1:5" ht="18" x14ac:dyDescent="0.35">
      <c r="A4356" s="5"/>
      <c r="B4356" s="5"/>
      <c r="C4356" s="7" t="s">
        <v>28</v>
      </c>
      <c r="D4356" s="7" t="s">
        <v>29</v>
      </c>
      <c r="E4356" s="7" t="s">
        <v>30</v>
      </c>
    </row>
    <row r="4357" spans="1:5" ht="18" x14ac:dyDescent="0.35">
      <c r="A4357" s="5" t="s">
        <v>1353</v>
      </c>
      <c r="B4357" s="50" t="s">
        <v>32</v>
      </c>
      <c r="C4357" s="7">
        <v>2.4</v>
      </c>
      <c r="D4357" s="7">
        <v>30.44</v>
      </c>
      <c r="E4357" s="85">
        <f>C4357*D4357</f>
        <v>73.055999999999997</v>
      </c>
    </row>
    <row r="4358" spans="1:5" ht="18" x14ac:dyDescent="0.35">
      <c r="A4358" s="5" t="s">
        <v>261</v>
      </c>
      <c r="B4358" s="50" t="s">
        <v>33</v>
      </c>
      <c r="C4358" s="7">
        <v>3.1720000000000002</v>
      </c>
      <c r="D4358" s="7">
        <v>17.059999999999999</v>
      </c>
      <c r="E4358" s="85">
        <f>C4358*D4358</f>
        <v>54.114319999999999</v>
      </c>
    </row>
    <row r="4359" spans="1:5" ht="18" x14ac:dyDescent="0.35">
      <c r="A4359" s="5" t="s">
        <v>744</v>
      </c>
      <c r="B4359" s="50" t="s">
        <v>137</v>
      </c>
      <c r="C4359" s="7">
        <v>0.24</v>
      </c>
      <c r="D4359" s="7">
        <v>17.190000000000001</v>
      </c>
      <c r="E4359" s="85">
        <f>C4359*D4359</f>
        <v>4.1256000000000004</v>
      </c>
    </row>
    <row r="4360" spans="1:5" ht="18" x14ac:dyDescent="0.35">
      <c r="A4360" s="5"/>
      <c r="B4360" s="50" t="s">
        <v>35</v>
      </c>
      <c r="C4360" s="7">
        <v>4</v>
      </c>
      <c r="D4360" s="7">
        <v>2.91</v>
      </c>
      <c r="E4360" s="85">
        <f>C4360*D4360</f>
        <v>11.64</v>
      </c>
    </row>
    <row r="4361" spans="1:5" ht="18" x14ac:dyDescent="0.35">
      <c r="A4361" s="5"/>
      <c r="B4361" s="50" t="s">
        <v>36</v>
      </c>
      <c r="C4361" s="7">
        <v>4</v>
      </c>
      <c r="D4361" s="7">
        <v>0.61</v>
      </c>
      <c r="E4361" s="85">
        <f>C4361*D4361</f>
        <v>2.44</v>
      </c>
    </row>
    <row r="4362" spans="1:5" ht="18" x14ac:dyDescent="0.35">
      <c r="A4362" s="5"/>
      <c r="B4362" s="50"/>
      <c r="C4362" s="87"/>
      <c r="D4362" s="88"/>
      <c r="E4362" s="85">
        <f>SUM(E4357:E4361)</f>
        <v>145.37592000000001</v>
      </c>
    </row>
    <row r="4363" spans="1:5" ht="18" x14ac:dyDescent="0.35">
      <c r="A4363" s="5"/>
      <c r="B4363" s="50"/>
      <c r="C4363" s="87"/>
      <c r="D4363" s="88" t="s">
        <v>1266</v>
      </c>
      <c r="E4363" s="85">
        <f>E4362+E4362*40%</f>
        <v>203.52628800000002</v>
      </c>
    </row>
    <row r="4364" spans="1:5" ht="18" x14ac:dyDescent="0.35">
      <c r="A4364" s="5"/>
      <c r="B4364" s="50" t="s">
        <v>37</v>
      </c>
      <c r="C4364" s="54">
        <v>0.5</v>
      </c>
      <c r="D4364" s="86">
        <v>200</v>
      </c>
      <c r="E4364" s="85">
        <f>C4364*D4364</f>
        <v>100</v>
      </c>
    </row>
    <row r="4365" spans="1:5" ht="18" x14ac:dyDescent="0.35">
      <c r="A4365" s="5"/>
      <c r="B4365" s="5"/>
      <c r="C4365" s="54"/>
      <c r="D4365" s="54"/>
      <c r="E4365" s="85">
        <f>SUM(E4363:E4364)</f>
        <v>303.52628800000002</v>
      </c>
    </row>
    <row r="4368" spans="1:5" ht="21" x14ac:dyDescent="0.4">
      <c r="A4368" s="40" t="s">
        <v>1346</v>
      </c>
      <c r="B4368" s="40"/>
      <c r="C4368" s="84"/>
      <c r="D4368" t="s">
        <v>1339</v>
      </c>
    </row>
    <row r="4369" spans="1:5" ht="18" x14ac:dyDescent="0.35">
      <c r="A4369" s="5"/>
      <c r="B4369" s="5"/>
      <c r="C4369" s="7" t="s">
        <v>28</v>
      </c>
      <c r="D4369" s="7" t="s">
        <v>29</v>
      </c>
      <c r="E4369" s="7" t="s">
        <v>30</v>
      </c>
    </row>
    <row r="4370" spans="1:5" ht="18" x14ac:dyDescent="0.35">
      <c r="A4370" s="5" t="s">
        <v>105</v>
      </c>
      <c r="B4370" s="50" t="s">
        <v>32</v>
      </c>
      <c r="C4370" s="7">
        <v>2.028</v>
      </c>
      <c r="D4370" s="7">
        <v>11.37</v>
      </c>
      <c r="E4370" s="85">
        <f t="shared" ref="E4370:E4375" si="322">C4370*D4370</f>
        <v>23.05836</v>
      </c>
    </row>
    <row r="4371" spans="1:5" ht="18" x14ac:dyDescent="0.35">
      <c r="A4371" s="5" t="s">
        <v>1356</v>
      </c>
      <c r="B4371" s="50" t="s">
        <v>33</v>
      </c>
      <c r="C4371" s="7">
        <v>8.673</v>
      </c>
      <c r="D4371" s="7">
        <v>14.94</v>
      </c>
      <c r="E4371" s="85">
        <f t="shared" si="322"/>
        <v>129.57462000000001</v>
      </c>
    </row>
    <row r="4372" spans="1:5" ht="18" x14ac:dyDescent="0.35">
      <c r="A4372" s="5" t="s">
        <v>427</v>
      </c>
      <c r="B4372" s="50" t="s">
        <v>86</v>
      </c>
      <c r="C4372" s="7">
        <v>2</v>
      </c>
      <c r="D4372" s="7">
        <v>1.17</v>
      </c>
      <c r="E4372" s="85">
        <f t="shared" si="322"/>
        <v>2.34</v>
      </c>
    </row>
    <row r="4373" spans="1:5" ht="18" x14ac:dyDescent="0.35">
      <c r="A4373" s="5"/>
      <c r="B4373" s="50" t="s">
        <v>34</v>
      </c>
      <c r="C4373" s="7">
        <v>0.32</v>
      </c>
      <c r="D4373" s="7">
        <v>14.61</v>
      </c>
      <c r="E4373" s="85">
        <f t="shared" si="322"/>
        <v>4.6752000000000002</v>
      </c>
    </row>
    <row r="4374" spans="1:5" ht="18" x14ac:dyDescent="0.35">
      <c r="A4374" s="5"/>
      <c r="B4374" s="50" t="s">
        <v>35</v>
      </c>
      <c r="C4374" s="7">
        <v>4</v>
      </c>
      <c r="D4374" s="7">
        <v>2.91</v>
      </c>
      <c r="E4374" s="85">
        <f t="shared" si="322"/>
        <v>11.64</v>
      </c>
    </row>
    <row r="4375" spans="1:5" ht="18" x14ac:dyDescent="0.35">
      <c r="A4375" s="5"/>
      <c r="B4375" s="50" t="s">
        <v>36</v>
      </c>
      <c r="C4375" s="7">
        <v>4</v>
      </c>
      <c r="D4375" s="7">
        <v>0.61</v>
      </c>
      <c r="E4375" s="85">
        <f t="shared" si="322"/>
        <v>2.44</v>
      </c>
    </row>
    <row r="4376" spans="1:5" ht="18" x14ac:dyDescent="0.35">
      <c r="A4376" s="5"/>
      <c r="B4376" s="5"/>
      <c r="C4376" s="54"/>
      <c r="D4376" s="54"/>
      <c r="E4376" s="89">
        <f>SUM(E4370:E4375)</f>
        <v>173.72818000000001</v>
      </c>
    </row>
    <row r="4377" spans="1:5" ht="18" x14ac:dyDescent="0.35">
      <c r="A4377" s="5"/>
      <c r="B4377" s="5"/>
      <c r="C4377" s="54"/>
      <c r="D4377" s="54" t="s">
        <v>1063</v>
      </c>
      <c r="E4377" s="89">
        <f>E4376+E4376*40%</f>
        <v>243.21945200000002</v>
      </c>
    </row>
    <row r="4378" spans="1:5" ht="18" x14ac:dyDescent="0.35">
      <c r="A4378" s="5"/>
      <c r="B4378" s="50" t="s">
        <v>37</v>
      </c>
      <c r="C4378" s="54">
        <v>1.5</v>
      </c>
      <c r="D4378" s="54">
        <v>200</v>
      </c>
      <c r="E4378" s="85">
        <f>C4378*D4378</f>
        <v>300</v>
      </c>
    </row>
    <row r="4379" spans="1:5" ht="18" x14ac:dyDescent="0.35">
      <c r="A4379" s="5"/>
      <c r="B4379" s="5"/>
      <c r="C4379" s="54"/>
      <c r="D4379" s="54"/>
      <c r="E4379" s="85">
        <f>SUM(E4377:E4378)</f>
        <v>543.21945200000005</v>
      </c>
    </row>
    <row r="4381" spans="1:5" ht="21" x14ac:dyDescent="0.4">
      <c r="A4381" s="40" t="s">
        <v>1361</v>
      </c>
      <c r="B4381" s="40"/>
      <c r="C4381" s="84"/>
      <c r="D4381" t="s">
        <v>1339</v>
      </c>
    </row>
    <row r="4382" spans="1:5" ht="18" x14ac:dyDescent="0.35">
      <c r="A4382" s="5"/>
      <c r="B4382" s="5"/>
      <c r="C4382" s="7" t="s">
        <v>28</v>
      </c>
      <c r="D4382" s="7" t="s">
        <v>29</v>
      </c>
      <c r="E4382" s="7" t="s">
        <v>30</v>
      </c>
    </row>
    <row r="4383" spans="1:5" ht="18" x14ac:dyDescent="0.35">
      <c r="A4383" s="5" t="s">
        <v>362</v>
      </c>
      <c r="B4383" s="50" t="s">
        <v>32</v>
      </c>
      <c r="C4383" s="7">
        <v>0.66300000000000003</v>
      </c>
      <c r="D4383" s="7">
        <v>16.43</v>
      </c>
      <c r="E4383" s="85">
        <f t="shared" ref="E4383:E4390" si="323">C4383*D4383</f>
        <v>10.893090000000001</v>
      </c>
    </row>
    <row r="4384" spans="1:5" ht="18" x14ac:dyDescent="0.35">
      <c r="A4384" s="5" t="s">
        <v>238</v>
      </c>
      <c r="B4384" s="50" t="s">
        <v>33</v>
      </c>
      <c r="C4384" s="7">
        <v>0.58799999999999997</v>
      </c>
      <c r="D4384" s="7">
        <v>14.94</v>
      </c>
      <c r="E4384" s="85">
        <f t="shared" si="323"/>
        <v>8.7847200000000001</v>
      </c>
    </row>
    <row r="4385" spans="1:5" ht="18" x14ac:dyDescent="0.35">
      <c r="A4385" s="5" t="s">
        <v>143</v>
      </c>
      <c r="B4385" s="50" t="s">
        <v>33</v>
      </c>
      <c r="C4385" s="7">
        <v>0.56999999999999995</v>
      </c>
      <c r="D4385" s="7">
        <v>14.94</v>
      </c>
      <c r="E4385" s="85">
        <f t="shared" si="323"/>
        <v>8.5157999999999987</v>
      </c>
    </row>
    <row r="4386" spans="1:5" ht="18" x14ac:dyDescent="0.35">
      <c r="A4386" s="5" t="s">
        <v>1048</v>
      </c>
      <c r="B4386" s="50" t="s">
        <v>42</v>
      </c>
      <c r="C4386" s="7">
        <v>2</v>
      </c>
      <c r="D4386" s="7">
        <v>1.1499999999999999</v>
      </c>
      <c r="E4386" s="85">
        <f t="shared" si="323"/>
        <v>2.2999999999999998</v>
      </c>
    </row>
    <row r="4387" spans="1:5" ht="18" x14ac:dyDescent="0.35">
      <c r="A4387" s="5"/>
      <c r="B4387" s="50" t="s">
        <v>84</v>
      </c>
      <c r="C4387" s="7">
        <v>2</v>
      </c>
      <c r="D4387" s="7">
        <v>1.6</v>
      </c>
      <c r="E4387" s="85">
        <f t="shared" si="323"/>
        <v>3.2</v>
      </c>
    </row>
    <row r="4388" spans="1:5" ht="18" x14ac:dyDescent="0.35">
      <c r="A4388" s="5"/>
      <c r="B4388" s="50" t="s">
        <v>34</v>
      </c>
      <c r="C4388" s="7"/>
      <c r="D4388" s="7">
        <v>14.61</v>
      </c>
      <c r="E4388" s="85">
        <f t="shared" si="323"/>
        <v>0</v>
      </c>
    </row>
    <row r="4389" spans="1:5" ht="18" x14ac:dyDescent="0.35">
      <c r="A4389" s="5"/>
      <c r="B4389" s="50" t="s">
        <v>35</v>
      </c>
      <c r="C4389" s="7">
        <v>4</v>
      </c>
      <c r="D4389" s="7">
        <v>2.91</v>
      </c>
      <c r="E4389" s="85">
        <f t="shared" si="323"/>
        <v>11.64</v>
      </c>
    </row>
    <row r="4390" spans="1:5" ht="18" x14ac:dyDescent="0.35">
      <c r="A4390" s="5"/>
      <c r="B4390" s="50" t="s">
        <v>36</v>
      </c>
      <c r="C4390" s="7">
        <v>4</v>
      </c>
      <c r="D4390" s="7">
        <v>0.61</v>
      </c>
      <c r="E4390" s="85">
        <f t="shared" si="323"/>
        <v>2.44</v>
      </c>
    </row>
    <row r="4391" spans="1:5" ht="18" x14ac:dyDescent="0.35">
      <c r="A4391" s="5"/>
      <c r="B4391" s="5"/>
      <c r="C4391" s="54"/>
      <c r="D4391" s="54"/>
      <c r="E4391" s="89">
        <f>SUM(E4383:E4390)</f>
        <v>47.773609999999998</v>
      </c>
    </row>
    <row r="4392" spans="1:5" ht="18" x14ac:dyDescent="0.35">
      <c r="A4392" s="5"/>
      <c r="B4392" s="5"/>
      <c r="C4392" s="54"/>
      <c r="D4392" s="54" t="s">
        <v>1063</v>
      </c>
      <c r="E4392" s="89">
        <f>E4391+E4391*40%</f>
        <v>66.883054000000001</v>
      </c>
    </row>
    <row r="4393" spans="1:5" ht="18" x14ac:dyDescent="0.35">
      <c r="A4393" s="5"/>
      <c r="B4393" s="50" t="s">
        <v>37</v>
      </c>
      <c r="C4393" s="54">
        <v>0.2</v>
      </c>
      <c r="D4393" s="54">
        <v>200</v>
      </c>
      <c r="E4393" s="85">
        <f>C4393*D4393</f>
        <v>40</v>
      </c>
    </row>
    <row r="4394" spans="1:5" ht="18" x14ac:dyDescent="0.35">
      <c r="A4394" s="5"/>
      <c r="B4394" s="5"/>
      <c r="C4394" s="54"/>
      <c r="D4394" s="54"/>
      <c r="E4394" s="85">
        <f>SUM(E4392:E4393)</f>
        <v>106.883054</v>
      </c>
    </row>
    <row r="4396" spans="1:5" ht="21" x14ac:dyDescent="0.4">
      <c r="A4396" s="40" t="s">
        <v>1362</v>
      </c>
      <c r="B4396" s="40"/>
      <c r="C4396" s="84"/>
    </row>
    <row r="4397" spans="1:5" ht="18" x14ac:dyDescent="0.35">
      <c r="A4397" s="5"/>
      <c r="B4397" s="5"/>
      <c r="C4397" s="7" t="s">
        <v>28</v>
      </c>
      <c r="D4397" s="7" t="s">
        <v>29</v>
      </c>
      <c r="E4397" s="7" t="s">
        <v>30</v>
      </c>
    </row>
    <row r="4398" spans="1:5" ht="18" x14ac:dyDescent="0.35">
      <c r="A4398" s="5" t="s">
        <v>1313</v>
      </c>
      <c r="B4398" s="50" t="s">
        <v>32</v>
      </c>
      <c r="C4398" s="7">
        <v>3.2879999999999998</v>
      </c>
      <c r="D4398" s="7">
        <v>11.37</v>
      </c>
      <c r="E4398" s="85">
        <f t="shared" ref="E4398:E4403" si="324">C4398*D4398</f>
        <v>37.384559999999993</v>
      </c>
    </row>
    <row r="4399" spans="1:5" ht="18" x14ac:dyDescent="0.35">
      <c r="A4399" s="5" t="s">
        <v>829</v>
      </c>
      <c r="B4399" s="50" t="s">
        <v>33</v>
      </c>
      <c r="C4399" s="7">
        <v>5.8380000000000001</v>
      </c>
      <c r="D4399" s="7">
        <v>14.94</v>
      </c>
      <c r="E4399" s="85">
        <f t="shared" si="324"/>
        <v>87.219719999999995</v>
      </c>
    </row>
    <row r="4400" spans="1:5" ht="18" x14ac:dyDescent="0.35">
      <c r="A4400" s="5" t="s">
        <v>1073</v>
      </c>
      <c r="B4400" s="50" t="s">
        <v>42</v>
      </c>
      <c r="C4400" s="7">
        <v>2</v>
      </c>
      <c r="D4400" s="7">
        <v>1.1499999999999999</v>
      </c>
      <c r="E4400" s="85">
        <f t="shared" si="324"/>
        <v>2.2999999999999998</v>
      </c>
    </row>
    <row r="4401" spans="1:5" ht="18" x14ac:dyDescent="0.35">
      <c r="A4401" s="5"/>
      <c r="B4401" s="50" t="s">
        <v>34</v>
      </c>
      <c r="C4401" s="7">
        <v>0.63</v>
      </c>
      <c r="D4401" s="7">
        <v>14.61</v>
      </c>
      <c r="E4401" s="85">
        <f t="shared" si="324"/>
        <v>9.2042999999999999</v>
      </c>
    </row>
    <row r="4402" spans="1:5" ht="18" x14ac:dyDescent="0.35">
      <c r="A4402" s="5"/>
      <c r="B4402" s="50" t="s">
        <v>35</v>
      </c>
      <c r="C4402" s="7">
        <v>4</v>
      </c>
      <c r="D4402" s="7">
        <v>2.91</v>
      </c>
      <c r="E4402" s="85">
        <f t="shared" si="324"/>
        <v>11.64</v>
      </c>
    </row>
    <row r="4403" spans="1:5" ht="18" x14ac:dyDescent="0.35">
      <c r="A4403" s="5"/>
      <c r="B4403" s="50" t="s">
        <v>36</v>
      </c>
      <c r="C4403" s="7">
        <v>4</v>
      </c>
      <c r="D4403" s="7">
        <v>0.61</v>
      </c>
      <c r="E4403" s="85">
        <f t="shared" si="324"/>
        <v>2.44</v>
      </c>
    </row>
    <row r="4404" spans="1:5" ht="18" x14ac:dyDescent="0.35">
      <c r="A4404" s="5"/>
      <c r="B4404" s="5"/>
      <c r="C4404" s="54"/>
      <c r="D4404" s="54"/>
      <c r="E4404" s="89">
        <f>SUM(E4398:E4403)</f>
        <v>150.18858</v>
      </c>
    </row>
    <row r="4405" spans="1:5" ht="18" x14ac:dyDescent="0.35">
      <c r="A4405" s="5"/>
      <c r="B4405" s="5"/>
      <c r="C4405" s="54"/>
      <c r="D4405" s="54" t="s">
        <v>1063</v>
      </c>
      <c r="E4405" s="89">
        <f>E4404+E4404*40%</f>
        <v>210.26401200000001</v>
      </c>
    </row>
    <row r="4406" spans="1:5" ht="18" x14ac:dyDescent="0.35">
      <c r="A4406" s="5"/>
      <c r="B4406" s="50" t="s">
        <v>37</v>
      </c>
      <c r="C4406" s="54">
        <v>1.5</v>
      </c>
      <c r="D4406" s="54">
        <v>200</v>
      </c>
      <c r="E4406" s="85">
        <f>C4406*D4406</f>
        <v>300</v>
      </c>
    </row>
    <row r="4407" spans="1:5" ht="18" x14ac:dyDescent="0.35">
      <c r="A4407" s="5"/>
      <c r="B4407" s="5"/>
      <c r="C4407" s="54"/>
      <c r="D4407" s="54"/>
      <c r="E4407" s="85">
        <f>SUM(E4405:E4406)</f>
        <v>510.26401199999998</v>
      </c>
    </row>
    <row r="4410" spans="1:5" ht="21" x14ac:dyDescent="0.4">
      <c r="A4410" s="40" t="s">
        <v>1364</v>
      </c>
      <c r="B4410" s="40"/>
      <c r="C4410" s="84"/>
    </row>
    <row r="4411" spans="1:5" ht="18" x14ac:dyDescent="0.35">
      <c r="A4411" s="5"/>
      <c r="B4411" s="5"/>
      <c r="C4411" s="7" t="s">
        <v>28</v>
      </c>
      <c r="D4411" s="7" t="s">
        <v>29</v>
      </c>
      <c r="E4411" s="7" t="s">
        <v>30</v>
      </c>
    </row>
    <row r="4412" spans="1:5" ht="18" x14ac:dyDescent="0.35">
      <c r="A4412" s="5" t="s">
        <v>140</v>
      </c>
      <c r="B4412" s="50" t="s">
        <v>32</v>
      </c>
      <c r="C4412" s="7">
        <v>0.64700000000000002</v>
      </c>
      <c r="D4412" s="7">
        <v>11.37</v>
      </c>
      <c r="E4412" s="85">
        <f t="shared" ref="E4412:E4417" si="325">C4412*D4412</f>
        <v>7.3563899999999993</v>
      </c>
    </row>
    <row r="4413" spans="1:5" ht="18" x14ac:dyDescent="0.35">
      <c r="A4413" s="5" t="s">
        <v>810</v>
      </c>
      <c r="B4413" s="50" t="s">
        <v>33</v>
      </c>
      <c r="C4413" s="7">
        <v>0.59799999999999998</v>
      </c>
      <c r="D4413" s="7">
        <v>14.94</v>
      </c>
      <c r="E4413" s="85">
        <f t="shared" si="325"/>
        <v>8.9341200000000001</v>
      </c>
    </row>
    <row r="4414" spans="1:5" ht="18" x14ac:dyDescent="0.35">
      <c r="A4414" s="5" t="s">
        <v>1048</v>
      </c>
      <c r="B4414" s="50" t="s">
        <v>42</v>
      </c>
      <c r="C4414" s="7">
        <v>2</v>
      </c>
      <c r="D4414" s="7">
        <v>1.1499999999999999</v>
      </c>
      <c r="E4414" s="85">
        <f t="shared" si="325"/>
        <v>2.2999999999999998</v>
      </c>
    </row>
    <row r="4415" spans="1:5" ht="18" x14ac:dyDescent="0.35">
      <c r="A4415" s="5"/>
      <c r="B4415" s="50" t="s">
        <v>34</v>
      </c>
      <c r="C4415" s="7"/>
      <c r="D4415" s="7">
        <v>14.61</v>
      </c>
      <c r="E4415" s="85">
        <f t="shared" si="325"/>
        <v>0</v>
      </c>
    </row>
    <row r="4416" spans="1:5" ht="18" x14ac:dyDescent="0.35">
      <c r="A4416" s="5"/>
      <c r="B4416" s="50" t="s">
        <v>35</v>
      </c>
      <c r="C4416" s="7">
        <v>4</v>
      </c>
      <c r="D4416" s="7">
        <v>2.91</v>
      </c>
      <c r="E4416" s="85">
        <f t="shared" si="325"/>
        <v>11.64</v>
      </c>
    </row>
    <row r="4417" spans="1:5" ht="18" x14ac:dyDescent="0.35">
      <c r="A4417" s="5"/>
      <c r="B4417" s="50" t="s">
        <v>36</v>
      </c>
      <c r="C4417" s="7">
        <v>4</v>
      </c>
      <c r="D4417" s="7">
        <v>0.61</v>
      </c>
      <c r="E4417" s="85">
        <f t="shared" si="325"/>
        <v>2.44</v>
      </c>
    </row>
    <row r="4418" spans="1:5" ht="18" x14ac:dyDescent="0.35">
      <c r="A4418" s="5"/>
      <c r="B4418" s="5"/>
      <c r="C4418" s="54"/>
      <c r="D4418" s="54"/>
      <c r="E4418" s="89">
        <f>SUM(E4412:E4417)</f>
        <v>32.67051</v>
      </c>
    </row>
    <row r="4419" spans="1:5" ht="18" x14ac:dyDescent="0.35">
      <c r="A4419" s="5"/>
      <c r="B4419" s="5"/>
      <c r="C4419" s="54"/>
      <c r="D4419" s="54" t="s">
        <v>1063</v>
      </c>
      <c r="E4419" s="89">
        <f>E4418+E4418*40%</f>
        <v>45.738714000000002</v>
      </c>
    </row>
    <row r="4420" spans="1:5" ht="18" x14ac:dyDescent="0.35">
      <c r="A4420" s="5"/>
      <c r="B4420" s="50" t="s">
        <v>37</v>
      </c>
      <c r="C4420" s="54">
        <v>0.2</v>
      </c>
      <c r="D4420" s="54">
        <v>200</v>
      </c>
      <c r="E4420" s="85">
        <f>C4420*D4420</f>
        <v>40</v>
      </c>
    </row>
    <row r="4421" spans="1:5" ht="18" x14ac:dyDescent="0.35">
      <c r="A4421" s="5"/>
      <c r="B4421" s="5"/>
      <c r="C4421" s="54"/>
      <c r="D4421" s="54"/>
      <c r="E4421" s="85">
        <f>SUM(E4419:E4420)</f>
        <v>85.738714000000002</v>
      </c>
    </row>
    <row r="4423" spans="1:5" x14ac:dyDescent="0.3">
      <c r="A4423" t="s">
        <v>1365</v>
      </c>
    </row>
    <row r="4424" spans="1:5" ht="21" x14ac:dyDescent="0.4">
      <c r="A4424" s="40" t="s">
        <v>1366</v>
      </c>
      <c r="B4424" s="40"/>
      <c r="C4424" s="84"/>
    </row>
    <row r="4425" spans="1:5" ht="18" x14ac:dyDescent="0.35">
      <c r="A4425" s="5"/>
      <c r="B4425" s="5"/>
      <c r="C4425" s="7" t="s">
        <v>28</v>
      </c>
      <c r="D4425" s="7" t="s">
        <v>29</v>
      </c>
      <c r="E4425" s="7" t="s">
        <v>30</v>
      </c>
    </row>
    <row r="4426" spans="1:5" ht="18" x14ac:dyDescent="0.35">
      <c r="A4426" s="5" t="s">
        <v>73</v>
      </c>
      <c r="B4426" s="50" t="s">
        <v>32</v>
      </c>
      <c r="C4426" s="7">
        <v>0.97799999999999998</v>
      </c>
      <c r="D4426" s="7">
        <v>11.37</v>
      </c>
      <c r="E4426" s="85">
        <f t="shared" ref="E4426:E4431" si="326">C4426*D4426</f>
        <v>11.119859999999999</v>
      </c>
    </row>
    <row r="4427" spans="1:5" ht="18" x14ac:dyDescent="0.35">
      <c r="A4427" s="5" t="s">
        <v>828</v>
      </c>
      <c r="B4427" s="50" t="s">
        <v>33</v>
      </c>
      <c r="C4427" s="7">
        <v>1.7949999999999999</v>
      </c>
      <c r="D4427" s="7">
        <v>14.94</v>
      </c>
      <c r="E4427" s="85">
        <f t="shared" si="326"/>
        <v>26.817299999999999</v>
      </c>
    </row>
    <row r="4428" spans="1:5" ht="18" x14ac:dyDescent="0.35">
      <c r="A4428" s="5" t="s">
        <v>677</v>
      </c>
      <c r="B4428" s="50" t="s">
        <v>42</v>
      </c>
      <c r="C4428" s="7">
        <v>2</v>
      </c>
      <c r="D4428" s="7">
        <v>1.1499999999999999</v>
      </c>
      <c r="E4428" s="85">
        <f t="shared" si="326"/>
        <v>2.2999999999999998</v>
      </c>
    </row>
    <row r="4429" spans="1:5" ht="18" x14ac:dyDescent="0.35">
      <c r="A4429" s="5"/>
      <c r="B4429" s="50" t="s">
        <v>34</v>
      </c>
      <c r="C4429" s="7"/>
      <c r="D4429" s="7">
        <v>14.61</v>
      </c>
      <c r="E4429" s="85">
        <f t="shared" si="326"/>
        <v>0</v>
      </c>
    </row>
    <row r="4430" spans="1:5" ht="18" x14ac:dyDescent="0.35">
      <c r="A4430" s="5"/>
      <c r="B4430" s="50" t="s">
        <v>35</v>
      </c>
      <c r="C4430" s="7">
        <v>4</v>
      </c>
      <c r="D4430" s="7">
        <v>2.91</v>
      </c>
      <c r="E4430" s="85">
        <f t="shared" si="326"/>
        <v>11.64</v>
      </c>
    </row>
    <row r="4431" spans="1:5" ht="18" x14ac:dyDescent="0.35">
      <c r="A4431" s="5"/>
      <c r="B4431" s="50" t="s">
        <v>36</v>
      </c>
      <c r="C4431" s="7">
        <v>4</v>
      </c>
      <c r="D4431" s="7">
        <v>0.61</v>
      </c>
      <c r="E4431" s="85">
        <f t="shared" si="326"/>
        <v>2.44</v>
      </c>
    </row>
    <row r="4432" spans="1:5" ht="18" x14ac:dyDescent="0.35">
      <c r="A4432" s="5"/>
      <c r="B4432" s="5"/>
      <c r="C4432" s="54"/>
      <c r="D4432" s="54"/>
      <c r="E4432" s="89">
        <f>SUM(E4426:E4431)</f>
        <v>54.317159999999994</v>
      </c>
    </row>
    <row r="4433" spans="1:5" ht="18" x14ac:dyDescent="0.35">
      <c r="A4433" s="5"/>
      <c r="B4433" s="5"/>
      <c r="C4433" s="54"/>
      <c r="D4433" s="54" t="s">
        <v>1116</v>
      </c>
      <c r="E4433" s="89">
        <f>E4432+E4432*30%</f>
        <v>70.612307999999985</v>
      </c>
    </row>
    <row r="4434" spans="1:5" ht="18" x14ac:dyDescent="0.35">
      <c r="A4434" s="5"/>
      <c r="B4434" s="50" t="s">
        <v>37</v>
      </c>
      <c r="C4434" s="54">
        <v>0.15</v>
      </c>
      <c r="D4434" s="54">
        <v>200</v>
      </c>
      <c r="E4434" s="85">
        <f>C4434*D4434</f>
        <v>30</v>
      </c>
    </row>
    <row r="4435" spans="1:5" ht="18" x14ac:dyDescent="0.35">
      <c r="A4435" s="5"/>
      <c r="B4435" s="5"/>
      <c r="C4435" s="54"/>
      <c r="D4435" s="54"/>
      <c r="E4435" s="85">
        <f>SUM(E4433:E4434)</f>
        <v>100.61230799999998</v>
      </c>
    </row>
    <row r="4438" spans="1:5" ht="21" x14ac:dyDescent="0.4">
      <c r="A4438" s="40" t="s">
        <v>805</v>
      </c>
      <c r="B4438" s="40"/>
      <c r="C4438" s="40"/>
      <c r="D4438" s="12"/>
      <c r="E4438" s="12"/>
    </row>
    <row r="4439" spans="1:5" ht="18" x14ac:dyDescent="0.35">
      <c r="A4439" s="5"/>
      <c r="B4439" s="5"/>
      <c r="C4439" s="7" t="s">
        <v>28</v>
      </c>
      <c r="D4439" s="7" t="s">
        <v>29</v>
      </c>
      <c r="E4439" s="7" t="s">
        <v>30</v>
      </c>
    </row>
    <row r="4440" spans="1:5" ht="18" x14ac:dyDescent="0.35">
      <c r="A4440" s="5" t="s">
        <v>107</v>
      </c>
      <c r="B4440" s="50" t="s">
        <v>32</v>
      </c>
      <c r="C4440" s="7">
        <v>2.448</v>
      </c>
      <c r="D4440" s="7">
        <v>11.37</v>
      </c>
      <c r="E4440" s="85">
        <f>C4440*D4440</f>
        <v>27.833759999999998</v>
      </c>
    </row>
    <row r="4441" spans="1:5" ht="18" x14ac:dyDescent="0.35">
      <c r="A4441" s="5" t="s">
        <v>213</v>
      </c>
      <c r="B4441" s="50" t="s">
        <v>33</v>
      </c>
      <c r="C4441" s="7">
        <v>17.419</v>
      </c>
      <c r="D4441" s="7">
        <v>15.25</v>
      </c>
      <c r="E4441" s="85">
        <f>C4441*D4441</f>
        <v>265.63974999999999</v>
      </c>
    </row>
    <row r="4442" spans="1:5" ht="18" x14ac:dyDescent="0.35">
      <c r="A4442" s="5" t="s">
        <v>431</v>
      </c>
      <c r="B4442" s="50" t="s">
        <v>137</v>
      </c>
      <c r="C4442" s="7">
        <v>0.63</v>
      </c>
      <c r="D4442" s="7">
        <v>15.25</v>
      </c>
      <c r="E4442" s="85">
        <f>C4442*D4442</f>
        <v>9.6074999999999999</v>
      </c>
    </row>
    <row r="4443" spans="1:5" ht="18" x14ac:dyDescent="0.35">
      <c r="A4443" s="5"/>
      <c r="B4443" s="50" t="s">
        <v>35</v>
      </c>
      <c r="C4443" s="7">
        <v>4</v>
      </c>
      <c r="D4443" s="7">
        <v>2.91</v>
      </c>
      <c r="E4443" s="85">
        <f>C4443*D4443</f>
        <v>11.64</v>
      </c>
    </row>
    <row r="4444" spans="1:5" ht="18" x14ac:dyDescent="0.35">
      <c r="A4444" s="5"/>
      <c r="B4444" s="50" t="s">
        <v>36</v>
      </c>
      <c r="C4444" s="7">
        <v>4</v>
      </c>
      <c r="D4444" s="7">
        <v>0.61</v>
      </c>
      <c r="E4444" s="85">
        <f>C4444*D4444</f>
        <v>2.44</v>
      </c>
    </row>
    <row r="4445" spans="1:5" ht="18" x14ac:dyDescent="0.35">
      <c r="A4445" s="5"/>
      <c r="B4445" s="50"/>
      <c r="C4445" s="87"/>
      <c r="D4445" s="88"/>
      <c r="E4445" s="85">
        <f>SUM(E4440:E4444)</f>
        <v>317.16100999999998</v>
      </c>
    </row>
    <row r="4446" spans="1:5" ht="18" x14ac:dyDescent="0.35">
      <c r="A4446" s="5"/>
      <c r="B4446" s="50"/>
      <c r="C4446" s="87"/>
      <c r="D4446" s="88" t="s">
        <v>1266</v>
      </c>
      <c r="E4446" s="85">
        <f>E4445+E4445*40%</f>
        <v>444.02541399999996</v>
      </c>
    </row>
    <row r="4447" spans="1:5" ht="18" x14ac:dyDescent="0.35">
      <c r="A4447" s="5"/>
      <c r="B4447" s="50" t="s">
        <v>37</v>
      </c>
      <c r="C4447" s="54">
        <v>0.5</v>
      </c>
      <c r="D4447" s="86">
        <v>200</v>
      </c>
      <c r="E4447" s="85">
        <f>C4447*D4447</f>
        <v>100</v>
      </c>
    </row>
    <row r="4448" spans="1:5" ht="18" x14ac:dyDescent="0.35">
      <c r="A4448" s="5"/>
      <c r="B4448" s="5"/>
      <c r="C4448" s="54"/>
      <c r="D4448" s="54"/>
      <c r="E4448" s="85">
        <f>SUM(E4446:E4447)</f>
        <v>544.02541399999996</v>
      </c>
    </row>
    <row r="4451" spans="1:5" ht="21" x14ac:dyDescent="0.4">
      <c r="A4451" s="40" t="s">
        <v>1367</v>
      </c>
      <c r="B4451" s="40"/>
      <c r="C4451" s="84"/>
    </row>
    <row r="4452" spans="1:5" ht="18" x14ac:dyDescent="0.35">
      <c r="A4452" s="5"/>
      <c r="B4452" s="5"/>
      <c r="C4452" s="7" t="s">
        <v>28</v>
      </c>
      <c r="D4452" s="7" t="s">
        <v>29</v>
      </c>
      <c r="E4452" s="7" t="s">
        <v>30</v>
      </c>
    </row>
    <row r="4453" spans="1:5" ht="18" x14ac:dyDescent="0.35">
      <c r="A4453" s="5" t="s">
        <v>689</v>
      </c>
      <c r="B4453" s="50" t="s">
        <v>32</v>
      </c>
      <c r="C4453" s="7">
        <v>1.8180000000000001</v>
      </c>
      <c r="D4453" s="7">
        <v>11.37</v>
      </c>
      <c r="E4453" s="85">
        <f t="shared" ref="E4453:E4458" si="327">C4453*D4453</f>
        <v>20.670659999999998</v>
      </c>
    </row>
    <row r="4454" spans="1:5" ht="18" x14ac:dyDescent="0.35">
      <c r="A4454" s="5" t="s">
        <v>1196</v>
      </c>
      <c r="B4454" s="50" t="s">
        <v>33</v>
      </c>
      <c r="C4454" s="7">
        <v>7.3079999999999998</v>
      </c>
      <c r="D4454" s="7">
        <v>14.94</v>
      </c>
      <c r="E4454" s="85">
        <f t="shared" si="327"/>
        <v>109.18151999999999</v>
      </c>
    </row>
    <row r="4455" spans="1:5" ht="18" x14ac:dyDescent="0.35">
      <c r="A4455" s="5" t="s">
        <v>673</v>
      </c>
      <c r="B4455" s="50" t="s">
        <v>113</v>
      </c>
      <c r="C4455" s="7">
        <v>2</v>
      </c>
      <c r="D4455" s="7">
        <v>2.2400000000000002</v>
      </c>
      <c r="E4455" s="85">
        <f t="shared" si="327"/>
        <v>4.4800000000000004</v>
      </c>
    </row>
    <row r="4456" spans="1:5" ht="18" x14ac:dyDescent="0.35">
      <c r="A4456" s="5"/>
      <c r="B4456" s="50" t="s">
        <v>34</v>
      </c>
      <c r="C4456" s="7"/>
      <c r="D4456" s="7">
        <v>14.61</v>
      </c>
      <c r="E4456" s="85">
        <f t="shared" si="327"/>
        <v>0</v>
      </c>
    </row>
    <row r="4457" spans="1:5" ht="18" x14ac:dyDescent="0.35">
      <c r="A4457" s="5"/>
      <c r="B4457" s="50" t="s">
        <v>35</v>
      </c>
      <c r="C4457" s="7">
        <v>4</v>
      </c>
      <c r="D4457" s="7">
        <v>2.91</v>
      </c>
      <c r="E4457" s="85">
        <f t="shared" si="327"/>
        <v>11.64</v>
      </c>
    </row>
    <row r="4458" spans="1:5" ht="18" x14ac:dyDescent="0.35">
      <c r="A4458" s="5"/>
      <c r="B4458" s="50" t="s">
        <v>36</v>
      </c>
      <c r="C4458" s="7">
        <v>4</v>
      </c>
      <c r="D4458" s="7">
        <v>0.61</v>
      </c>
      <c r="E4458" s="85">
        <f t="shared" si="327"/>
        <v>2.44</v>
      </c>
    </row>
    <row r="4459" spans="1:5" ht="18" x14ac:dyDescent="0.35">
      <c r="A4459" s="5"/>
      <c r="B4459" s="5"/>
      <c r="C4459" s="54"/>
      <c r="D4459" s="54"/>
      <c r="E4459" s="89">
        <f>SUM(E4453:E4458)</f>
        <v>148.41217999999998</v>
      </c>
    </row>
    <row r="4460" spans="1:5" ht="18" x14ac:dyDescent="0.35">
      <c r="A4460" s="5"/>
      <c r="B4460" s="5"/>
      <c r="C4460" s="54"/>
      <c r="D4460" s="54" t="s">
        <v>1063</v>
      </c>
      <c r="E4460" s="89">
        <f>E4459+E4459*40%</f>
        <v>207.77705199999997</v>
      </c>
    </row>
    <row r="4461" spans="1:5" ht="18" x14ac:dyDescent="0.35">
      <c r="A4461" s="5"/>
      <c r="B4461" s="50" t="s">
        <v>37</v>
      </c>
      <c r="C4461" s="54">
        <v>0.6</v>
      </c>
      <c r="D4461" s="54">
        <v>200</v>
      </c>
      <c r="E4461" s="85">
        <f>C4461*D4461</f>
        <v>120</v>
      </c>
    </row>
    <row r="4462" spans="1:5" ht="18" x14ac:dyDescent="0.35">
      <c r="A4462" s="5"/>
      <c r="B4462" s="5"/>
      <c r="C4462" s="54"/>
      <c r="D4462" s="54"/>
      <c r="E4462" s="85">
        <f>SUM(E4460:E4461)</f>
        <v>327.77705199999997</v>
      </c>
    </row>
    <row r="4465" spans="1:5" ht="21" x14ac:dyDescent="0.4">
      <c r="A4465" s="40" t="s">
        <v>1367</v>
      </c>
      <c r="B4465" s="40"/>
      <c r="C4465" s="84"/>
    </row>
    <row r="4466" spans="1:5" ht="18" x14ac:dyDescent="0.35">
      <c r="A4466" s="5"/>
      <c r="B4466" s="5"/>
      <c r="C4466" s="7" t="s">
        <v>28</v>
      </c>
      <c r="D4466" s="7" t="s">
        <v>29</v>
      </c>
      <c r="E4466" s="7" t="s">
        <v>30</v>
      </c>
    </row>
    <row r="4467" spans="1:5" ht="18" x14ac:dyDescent="0.35">
      <c r="A4467" s="5" t="s">
        <v>104</v>
      </c>
      <c r="B4467" s="50" t="s">
        <v>32</v>
      </c>
      <c r="C4467" s="7">
        <v>2.4180000000000001</v>
      </c>
      <c r="D4467" s="7">
        <v>11.37</v>
      </c>
      <c r="E4467" s="85">
        <f t="shared" ref="E4467:E4472" si="328">C4467*D4467</f>
        <v>27.492660000000001</v>
      </c>
    </row>
    <row r="4468" spans="1:5" ht="18" x14ac:dyDescent="0.35">
      <c r="A4468" s="5" t="s">
        <v>1356</v>
      </c>
      <c r="B4468" s="50" t="s">
        <v>33</v>
      </c>
      <c r="C4468" s="7">
        <v>7.2030000000000003</v>
      </c>
      <c r="D4468" s="7">
        <v>14.94</v>
      </c>
      <c r="E4468" s="85">
        <f t="shared" si="328"/>
        <v>107.61282</v>
      </c>
    </row>
    <row r="4469" spans="1:5" ht="18" x14ac:dyDescent="0.35">
      <c r="A4469" s="5" t="s">
        <v>673</v>
      </c>
      <c r="B4469" s="50" t="s">
        <v>113</v>
      </c>
      <c r="C4469" s="7">
        <v>2</v>
      </c>
      <c r="D4469" s="7">
        <v>2.2400000000000002</v>
      </c>
      <c r="E4469" s="85">
        <f t="shared" si="328"/>
        <v>4.4800000000000004</v>
      </c>
    </row>
    <row r="4470" spans="1:5" ht="18" x14ac:dyDescent="0.35">
      <c r="A4470" s="5"/>
      <c r="B4470" s="50" t="s">
        <v>34</v>
      </c>
      <c r="C4470" s="7"/>
      <c r="D4470" s="7">
        <v>14.61</v>
      </c>
      <c r="E4470" s="85">
        <f t="shared" si="328"/>
        <v>0</v>
      </c>
    </row>
    <row r="4471" spans="1:5" ht="18" x14ac:dyDescent="0.35">
      <c r="A4471" s="5"/>
      <c r="B4471" s="50" t="s">
        <v>35</v>
      </c>
      <c r="C4471" s="7">
        <v>4</v>
      </c>
      <c r="D4471" s="7">
        <v>2.91</v>
      </c>
      <c r="E4471" s="85">
        <f t="shared" si="328"/>
        <v>11.64</v>
      </c>
    </row>
    <row r="4472" spans="1:5" ht="18" x14ac:dyDescent="0.35">
      <c r="A4472" s="5"/>
      <c r="B4472" s="50" t="s">
        <v>36</v>
      </c>
      <c r="C4472" s="7">
        <v>4</v>
      </c>
      <c r="D4472" s="7">
        <v>0.61</v>
      </c>
      <c r="E4472" s="85">
        <f t="shared" si="328"/>
        <v>2.44</v>
      </c>
    </row>
    <row r="4473" spans="1:5" ht="18" x14ac:dyDescent="0.35">
      <c r="A4473" s="5"/>
      <c r="B4473" s="5"/>
      <c r="C4473" s="54"/>
      <c r="D4473" s="54"/>
      <c r="E4473" s="89">
        <f>SUM(E4467:E4472)</f>
        <v>153.66548</v>
      </c>
    </row>
    <row r="4474" spans="1:5" ht="18" x14ac:dyDescent="0.35">
      <c r="A4474" s="5"/>
      <c r="B4474" s="5"/>
      <c r="C4474" s="54"/>
      <c r="D4474" s="54" t="s">
        <v>1063</v>
      </c>
      <c r="E4474" s="89">
        <f>E4473+E4473*40%</f>
        <v>215.13167200000001</v>
      </c>
    </row>
    <row r="4475" spans="1:5" ht="18" x14ac:dyDescent="0.35">
      <c r="A4475" s="5"/>
      <c r="B4475" s="50" t="s">
        <v>37</v>
      </c>
      <c r="C4475" s="54">
        <v>0.6</v>
      </c>
      <c r="D4475" s="54">
        <v>200</v>
      </c>
      <c r="E4475" s="85">
        <f>C4475*D4475</f>
        <v>120</v>
      </c>
    </row>
    <row r="4476" spans="1:5" ht="18" x14ac:dyDescent="0.35">
      <c r="A4476" s="5"/>
      <c r="B4476" s="5"/>
      <c r="C4476" s="54"/>
      <c r="D4476" s="54"/>
      <c r="E4476" s="85">
        <f>SUM(E4474:E4475)</f>
        <v>335.13167199999998</v>
      </c>
    </row>
    <row r="4478" spans="1:5" ht="21" x14ac:dyDescent="0.4">
      <c r="A4478" s="40" t="s">
        <v>1368</v>
      </c>
      <c r="B4478" s="40"/>
      <c r="C4478" s="40"/>
      <c r="D4478" s="12"/>
      <c r="E4478" s="12"/>
    </row>
    <row r="4479" spans="1:5" ht="18" x14ac:dyDescent="0.35">
      <c r="A4479" s="5"/>
      <c r="B4479" s="5"/>
      <c r="C4479" s="7" t="s">
        <v>28</v>
      </c>
      <c r="D4479" s="7" t="s">
        <v>29</v>
      </c>
      <c r="E4479" s="7" t="s">
        <v>30</v>
      </c>
    </row>
    <row r="4480" spans="1:5" ht="18" x14ac:dyDescent="0.35">
      <c r="A4480" s="5" t="s">
        <v>181</v>
      </c>
      <c r="B4480" s="50" t="s">
        <v>32</v>
      </c>
      <c r="C4480" s="7">
        <v>1.482</v>
      </c>
      <c r="D4480" s="7">
        <v>11.37</v>
      </c>
      <c r="E4480" s="85">
        <f>C4480*D4480</f>
        <v>16.850339999999999</v>
      </c>
    </row>
    <row r="4481" spans="1:5" ht="18" x14ac:dyDescent="0.35">
      <c r="A4481" s="5" t="s">
        <v>219</v>
      </c>
      <c r="B4481" s="50" t="s">
        <v>33</v>
      </c>
      <c r="C4481" s="7">
        <v>0.62</v>
      </c>
      <c r="D4481" s="7">
        <v>15.25</v>
      </c>
      <c r="E4481" s="85">
        <f>C4481*D4481</f>
        <v>9.4550000000000001</v>
      </c>
    </row>
    <row r="4482" spans="1:5" ht="18" x14ac:dyDescent="0.35">
      <c r="A4482" s="5" t="s">
        <v>619</v>
      </c>
      <c r="B4482" s="50" t="s">
        <v>137</v>
      </c>
      <c r="C4482" s="7">
        <v>0.09</v>
      </c>
      <c r="D4482" s="7">
        <v>15.25</v>
      </c>
      <c r="E4482" s="85">
        <f>C4482*D4482</f>
        <v>1.3725000000000001</v>
      </c>
    </row>
    <row r="4483" spans="1:5" ht="18" x14ac:dyDescent="0.35">
      <c r="A4483" s="5"/>
      <c r="B4483" s="50" t="s">
        <v>35</v>
      </c>
      <c r="C4483" s="7">
        <v>4</v>
      </c>
      <c r="D4483" s="7">
        <v>2.91</v>
      </c>
      <c r="E4483" s="85">
        <f>C4483*D4483</f>
        <v>11.64</v>
      </c>
    </row>
    <row r="4484" spans="1:5" ht="18" x14ac:dyDescent="0.35">
      <c r="A4484" s="5"/>
      <c r="B4484" s="50" t="s">
        <v>36</v>
      </c>
      <c r="C4484" s="7">
        <v>4</v>
      </c>
      <c r="D4484" s="7">
        <v>0.61</v>
      </c>
      <c r="E4484" s="85">
        <f>C4484*D4484</f>
        <v>2.44</v>
      </c>
    </row>
    <row r="4485" spans="1:5" ht="18" x14ac:dyDescent="0.35">
      <c r="A4485" s="5"/>
      <c r="B4485" s="50"/>
      <c r="C4485" s="87"/>
      <c r="D4485" s="88"/>
      <c r="E4485" s="85">
        <f>SUM(E4480:E4484)</f>
        <v>41.757840000000002</v>
      </c>
    </row>
    <row r="4486" spans="1:5" ht="18" x14ac:dyDescent="0.35">
      <c r="A4486" s="5"/>
      <c r="B4486" s="50"/>
      <c r="C4486" s="87"/>
      <c r="D4486" s="88" t="s">
        <v>1266</v>
      </c>
      <c r="E4486" s="85">
        <f>E4485+E4485*40%</f>
        <v>58.460976000000002</v>
      </c>
    </row>
    <row r="4487" spans="1:5" ht="18" x14ac:dyDescent="0.35">
      <c r="A4487" s="5"/>
      <c r="B4487" s="50" t="s">
        <v>37</v>
      </c>
      <c r="C4487" s="54">
        <v>0.35</v>
      </c>
      <c r="D4487" s="86">
        <v>200</v>
      </c>
      <c r="E4487" s="85">
        <f>C4487*D4487</f>
        <v>70</v>
      </c>
    </row>
    <row r="4488" spans="1:5" ht="18" x14ac:dyDescent="0.35">
      <c r="A4488" s="5"/>
      <c r="B4488" s="5"/>
      <c r="C4488" s="54"/>
      <c r="D4488" s="54"/>
      <c r="E4488" s="85">
        <f>SUM(E4486:E4487)</f>
        <v>128.46097600000002</v>
      </c>
    </row>
    <row r="4490" spans="1:5" ht="21" x14ac:dyDescent="0.4">
      <c r="A4490" s="40" t="s">
        <v>1369</v>
      </c>
      <c r="B4490" s="40"/>
      <c r="C4490" s="40"/>
      <c r="D4490" s="12"/>
      <c r="E4490" s="12"/>
    </row>
    <row r="4491" spans="1:5" ht="18" x14ac:dyDescent="0.35">
      <c r="A4491" s="5"/>
      <c r="B4491" s="5"/>
      <c r="C4491" s="7" t="s">
        <v>28</v>
      </c>
      <c r="D4491" s="7" t="s">
        <v>29</v>
      </c>
      <c r="E4491" s="7" t="s">
        <v>30</v>
      </c>
    </row>
    <row r="4492" spans="1:5" ht="18" x14ac:dyDescent="0.35">
      <c r="A4492" s="5" t="s">
        <v>202</v>
      </c>
      <c r="B4492" s="50" t="s">
        <v>32</v>
      </c>
      <c r="C4492" s="7">
        <v>1.903</v>
      </c>
      <c r="D4492" s="7">
        <v>11.37</v>
      </c>
      <c r="E4492" s="85">
        <f>C4492*D4492</f>
        <v>21.63711</v>
      </c>
    </row>
    <row r="4493" spans="1:5" ht="18" x14ac:dyDescent="0.35">
      <c r="A4493" s="5" t="s">
        <v>219</v>
      </c>
      <c r="B4493" s="50" t="s">
        <v>33</v>
      </c>
      <c r="C4493" s="7">
        <v>0.83</v>
      </c>
      <c r="D4493" s="7">
        <v>15.25</v>
      </c>
      <c r="E4493" s="85">
        <f>C4493*D4493</f>
        <v>12.657499999999999</v>
      </c>
    </row>
    <row r="4494" spans="1:5" ht="18" x14ac:dyDescent="0.35">
      <c r="A4494" s="5" t="s">
        <v>677</v>
      </c>
      <c r="B4494" s="50" t="s">
        <v>137</v>
      </c>
      <c r="C4494" s="7">
        <v>0.1</v>
      </c>
      <c r="D4494" s="7">
        <v>15.25</v>
      </c>
      <c r="E4494" s="85">
        <f>C4494*D4494</f>
        <v>1.5250000000000001</v>
      </c>
    </row>
    <row r="4495" spans="1:5" ht="18" x14ac:dyDescent="0.35">
      <c r="A4495" s="5"/>
      <c r="B4495" s="50" t="s">
        <v>35</v>
      </c>
      <c r="C4495" s="7">
        <v>4</v>
      </c>
      <c r="D4495" s="7">
        <v>2.91</v>
      </c>
      <c r="E4495" s="85">
        <f>C4495*D4495</f>
        <v>11.64</v>
      </c>
    </row>
    <row r="4496" spans="1:5" ht="18" x14ac:dyDescent="0.35">
      <c r="A4496" s="5"/>
      <c r="B4496" s="50" t="s">
        <v>36</v>
      </c>
      <c r="C4496" s="7">
        <v>4</v>
      </c>
      <c r="D4496" s="7">
        <v>0.61</v>
      </c>
      <c r="E4496" s="85">
        <f>C4496*D4496</f>
        <v>2.44</v>
      </c>
    </row>
    <row r="4497" spans="1:5" ht="18" x14ac:dyDescent="0.35">
      <c r="A4497" s="5"/>
      <c r="B4497" s="50"/>
      <c r="C4497" s="87"/>
      <c r="D4497" s="88"/>
      <c r="E4497" s="85">
        <f>SUM(E4492:E4496)</f>
        <v>49.899609999999996</v>
      </c>
    </row>
    <row r="4498" spans="1:5" ht="18" x14ac:dyDescent="0.35">
      <c r="A4498" s="5"/>
      <c r="B4498" s="50"/>
      <c r="C4498" s="87"/>
      <c r="D4498" s="88" t="s">
        <v>1266</v>
      </c>
      <c r="E4498" s="85">
        <f>E4497+E4497*40%</f>
        <v>69.859453999999999</v>
      </c>
    </row>
    <row r="4499" spans="1:5" ht="18" x14ac:dyDescent="0.35">
      <c r="A4499" s="5"/>
      <c r="B4499" s="50" t="s">
        <v>37</v>
      </c>
      <c r="C4499" s="54">
        <v>0.35</v>
      </c>
      <c r="D4499" s="86">
        <v>200</v>
      </c>
      <c r="E4499" s="85">
        <f>C4499*D4499</f>
        <v>70</v>
      </c>
    </row>
    <row r="4500" spans="1:5" ht="18" x14ac:dyDescent="0.35">
      <c r="A4500" s="5"/>
      <c r="B4500" s="5"/>
      <c r="C4500" s="54"/>
      <c r="D4500" s="54"/>
      <c r="E4500" s="85">
        <f>SUM(E4498:E4499)</f>
        <v>139.859454</v>
      </c>
    </row>
    <row r="4503" spans="1:5" ht="21" x14ac:dyDescent="0.4">
      <c r="A4503" s="40" t="s">
        <v>1370</v>
      </c>
      <c r="B4503" s="40"/>
      <c r="C4503" s="40"/>
      <c r="D4503" s="12"/>
      <c r="E4503" s="12"/>
    </row>
    <row r="4504" spans="1:5" ht="18" x14ac:dyDescent="0.35">
      <c r="A4504" s="5"/>
      <c r="B4504" s="5"/>
      <c r="C4504" s="7" t="s">
        <v>28</v>
      </c>
      <c r="D4504" s="7" t="s">
        <v>29</v>
      </c>
      <c r="E4504" s="7" t="s">
        <v>30</v>
      </c>
    </row>
    <row r="4505" spans="1:5" ht="18" x14ac:dyDescent="0.35">
      <c r="A4505" s="5" t="s">
        <v>234</v>
      </c>
      <c r="B4505" s="50" t="s">
        <v>32</v>
      </c>
      <c r="C4505" s="7">
        <v>2.3220000000000001</v>
      </c>
      <c r="D4505" s="7">
        <v>11.37</v>
      </c>
      <c r="E4505" s="85">
        <f>C4505*D4505</f>
        <v>26.401139999999998</v>
      </c>
    </row>
    <row r="4506" spans="1:5" ht="18" x14ac:dyDescent="0.35">
      <c r="A4506" s="5" t="s">
        <v>219</v>
      </c>
      <c r="B4506" s="50" t="s">
        <v>33</v>
      </c>
      <c r="C4506" s="7">
        <v>1.0389999999999999</v>
      </c>
      <c r="D4506" s="7">
        <v>15.25</v>
      </c>
      <c r="E4506" s="85">
        <f>C4506*D4506</f>
        <v>15.844749999999999</v>
      </c>
    </row>
    <row r="4507" spans="1:5" ht="18" x14ac:dyDescent="0.35">
      <c r="A4507" s="5" t="s">
        <v>623</v>
      </c>
      <c r="B4507" s="50" t="s">
        <v>137</v>
      </c>
      <c r="C4507" s="7">
        <v>0.16</v>
      </c>
      <c r="D4507" s="7">
        <v>15.25</v>
      </c>
      <c r="E4507" s="85">
        <f>C4507*D4507</f>
        <v>2.44</v>
      </c>
    </row>
    <row r="4508" spans="1:5" ht="18" x14ac:dyDescent="0.35">
      <c r="A4508" s="5"/>
      <c r="B4508" s="50" t="s">
        <v>35</v>
      </c>
      <c r="C4508" s="7">
        <v>4</v>
      </c>
      <c r="D4508" s="7">
        <v>2.91</v>
      </c>
      <c r="E4508" s="85">
        <f>C4508*D4508</f>
        <v>11.64</v>
      </c>
    </row>
    <row r="4509" spans="1:5" ht="18" x14ac:dyDescent="0.35">
      <c r="A4509" s="5"/>
      <c r="B4509" s="50" t="s">
        <v>36</v>
      </c>
      <c r="C4509" s="7">
        <v>4</v>
      </c>
      <c r="D4509" s="7">
        <v>0.61</v>
      </c>
      <c r="E4509" s="85">
        <f>C4509*D4509</f>
        <v>2.44</v>
      </c>
    </row>
    <row r="4510" spans="1:5" ht="18" x14ac:dyDescent="0.35">
      <c r="A4510" s="5"/>
      <c r="B4510" s="50"/>
      <c r="C4510" s="87"/>
      <c r="D4510" s="88"/>
      <c r="E4510" s="85">
        <f>SUM(E4505:E4509)</f>
        <v>58.765889999999992</v>
      </c>
    </row>
    <row r="4511" spans="1:5" ht="18" x14ac:dyDescent="0.35">
      <c r="A4511" s="5"/>
      <c r="B4511" s="50"/>
      <c r="C4511" s="87"/>
      <c r="D4511" s="88" t="s">
        <v>1266</v>
      </c>
      <c r="E4511" s="85">
        <f>E4510+E4510*40%</f>
        <v>82.272245999999996</v>
      </c>
    </row>
    <row r="4512" spans="1:5" ht="18" x14ac:dyDescent="0.35">
      <c r="A4512" s="5"/>
      <c r="B4512" s="50" t="s">
        <v>37</v>
      </c>
      <c r="C4512" s="54">
        <v>0.4</v>
      </c>
      <c r="D4512" s="86">
        <v>200</v>
      </c>
      <c r="E4512" s="85">
        <f>C4512*D4512</f>
        <v>80</v>
      </c>
    </row>
    <row r="4513" spans="1:5" ht="18" x14ac:dyDescent="0.35">
      <c r="A4513" s="5"/>
      <c r="B4513" s="5"/>
      <c r="C4513" s="54"/>
      <c r="D4513" s="54"/>
      <c r="E4513" s="85">
        <f>SUM(E4511:E4512)</f>
        <v>162.272246</v>
      </c>
    </row>
    <row r="4516" spans="1:5" ht="21" x14ac:dyDescent="0.4">
      <c r="A4516" s="40" t="s">
        <v>1371</v>
      </c>
      <c r="B4516" s="40"/>
      <c r="C4516" s="40"/>
      <c r="D4516" s="12"/>
      <c r="E4516" s="12"/>
    </row>
    <row r="4517" spans="1:5" ht="18" x14ac:dyDescent="0.35">
      <c r="A4517" s="5"/>
      <c r="B4517" s="5"/>
      <c r="C4517" s="7" t="s">
        <v>28</v>
      </c>
      <c r="D4517" s="7" t="s">
        <v>29</v>
      </c>
      <c r="E4517" s="7" t="s">
        <v>30</v>
      </c>
    </row>
    <row r="4518" spans="1:5" ht="18" x14ac:dyDescent="0.35">
      <c r="A4518" s="5" t="s">
        <v>704</v>
      </c>
      <c r="B4518" s="50" t="s">
        <v>32</v>
      </c>
      <c r="C4518" s="7"/>
      <c r="D4518" s="7">
        <v>11.37</v>
      </c>
      <c r="E4518" s="85">
        <f>C4518*D4518</f>
        <v>0</v>
      </c>
    </row>
    <row r="4519" spans="1:5" ht="18" x14ac:dyDescent="0.35">
      <c r="A4519" s="5" t="s">
        <v>143</v>
      </c>
      <c r="B4519" s="50" t="s">
        <v>33</v>
      </c>
      <c r="C4519" s="7">
        <v>6.2370000000000001</v>
      </c>
      <c r="D4519" s="7">
        <v>15.25</v>
      </c>
      <c r="E4519" s="85">
        <f>C4519*D4519</f>
        <v>95.114249999999998</v>
      </c>
    </row>
    <row r="4520" spans="1:5" ht="18" x14ac:dyDescent="0.35">
      <c r="A4520" s="5" t="s">
        <v>705</v>
      </c>
      <c r="B4520" s="50" t="s">
        <v>137</v>
      </c>
      <c r="C4520" s="7">
        <v>0.37</v>
      </c>
      <c r="D4520" s="7">
        <v>15.25</v>
      </c>
      <c r="E4520" s="85">
        <f>C4520*D4520</f>
        <v>5.6425000000000001</v>
      </c>
    </row>
    <row r="4521" spans="1:5" ht="18" x14ac:dyDescent="0.35">
      <c r="A4521" s="5"/>
      <c r="B4521" s="50" t="s">
        <v>35</v>
      </c>
      <c r="C4521" s="7">
        <v>4</v>
      </c>
      <c r="D4521" s="7">
        <v>2.91</v>
      </c>
      <c r="E4521" s="85">
        <f>C4521*D4521</f>
        <v>11.64</v>
      </c>
    </row>
    <row r="4522" spans="1:5" ht="18" x14ac:dyDescent="0.35">
      <c r="A4522" s="5"/>
      <c r="B4522" s="50" t="s">
        <v>36</v>
      </c>
      <c r="C4522" s="7">
        <v>4</v>
      </c>
      <c r="D4522" s="7">
        <v>0.61</v>
      </c>
      <c r="E4522" s="85">
        <f>C4522*D4522</f>
        <v>2.44</v>
      </c>
    </row>
    <row r="4523" spans="1:5" ht="18" x14ac:dyDescent="0.35">
      <c r="A4523" s="5"/>
      <c r="B4523" s="50"/>
      <c r="C4523" s="87"/>
      <c r="D4523" s="88"/>
      <c r="E4523" s="85">
        <f>SUM(E4518:E4522)</f>
        <v>114.83674999999999</v>
      </c>
    </row>
    <row r="4524" spans="1:5" ht="18" x14ac:dyDescent="0.35">
      <c r="A4524" s="5"/>
      <c r="B4524" s="50"/>
      <c r="C4524" s="87"/>
      <c r="D4524" s="88" t="s">
        <v>1266</v>
      </c>
      <c r="E4524" s="85">
        <f>E4523+E4523*40%</f>
        <v>160.77144999999999</v>
      </c>
    </row>
    <row r="4525" spans="1:5" ht="18" x14ac:dyDescent="0.35">
      <c r="A4525" s="5"/>
      <c r="B4525" s="50" t="s">
        <v>37</v>
      </c>
      <c r="C4525" s="54">
        <v>0.5</v>
      </c>
      <c r="D4525" s="86">
        <v>200</v>
      </c>
      <c r="E4525" s="85">
        <f>C4525*D4525</f>
        <v>100</v>
      </c>
    </row>
    <row r="4526" spans="1:5" ht="18" x14ac:dyDescent="0.35">
      <c r="A4526" s="5"/>
      <c r="B4526" s="5"/>
      <c r="C4526" s="54"/>
      <c r="D4526" s="54"/>
      <c r="E4526" s="85">
        <f>SUM(E4524:E4525)</f>
        <v>260.77144999999996</v>
      </c>
    </row>
    <row r="4529" spans="1:5" ht="21" x14ac:dyDescent="0.4">
      <c r="A4529" s="40" t="s">
        <v>1400</v>
      </c>
      <c r="B4529" s="40"/>
      <c r="C4529" s="40"/>
      <c r="D4529" s="12"/>
      <c r="E4529" s="12"/>
    </row>
    <row r="4530" spans="1:5" ht="18" x14ac:dyDescent="0.35">
      <c r="A4530" s="5"/>
      <c r="B4530" s="5"/>
      <c r="C4530" s="7" t="s">
        <v>28</v>
      </c>
      <c r="D4530" s="7" t="s">
        <v>29</v>
      </c>
      <c r="E4530" s="7" t="s">
        <v>30</v>
      </c>
    </row>
    <row r="4531" spans="1:5" ht="18" x14ac:dyDescent="0.35">
      <c r="A4531" s="5" t="s">
        <v>1372</v>
      </c>
      <c r="B4531" s="50" t="s">
        <v>32</v>
      </c>
      <c r="C4531" s="7">
        <v>2.6160000000000001</v>
      </c>
      <c r="D4531" s="7">
        <v>11.37</v>
      </c>
      <c r="E4531" s="85">
        <f>C4531*D4531</f>
        <v>29.743919999999999</v>
      </c>
    </row>
    <row r="4532" spans="1:5" ht="18" x14ac:dyDescent="0.35">
      <c r="A4532" s="5" t="s">
        <v>219</v>
      </c>
      <c r="B4532" s="50" t="s">
        <v>33</v>
      </c>
      <c r="C4532" s="7">
        <v>1.1859999999999999</v>
      </c>
      <c r="D4532" s="7">
        <v>15.25</v>
      </c>
      <c r="E4532" s="85">
        <f>C4532*D4532</f>
        <v>18.086500000000001</v>
      </c>
    </row>
    <row r="4533" spans="1:5" ht="18" x14ac:dyDescent="0.35">
      <c r="A4533" s="5" t="s">
        <v>623</v>
      </c>
      <c r="B4533" s="50" t="s">
        <v>137</v>
      </c>
      <c r="C4533" s="7">
        <v>0.21</v>
      </c>
      <c r="D4533" s="7">
        <v>15.25</v>
      </c>
      <c r="E4533" s="85">
        <f>C4533*D4533</f>
        <v>3.2024999999999997</v>
      </c>
    </row>
    <row r="4534" spans="1:5" ht="18" x14ac:dyDescent="0.35">
      <c r="A4534" s="5"/>
      <c r="B4534" s="50" t="s">
        <v>35</v>
      </c>
      <c r="C4534" s="7">
        <v>4</v>
      </c>
      <c r="D4534" s="7">
        <v>2.91</v>
      </c>
      <c r="E4534" s="85">
        <f>C4534*D4534</f>
        <v>11.64</v>
      </c>
    </row>
    <row r="4535" spans="1:5" ht="18" x14ac:dyDescent="0.35">
      <c r="A4535" s="5"/>
      <c r="B4535" s="50" t="s">
        <v>36</v>
      </c>
      <c r="C4535" s="7">
        <v>4</v>
      </c>
      <c r="D4535" s="7">
        <v>0.61</v>
      </c>
      <c r="E4535" s="85">
        <f>C4535*D4535</f>
        <v>2.44</v>
      </c>
    </row>
    <row r="4536" spans="1:5" ht="18" x14ac:dyDescent="0.35">
      <c r="A4536" s="5"/>
      <c r="B4536" s="50"/>
      <c r="C4536" s="87"/>
      <c r="D4536" s="88"/>
      <c r="E4536" s="85">
        <f>SUM(E4531:E4535)</f>
        <v>65.112920000000003</v>
      </c>
    </row>
    <row r="4537" spans="1:5" ht="18" x14ac:dyDescent="0.35">
      <c r="A4537" s="5"/>
      <c r="B4537" s="50"/>
      <c r="C4537" s="87"/>
      <c r="D4537" s="88" t="s">
        <v>1266</v>
      </c>
      <c r="E4537" s="85">
        <f>E4536+E4536*40%</f>
        <v>91.158088000000006</v>
      </c>
    </row>
    <row r="4538" spans="1:5" ht="18" x14ac:dyDescent="0.35">
      <c r="A4538" s="5"/>
      <c r="B4538" s="50" t="s">
        <v>37</v>
      </c>
      <c r="C4538" s="54">
        <v>0.4</v>
      </c>
      <c r="D4538" s="86">
        <v>200</v>
      </c>
      <c r="E4538" s="85">
        <f>C4538*D4538</f>
        <v>80</v>
      </c>
    </row>
    <row r="4539" spans="1:5" ht="18" x14ac:dyDescent="0.35">
      <c r="A4539" s="5"/>
      <c r="B4539" s="5"/>
      <c r="C4539" s="54"/>
      <c r="D4539" s="54"/>
      <c r="E4539" s="85">
        <f>SUM(E4537:E4538)</f>
        <v>171.15808800000002</v>
      </c>
    </row>
    <row r="4540" spans="1:5" x14ac:dyDescent="0.3">
      <c r="A4540" t="s">
        <v>1365</v>
      </c>
    </row>
    <row r="4541" spans="1:5" ht="21" x14ac:dyDescent="0.4">
      <c r="A4541" s="40" t="s">
        <v>1373</v>
      </c>
      <c r="B4541" s="40"/>
      <c r="C4541" s="84"/>
      <c r="D4541" t="s">
        <v>1365</v>
      </c>
    </row>
    <row r="4542" spans="1:5" ht="18" x14ac:dyDescent="0.35">
      <c r="A4542" s="5"/>
      <c r="B4542" s="5"/>
      <c r="C4542" s="7" t="s">
        <v>28</v>
      </c>
      <c r="D4542" s="7" t="s">
        <v>29</v>
      </c>
      <c r="E4542" s="7" t="s">
        <v>30</v>
      </c>
    </row>
    <row r="4543" spans="1:5" ht="18" x14ac:dyDescent="0.35">
      <c r="A4543" s="5" t="s">
        <v>316</v>
      </c>
      <c r="B4543" s="50" t="s">
        <v>32</v>
      </c>
      <c r="C4543" s="7">
        <v>1.54</v>
      </c>
      <c r="D4543" s="7">
        <v>11.37</v>
      </c>
      <c r="E4543" s="85">
        <f t="shared" ref="E4543:E4548" si="329">C4543*D4543</f>
        <v>17.509799999999998</v>
      </c>
    </row>
    <row r="4544" spans="1:5" ht="18" x14ac:dyDescent="0.35">
      <c r="A4544" s="5" t="s">
        <v>1375</v>
      </c>
      <c r="B4544" s="50" t="s">
        <v>33</v>
      </c>
      <c r="C4544" s="7">
        <v>5.44</v>
      </c>
      <c r="D4544" s="7">
        <v>16.170000000000002</v>
      </c>
      <c r="E4544" s="85">
        <f t="shared" si="329"/>
        <v>87.964800000000011</v>
      </c>
    </row>
    <row r="4545" spans="1:5" ht="18" x14ac:dyDescent="0.35">
      <c r="A4545" s="5" t="s">
        <v>1374</v>
      </c>
      <c r="B4545" s="50" t="s">
        <v>657</v>
      </c>
      <c r="C4545" s="7">
        <v>2</v>
      </c>
      <c r="D4545" s="7">
        <v>1.7</v>
      </c>
      <c r="E4545" s="85">
        <f t="shared" si="329"/>
        <v>3.4</v>
      </c>
    </row>
    <row r="4546" spans="1:5" ht="18" x14ac:dyDescent="0.35">
      <c r="A4546" s="5" t="s">
        <v>1377</v>
      </c>
      <c r="B4546" s="50" t="s">
        <v>34</v>
      </c>
      <c r="C4546" s="7"/>
      <c r="D4546" s="7">
        <v>14.61</v>
      </c>
      <c r="E4546" s="85">
        <f t="shared" si="329"/>
        <v>0</v>
      </c>
    </row>
    <row r="4547" spans="1:5" ht="18" x14ac:dyDescent="0.35">
      <c r="A4547" s="5"/>
      <c r="B4547" s="50" t="s">
        <v>35</v>
      </c>
      <c r="C4547" s="7">
        <v>4</v>
      </c>
      <c r="D4547" s="7">
        <v>2.91</v>
      </c>
      <c r="E4547" s="85">
        <f t="shared" si="329"/>
        <v>11.64</v>
      </c>
    </row>
    <row r="4548" spans="1:5" ht="18" x14ac:dyDescent="0.35">
      <c r="A4548" s="5"/>
      <c r="B4548" s="50" t="s">
        <v>36</v>
      </c>
      <c r="C4548" s="7">
        <v>4</v>
      </c>
      <c r="D4548" s="7">
        <v>0.61</v>
      </c>
      <c r="E4548" s="85">
        <f t="shared" si="329"/>
        <v>2.44</v>
      </c>
    </row>
    <row r="4549" spans="1:5" ht="18" x14ac:dyDescent="0.35">
      <c r="A4549" s="5"/>
      <c r="B4549" s="5"/>
      <c r="C4549" s="54"/>
      <c r="D4549" s="54"/>
      <c r="E4549" s="89">
        <f>SUM(E4543:E4548)</f>
        <v>122.95460000000001</v>
      </c>
    </row>
    <row r="4550" spans="1:5" ht="18" x14ac:dyDescent="0.35">
      <c r="A4550" s="5"/>
      <c r="B4550" s="5"/>
      <c r="C4550" s="54"/>
      <c r="D4550" s="54" t="s">
        <v>1116</v>
      </c>
      <c r="E4550" s="89">
        <f>E4549+E4549*30%</f>
        <v>159.84098</v>
      </c>
    </row>
    <row r="4551" spans="1:5" ht="18" x14ac:dyDescent="0.35">
      <c r="A4551" s="5"/>
      <c r="B4551" s="50" t="s">
        <v>37</v>
      </c>
      <c r="C4551" s="54">
        <v>0.44</v>
      </c>
      <c r="D4551" s="54">
        <v>200</v>
      </c>
      <c r="E4551" s="85">
        <f>C4551*D4551</f>
        <v>88</v>
      </c>
    </row>
    <row r="4552" spans="1:5" ht="18" x14ac:dyDescent="0.35">
      <c r="A4552" s="5"/>
      <c r="B4552" s="5"/>
      <c r="C4552" s="54"/>
      <c r="D4552" s="54"/>
      <c r="E4552" s="85">
        <f>SUM(E4550:E4551)</f>
        <v>247.84098</v>
      </c>
    </row>
    <row r="4554" spans="1:5" x14ac:dyDescent="0.3">
      <c r="A4554" t="s">
        <v>1365</v>
      </c>
    </row>
    <row r="4555" spans="1:5" ht="21" x14ac:dyDescent="0.4">
      <c r="A4555" s="40" t="s">
        <v>1376</v>
      </c>
      <c r="B4555" s="40"/>
      <c r="C4555" s="84"/>
      <c r="D4555" t="s">
        <v>1365</v>
      </c>
    </row>
    <row r="4556" spans="1:5" ht="18" x14ac:dyDescent="0.35">
      <c r="A4556" s="5"/>
      <c r="B4556" s="5"/>
      <c r="C4556" s="7" t="s">
        <v>28</v>
      </c>
      <c r="D4556" s="7" t="s">
        <v>29</v>
      </c>
      <c r="E4556" s="7" t="s">
        <v>30</v>
      </c>
    </row>
    <row r="4557" spans="1:5" ht="18" x14ac:dyDescent="0.35">
      <c r="A4557" s="5" t="s">
        <v>102</v>
      </c>
      <c r="B4557" s="50" t="s">
        <v>32</v>
      </c>
      <c r="C4557" s="7">
        <v>1.3320000000000001</v>
      </c>
      <c r="D4557" s="7">
        <v>11.37</v>
      </c>
      <c r="E4557" s="85">
        <f t="shared" ref="E4557:E4562" si="330">C4557*D4557</f>
        <v>15.14484</v>
      </c>
    </row>
    <row r="4558" spans="1:5" ht="18" x14ac:dyDescent="0.35">
      <c r="A4558" s="5" t="s">
        <v>1356</v>
      </c>
      <c r="B4558" s="50" t="s">
        <v>33</v>
      </c>
      <c r="C4558" s="7">
        <v>4.0599999999999996</v>
      </c>
      <c r="D4558" s="7">
        <v>16.170000000000002</v>
      </c>
      <c r="E4558" s="85">
        <f t="shared" si="330"/>
        <v>65.650199999999998</v>
      </c>
    </row>
    <row r="4559" spans="1:5" ht="18" x14ac:dyDescent="0.35">
      <c r="A4559" s="5" t="s">
        <v>1124</v>
      </c>
      <c r="B4559" s="50" t="s">
        <v>86</v>
      </c>
      <c r="C4559" s="7">
        <v>2</v>
      </c>
      <c r="D4559" s="7">
        <v>1.7</v>
      </c>
      <c r="E4559" s="85">
        <f t="shared" si="330"/>
        <v>3.4</v>
      </c>
    </row>
    <row r="4560" spans="1:5" ht="18" x14ac:dyDescent="0.35">
      <c r="A4560" s="5" t="s">
        <v>1377</v>
      </c>
      <c r="B4560" s="50" t="s">
        <v>34</v>
      </c>
      <c r="C4560" s="7"/>
      <c r="D4560" s="7">
        <v>14.61</v>
      </c>
      <c r="E4560" s="85">
        <f t="shared" si="330"/>
        <v>0</v>
      </c>
    </row>
    <row r="4561" spans="1:5" ht="18" x14ac:dyDescent="0.35">
      <c r="A4561" s="5"/>
      <c r="B4561" s="50" t="s">
        <v>35</v>
      </c>
      <c r="C4561" s="7">
        <v>4</v>
      </c>
      <c r="D4561" s="7">
        <v>2.91</v>
      </c>
      <c r="E4561" s="85">
        <f t="shared" si="330"/>
        <v>11.64</v>
      </c>
    </row>
    <row r="4562" spans="1:5" ht="18" x14ac:dyDescent="0.35">
      <c r="A4562" s="5"/>
      <c r="B4562" s="50" t="s">
        <v>36</v>
      </c>
      <c r="C4562" s="7">
        <v>4</v>
      </c>
      <c r="D4562" s="7">
        <v>0.61</v>
      </c>
      <c r="E4562" s="85">
        <f t="shared" si="330"/>
        <v>2.44</v>
      </c>
    </row>
    <row r="4563" spans="1:5" ht="18" x14ac:dyDescent="0.35">
      <c r="A4563" s="5"/>
      <c r="B4563" s="5"/>
      <c r="C4563" s="54"/>
      <c r="D4563" s="54"/>
      <c r="E4563" s="89">
        <f>SUM(E4557:E4562)</f>
        <v>98.275040000000004</v>
      </c>
    </row>
    <row r="4564" spans="1:5" ht="18" x14ac:dyDescent="0.35">
      <c r="A4564" s="5"/>
      <c r="B4564" s="5"/>
      <c r="C4564" s="54"/>
      <c r="D4564" s="54" t="s">
        <v>1116</v>
      </c>
      <c r="E4564" s="89">
        <f>E4563+E4563*30%</f>
        <v>127.757552</v>
      </c>
    </row>
    <row r="4565" spans="1:5" ht="18" x14ac:dyDescent="0.35">
      <c r="A4565" s="5"/>
      <c r="B4565" s="50" t="s">
        <v>37</v>
      </c>
      <c r="C4565" s="54">
        <v>0.35</v>
      </c>
      <c r="D4565" s="54">
        <v>200</v>
      </c>
      <c r="E4565" s="85">
        <f>C4565*D4565</f>
        <v>70</v>
      </c>
    </row>
    <row r="4566" spans="1:5" ht="18" x14ac:dyDescent="0.35">
      <c r="A4566" s="5"/>
      <c r="B4566" s="5"/>
      <c r="C4566" s="54"/>
      <c r="D4566" s="54"/>
      <c r="E4566" s="85">
        <f>SUM(E4564:E4565)</f>
        <v>197.757552</v>
      </c>
    </row>
    <row r="4567" spans="1:5" x14ac:dyDescent="0.3">
      <c r="A4567" t="s">
        <v>1365</v>
      </c>
    </row>
    <row r="4568" spans="1:5" ht="21" x14ac:dyDescent="0.4">
      <c r="A4568" s="40" t="s">
        <v>1379</v>
      </c>
      <c r="B4568" s="40"/>
      <c r="C4568" s="84"/>
      <c r="D4568" t="s">
        <v>1365</v>
      </c>
    </row>
    <row r="4569" spans="1:5" ht="18" x14ac:dyDescent="0.35">
      <c r="A4569" s="5"/>
      <c r="B4569" s="5"/>
      <c r="C4569" s="7" t="s">
        <v>28</v>
      </c>
      <c r="D4569" s="7" t="s">
        <v>29</v>
      </c>
      <c r="E4569" s="7" t="s">
        <v>30</v>
      </c>
    </row>
    <row r="4570" spans="1:5" ht="18" x14ac:dyDescent="0.35">
      <c r="A4570" s="5" t="s">
        <v>311</v>
      </c>
      <c r="B4570" s="50" t="s">
        <v>32</v>
      </c>
      <c r="C4570" s="7">
        <v>1.94</v>
      </c>
      <c r="D4570" s="7">
        <v>11.37</v>
      </c>
      <c r="E4570" s="85">
        <f t="shared" ref="E4570:E4575" si="331">C4570*D4570</f>
        <v>22.057799999999997</v>
      </c>
    </row>
    <row r="4571" spans="1:5" ht="18" x14ac:dyDescent="0.35">
      <c r="A4571" s="5" t="s">
        <v>1378</v>
      </c>
      <c r="B4571" s="50" t="s">
        <v>33</v>
      </c>
      <c r="C4571" s="7">
        <v>9.24</v>
      </c>
      <c r="D4571" s="7">
        <v>16.170000000000002</v>
      </c>
      <c r="E4571" s="85">
        <f t="shared" si="331"/>
        <v>149.41080000000002</v>
      </c>
    </row>
    <row r="4572" spans="1:5" ht="18" x14ac:dyDescent="0.35">
      <c r="A4572" s="5" t="s">
        <v>675</v>
      </c>
      <c r="B4572" s="50" t="s">
        <v>1004</v>
      </c>
      <c r="C4572" s="7">
        <v>2</v>
      </c>
      <c r="D4572" s="7">
        <v>1.7</v>
      </c>
      <c r="E4572" s="85">
        <f t="shared" si="331"/>
        <v>3.4</v>
      </c>
    </row>
    <row r="4573" spans="1:5" ht="18" x14ac:dyDescent="0.35">
      <c r="A4573" s="5" t="s">
        <v>1377</v>
      </c>
      <c r="B4573" s="50" t="s">
        <v>34</v>
      </c>
      <c r="C4573" s="7"/>
      <c r="D4573" s="7">
        <v>14.61</v>
      </c>
      <c r="E4573" s="85">
        <f t="shared" si="331"/>
        <v>0</v>
      </c>
    </row>
    <row r="4574" spans="1:5" ht="18" x14ac:dyDescent="0.35">
      <c r="A4574" s="5"/>
      <c r="B4574" s="50" t="s">
        <v>35</v>
      </c>
      <c r="C4574" s="7">
        <v>4</v>
      </c>
      <c r="D4574" s="7">
        <v>2.91</v>
      </c>
      <c r="E4574" s="85">
        <f t="shared" si="331"/>
        <v>11.64</v>
      </c>
    </row>
    <row r="4575" spans="1:5" ht="18" x14ac:dyDescent="0.35">
      <c r="A4575" s="5"/>
      <c r="B4575" s="50" t="s">
        <v>36</v>
      </c>
      <c r="C4575" s="7">
        <v>4</v>
      </c>
      <c r="D4575" s="7">
        <v>0.61</v>
      </c>
      <c r="E4575" s="85">
        <f t="shared" si="331"/>
        <v>2.44</v>
      </c>
    </row>
    <row r="4576" spans="1:5" ht="18" x14ac:dyDescent="0.35">
      <c r="A4576" s="5"/>
      <c r="B4576" s="5"/>
      <c r="C4576" s="54"/>
      <c r="D4576" s="54"/>
      <c r="E4576" s="89">
        <f>SUM(E4570:E4575)</f>
        <v>188.9486</v>
      </c>
    </row>
    <row r="4577" spans="1:5" ht="18" x14ac:dyDescent="0.35">
      <c r="A4577" s="5"/>
      <c r="B4577" s="5"/>
      <c r="C4577" s="54"/>
      <c r="D4577" s="54" t="s">
        <v>1116</v>
      </c>
      <c r="E4577" s="89">
        <f>E4576+E4576*30%</f>
        <v>245.63317999999998</v>
      </c>
    </row>
    <row r="4578" spans="1:5" ht="18" x14ac:dyDescent="0.35">
      <c r="A4578" s="5"/>
      <c r="B4578" s="50" t="s">
        <v>37</v>
      </c>
      <c r="C4578" s="54">
        <v>0.8</v>
      </c>
      <c r="D4578" s="54">
        <v>200</v>
      </c>
      <c r="E4578" s="85">
        <v>150</v>
      </c>
    </row>
    <row r="4579" spans="1:5" ht="18" x14ac:dyDescent="0.35">
      <c r="A4579" s="5"/>
      <c r="B4579" s="5"/>
      <c r="C4579" s="54"/>
      <c r="D4579" s="54"/>
      <c r="E4579" s="85">
        <f>SUM(E4577:E4578)</f>
        <v>395.63317999999998</v>
      </c>
    </row>
    <row r="4580" spans="1:5" x14ac:dyDescent="0.3">
      <c r="A4580" t="s">
        <v>1383</v>
      </c>
    </row>
    <row r="4581" spans="1:5" ht="21" x14ac:dyDescent="0.4">
      <c r="A4581" s="40" t="s">
        <v>1380</v>
      </c>
      <c r="B4581" s="40"/>
      <c r="C4581" s="84"/>
    </row>
    <row r="4582" spans="1:5" ht="18" x14ac:dyDescent="0.35">
      <c r="A4582" s="5"/>
      <c r="B4582" s="5"/>
      <c r="C4582" s="7" t="s">
        <v>28</v>
      </c>
      <c r="D4582" s="7" t="s">
        <v>29</v>
      </c>
      <c r="E4582" s="7" t="s">
        <v>30</v>
      </c>
    </row>
    <row r="4583" spans="1:5" ht="18" x14ac:dyDescent="0.35">
      <c r="A4583" s="5" t="s">
        <v>79</v>
      </c>
      <c r="B4583" s="50" t="s">
        <v>32</v>
      </c>
      <c r="C4583" s="7">
        <v>2.238</v>
      </c>
      <c r="D4583" s="7">
        <v>14.93</v>
      </c>
      <c r="E4583" s="85">
        <f t="shared" ref="E4583:E4590" si="332">C4583*D4583</f>
        <v>33.413339999999998</v>
      </c>
    </row>
    <row r="4584" spans="1:5" ht="18" x14ac:dyDescent="0.35">
      <c r="A4584" s="5" t="s">
        <v>178</v>
      </c>
      <c r="B4584" s="50" t="s">
        <v>33</v>
      </c>
      <c r="C4584" s="7">
        <v>7.4649999999999999</v>
      </c>
      <c r="D4584" s="7">
        <v>16.170000000000002</v>
      </c>
      <c r="E4584" s="85">
        <f t="shared" si="332"/>
        <v>120.70905</v>
      </c>
    </row>
    <row r="4585" spans="1:5" ht="18" x14ac:dyDescent="0.35">
      <c r="A4585" s="5" t="s">
        <v>1381</v>
      </c>
      <c r="B4585" s="50" t="s">
        <v>33</v>
      </c>
      <c r="C4585" s="7">
        <v>7.5810000000000004</v>
      </c>
      <c r="D4585" s="7">
        <v>16.170000000000002</v>
      </c>
      <c r="E4585" s="85">
        <f t="shared" si="332"/>
        <v>122.58477000000002</v>
      </c>
    </row>
    <row r="4586" spans="1:5" ht="18" x14ac:dyDescent="0.35">
      <c r="A4586" s="5" t="s">
        <v>530</v>
      </c>
      <c r="B4586" s="50" t="s">
        <v>85</v>
      </c>
      <c r="C4586" s="7">
        <v>2</v>
      </c>
      <c r="D4586" s="7">
        <v>1.48</v>
      </c>
      <c r="E4586" s="85">
        <f t="shared" si="332"/>
        <v>2.96</v>
      </c>
    </row>
    <row r="4587" spans="1:5" ht="18" x14ac:dyDescent="0.35">
      <c r="A4587" s="5"/>
      <c r="B4587" s="50" t="s">
        <v>87</v>
      </c>
      <c r="C4587" s="7">
        <v>4</v>
      </c>
      <c r="D4587" s="7">
        <v>1.81</v>
      </c>
      <c r="E4587" s="85">
        <f t="shared" si="332"/>
        <v>7.24</v>
      </c>
    </row>
    <row r="4588" spans="1:5" ht="18" x14ac:dyDescent="0.35">
      <c r="A4588" s="5"/>
      <c r="B4588" s="50" t="s">
        <v>34</v>
      </c>
      <c r="C4588" s="7"/>
      <c r="D4588" s="7">
        <v>14.61</v>
      </c>
      <c r="E4588" s="85">
        <f t="shared" si="332"/>
        <v>0</v>
      </c>
    </row>
    <row r="4589" spans="1:5" ht="18" x14ac:dyDescent="0.35">
      <c r="A4589" s="5"/>
      <c r="B4589" s="50" t="s">
        <v>35</v>
      </c>
      <c r="C4589" s="7">
        <v>4</v>
      </c>
      <c r="D4589" s="7">
        <v>2.91</v>
      </c>
      <c r="E4589" s="85">
        <f t="shared" si="332"/>
        <v>11.64</v>
      </c>
    </row>
    <row r="4590" spans="1:5" ht="18" x14ac:dyDescent="0.35">
      <c r="A4590" s="5"/>
      <c r="B4590" s="50" t="s">
        <v>36</v>
      </c>
      <c r="C4590" s="7">
        <v>4</v>
      </c>
      <c r="D4590" s="7">
        <v>0.61</v>
      </c>
      <c r="E4590" s="85">
        <f t="shared" si="332"/>
        <v>2.44</v>
      </c>
    </row>
    <row r="4591" spans="1:5" ht="18" x14ac:dyDescent="0.35">
      <c r="A4591" s="5"/>
      <c r="B4591" s="5"/>
      <c r="C4591" s="54"/>
      <c r="D4591" s="54"/>
      <c r="E4591" s="89">
        <f>SUM(E4583:E4590)</f>
        <v>300.98716000000002</v>
      </c>
    </row>
    <row r="4592" spans="1:5" ht="18" x14ac:dyDescent="0.35">
      <c r="A4592" s="5"/>
      <c r="B4592" s="5"/>
      <c r="C4592" s="54"/>
      <c r="D4592" s="54" t="s">
        <v>1063</v>
      </c>
      <c r="E4592" s="89">
        <f>E4591+E4591*40%</f>
        <v>421.382024</v>
      </c>
    </row>
    <row r="4593" spans="1:5" ht="18" x14ac:dyDescent="0.35">
      <c r="A4593" s="5"/>
      <c r="B4593" s="50" t="s">
        <v>37</v>
      </c>
      <c r="C4593" s="54">
        <v>0.5</v>
      </c>
      <c r="D4593" s="54">
        <v>200</v>
      </c>
      <c r="E4593" s="85">
        <f>C4593*D4593</f>
        <v>100</v>
      </c>
    </row>
    <row r="4594" spans="1:5" ht="18" x14ac:dyDescent="0.35">
      <c r="A4594" s="5"/>
      <c r="B4594" s="5"/>
      <c r="C4594" s="54"/>
      <c r="D4594" s="54"/>
      <c r="E4594" s="85">
        <f>SUM(E4592:E4593)</f>
        <v>521.382024</v>
      </c>
    </row>
    <row r="4596" spans="1:5" x14ac:dyDescent="0.3">
      <c r="A4596" t="s">
        <v>1383</v>
      </c>
    </row>
    <row r="4597" spans="1:5" ht="21" x14ac:dyDescent="0.4">
      <c r="A4597" s="40" t="s">
        <v>1382</v>
      </c>
      <c r="B4597" s="40"/>
      <c r="C4597" s="84"/>
    </row>
    <row r="4598" spans="1:5" ht="18" x14ac:dyDescent="0.35">
      <c r="A4598" s="5"/>
      <c r="B4598" s="5"/>
      <c r="C4598" s="7" t="s">
        <v>28</v>
      </c>
      <c r="D4598" s="7" t="s">
        <v>29</v>
      </c>
      <c r="E4598" s="7" t="s">
        <v>30</v>
      </c>
    </row>
    <row r="4599" spans="1:5" ht="18" x14ac:dyDescent="0.35">
      <c r="A4599" s="5" t="s">
        <v>66</v>
      </c>
      <c r="B4599" s="50" t="s">
        <v>32</v>
      </c>
      <c r="C4599" s="7">
        <v>1.5029999999999999</v>
      </c>
      <c r="D4599" s="7">
        <v>14.93</v>
      </c>
      <c r="E4599" s="85">
        <f t="shared" ref="E4599:E4606" si="333">C4599*D4599</f>
        <v>22.439789999999999</v>
      </c>
    </row>
    <row r="4600" spans="1:5" ht="18" x14ac:dyDescent="0.35">
      <c r="A4600" s="5" t="s">
        <v>143</v>
      </c>
      <c r="B4600" s="50" t="s">
        <v>33</v>
      </c>
      <c r="C4600" s="7">
        <v>3.0870000000000002</v>
      </c>
      <c r="D4600" s="7">
        <v>16.170000000000002</v>
      </c>
      <c r="E4600" s="85">
        <f t="shared" si="333"/>
        <v>49.916790000000006</v>
      </c>
    </row>
    <row r="4601" spans="1:5" ht="18" x14ac:dyDescent="0.35">
      <c r="A4601" s="5" t="s">
        <v>55</v>
      </c>
      <c r="B4601" s="50" t="s">
        <v>33</v>
      </c>
      <c r="C4601" s="7">
        <v>3.528</v>
      </c>
      <c r="D4601" s="7">
        <v>16.170000000000002</v>
      </c>
      <c r="E4601" s="85">
        <f t="shared" si="333"/>
        <v>57.047760000000004</v>
      </c>
    </row>
    <row r="4602" spans="1:5" ht="18" x14ac:dyDescent="0.35">
      <c r="A4602" s="5" t="s">
        <v>674</v>
      </c>
      <c r="B4602" s="50" t="s">
        <v>113</v>
      </c>
      <c r="C4602" s="7">
        <v>2</v>
      </c>
      <c r="D4602" s="7">
        <v>2.2400000000000002</v>
      </c>
      <c r="E4602" s="85">
        <f t="shared" si="333"/>
        <v>4.4800000000000004</v>
      </c>
    </row>
    <row r="4603" spans="1:5" ht="18" x14ac:dyDescent="0.35">
      <c r="A4603" s="5"/>
      <c r="B4603" s="50" t="s">
        <v>84</v>
      </c>
      <c r="C4603" s="7">
        <v>2</v>
      </c>
      <c r="D4603" s="7">
        <v>1.6</v>
      </c>
      <c r="E4603" s="85">
        <f t="shared" si="333"/>
        <v>3.2</v>
      </c>
    </row>
    <row r="4604" spans="1:5" ht="18" x14ac:dyDescent="0.35">
      <c r="A4604" s="5"/>
      <c r="B4604" s="50" t="s">
        <v>34</v>
      </c>
      <c r="C4604" s="7"/>
      <c r="D4604" s="7">
        <v>14.61</v>
      </c>
      <c r="E4604" s="85">
        <f t="shared" si="333"/>
        <v>0</v>
      </c>
    </row>
    <row r="4605" spans="1:5" ht="18" x14ac:dyDescent="0.35">
      <c r="A4605" s="5"/>
      <c r="B4605" s="50" t="s">
        <v>35</v>
      </c>
      <c r="C4605" s="7">
        <v>4</v>
      </c>
      <c r="D4605" s="7">
        <v>2.91</v>
      </c>
      <c r="E4605" s="85">
        <f t="shared" si="333"/>
        <v>11.64</v>
      </c>
    </row>
    <row r="4606" spans="1:5" ht="18" x14ac:dyDescent="0.35">
      <c r="A4606" s="5"/>
      <c r="B4606" s="50" t="s">
        <v>36</v>
      </c>
      <c r="C4606" s="7">
        <v>4</v>
      </c>
      <c r="D4606" s="7">
        <v>0.61</v>
      </c>
      <c r="E4606" s="85">
        <f t="shared" si="333"/>
        <v>2.44</v>
      </c>
    </row>
    <row r="4607" spans="1:5" ht="18" x14ac:dyDescent="0.35">
      <c r="A4607" s="5"/>
      <c r="B4607" s="5"/>
      <c r="C4607" s="54"/>
      <c r="D4607" s="54"/>
      <c r="E4607" s="89">
        <f>SUM(E4599:E4606)</f>
        <v>151.16433999999998</v>
      </c>
    </row>
    <row r="4608" spans="1:5" ht="18" x14ac:dyDescent="0.35">
      <c r="A4608" s="5"/>
      <c r="B4608" s="5"/>
      <c r="C4608" s="54"/>
      <c r="D4608" s="54" t="s">
        <v>1063</v>
      </c>
      <c r="E4608" s="89">
        <f>E4607+E4607*40%</f>
        <v>211.63007599999997</v>
      </c>
    </row>
    <row r="4609" spans="1:5" ht="18" x14ac:dyDescent="0.35">
      <c r="A4609" s="5"/>
      <c r="B4609" s="50" t="s">
        <v>37</v>
      </c>
      <c r="C4609" s="54">
        <v>0.3</v>
      </c>
      <c r="D4609" s="54">
        <v>200</v>
      </c>
      <c r="E4609" s="85">
        <f>C4609*D4609</f>
        <v>60</v>
      </c>
    </row>
    <row r="4610" spans="1:5" ht="18" x14ac:dyDescent="0.35">
      <c r="A4610" s="5"/>
      <c r="B4610" s="5"/>
      <c r="C4610" s="54"/>
      <c r="D4610" s="54"/>
      <c r="E4610" s="85">
        <f>SUM(E4608:E4609)</f>
        <v>271.63007599999997</v>
      </c>
    </row>
    <row r="4613" spans="1:5" x14ac:dyDescent="0.3">
      <c r="A4613" t="s">
        <v>1383</v>
      </c>
    </row>
    <row r="4614" spans="1:5" ht="21" x14ac:dyDescent="0.4">
      <c r="A4614" s="40" t="s">
        <v>1384</v>
      </c>
      <c r="B4614" s="40"/>
      <c r="C4614" s="84"/>
    </row>
    <row r="4615" spans="1:5" ht="18" x14ac:dyDescent="0.35">
      <c r="A4615" s="5"/>
      <c r="B4615" s="5"/>
      <c r="C4615" s="7" t="s">
        <v>28</v>
      </c>
      <c r="D4615" s="7" t="s">
        <v>29</v>
      </c>
      <c r="E4615" s="7" t="s">
        <v>30</v>
      </c>
    </row>
    <row r="4616" spans="1:5" ht="18" x14ac:dyDescent="0.35">
      <c r="A4616" s="5" t="s">
        <v>77</v>
      </c>
      <c r="B4616" s="50" t="s">
        <v>32</v>
      </c>
      <c r="C4616" s="7">
        <v>1.8180000000000001</v>
      </c>
      <c r="D4616" s="7">
        <v>14.93</v>
      </c>
      <c r="E4616" s="85">
        <f t="shared" ref="E4616:E4623" si="334">C4616*D4616</f>
        <v>27.14274</v>
      </c>
    </row>
    <row r="4617" spans="1:5" ht="18" x14ac:dyDescent="0.35">
      <c r="A4617" s="5" t="s">
        <v>828</v>
      </c>
      <c r="B4617" s="50" t="s">
        <v>33</v>
      </c>
      <c r="C4617" s="7">
        <v>5.5750000000000002</v>
      </c>
      <c r="D4617" s="7">
        <v>16.170000000000002</v>
      </c>
      <c r="E4617" s="85">
        <f t="shared" si="334"/>
        <v>90.147750000000016</v>
      </c>
    </row>
    <row r="4618" spans="1:5" ht="18" x14ac:dyDescent="0.35">
      <c r="A4618" s="5" t="s">
        <v>819</v>
      </c>
      <c r="B4618" s="50" t="s">
        <v>33</v>
      </c>
      <c r="C4618" s="7">
        <v>5.7850000000000001</v>
      </c>
      <c r="D4618" s="7">
        <v>16.170000000000002</v>
      </c>
      <c r="E4618" s="85">
        <f t="shared" si="334"/>
        <v>93.543450000000007</v>
      </c>
    </row>
    <row r="4619" spans="1:5" ht="18" x14ac:dyDescent="0.35">
      <c r="A4619" s="5" t="s">
        <v>616</v>
      </c>
      <c r="B4619" s="50" t="s">
        <v>85</v>
      </c>
      <c r="C4619" s="7">
        <v>2</v>
      </c>
      <c r="D4619" s="7">
        <v>1.48</v>
      </c>
      <c r="E4619" s="85">
        <f t="shared" si="334"/>
        <v>2.96</v>
      </c>
    </row>
    <row r="4620" spans="1:5" ht="18" x14ac:dyDescent="0.35">
      <c r="A4620" s="5"/>
      <c r="B4620" s="50" t="s">
        <v>86</v>
      </c>
      <c r="C4620" s="7">
        <v>4</v>
      </c>
      <c r="D4620" s="7">
        <v>1.7</v>
      </c>
      <c r="E4620" s="85">
        <f t="shared" si="334"/>
        <v>6.8</v>
      </c>
    </row>
    <row r="4621" spans="1:5" ht="18" x14ac:dyDescent="0.35">
      <c r="A4621" s="5"/>
      <c r="B4621" s="50" t="s">
        <v>34</v>
      </c>
      <c r="C4621" s="7">
        <v>0.21</v>
      </c>
      <c r="D4621" s="7">
        <v>14.61</v>
      </c>
      <c r="E4621" s="85">
        <f t="shared" si="334"/>
        <v>3.0680999999999998</v>
      </c>
    </row>
    <row r="4622" spans="1:5" ht="18" x14ac:dyDescent="0.35">
      <c r="A4622" s="5"/>
      <c r="B4622" s="50" t="s">
        <v>35</v>
      </c>
      <c r="C4622" s="7">
        <v>4</v>
      </c>
      <c r="D4622" s="7">
        <v>2.91</v>
      </c>
      <c r="E4622" s="85">
        <f t="shared" si="334"/>
        <v>11.64</v>
      </c>
    </row>
    <row r="4623" spans="1:5" ht="18" x14ac:dyDescent="0.35">
      <c r="A4623" s="5"/>
      <c r="B4623" s="50" t="s">
        <v>36</v>
      </c>
      <c r="C4623" s="7">
        <v>4</v>
      </c>
      <c r="D4623" s="7">
        <v>0.61</v>
      </c>
      <c r="E4623" s="85">
        <f t="shared" si="334"/>
        <v>2.44</v>
      </c>
    </row>
    <row r="4624" spans="1:5" ht="18" x14ac:dyDescent="0.35">
      <c r="A4624" s="5"/>
      <c r="B4624" s="5"/>
      <c r="C4624" s="54"/>
      <c r="D4624" s="54"/>
      <c r="E4624" s="89">
        <f>SUM(E4616:E4623)</f>
        <v>237.74204000000003</v>
      </c>
    </row>
    <row r="4625" spans="1:5" ht="18" x14ac:dyDescent="0.35">
      <c r="A4625" s="5"/>
      <c r="B4625" s="5"/>
      <c r="C4625" s="54"/>
      <c r="D4625" s="54" t="s">
        <v>1063</v>
      </c>
      <c r="E4625" s="89">
        <f>E4624+E4624*40%</f>
        <v>332.83885600000008</v>
      </c>
    </row>
    <row r="4626" spans="1:5" ht="18" x14ac:dyDescent="0.35">
      <c r="A4626" s="5"/>
      <c r="B4626" s="50" t="s">
        <v>37</v>
      </c>
      <c r="C4626" s="54">
        <v>0.5</v>
      </c>
      <c r="D4626" s="54">
        <v>200</v>
      </c>
      <c r="E4626" s="85">
        <f>C4626*D4626</f>
        <v>100</v>
      </c>
    </row>
    <row r="4627" spans="1:5" ht="18" x14ac:dyDescent="0.35">
      <c r="A4627" s="5"/>
      <c r="B4627" s="5"/>
      <c r="C4627" s="54"/>
      <c r="D4627" s="54"/>
      <c r="E4627" s="85">
        <f>SUM(E4625:E4626)</f>
        <v>432.83885600000008</v>
      </c>
    </row>
    <row r="4628" spans="1:5" x14ac:dyDescent="0.3">
      <c r="A4628" t="s">
        <v>1383</v>
      </c>
    </row>
    <row r="4629" spans="1:5" ht="21" x14ac:dyDescent="0.4">
      <c r="A4629" s="40" t="s">
        <v>1388</v>
      </c>
      <c r="B4629" s="40"/>
      <c r="C4629" s="84"/>
    </row>
    <row r="4630" spans="1:5" ht="18" x14ac:dyDescent="0.35">
      <c r="A4630" s="5"/>
      <c r="B4630" s="5"/>
      <c r="C4630" s="7" t="s">
        <v>28</v>
      </c>
      <c r="D4630" s="7" t="s">
        <v>29</v>
      </c>
      <c r="E4630" s="7" t="s">
        <v>30</v>
      </c>
    </row>
    <row r="4631" spans="1:5" ht="18" x14ac:dyDescent="0.35">
      <c r="A4631" s="5" t="s">
        <v>67</v>
      </c>
      <c r="B4631" s="50" t="s">
        <v>32</v>
      </c>
      <c r="C4631" s="7">
        <v>1.7130000000000001</v>
      </c>
      <c r="D4631" s="7">
        <v>10.34</v>
      </c>
      <c r="E4631" s="85">
        <f t="shared" ref="E4631:E4636" si="335">C4631*D4631</f>
        <v>17.712420000000002</v>
      </c>
    </row>
    <row r="4632" spans="1:5" ht="18" x14ac:dyDescent="0.35">
      <c r="A4632" s="5" t="s">
        <v>791</v>
      </c>
      <c r="B4632" s="50" t="s">
        <v>33</v>
      </c>
      <c r="C4632" s="7">
        <v>3.7170000000000001</v>
      </c>
      <c r="D4632" s="7">
        <v>16.170000000000002</v>
      </c>
      <c r="E4632" s="85">
        <f t="shared" si="335"/>
        <v>60.103890000000007</v>
      </c>
    </row>
    <row r="4633" spans="1:5" ht="18" x14ac:dyDescent="0.35">
      <c r="A4633" s="5" t="s">
        <v>1124</v>
      </c>
      <c r="B4633" s="50" t="s">
        <v>84</v>
      </c>
      <c r="C4633" s="7">
        <v>2</v>
      </c>
      <c r="D4633" s="7">
        <v>1.6</v>
      </c>
      <c r="E4633" s="85">
        <f t="shared" si="335"/>
        <v>3.2</v>
      </c>
    </row>
    <row r="4634" spans="1:5" ht="18" x14ac:dyDescent="0.35">
      <c r="A4634" s="5" t="s">
        <v>1377</v>
      </c>
      <c r="B4634" s="50" t="s">
        <v>34</v>
      </c>
      <c r="C4634" s="7">
        <v>0.16</v>
      </c>
      <c r="D4634" s="7">
        <v>14.61</v>
      </c>
      <c r="E4634" s="85">
        <f t="shared" si="335"/>
        <v>2.3376000000000001</v>
      </c>
    </row>
    <row r="4635" spans="1:5" ht="18" x14ac:dyDescent="0.35">
      <c r="A4635" s="5"/>
      <c r="B4635" s="50" t="s">
        <v>35</v>
      </c>
      <c r="C4635" s="7">
        <v>4</v>
      </c>
      <c r="D4635" s="7">
        <v>2.91</v>
      </c>
      <c r="E4635" s="85">
        <f t="shared" si="335"/>
        <v>11.64</v>
      </c>
    </row>
    <row r="4636" spans="1:5" ht="18" x14ac:dyDescent="0.35">
      <c r="A4636" s="5"/>
      <c r="B4636" s="50" t="s">
        <v>36</v>
      </c>
      <c r="C4636" s="7">
        <v>4</v>
      </c>
      <c r="D4636" s="7">
        <v>0.61</v>
      </c>
      <c r="E4636" s="85">
        <f t="shared" si="335"/>
        <v>2.44</v>
      </c>
    </row>
    <row r="4637" spans="1:5" ht="18" x14ac:dyDescent="0.35">
      <c r="A4637" s="5"/>
      <c r="B4637" s="5"/>
      <c r="C4637" s="54"/>
      <c r="D4637" s="54"/>
      <c r="E4637" s="89">
        <f>SUM(E4631:E4636)</f>
        <v>97.433910000000012</v>
      </c>
    </row>
    <row r="4638" spans="1:5" ht="18" x14ac:dyDescent="0.35">
      <c r="A4638" s="5"/>
      <c r="B4638" s="5"/>
      <c r="C4638" s="54"/>
      <c r="D4638" s="54" t="s">
        <v>1063</v>
      </c>
      <c r="E4638" s="89">
        <f>E4637+E4637*40%</f>
        <v>136.40747400000004</v>
      </c>
    </row>
    <row r="4639" spans="1:5" ht="18" x14ac:dyDescent="0.35">
      <c r="A4639" s="5"/>
      <c r="B4639" s="50" t="s">
        <v>37</v>
      </c>
      <c r="C4639" s="54">
        <v>0.5</v>
      </c>
      <c r="D4639" s="54">
        <v>200</v>
      </c>
      <c r="E4639" s="85">
        <f>C4639*D4639</f>
        <v>100</v>
      </c>
    </row>
    <row r="4640" spans="1:5" ht="18" x14ac:dyDescent="0.35">
      <c r="A4640" s="5"/>
      <c r="B4640" s="5"/>
      <c r="C4640" s="54"/>
      <c r="D4640" s="54"/>
      <c r="E4640" s="85">
        <f>SUM(E4638:E4639)</f>
        <v>236.40747400000004</v>
      </c>
    </row>
    <row r="4642" spans="1:5" x14ac:dyDescent="0.3">
      <c r="A4642" t="s">
        <v>1383</v>
      </c>
    </row>
    <row r="4643" spans="1:5" ht="21" x14ac:dyDescent="0.4">
      <c r="A4643" s="40" t="s">
        <v>1390</v>
      </c>
      <c r="B4643" s="40"/>
      <c r="C4643" s="84"/>
    </row>
    <row r="4644" spans="1:5" ht="18" x14ac:dyDescent="0.35">
      <c r="A4644" s="5"/>
      <c r="B4644" s="5"/>
      <c r="C4644" s="7" t="s">
        <v>28</v>
      </c>
      <c r="D4644" s="7" t="s">
        <v>29</v>
      </c>
      <c r="E4644" s="7" t="s">
        <v>30</v>
      </c>
    </row>
    <row r="4645" spans="1:5" ht="18" x14ac:dyDescent="0.35">
      <c r="A4645" s="5" t="s">
        <v>77</v>
      </c>
      <c r="B4645" s="50" t="s">
        <v>32</v>
      </c>
      <c r="C4645" s="7">
        <v>1.8180000000000001</v>
      </c>
      <c r="D4645" s="7">
        <v>10.34</v>
      </c>
      <c r="E4645" s="85">
        <f t="shared" ref="E4645:E4650" si="336">C4645*D4645</f>
        <v>18.798120000000001</v>
      </c>
    </row>
    <row r="4646" spans="1:5" ht="18" x14ac:dyDescent="0.35">
      <c r="A4646" s="5" t="s">
        <v>828</v>
      </c>
      <c r="B4646" s="50" t="s">
        <v>33</v>
      </c>
      <c r="C4646" s="7">
        <v>5.5750000000000002</v>
      </c>
      <c r="D4646" s="7">
        <v>16.170000000000002</v>
      </c>
      <c r="E4646" s="85">
        <f t="shared" si="336"/>
        <v>90.147750000000016</v>
      </c>
    </row>
    <row r="4647" spans="1:5" ht="18" x14ac:dyDescent="0.35">
      <c r="A4647" s="5" t="s">
        <v>1124</v>
      </c>
      <c r="B4647" s="50" t="s">
        <v>85</v>
      </c>
      <c r="C4647" s="7">
        <v>2</v>
      </c>
      <c r="D4647" s="7">
        <v>1.48</v>
      </c>
      <c r="E4647" s="85">
        <f t="shared" si="336"/>
        <v>2.96</v>
      </c>
    </row>
    <row r="4648" spans="1:5" ht="18" x14ac:dyDescent="0.35">
      <c r="A4648" s="5" t="s">
        <v>1377</v>
      </c>
      <c r="B4648" s="50" t="s">
        <v>34</v>
      </c>
      <c r="C4648" s="7">
        <v>0.21</v>
      </c>
      <c r="D4648" s="7">
        <v>14.61</v>
      </c>
      <c r="E4648" s="85">
        <f t="shared" si="336"/>
        <v>3.0680999999999998</v>
      </c>
    </row>
    <row r="4649" spans="1:5" ht="18" x14ac:dyDescent="0.35">
      <c r="A4649" s="5"/>
      <c r="B4649" s="50" t="s">
        <v>35</v>
      </c>
      <c r="C4649" s="7">
        <v>4</v>
      </c>
      <c r="D4649" s="7">
        <v>2.91</v>
      </c>
      <c r="E4649" s="85">
        <f t="shared" si="336"/>
        <v>11.64</v>
      </c>
    </row>
    <row r="4650" spans="1:5" ht="18" x14ac:dyDescent="0.35">
      <c r="A4650" s="5"/>
      <c r="B4650" s="50" t="s">
        <v>36</v>
      </c>
      <c r="C4650" s="7">
        <v>4</v>
      </c>
      <c r="D4650" s="7">
        <v>0.61</v>
      </c>
      <c r="E4650" s="85">
        <f t="shared" si="336"/>
        <v>2.44</v>
      </c>
    </row>
    <row r="4651" spans="1:5" ht="18" x14ac:dyDescent="0.35">
      <c r="A4651" s="5"/>
      <c r="B4651" s="5"/>
      <c r="C4651" s="54"/>
      <c r="D4651" s="54"/>
      <c r="E4651" s="89">
        <f>SUM(E4645:E4650)</f>
        <v>129.05397000000002</v>
      </c>
    </row>
    <row r="4652" spans="1:5" ht="18" x14ac:dyDescent="0.35">
      <c r="A4652" s="5"/>
      <c r="B4652" s="5"/>
      <c r="C4652" s="54"/>
      <c r="D4652" s="54" t="s">
        <v>1063</v>
      </c>
      <c r="E4652" s="89">
        <f>E4651+E4651*40%</f>
        <v>180.67555800000002</v>
      </c>
    </row>
    <row r="4653" spans="1:5" ht="18" x14ac:dyDescent="0.35">
      <c r="A4653" s="5"/>
      <c r="B4653" s="50" t="s">
        <v>37</v>
      </c>
      <c r="C4653" s="54">
        <v>0.5</v>
      </c>
      <c r="D4653" s="54">
        <v>200</v>
      </c>
      <c r="E4653" s="85">
        <f>C4653*D4653</f>
        <v>100</v>
      </c>
    </row>
    <row r="4654" spans="1:5" ht="18" x14ac:dyDescent="0.35">
      <c r="A4654" s="5"/>
      <c r="B4654" s="5"/>
      <c r="C4654" s="54"/>
      <c r="D4654" s="54"/>
      <c r="E4654" s="85">
        <f>SUM(E4652:E4653)</f>
        <v>280.67555800000002</v>
      </c>
    </row>
    <row r="4656" spans="1:5" x14ac:dyDescent="0.3">
      <c r="A4656" t="s">
        <v>1383</v>
      </c>
    </row>
    <row r="4657" spans="1:5" ht="21" x14ac:dyDescent="0.4">
      <c r="A4657" s="40" t="s">
        <v>1391</v>
      </c>
      <c r="B4657" s="40"/>
      <c r="C4657" s="84"/>
    </row>
    <row r="4658" spans="1:5" ht="18" x14ac:dyDescent="0.35">
      <c r="A4658" s="5"/>
      <c r="B4658" s="5"/>
      <c r="C4658" s="7" t="s">
        <v>28</v>
      </c>
      <c r="D4658" s="7" t="s">
        <v>29</v>
      </c>
      <c r="E4658" s="7" t="s">
        <v>30</v>
      </c>
    </row>
    <row r="4659" spans="1:5" ht="18" x14ac:dyDescent="0.35">
      <c r="A4659" s="5" t="s">
        <v>79</v>
      </c>
      <c r="B4659" s="50" t="s">
        <v>32</v>
      </c>
      <c r="C4659" s="7">
        <v>2.238</v>
      </c>
      <c r="D4659" s="7">
        <v>10.34</v>
      </c>
      <c r="E4659" s="85">
        <f t="shared" ref="E4659:E4664" si="337">C4659*D4659</f>
        <v>23.140920000000001</v>
      </c>
    </row>
    <row r="4660" spans="1:5" ht="18" x14ac:dyDescent="0.35">
      <c r="A4660" s="5" t="s">
        <v>828</v>
      </c>
      <c r="B4660" s="50" t="s">
        <v>33</v>
      </c>
      <c r="C4660" s="7">
        <v>7.4649999999999999</v>
      </c>
      <c r="D4660" s="7">
        <v>16.170000000000002</v>
      </c>
      <c r="E4660" s="85">
        <f t="shared" si="337"/>
        <v>120.70905</v>
      </c>
    </row>
    <row r="4661" spans="1:5" ht="18" x14ac:dyDescent="0.35">
      <c r="A4661" s="5" t="s">
        <v>530</v>
      </c>
      <c r="B4661" s="50" t="s">
        <v>85</v>
      </c>
      <c r="C4661" s="7">
        <v>2</v>
      </c>
      <c r="D4661" s="7">
        <v>1.48</v>
      </c>
      <c r="E4661" s="85">
        <f t="shared" si="337"/>
        <v>2.96</v>
      </c>
    </row>
    <row r="4662" spans="1:5" ht="18" x14ac:dyDescent="0.35">
      <c r="A4662" s="5" t="s">
        <v>1377</v>
      </c>
      <c r="B4662" s="50" t="s">
        <v>34</v>
      </c>
      <c r="C4662" s="7">
        <v>0.21</v>
      </c>
      <c r="D4662" s="7">
        <v>14.61</v>
      </c>
      <c r="E4662" s="85">
        <f t="shared" si="337"/>
        <v>3.0680999999999998</v>
      </c>
    </row>
    <row r="4663" spans="1:5" ht="18" x14ac:dyDescent="0.35">
      <c r="A4663" s="5"/>
      <c r="B4663" s="50" t="s">
        <v>35</v>
      </c>
      <c r="C4663" s="7">
        <v>4</v>
      </c>
      <c r="D4663" s="7">
        <v>2.91</v>
      </c>
      <c r="E4663" s="85">
        <f t="shared" si="337"/>
        <v>11.64</v>
      </c>
    </row>
    <row r="4664" spans="1:5" ht="18" x14ac:dyDescent="0.35">
      <c r="A4664" s="5"/>
      <c r="B4664" s="50" t="s">
        <v>36</v>
      </c>
      <c r="C4664" s="7">
        <v>4</v>
      </c>
      <c r="D4664" s="7">
        <v>0.61</v>
      </c>
      <c r="E4664" s="85">
        <f t="shared" si="337"/>
        <v>2.44</v>
      </c>
    </row>
    <row r="4665" spans="1:5" ht="18" x14ac:dyDescent="0.35">
      <c r="A4665" s="5"/>
      <c r="B4665" s="5"/>
      <c r="C4665" s="54"/>
      <c r="D4665" s="54"/>
      <c r="E4665" s="89">
        <f>SUM(E4659:E4664)</f>
        <v>163.95807000000002</v>
      </c>
    </row>
    <row r="4666" spans="1:5" ht="18" x14ac:dyDescent="0.35">
      <c r="A4666" s="5"/>
      <c r="B4666" s="5"/>
      <c r="C4666" s="54"/>
      <c r="D4666" s="54" t="s">
        <v>1063</v>
      </c>
      <c r="E4666" s="89">
        <f>E4665+E4665*40%</f>
        <v>229.54129800000004</v>
      </c>
    </row>
    <row r="4667" spans="1:5" ht="18" x14ac:dyDescent="0.35">
      <c r="A4667" s="5"/>
      <c r="B4667" s="50" t="s">
        <v>37</v>
      </c>
      <c r="C4667" s="54">
        <v>0.6</v>
      </c>
      <c r="D4667" s="54">
        <v>200</v>
      </c>
      <c r="E4667" s="85">
        <f>C4667*D4667</f>
        <v>120</v>
      </c>
    </row>
    <row r="4668" spans="1:5" ht="18" x14ac:dyDescent="0.35">
      <c r="A4668" s="5"/>
      <c r="B4668" s="5"/>
      <c r="C4668" s="54"/>
      <c r="D4668" s="54"/>
      <c r="E4668" s="85">
        <f>SUM(E4666:E4667)</f>
        <v>349.54129800000004</v>
      </c>
    </row>
    <row r="4670" spans="1:5" x14ac:dyDescent="0.3">
      <c r="A4670" t="s">
        <v>1389</v>
      </c>
    </row>
    <row r="4671" spans="1:5" ht="21" x14ac:dyDescent="0.4">
      <c r="A4671" s="40" t="s">
        <v>1388</v>
      </c>
      <c r="B4671" s="40"/>
      <c r="C4671" s="84"/>
    </row>
    <row r="4672" spans="1:5" ht="18" x14ac:dyDescent="0.35">
      <c r="A4672" s="5"/>
      <c r="B4672" s="5"/>
      <c r="C4672" s="7" t="s">
        <v>28</v>
      </c>
      <c r="D4672" s="7" t="s">
        <v>29</v>
      </c>
      <c r="E4672" s="7" t="s">
        <v>30</v>
      </c>
    </row>
    <row r="4673" spans="1:5" ht="18" x14ac:dyDescent="0.35">
      <c r="A4673" s="5" t="s">
        <v>66</v>
      </c>
      <c r="B4673" s="50" t="s">
        <v>32</v>
      </c>
      <c r="C4673" s="7">
        <v>1.5029999999999999</v>
      </c>
      <c r="D4673" s="7">
        <v>10.34</v>
      </c>
      <c r="E4673" s="85">
        <f t="shared" ref="E4673:E4678" si="338">C4673*D4673</f>
        <v>15.541019999999998</v>
      </c>
    </row>
    <row r="4674" spans="1:5" ht="18" x14ac:dyDescent="0.35">
      <c r="A4674" s="5" t="s">
        <v>791</v>
      </c>
      <c r="B4674" s="50" t="s">
        <v>33</v>
      </c>
      <c r="C4674" s="7">
        <v>3.0870000000000002</v>
      </c>
      <c r="D4674" s="7">
        <v>16.170000000000002</v>
      </c>
      <c r="E4674" s="85">
        <f t="shared" si="338"/>
        <v>49.916790000000006</v>
      </c>
    </row>
    <row r="4675" spans="1:5" ht="18" x14ac:dyDescent="0.35">
      <c r="A4675" s="5" t="s">
        <v>1124</v>
      </c>
      <c r="B4675" s="50" t="s">
        <v>84</v>
      </c>
      <c r="C4675" s="7">
        <v>2</v>
      </c>
      <c r="D4675" s="7">
        <v>1.6</v>
      </c>
      <c r="E4675" s="85">
        <f t="shared" si="338"/>
        <v>3.2</v>
      </c>
    </row>
    <row r="4676" spans="1:5" ht="18" x14ac:dyDescent="0.35">
      <c r="A4676" s="5" t="s">
        <v>1377</v>
      </c>
      <c r="B4676" s="50" t="s">
        <v>34</v>
      </c>
      <c r="C4676" s="7"/>
      <c r="D4676" s="7">
        <v>14.61</v>
      </c>
      <c r="E4676" s="85">
        <f t="shared" si="338"/>
        <v>0</v>
      </c>
    </row>
    <row r="4677" spans="1:5" ht="18" x14ac:dyDescent="0.35">
      <c r="A4677" s="5"/>
      <c r="B4677" s="50" t="s">
        <v>35</v>
      </c>
      <c r="C4677" s="7">
        <v>4</v>
      </c>
      <c r="D4677" s="7">
        <v>2.91</v>
      </c>
      <c r="E4677" s="85">
        <f t="shared" si="338"/>
        <v>11.64</v>
      </c>
    </row>
    <row r="4678" spans="1:5" ht="18" x14ac:dyDescent="0.35">
      <c r="A4678" s="5"/>
      <c r="B4678" s="50" t="s">
        <v>36</v>
      </c>
      <c r="C4678" s="7">
        <v>4</v>
      </c>
      <c r="D4678" s="7">
        <v>0.61</v>
      </c>
      <c r="E4678" s="85">
        <f t="shared" si="338"/>
        <v>2.44</v>
      </c>
    </row>
    <row r="4679" spans="1:5" ht="18" x14ac:dyDescent="0.35">
      <c r="A4679" s="5"/>
      <c r="B4679" s="5"/>
      <c r="C4679" s="54"/>
      <c r="D4679" s="54"/>
      <c r="E4679" s="89">
        <f>SUM(E4673:E4678)</f>
        <v>82.73781000000001</v>
      </c>
    </row>
    <row r="4680" spans="1:5" ht="18" x14ac:dyDescent="0.35">
      <c r="A4680" s="5"/>
      <c r="B4680" s="5"/>
      <c r="C4680" s="54"/>
      <c r="D4680" s="54" t="s">
        <v>1116</v>
      </c>
      <c r="E4680" s="89">
        <f>E4679+E4679*30%</f>
        <v>107.55915300000001</v>
      </c>
    </row>
    <row r="4681" spans="1:5" ht="18" x14ac:dyDescent="0.35">
      <c r="A4681" s="5"/>
      <c r="B4681" s="50" t="s">
        <v>37</v>
      </c>
      <c r="C4681" s="54">
        <v>0.3</v>
      </c>
      <c r="D4681" s="54">
        <v>200</v>
      </c>
      <c r="E4681" s="85">
        <f>C4681*D4681</f>
        <v>60</v>
      </c>
    </row>
    <row r="4682" spans="1:5" ht="18" x14ac:dyDescent="0.35">
      <c r="A4682" s="5"/>
      <c r="B4682" s="5"/>
      <c r="C4682" s="54"/>
      <c r="D4682" s="54"/>
      <c r="E4682" s="85">
        <f>SUM(E4680:E4681)</f>
        <v>167.55915300000001</v>
      </c>
    </row>
    <row r="4684" spans="1:5" x14ac:dyDescent="0.3">
      <c r="A4684" t="s">
        <v>1385</v>
      </c>
    </row>
    <row r="4686" spans="1:5" ht="21" x14ac:dyDescent="0.4">
      <c r="A4686" s="40" t="s">
        <v>1386</v>
      </c>
      <c r="B4686" s="40"/>
      <c r="C4686" s="40"/>
      <c r="D4686" s="12"/>
      <c r="E4686" s="12"/>
    </row>
    <row r="4687" spans="1:5" ht="18" x14ac:dyDescent="0.35">
      <c r="A4687" s="5"/>
      <c r="B4687" s="5"/>
      <c r="C4687" s="7" t="s">
        <v>28</v>
      </c>
      <c r="D4687" s="7" t="s">
        <v>29</v>
      </c>
      <c r="E4687" s="7" t="s">
        <v>30</v>
      </c>
    </row>
    <row r="4688" spans="1:5" ht="18" x14ac:dyDescent="0.35">
      <c r="A4688" s="5" t="s">
        <v>1387</v>
      </c>
      <c r="B4688" s="50" t="s">
        <v>32</v>
      </c>
      <c r="C4688" s="7">
        <v>1.5449999999999999</v>
      </c>
      <c r="D4688" s="7">
        <v>11.37</v>
      </c>
      <c r="E4688" s="85">
        <f>C4688*D4688</f>
        <v>17.566649999999999</v>
      </c>
    </row>
    <row r="4689" spans="1:5" ht="18" x14ac:dyDescent="0.35">
      <c r="A4689" s="5" t="s">
        <v>259</v>
      </c>
      <c r="B4689" s="50" t="s">
        <v>33</v>
      </c>
      <c r="C4689" s="7">
        <v>3.0179999999999998</v>
      </c>
      <c r="D4689" s="7">
        <v>15.25</v>
      </c>
      <c r="E4689" s="85">
        <f>C4689*D4689</f>
        <v>46.024499999999996</v>
      </c>
    </row>
    <row r="4690" spans="1:5" ht="18" x14ac:dyDescent="0.35">
      <c r="A4690" s="5" t="s">
        <v>623</v>
      </c>
      <c r="B4690" s="50" t="s">
        <v>137</v>
      </c>
      <c r="C4690" s="7">
        <v>0.17</v>
      </c>
      <c r="D4690" s="7">
        <v>15.25</v>
      </c>
      <c r="E4690" s="85">
        <f>C4690*D4690</f>
        <v>2.5925000000000002</v>
      </c>
    </row>
    <row r="4691" spans="1:5" ht="18" x14ac:dyDescent="0.35">
      <c r="A4691" s="5"/>
      <c r="B4691" s="50" t="s">
        <v>35</v>
      </c>
      <c r="C4691" s="7">
        <v>4</v>
      </c>
      <c r="D4691" s="7">
        <v>2.91</v>
      </c>
      <c r="E4691" s="85">
        <f>C4691*D4691</f>
        <v>11.64</v>
      </c>
    </row>
    <row r="4692" spans="1:5" ht="18" x14ac:dyDescent="0.35">
      <c r="A4692" s="5"/>
      <c r="B4692" s="50" t="s">
        <v>36</v>
      </c>
      <c r="C4692" s="7">
        <v>4</v>
      </c>
      <c r="D4692" s="7">
        <v>0.61</v>
      </c>
      <c r="E4692" s="85">
        <f>C4692*D4692</f>
        <v>2.44</v>
      </c>
    </row>
    <row r="4693" spans="1:5" ht="18" x14ac:dyDescent="0.35">
      <c r="A4693" s="5"/>
      <c r="B4693" s="50"/>
      <c r="C4693" s="87"/>
      <c r="D4693" s="88"/>
      <c r="E4693" s="85">
        <f>SUM(E4688:E4692)</f>
        <v>80.263649999999998</v>
      </c>
    </row>
    <row r="4694" spans="1:5" ht="18" x14ac:dyDescent="0.35">
      <c r="A4694" s="5"/>
      <c r="B4694" s="50"/>
      <c r="C4694" s="87"/>
      <c r="D4694" s="88" t="s">
        <v>1266</v>
      </c>
      <c r="E4694" s="85">
        <f>E4693+E4693*40%</f>
        <v>112.36911000000001</v>
      </c>
    </row>
    <row r="4695" spans="1:5" ht="18" x14ac:dyDescent="0.35">
      <c r="A4695" s="5"/>
      <c r="B4695" s="50" t="s">
        <v>37</v>
      </c>
      <c r="C4695" s="54">
        <v>0.4</v>
      </c>
      <c r="D4695" s="86">
        <v>200</v>
      </c>
      <c r="E4695" s="85">
        <f>C4695*D4695</f>
        <v>80</v>
      </c>
    </row>
    <row r="4696" spans="1:5" ht="18" x14ac:dyDescent="0.35">
      <c r="A4696" s="5"/>
      <c r="B4696" s="5"/>
      <c r="C4696" s="54"/>
      <c r="D4696" s="54"/>
      <c r="E4696" s="85">
        <f>SUM(E4694:E4695)</f>
        <v>192.36911000000001</v>
      </c>
    </row>
    <row r="4698" spans="1:5" x14ac:dyDescent="0.3">
      <c r="A4698" t="s">
        <v>1365</v>
      </c>
    </row>
    <row r="4699" spans="1:5" ht="21" x14ac:dyDescent="0.4">
      <c r="A4699" s="40" t="s">
        <v>1392</v>
      </c>
      <c r="B4699" s="40"/>
      <c r="C4699" s="40"/>
      <c r="D4699" s="12"/>
      <c r="E4699" s="12"/>
    </row>
    <row r="4700" spans="1:5" ht="18" x14ac:dyDescent="0.35">
      <c r="A4700" s="5"/>
      <c r="B4700" s="5"/>
      <c r="C4700" s="7" t="s">
        <v>28</v>
      </c>
      <c r="D4700" s="7" t="s">
        <v>29</v>
      </c>
      <c r="E4700" s="7" t="s">
        <v>30</v>
      </c>
    </row>
    <row r="4701" spans="1:5" ht="18" x14ac:dyDescent="0.35">
      <c r="A4701" s="5" t="s">
        <v>40</v>
      </c>
      <c r="B4701" s="50" t="s">
        <v>32</v>
      </c>
      <c r="C4701" s="7">
        <v>1.1879999999999999</v>
      </c>
      <c r="D4701" s="7">
        <v>11.37</v>
      </c>
      <c r="E4701" s="85">
        <f>C4701*D4701</f>
        <v>13.507559999999998</v>
      </c>
    </row>
    <row r="4702" spans="1:5" ht="18" x14ac:dyDescent="0.35">
      <c r="A4702" s="5" t="s">
        <v>143</v>
      </c>
      <c r="B4702" s="50" t="s">
        <v>33</v>
      </c>
      <c r="C4702" s="7">
        <v>2.4569999999999999</v>
      </c>
      <c r="D4702" s="7">
        <v>15.25</v>
      </c>
      <c r="E4702" s="85">
        <f>C4702*D4702</f>
        <v>37.469249999999995</v>
      </c>
    </row>
    <row r="4703" spans="1:5" ht="18" x14ac:dyDescent="0.35">
      <c r="A4703" s="5" t="s">
        <v>677</v>
      </c>
      <c r="B4703" s="50" t="s">
        <v>137</v>
      </c>
      <c r="C4703" s="7">
        <v>0.21</v>
      </c>
      <c r="D4703" s="7">
        <v>15.25</v>
      </c>
      <c r="E4703" s="85">
        <f>C4703*D4703</f>
        <v>3.2024999999999997</v>
      </c>
    </row>
    <row r="4704" spans="1:5" ht="18" x14ac:dyDescent="0.35">
      <c r="A4704" s="5"/>
      <c r="B4704" s="50" t="s">
        <v>35</v>
      </c>
      <c r="C4704" s="7">
        <v>4</v>
      </c>
      <c r="D4704" s="7">
        <v>2.91</v>
      </c>
      <c r="E4704" s="85">
        <f>C4704*D4704</f>
        <v>11.64</v>
      </c>
    </row>
    <row r="4705" spans="1:5" ht="18" x14ac:dyDescent="0.35">
      <c r="A4705" s="5"/>
      <c r="B4705" s="50" t="s">
        <v>36</v>
      </c>
      <c r="C4705" s="7">
        <v>4</v>
      </c>
      <c r="D4705" s="7">
        <v>0.61</v>
      </c>
      <c r="E4705" s="85">
        <f>C4705*D4705</f>
        <v>2.44</v>
      </c>
    </row>
    <row r="4706" spans="1:5" ht="18" x14ac:dyDescent="0.35">
      <c r="A4706" s="5"/>
      <c r="B4706" s="50"/>
      <c r="C4706" s="87"/>
      <c r="D4706" s="88"/>
      <c r="E4706" s="85">
        <f>SUM(E4701:E4705)</f>
        <v>68.259309999999999</v>
      </c>
    </row>
    <row r="4707" spans="1:5" ht="18" x14ac:dyDescent="0.35">
      <c r="A4707" s="5"/>
      <c r="B4707" s="50"/>
      <c r="C4707" s="87"/>
      <c r="D4707" s="88" t="s">
        <v>1266</v>
      </c>
      <c r="E4707" s="85">
        <f>E4706+E4706*40%</f>
        <v>95.563034000000002</v>
      </c>
    </row>
    <row r="4708" spans="1:5" ht="18" x14ac:dyDescent="0.35">
      <c r="A4708" s="5"/>
      <c r="B4708" s="50" t="s">
        <v>37</v>
      </c>
      <c r="C4708" s="54">
        <v>0.4</v>
      </c>
      <c r="D4708" s="86">
        <v>200</v>
      </c>
      <c r="E4708" s="85">
        <f>C4708*D4708</f>
        <v>80</v>
      </c>
    </row>
    <row r="4709" spans="1:5" ht="18" x14ac:dyDescent="0.35">
      <c r="A4709" s="5"/>
      <c r="B4709" s="5"/>
      <c r="C4709" s="54"/>
      <c r="D4709" s="54"/>
      <c r="E4709" s="85">
        <f>SUM(E4707:E4708)</f>
        <v>175.56303400000002</v>
      </c>
    </row>
    <row r="4712" spans="1:5" x14ac:dyDescent="0.3">
      <c r="A4712" t="s">
        <v>1365</v>
      </c>
    </row>
    <row r="4713" spans="1:5" ht="21" x14ac:dyDescent="0.4">
      <c r="A4713" s="40" t="s">
        <v>1393</v>
      </c>
      <c r="B4713" s="40"/>
      <c r="C4713" s="40"/>
      <c r="D4713" s="12"/>
      <c r="E4713" s="12"/>
    </row>
    <row r="4714" spans="1:5" ht="18" x14ac:dyDescent="0.35">
      <c r="A4714" s="5"/>
      <c r="B4714" s="5"/>
      <c r="C4714" s="7" t="s">
        <v>28</v>
      </c>
      <c r="D4714" s="7" t="s">
        <v>29</v>
      </c>
      <c r="E4714" s="7" t="s">
        <v>30</v>
      </c>
    </row>
    <row r="4715" spans="1:5" ht="18" x14ac:dyDescent="0.35">
      <c r="A4715" s="5" t="s">
        <v>179</v>
      </c>
      <c r="B4715" s="50" t="s">
        <v>32</v>
      </c>
      <c r="C4715" s="7">
        <v>1.7130000000000001</v>
      </c>
      <c r="D4715" s="7">
        <v>11.37</v>
      </c>
      <c r="E4715" s="85">
        <f>C4715*D4715</f>
        <v>19.47681</v>
      </c>
    </row>
    <row r="4716" spans="1:5" ht="18" x14ac:dyDescent="0.35">
      <c r="A4716" s="5" t="s">
        <v>221</v>
      </c>
      <c r="B4716" s="50" t="s">
        <v>33</v>
      </c>
      <c r="C4716" s="7">
        <v>8.7460000000000004</v>
      </c>
      <c r="D4716" s="7">
        <v>15.25</v>
      </c>
      <c r="E4716" s="85">
        <f>C4716*D4716</f>
        <v>133.37649999999999</v>
      </c>
    </row>
    <row r="4717" spans="1:5" ht="18" x14ac:dyDescent="0.35">
      <c r="A4717" s="5" t="s">
        <v>1374</v>
      </c>
      <c r="B4717" s="50" t="s">
        <v>137</v>
      </c>
      <c r="C4717" s="7">
        <v>0.53</v>
      </c>
      <c r="D4717" s="7">
        <v>15.25</v>
      </c>
      <c r="E4717" s="85">
        <f>C4717*D4717</f>
        <v>8.0824999999999996</v>
      </c>
    </row>
    <row r="4718" spans="1:5" ht="18" x14ac:dyDescent="0.35">
      <c r="A4718" s="5"/>
      <c r="B4718" s="50" t="s">
        <v>35</v>
      </c>
      <c r="C4718" s="7">
        <v>4</v>
      </c>
      <c r="D4718" s="7">
        <v>2.91</v>
      </c>
      <c r="E4718" s="85">
        <f>C4718*D4718</f>
        <v>11.64</v>
      </c>
    </row>
    <row r="4719" spans="1:5" ht="18" x14ac:dyDescent="0.35">
      <c r="A4719" s="5"/>
      <c r="B4719" s="50" t="s">
        <v>36</v>
      </c>
      <c r="C4719" s="7">
        <v>4</v>
      </c>
      <c r="D4719" s="7">
        <v>0.61</v>
      </c>
      <c r="E4719" s="85">
        <f>C4719*D4719</f>
        <v>2.44</v>
      </c>
    </row>
    <row r="4720" spans="1:5" ht="18" x14ac:dyDescent="0.35">
      <c r="A4720" s="5"/>
      <c r="B4720" s="50"/>
      <c r="C4720" s="87"/>
      <c r="D4720" s="88"/>
      <c r="E4720" s="85">
        <f>SUM(E4715:E4719)</f>
        <v>175.01580999999999</v>
      </c>
    </row>
    <row r="4721" spans="1:5" ht="18" x14ac:dyDescent="0.35">
      <c r="A4721" s="5"/>
      <c r="B4721" s="50"/>
      <c r="C4721" s="87"/>
      <c r="D4721" s="88" t="s">
        <v>1266</v>
      </c>
      <c r="E4721" s="85">
        <f>E4720+E4720*40%</f>
        <v>245.02213399999999</v>
      </c>
    </row>
    <row r="4722" spans="1:5" ht="18" x14ac:dyDescent="0.35">
      <c r="A4722" s="5"/>
      <c r="B4722" s="50" t="s">
        <v>37</v>
      </c>
      <c r="C4722" s="54">
        <v>0.4</v>
      </c>
      <c r="D4722" s="86">
        <v>200</v>
      </c>
      <c r="E4722" s="85">
        <f>C4722*D4722</f>
        <v>80</v>
      </c>
    </row>
    <row r="4723" spans="1:5" ht="18" x14ac:dyDescent="0.35">
      <c r="A4723" s="5"/>
      <c r="B4723" s="5"/>
      <c r="C4723" s="54"/>
      <c r="D4723" s="54"/>
      <c r="E4723" s="85">
        <f>SUM(E4721:E4722)</f>
        <v>325.02213399999999</v>
      </c>
    </row>
    <row r="4726" spans="1:5" x14ac:dyDescent="0.3">
      <c r="A4726" t="s">
        <v>1271</v>
      </c>
    </row>
    <row r="4727" spans="1:5" ht="21" x14ac:dyDescent="0.4">
      <c r="A4727" s="40" t="s">
        <v>1394</v>
      </c>
      <c r="B4727" s="40"/>
      <c r="C4727" s="40"/>
      <c r="D4727" s="12"/>
      <c r="E4727" s="12"/>
    </row>
    <row r="4728" spans="1:5" ht="18" x14ac:dyDescent="0.35">
      <c r="A4728" s="5"/>
      <c r="B4728" s="5"/>
      <c r="C4728" s="7" t="s">
        <v>28</v>
      </c>
      <c r="D4728" s="7" t="s">
        <v>29</v>
      </c>
      <c r="E4728" s="7" t="s">
        <v>30</v>
      </c>
    </row>
    <row r="4729" spans="1:5" ht="18" x14ac:dyDescent="0.35">
      <c r="A4729" s="5" t="s">
        <v>235</v>
      </c>
      <c r="B4729" s="50" t="s">
        <v>32</v>
      </c>
      <c r="C4729" s="7">
        <v>2.343</v>
      </c>
      <c r="D4729" s="7">
        <v>11.37</v>
      </c>
      <c r="E4729" s="85">
        <f>C4729*D4729</f>
        <v>26.639909999999997</v>
      </c>
    </row>
    <row r="4730" spans="1:5" ht="18" x14ac:dyDescent="0.35">
      <c r="A4730" s="5" t="s">
        <v>171</v>
      </c>
      <c r="B4730" s="50" t="s">
        <v>33</v>
      </c>
      <c r="C4730" s="7">
        <v>2.0790000000000002</v>
      </c>
      <c r="D4730" s="7">
        <v>15.25</v>
      </c>
      <c r="E4730" s="85">
        <f>C4730*D4730</f>
        <v>31.704750000000004</v>
      </c>
    </row>
    <row r="4731" spans="1:5" ht="18" x14ac:dyDescent="0.35">
      <c r="A4731" s="5" t="s">
        <v>623</v>
      </c>
      <c r="B4731" s="50" t="s">
        <v>137</v>
      </c>
      <c r="C4731" s="7">
        <v>0.11</v>
      </c>
      <c r="D4731" s="7">
        <v>15.25</v>
      </c>
      <c r="E4731" s="85">
        <f>C4731*D4731</f>
        <v>1.6775</v>
      </c>
    </row>
    <row r="4732" spans="1:5" ht="18" x14ac:dyDescent="0.35">
      <c r="A4732" s="5"/>
      <c r="B4732" s="50" t="s">
        <v>35</v>
      </c>
      <c r="C4732" s="7">
        <v>4</v>
      </c>
      <c r="D4732" s="7">
        <v>2.91</v>
      </c>
      <c r="E4732" s="85">
        <f>C4732*D4732</f>
        <v>11.64</v>
      </c>
    </row>
    <row r="4733" spans="1:5" ht="18" x14ac:dyDescent="0.35">
      <c r="A4733" s="5"/>
      <c r="B4733" s="50" t="s">
        <v>36</v>
      </c>
      <c r="C4733" s="7">
        <v>4</v>
      </c>
      <c r="D4733" s="7">
        <v>0.61</v>
      </c>
      <c r="E4733" s="85">
        <f>C4733*D4733</f>
        <v>2.44</v>
      </c>
    </row>
    <row r="4734" spans="1:5" ht="18" x14ac:dyDescent="0.35">
      <c r="A4734" s="5"/>
      <c r="B4734" s="50"/>
      <c r="C4734" s="87"/>
      <c r="D4734" s="88"/>
      <c r="E4734" s="85">
        <f>SUM(E4729:E4733)</f>
        <v>74.102159999999998</v>
      </c>
    </row>
    <row r="4735" spans="1:5" ht="18" x14ac:dyDescent="0.35">
      <c r="A4735" s="5"/>
      <c r="B4735" s="50"/>
      <c r="C4735" s="87"/>
      <c r="D4735" s="88" t="s">
        <v>1266</v>
      </c>
      <c r="E4735" s="85">
        <f>E4734+E4734*40%</f>
        <v>103.74302399999999</v>
      </c>
    </row>
    <row r="4736" spans="1:5" ht="18" x14ac:dyDescent="0.35">
      <c r="A4736" s="5"/>
      <c r="B4736" s="50" t="s">
        <v>37</v>
      </c>
      <c r="C4736" s="54">
        <v>0.4</v>
      </c>
      <c r="D4736" s="86">
        <v>200</v>
      </c>
      <c r="E4736" s="85">
        <f>C4736*D4736</f>
        <v>80</v>
      </c>
    </row>
    <row r="4737" spans="1:5" ht="18" x14ac:dyDescent="0.35">
      <c r="A4737" s="5"/>
      <c r="B4737" s="5"/>
      <c r="C4737" s="54"/>
      <c r="D4737" s="54"/>
      <c r="E4737" s="85">
        <f>SUM(E4735:E4736)</f>
        <v>183.74302399999999</v>
      </c>
    </row>
    <row r="4739" spans="1:5" ht="21" x14ac:dyDescent="0.4">
      <c r="A4739" s="40" t="s">
        <v>1395</v>
      </c>
      <c r="B4739" s="40"/>
      <c r="C4739" s="84"/>
    </row>
    <row r="4740" spans="1:5" ht="18" x14ac:dyDescent="0.35">
      <c r="A4740" s="5"/>
      <c r="B4740" s="5"/>
      <c r="C4740" s="7" t="s">
        <v>28</v>
      </c>
      <c r="D4740" s="7" t="s">
        <v>29</v>
      </c>
      <c r="E4740" s="7" t="s">
        <v>30</v>
      </c>
    </row>
    <row r="4741" spans="1:5" ht="18" x14ac:dyDescent="0.35">
      <c r="A4741" s="5" t="s">
        <v>66</v>
      </c>
      <c r="B4741" s="50" t="s">
        <v>32</v>
      </c>
      <c r="C4741" s="7">
        <v>1.5029999999999999</v>
      </c>
      <c r="D4741" s="7">
        <v>10.34</v>
      </c>
      <c r="E4741" s="85">
        <f t="shared" ref="E4741:E4746" si="339">C4741*D4741</f>
        <v>15.541019999999998</v>
      </c>
    </row>
    <row r="4742" spans="1:5" ht="18" x14ac:dyDescent="0.35">
      <c r="A4742" s="5" t="s">
        <v>791</v>
      </c>
      <c r="B4742" s="50" t="s">
        <v>33</v>
      </c>
      <c r="C4742" s="7">
        <v>3.0870000000000002</v>
      </c>
      <c r="D4742" s="7">
        <v>16.170000000000002</v>
      </c>
      <c r="E4742" s="85">
        <f t="shared" si="339"/>
        <v>49.916790000000006</v>
      </c>
    </row>
    <row r="4743" spans="1:5" ht="18" x14ac:dyDescent="0.35">
      <c r="A4743" s="5" t="s">
        <v>674</v>
      </c>
      <c r="B4743" s="50" t="s">
        <v>84</v>
      </c>
      <c r="C4743" s="7">
        <v>2</v>
      </c>
      <c r="D4743" s="7">
        <v>1.6</v>
      </c>
      <c r="E4743" s="85">
        <f t="shared" si="339"/>
        <v>3.2</v>
      </c>
    </row>
    <row r="4744" spans="1:5" ht="18" x14ac:dyDescent="0.35">
      <c r="A4744" s="5" t="s">
        <v>1377</v>
      </c>
      <c r="B4744" s="50" t="s">
        <v>34</v>
      </c>
      <c r="C4744" s="7"/>
      <c r="D4744" s="7">
        <v>14.61</v>
      </c>
      <c r="E4744" s="85">
        <f t="shared" si="339"/>
        <v>0</v>
      </c>
    </row>
    <row r="4745" spans="1:5" ht="18" x14ac:dyDescent="0.35">
      <c r="A4745" s="5"/>
      <c r="B4745" s="50" t="s">
        <v>35</v>
      </c>
      <c r="C4745" s="7">
        <v>4</v>
      </c>
      <c r="D4745" s="7">
        <v>2.91</v>
      </c>
      <c r="E4745" s="85">
        <f t="shared" si="339"/>
        <v>11.64</v>
      </c>
    </row>
    <row r="4746" spans="1:5" ht="18" x14ac:dyDescent="0.35">
      <c r="A4746" s="5"/>
      <c r="B4746" s="50" t="s">
        <v>36</v>
      </c>
      <c r="C4746" s="7">
        <v>4</v>
      </c>
      <c r="D4746" s="7">
        <v>0.61</v>
      </c>
      <c r="E4746" s="85">
        <f t="shared" si="339"/>
        <v>2.44</v>
      </c>
    </row>
    <row r="4747" spans="1:5" ht="18" x14ac:dyDescent="0.35">
      <c r="A4747" s="5"/>
      <c r="B4747" s="5"/>
      <c r="C4747" s="54"/>
      <c r="D4747" s="54"/>
      <c r="E4747" s="89">
        <f>SUM(E4741:E4746)</f>
        <v>82.73781000000001</v>
      </c>
    </row>
    <row r="4748" spans="1:5" ht="18" x14ac:dyDescent="0.35">
      <c r="A4748" s="5"/>
      <c r="B4748" s="5"/>
      <c r="C4748" s="54"/>
      <c r="D4748" s="54" t="s">
        <v>1116</v>
      </c>
      <c r="E4748" s="89">
        <f>E4747+E4747*30%</f>
        <v>107.55915300000001</v>
      </c>
    </row>
    <row r="4749" spans="1:5" ht="18" x14ac:dyDescent="0.35">
      <c r="A4749" s="5"/>
      <c r="B4749" s="50" t="s">
        <v>37</v>
      </c>
      <c r="C4749" s="54">
        <v>0.3</v>
      </c>
      <c r="D4749" s="54">
        <v>200</v>
      </c>
      <c r="E4749" s="85">
        <f>C4749*D4749</f>
        <v>60</v>
      </c>
    </row>
    <row r="4750" spans="1:5" ht="18" x14ac:dyDescent="0.35">
      <c r="A4750" s="5"/>
      <c r="B4750" s="5"/>
      <c r="C4750" s="54"/>
      <c r="D4750" s="54"/>
      <c r="E4750" s="85">
        <f>SUM(E4748:E4749)</f>
        <v>167.55915300000001</v>
      </c>
    </row>
    <row r="4753" spans="1:5" x14ac:dyDescent="0.3">
      <c r="A4753" t="s">
        <v>1397</v>
      </c>
    </row>
    <row r="4754" spans="1:5" ht="21" x14ac:dyDescent="0.4">
      <c r="A4754" s="40" t="s">
        <v>1398</v>
      </c>
      <c r="B4754" s="40"/>
      <c r="C4754" s="40"/>
      <c r="D4754" s="12"/>
      <c r="E4754" s="12"/>
    </row>
    <row r="4755" spans="1:5" ht="18" x14ac:dyDescent="0.35">
      <c r="A4755" s="5"/>
      <c r="B4755" s="5"/>
      <c r="C4755" s="7" t="s">
        <v>28</v>
      </c>
      <c r="D4755" s="7" t="s">
        <v>29</v>
      </c>
      <c r="E4755" s="7" t="s">
        <v>30</v>
      </c>
    </row>
    <row r="4756" spans="1:5" ht="18" x14ac:dyDescent="0.35">
      <c r="A4756" s="5" t="s">
        <v>1399</v>
      </c>
      <c r="B4756" s="50" t="s">
        <v>32</v>
      </c>
      <c r="C4756" s="7"/>
      <c r="D4756" s="7">
        <v>11.37</v>
      </c>
      <c r="E4756" s="85">
        <f>C4756*D4756</f>
        <v>0</v>
      </c>
    </row>
    <row r="4757" spans="1:5" ht="18" x14ac:dyDescent="0.35">
      <c r="A4757" s="5" t="s">
        <v>791</v>
      </c>
      <c r="B4757" s="50" t="s">
        <v>33</v>
      </c>
      <c r="C4757" s="7">
        <v>15.686999999999999</v>
      </c>
      <c r="D4757" s="7">
        <v>15.25</v>
      </c>
      <c r="E4757" s="85">
        <f>C4757*D4757</f>
        <v>239.22674999999998</v>
      </c>
    </row>
    <row r="4758" spans="1:5" ht="18" x14ac:dyDescent="0.35">
      <c r="A4758" s="5" t="s">
        <v>623</v>
      </c>
      <c r="B4758" s="50" t="s">
        <v>137</v>
      </c>
      <c r="C4758" s="7">
        <v>0.26</v>
      </c>
      <c r="D4758" s="7">
        <v>15.25</v>
      </c>
      <c r="E4758" s="85">
        <f>C4758*D4758</f>
        <v>3.9650000000000003</v>
      </c>
    </row>
    <row r="4759" spans="1:5" ht="18" x14ac:dyDescent="0.35">
      <c r="A4759" s="5"/>
      <c r="B4759" s="50" t="s">
        <v>35</v>
      </c>
      <c r="C4759" s="7">
        <v>4</v>
      </c>
      <c r="D4759" s="7">
        <v>2.91</v>
      </c>
      <c r="E4759" s="85">
        <f>C4759*D4759</f>
        <v>11.64</v>
      </c>
    </row>
    <row r="4760" spans="1:5" ht="18" x14ac:dyDescent="0.35">
      <c r="A4760" s="5"/>
      <c r="B4760" s="50" t="s">
        <v>36</v>
      </c>
      <c r="C4760" s="7">
        <v>4</v>
      </c>
      <c r="D4760" s="7">
        <v>0.61</v>
      </c>
      <c r="E4760" s="85">
        <f>C4760*D4760</f>
        <v>2.44</v>
      </c>
    </row>
    <row r="4761" spans="1:5" ht="18" x14ac:dyDescent="0.35">
      <c r="A4761" s="5"/>
      <c r="B4761" s="50"/>
      <c r="C4761" s="87"/>
      <c r="D4761" s="88"/>
      <c r="E4761" s="85">
        <f>SUM(E4756:E4760)</f>
        <v>257.27175</v>
      </c>
    </row>
    <row r="4762" spans="1:5" ht="18" x14ac:dyDescent="0.35">
      <c r="A4762" s="5"/>
      <c r="B4762" s="50"/>
      <c r="C4762" s="87"/>
      <c r="D4762" s="88" t="s">
        <v>1266</v>
      </c>
      <c r="E4762" s="85">
        <f>E4761+E4761*40%</f>
        <v>360.18045000000001</v>
      </c>
    </row>
    <row r="4763" spans="1:5" ht="18" x14ac:dyDescent="0.35">
      <c r="A4763" s="5"/>
      <c r="B4763" s="50" t="s">
        <v>37</v>
      </c>
      <c r="C4763" s="54">
        <v>1</v>
      </c>
      <c r="D4763" s="86">
        <v>200</v>
      </c>
      <c r="E4763" s="85">
        <f>C4763*D4763</f>
        <v>200</v>
      </c>
    </row>
    <row r="4764" spans="1:5" ht="18" x14ac:dyDescent="0.35">
      <c r="A4764" s="5"/>
      <c r="B4764" s="5"/>
      <c r="C4764" s="54"/>
      <c r="D4764" s="54"/>
      <c r="E4764" s="85">
        <f>SUM(E4762:E4763)</f>
        <v>560.18045000000006</v>
      </c>
    </row>
    <row r="4766" spans="1:5" x14ac:dyDescent="0.3">
      <c r="A4766" t="s">
        <v>1403</v>
      </c>
    </row>
    <row r="4767" spans="1:5" ht="21" x14ac:dyDescent="0.4">
      <c r="A4767" s="40" t="s">
        <v>1401</v>
      </c>
      <c r="B4767" s="40"/>
      <c r="C4767" s="84"/>
    </row>
    <row r="4768" spans="1:5" ht="18" x14ac:dyDescent="0.35">
      <c r="A4768" s="5"/>
      <c r="B4768" s="5"/>
      <c r="C4768" s="7" t="s">
        <v>28</v>
      </c>
      <c r="D4768" s="7" t="s">
        <v>29</v>
      </c>
      <c r="E4768" s="7" t="s">
        <v>30</v>
      </c>
    </row>
    <row r="4769" spans="1:5" ht="18" x14ac:dyDescent="0.35">
      <c r="A4769" s="5" t="s">
        <v>363</v>
      </c>
      <c r="B4769" s="50" t="s">
        <v>32</v>
      </c>
      <c r="C4769" s="7">
        <v>2.4060000000000001</v>
      </c>
      <c r="D4769" s="7">
        <v>10.34</v>
      </c>
      <c r="E4769" s="85">
        <f t="shared" ref="E4769:E4774" si="340">C4769*D4769</f>
        <v>24.878040000000002</v>
      </c>
    </row>
    <row r="4770" spans="1:5" ht="18" x14ac:dyDescent="0.35">
      <c r="A4770" s="5" t="s">
        <v>810</v>
      </c>
      <c r="B4770" s="50" t="s">
        <v>33</v>
      </c>
      <c r="C4770" s="7">
        <v>3.1179999999999999</v>
      </c>
      <c r="D4770" s="7">
        <v>16.170000000000002</v>
      </c>
      <c r="E4770" s="85">
        <f t="shared" si="340"/>
        <v>50.418060000000004</v>
      </c>
    </row>
    <row r="4771" spans="1:5" ht="18" x14ac:dyDescent="0.35">
      <c r="A4771" s="5" t="s">
        <v>674</v>
      </c>
      <c r="B4771" s="50" t="s">
        <v>1402</v>
      </c>
      <c r="C4771" s="7">
        <v>2</v>
      </c>
      <c r="D4771" s="7">
        <v>1.1499999999999999</v>
      </c>
      <c r="E4771" s="85">
        <f t="shared" si="340"/>
        <v>2.2999999999999998</v>
      </c>
    </row>
    <row r="4772" spans="1:5" ht="18" x14ac:dyDescent="0.35">
      <c r="A4772" s="5" t="s">
        <v>1377</v>
      </c>
      <c r="B4772" s="50" t="s">
        <v>34</v>
      </c>
      <c r="C4772" s="7">
        <v>0.34</v>
      </c>
      <c r="D4772" s="7">
        <v>14.61</v>
      </c>
      <c r="E4772" s="85">
        <f t="shared" si="340"/>
        <v>4.9674000000000005</v>
      </c>
    </row>
    <row r="4773" spans="1:5" ht="18" x14ac:dyDescent="0.35">
      <c r="A4773" s="5"/>
      <c r="B4773" s="50" t="s">
        <v>35</v>
      </c>
      <c r="C4773" s="7">
        <v>4</v>
      </c>
      <c r="D4773" s="7">
        <v>2.91</v>
      </c>
      <c r="E4773" s="85">
        <f t="shared" si="340"/>
        <v>11.64</v>
      </c>
    </row>
    <row r="4774" spans="1:5" ht="18" x14ac:dyDescent="0.35">
      <c r="A4774" s="5"/>
      <c r="B4774" s="50" t="s">
        <v>36</v>
      </c>
      <c r="C4774" s="7">
        <v>4</v>
      </c>
      <c r="D4774" s="7">
        <v>0.61</v>
      </c>
      <c r="E4774" s="85">
        <f t="shared" si="340"/>
        <v>2.44</v>
      </c>
    </row>
    <row r="4775" spans="1:5" ht="18" x14ac:dyDescent="0.35">
      <c r="A4775" s="5"/>
      <c r="B4775" s="5"/>
      <c r="C4775" s="54"/>
      <c r="D4775" s="54"/>
      <c r="E4775" s="89">
        <f>SUM(E4769:E4774)</f>
        <v>96.643500000000003</v>
      </c>
    </row>
    <row r="4776" spans="1:5" ht="18" x14ac:dyDescent="0.35">
      <c r="A4776" s="5"/>
      <c r="B4776" s="5"/>
      <c r="C4776" s="54"/>
      <c r="D4776" s="54" t="s">
        <v>1063</v>
      </c>
      <c r="E4776" s="89">
        <f>E4775+E4775*40%</f>
        <v>135.30090000000001</v>
      </c>
    </row>
    <row r="4777" spans="1:5" ht="18" x14ac:dyDescent="0.35">
      <c r="A4777" s="5"/>
      <c r="B4777" s="50" t="s">
        <v>37</v>
      </c>
      <c r="C4777" s="54">
        <v>0.3</v>
      </c>
      <c r="D4777" s="54">
        <v>200</v>
      </c>
      <c r="E4777" s="85">
        <f>C4777*D4777</f>
        <v>60</v>
      </c>
    </row>
    <row r="4778" spans="1:5" ht="18" x14ac:dyDescent="0.35">
      <c r="A4778" s="5"/>
      <c r="B4778" s="5"/>
      <c r="C4778" s="54"/>
      <c r="D4778" s="54"/>
      <c r="E4778" s="85">
        <f>SUM(E4776:E4777)</f>
        <v>195.30090000000001</v>
      </c>
    </row>
    <row r="4779" spans="1:5" ht="18" x14ac:dyDescent="0.35">
      <c r="A4779" s="5"/>
      <c r="B4779" s="5"/>
      <c r="C4779" s="54"/>
      <c r="D4779" s="54"/>
      <c r="E4779" s="94"/>
    </row>
    <row r="4780" spans="1:5" x14ac:dyDescent="0.3">
      <c r="A4780" t="s">
        <v>1403</v>
      </c>
    </row>
    <row r="4781" spans="1:5" ht="21" x14ac:dyDescent="0.4">
      <c r="A4781" s="40" t="s">
        <v>1401</v>
      </c>
      <c r="B4781" s="40"/>
      <c r="C4781" s="84"/>
    </row>
    <row r="4782" spans="1:5" ht="18" x14ac:dyDescent="0.35">
      <c r="A4782" s="5"/>
      <c r="B4782" s="5"/>
      <c r="C4782" s="7" t="s">
        <v>28</v>
      </c>
      <c r="D4782" s="7" t="s">
        <v>29</v>
      </c>
      <c r="E4782" s="7" t="s">
        <v>30</v>
      </c>
    </row>
    <row r="4783" spans="1:5" ht="18" x14ac:dyDescent="0.35">
      <c r="A4783" s="5" t="s">
        <v>1404</v>
      </c>
      <c r="B4783" s="50" t="s">
        <v>32</v>
      </c>
      <c r="C4783" s="7">
        <v>1.3560000000000001</v>
      </c>
      <c r="D4783" s="7">
        <v>10.34</v>
      </c>
      <c r="E4783" s="85">
        <f t="shared" ref="E4783:E4788" si="341">C4783*D4783</f>
        <v>14.021040000000001</v>
      </c>
    </row>
    <row r="4784" spans="1:5" ht="18" x14ac:dyDescent="0.35">
      <c r="A4784" s="5" t="s">
        <v>810</v>
      </c>
      <c r="B4784" s="50" t="s">
        <v>33</v>
      </c>
      <c r="C4784" s="7">
        <v>1.5429999999999999</v>
      </c>
      <c r="D4784" s="7">
        <v>16.170000000000002</v>
      </c>
      <c r="E4784" s="85">
        <f t="shared" si="341"/>
        <v>24.950310000000002</v>
      </c>
    </row>
    <row r="4785" spans="1:5" ht="18" x14ac:dyDescent="0.35">
      <c r="A4785" s="5" t="s">
        <v>677</v>
      </c>
      <c r="B4785" s="50" t="s">
        <v>1402</v>
      </c>
      <c r="C4785" s="7">
        <v>2</v>
      </c>
      <c r="D4785" s="7">
        <v>1.1499999999999999</v>
      </c>
      <c r="E4785" s="85">
        <f t="shared" si="341"/>
        <v>2.2999999999999998</v>
      </c>
    </row>
    <row r="4786" spans="1:5" ht="18" x14ac:dyDescent="0.35">
      <c r="A4786" s="5" t="s">
        <v>1377</v>
      </c>
      <c r="B4786" s="50" t="s">
        <v>34</v>
      </c>
      <c r="C4786" s="7"/>
      <c r="D4786" s="7">
        <v>14.61</v>
      </c>
      <c r="E4786" s="85">
        <f t="shared" si="341"/>
        <v>0</v>
      </c>
    </row>
    <row r="4787" spans="1:5" ht="18" x14ac:dyDescent="0.35">
      <c r="A4787" s="5"/>
      <c r="B4787" s="50" t="s">
        <v>35</v>
      </c>
      <c r="C4787" s="7">
        <v>4</v>
      </c>
      <c r="D4787" s="7">
        <v>2.91</v>
      </c>
      <c r="E4787" s="85">
        <f t="shared" si="341"/>
        <v>11.64</v>
      </c>
    </row>
    <row r="4788" spans="1:5" ht="18" x14ac:dyDescent="0.35">
      <c r="A4788" s="5"/>
      <c r="B4788" s="50" t="s">
        <v>36</v>
      </c>
      <c r="C4788" s="7">
        <v>4</v>
      </c>
      <c r="D4788" s="7">
        <v>0.61</v>
      </c>
      <c r="E4788" s="85">
        <f t="shared" si="341"/>
        <v>2.44</v>
      </c>
    </row>
    <row r="4789" spans="1:5" ht="18" x14ac:dyDescent="0.35">
      <c r="A4789" s="5"/>
      <c r="B4789" s="5"/>
      <c r="C4789" s="54"/>
      <c r="D4789" s="54"/>
      <c r="E4789" s="89">
        <f>SUM(E4783:E4788)</f>
        <v>55.351349999999996</v>
      </c>
    </row>
    <row r="4790" spans="1:5" ht="18" x14ac:dyDescent="0.35">
      <c r="A4790" s="5"/>
      <c r="B4790" s="5"/>
      <c r="C4790" s="54"/>
      <c r="D4790" s="54" t="s">
        <v>1063</v>
      </c>
      <c r="E4790" s="89">
        <f>E4789+E4789*40%</f>
        <v>77.491889999999998</v>
      </c>
    </row>
    <row r="4791" spans="1:5" ht="18" x14ac:dyDescent="0.35">
      <c r="A4791" s="5"/>
      <c r="B4791" s="50" t="s">
        <v>37</v>
      </c>
      <c r="C4791" s="54">
        <v>0.2</v>
      </c>
      <c r="D4791" s="54">
        <v>200</v>
      </c>
      <c r="E4791" s="85">
        <f>C4791*D4791</f>
        <v>40</v>
      </c>
    </row>
    <row r="4792" spans="1:5" ht="18" x14ac:dyDescent="0.35">
      <c r="A4792" s="5"/>
      <c r="B4792" s="5"/>
      <c r="C4792" s="54"/>
      <c r="D4792" s="54"/>
      <c r="E4792" s="85">
        <f>SUM(E4790:E4791)</f>
        <v>117.49189</v>
      </c>
    </row>
    <row r="4793" spans="1:5" x14ac:dyDescent="0.3">
      <c r="A4793" t="s">
        <v>1383</v>
      </c>
    </row>
    <row r="4794" spans="1:5" ht="21" x14ac:dyDescent="0.4">
      <c r="A4794" s="40" t="s">
        <v>1391</v>
      </c>
      <c r="B4794" s="40"/>
      <c r="C4794" s="84"/>
    </row>
    <row r="4795" spans="1:5" ht="18" x14ac:dyDescent="0.35">
      <c r="A4795" s="5"/>
      <c r="B4795" s="5"/>
      <c r="C4795" s="7" t="s">
        <v>28</v>
      </c>
      <c r="D4795" s="7" t="s">
        <v>29</v>
      </c>
      <c r="E4795" s="7" t="s">
        <v>30</v>
      </c>
    </row>
    <row r="4796" spans="1:5" ht="18" x14ac:dyDescent="0.35">
      <c r="A4796" s="5" t="s">
        <v>79</v>
      </c>
      <c r="B4796" s="50" t="s">
        <v>32</v>
      </c>
      <c r="C4796" s="7">
        <v>2.238</v>
      </c>
      <c r="D4796" s="7">
        <v>10.34</v>
      </c>
      <c r="E4796" s="85">
        <f t="shared" ref="E4796:E4801" si="342">C4796*D4796</f>
        <v>23.140920000000001</v>
      </c>
    </row>
    <row r="4797" spans="1:5" ht="18" x14ac:dyDescent="0.35">
      <c r="A4797" s="5" t="s">
        <v>828</v>
      </c>
      <c r="B4797" s="50" t="s">
        <v>33</v>
      </c>
      <c r="C4797" s="7">
        <v>7.4649999999999999</v>
      </c>
      <c r="D4797" s="7">
        <v>16.170000000000002</v>
      </c>
      <c r="E4797" s="85">
        <f t="shared" si="342"/>
        <v>120.70905</v>
      </c>
    </row>
    <row r="4798" spans="1:5" ht="18" x14ac:dyDescent="0.35">
      <c r="A4798" s="5" t="s">
        <v>530</v>
      </c>
      <c r="B4798" s="50" t="s">
        <v>85</v>
      </c>
      <c r="C4798" s="7">
        <v>2</v>
      </c>
      <c r="D4798" s="7">
        <v>1.48</v>
      </c>
      <c r="E4798" s="85">
        <f t="shared" si="342"/>
        <v>2.96</v>
      </c>
    </row>
    <row r="4799" spans="1:5" ht="18" x14ac:dyDescent="0.35">
      <c r="A4799" s="5" t="s">
        <v>1377</v>
      </c>
      <c r="B4799" s="50" t="s">
        <v>34</v>
      </c>
      <c r="C4799" s="7">
        <v>0.34</v>
      </c>
      <c r="D4799" s="7">
        <v>14.61</v>
      </c>
      <c r="E4799" s="85">
        <f t="shared" si="342"/>
        <v>4.9674000000000005</v>
      </c>
    </row>
    <row r="4800" spans="1:5" ht="18" x14ac:dyDescent="0.35">
      <c r="A4800" s="5"/>
      <c r="B4800" s="50" t="s">
        <v>35</v>
      </c>
      <c r="C4800" s="7">
        <v>4</v>
      </c>
      <c r="D4800" s="7">
        <v>2.91</v>
      </c>
      <c r="E4800" s="85">
        <f t="shared" si="342"/>
        <v>11.64</v>
      </c>
    </row>
    <row r="4801" spans="1:5" ht="18" x14ac:dyDescent="0.35">
      <c r="A4801" s="5"/>
      <c r="B4801" s="50" t="s">
        <v>36</v>
      </c>
      <c r="C4801" s="7">
        <v>4</v>
      </c>
      <c r="D4801" s="7">
        <v>0.61</v>
      </c>
      <c r="E4801" s="85">
        <f t="shared" si="342"/>
        <v>2.44</v>
      </c>
    </row>
    <row r="4802" spans="1:5" ht="18" x14ac:dyDescent="0.35">
      <c r="A4802" s="5"/>
      <c r="B4802" s="5"/>
      <c r="C4802" s="54"/>
      <c r="D4802" s="54"/>
      <c r="E4802" s="89">
        <f>SUM(E4796:E4801)</f>
        <v>165.85737</v>
      </c>
    </row>
    <row r="4803" spans="1:5" ht="18" x14ac:dyDescent="0.35">
      <c r="A4803" s="5"/>
      <c r="B4803" s="5"/>
      <c r="C4803" s="54"/>
      <c r="D4803" s="54" t="s">
        <v>1116</v>
      </c>
      <c r="E4803" s="89">
        <f>E4802+E4802*30%</f>
        <v>215.61458099999999</v>
      </c>
    </row>
    <row r="4804" spans="1:5" ht="18" x14ac:dyDescent="0.35">
      <c r="A4804" s="5"/>
      <c r="B4804" s="50" t="s">
        <v>37</v>
      </c>
      <c r="C4804" s="54">
        <v>0.3</v>
      </c>
      <c r="D4804" s="54">
        <v>200</v>
      </c>
      <c r="E4804" s="85">
        <f>C4804*D4804</f>
        <v>60</v>
      </c>
    </row>
    <row r="4805" spans="1:5" ht="18" x14ac:dyDescent="0.35">
      <c r="A4805" s="5"/>
      <c r="B4805" s="5"/>
      <c r="C4805" s="54"/>
      <c r="D4805" s="54"/>
      <c r="E4805" s="85">
        <f>SUM(E4803:E4804)</f>
        <v>275.61458099999999</v>
      </c>
    </row>
    <row r="4807" spans="1:5" x14ac:dyDescent="0.3">
      <c r="A4807" t="s">
        <v>1383</v>
      </c>
    </row>
    <row r="4808" spans="1:5" ht="21" x14ac:dyDescent="0.4">
      <c r="A4808" s="40" t="s">
        <v>1380</v>
      </c>
      <c r="B4808" s="40"/>
      <c r="C4808" s="84"/>
    </row>
    <row r="4809" spans="1:5" ht="18" x14ac:dyDescent="0.35">
      <c r="A4809" s="5"/>
      <c r="B4809" s="5"/>
      <c r="C4809" s="7" t="s">
        <v>28</v>
      </c>
      <c r="D4809" s="7" t="s">
        <v>29</v>
      </c>
      <c r="E4809" s="7" t="s">
        <v>30</v>
      </c>
    </row>
    <row r="4810" spans="1:5" ht="18" x14ac:dyDescent="0.35">
      <c r="A4810" s="5" t="s">
        <v>79</v>
      </c>
      <c r="B4810" s="50" t="s">
        <v>32</v>
      </c>
      <c r="C4810" s="7">
        <v>2.238</v>
      </c>
      <c r="D4810" s="7">
        <v>14.93</v>
      </c>
      <c r="E4810" s="85">
        <f t="shared" ref="E4810:E4817" si="343">C4810*D4810</f>
        <v>33.413339999999998</v>
      </c>
    </row>
    <row r="4811" spans="1:5" ht="18" x14ac:dyDescent="0.35">
      <c r="A4811" s="5" t="s">
        <v>828</v>
      </c>
      <c r="B4811" s="50" t="s">
        <v>33</v>
      </c>
      <c r="C4811" s="7">
        <v>7.4649999999999999</v>
      </c>
      <c r="D4811" s="7">
        <v>16.170000000000002</v>
      </c>
      <c r="E4811" s="85">
        <f t="shared" si="343"/>
        <v>120.70905</v>
      </c>
    </row>
    <row r="4812" spans="1:5" ht="18" x14ac:dyDescent="0.35">
      <c r="A4812" s="5" t="s">
        <v>397</v>
      </c>
      <c r="B4812" s="50" t="s">
        <v>33</v>
      </c>
      <c r="C4812" s="7">
        <v>7.9</v>
      </c>
      <c r="D4812" s="7">
        <v>16.170000000000002</v>
      </c>
      <c r="E4812" s="85">
        <f t="shared" si="343"/>
        <v>127.74300000000002</v>
      </c>
    </row>
    <row r="4813" spans="1:5" ht="18" x14ac:dyDescent="0.35">
      <c r="A4813" s="5" t="s">
        <v>530</v>
      </c>
      <c r="B4813" s="50" t="s">
        <v>85</v>
      </c>
      <c r="C4813" s="7">
        <v>2</v>
      </c>
      <c r="D4813" s="7">
        <v>1.48</v>
      </c>
      <c r="E4813" s="85">
        <f t="shared" si="343"/>
        <v>2.96</v>
      </c>
    </row>
    <row r="4814" spans="1:5" ht="18" x14ac:dyDescent="0.35">
      <c r="A4814" s="5"/>
      <c r="B4814" s="50" t="s">
        <v>86</v>
      </c>
      <c r="C4814" s="7">
        <v>4</v>
      </c>
      <c r="D4814" s="7">
        <v>1.7</v>
      </c>
      <c r="E4814" s="85">
        <f t="shared" si="343"/>
        <v>6.8</v>
      </c>
    </row>
    <row r="4815" spans="1:5" ht="18" x14ac:dyDescent="0.35">
      <c r="A4815" s="5"/>
      <c r="B4815" s="50" t="s">
        <v>34</v>
      </c>
      <c r="C4815" s="7">
        <v>0.21</v>
      </c>
      <c r="D4815" s="7">
        <v>14.61</v>
      </c>
      <c r="E4815" s="85">
        <f t="shared" si="343"/>
        <v>3.0680999999999998</v>
      </c>
    </row>
    <row r="4816" spans="1:5" ht="18" x14ac:dyDescent="0.35">
      <c r="A4816" s="5"/>
      <c r="B4816" s="50" t="s">
        <v>35</v>
      </c>
      <c r="C4816" s="7">
        <v>4</v>
      </c>
      <c r="D4816" s="7">
        <v>2.91</v>
      </c>
      <c r="E4816" s="85">
        <f t="shared" si="343"/>
        <v>11.64</v>
      </c>
    </row>
    <row r="4817" spans="1:5" ht="18" x14ac:dyDescent="0.35">
      <c r="A4817" s="5"/>
      <c r="B4817" s="50" t="s">
        <v>36</v>
      </c>
      <c r="C4817" s="7">
        <v>4</v>
      </c>
      <c r="D4817" s="7">
        <v>0.61</v>
      </c>
      <c r="E4817" s="85">
        <f t="shared" si="343"/>
        <v>2.44</v>
      </c>
    </row>
    <row r="4818" spans="1:5" ht="18" x14ac:dyDescent="0.35">
      <c r="A4818" s="5"/>
      <c r="B4818" s="5"/>
      <c r="C4818" s="54"/>
      <c r="D4818" s="54"/>
      <c r="E4818" s="89">
        <f>SUM(E4810:E4817)</f>
        <v>308.77349000000004</v>
      </c>
    </row>
    <row r="4819" spans="1:5" ht="18" x14ac:dyDescent="0.35">
      <c r="A4819" s="5"/>
      <c r="B4819" s="5"/>
      <c r="C4819" s="54"/>
      <c r="D4819" s="54" t="s">
        <v>1116</v>
      </c>
      <c r="E4819" s="89">
        <f>E4818+E4818*30%</f>
        <v>401.40553700000004</v>
      </c>
    </row>
    <row r="4820" spans="1:5" ht="18" x14ac:dyDescent="0.35">
      <c r="A4820" s="5"/>
      <c r="B4820" s="50" t="s">
        <v>37</v>
      </c>
      <c r="C4820" s="54">
        <v>0.5</v>
      </c>
      <c r="D4820" s="54">
        <v>200</v>
      </c>
      <c r="E4820" s="85">
        <v>85</v>
      </c>
    </row>
    <row r="4821" spans="1:5" ht="18" x14ac:dyDescent="0.35">
      <c r="A4821" s="5"/>
      <c r="B4821" s="5"/>
      <c r="C4821" s="54"/>
      <c r="D4821" s="54"/>
      <c r="E4821" s="85">
        <f>SUM(E4819:E4820)</f>
        <v>486.40553700000004</v>
      </c>
    </row>
    <row r="4823" spans="1:5" x14ac:dyDescent="0.3">
      <c r="A4823" t="s">
        <v>1405</v>
      </c>
    </row>
    <row r="4824" spans="1:5" ht="21" x14ac:dyDescent="0.4">
      <c r="A4824" s="40" t="s">
        <v>1408</v>
      </c>
      <c r="B4824" s="40"/>
      <c r="C4824" s="84"/>
    </row>
    <row r="4825" spans="1:5" ht="18" x14ac:dyDescent="0.35">
      <c r="A4825" s="5"/>
      <c r="B4825" s="5"/>
      <c r="C4825" s="7" t="s">
        <v>28</v>
      </c>
      <c r="D4825" s="7" t="s">
        <v>29</v>
      </c>
      <c r="E4825" s="7" t="s">
        <v>30</v>
      </c>
    </row>
    <row r="4826" spans="1:5" ht="18" x14ac:dyDescent="0.35">
      <c r="A4826" s="5" t="s">
        <v>1406</v>
      </c>
      <c r="B4826" s="50" t="s">
        <v>32</v>
      </c>
      <c r="C4826" s="7">
        <v>1.2929999999999999</v>
      </c>
      <c r="D4826" s="7">
        <v>11.37</v>
      </c>
      <c r="E4826" s="85">
        <f t="shared" ref="E4826:E4831" si="344">C4826*D4826</f>
        <v>14.701409999999997</v>
      </c>
    </row>
    <row r="4827" spans="1:5" ht="18" x14ac:dyDescent="0.35">
      <c r="A4827" s="5" t="s">
        <v>1407</v>
      </c>
      <c r="B4827" s="50" t="s">
        <v>33</v>
      </c>
      <c r="C4827" s="7">
        <v>3.339</v>
      </c>
      <c r="D4827" s="7">
        <v>14.94</v>
      </c>
      <c r="E4827" s="85">
        <f t="shared" si="344"/>
        <v>49.884659999999997</v>
      </c>
    </row>
    <row r="4828" spans="1:5" ht="18" x14ac:dyDescent="0.35">
      <c r="A4828" s="5" t="s">
        <v>530</v>
      </c>
      <c r="B4828" s="50" t="s">
        <v>85</v>
      </c>
      <c r="C4828" s="7">
        <v>2</v>
      </c>
      <c r="D4828" s="7">
        <v>1.48</v>
      </c>
      <c r="E4828" s="85">
        <f t="shared" si="344"/>
        <v>2.96</v>
      </c>
    </row>
    <row r="4829" spans="1:5" ht="18" x14ac:dyDescent="0.35">
      <c r="A4829" s="5" t="s">
        <v>1377</v>
      </c>
      <c r="B4829" s="50" t="s">
        <v>34</v>
      </c>
      <c r="C4829" s="7"/>
      <c r="D4829" s="7">
        <v>14.61</v>
      </c>
      <c r="E4829" s="85">
        <f t="shared" si="344"/>
        <v>0</v>
      </c>
    </row>
    <row r="4830" spans="1:5" ht="18" x14ac:dyDescent="0.35">
      <c r="A4830" s="5"/>
      <c r="B4830" s="50" t="s">
        <v>35</v>
      </c>
      <c r="C4830" s="7">
        <v>4</v>
      </c>
      <c r="D4830" s="7">
        <v>2.91</v>
      </c>
      <c r="E4830" s="85">
        <f t="shared" si="344"/>
        <v>11.64</v>
      </c>
    </row>
    <row r="4831" spans="1:5" ht="18" x14ac:dyDescent="0.35">
      <c r="A4831" s="5"/>
      <c r="B4831" s="50" t="s">
        <v>36</v>
      </c>
      <c r="C4831" s="7">
        <v>4</v>
      </c>
      <c r="D4831" s="7">
        <v>0.61</v>
      </c>
      <c r="E4831" s="85">
        <f t="shared" si="344"/>
        <v>2.44</v>
      </c>
    </row>
    <row r="4832" spans="1:5" ht="18" x14ac:dyDescent="0.35">
      <c r="A4832" s="5"/>
      <c r="B4832" s="5"/>
      <c r="C4832" s="54"/>
      <c r="D4832" s="54"/>
      <c r="E4832" s="89">
        <f>SUM(E4826:E4831)</f>
        <v>81.626069999999984</v>
      </c>
    </row>
    <row r="4833" spans="1:5" ht="18" x14ac:dyDescent="0.35">
      <c r="A4833" s="5"/>
      <c r="B4833" s="5"/>
      <c r="C4833" s="54"/>
      <c r="D4833" s="54" t="s">
        <v>1063</v>
      </c>
      <c r="E4833" s="89">
        <f>E4832+E4832*40%</f>
        <v>114.27649799999998</v>
      </c>
    </row>
    <row r="4834" spans="1:5" ht="18" x14ac:dyDescent="0.35">
      <c r="A4834" s="5"/>
      <c r="B4834" s="50" t="s">
        <v>37</v>
      </c>
      <c r="C4834" s="54">
        <v>0.4</v>
      </c>
      <c r="D4834" s="54">
        <v>200</v>
      </c>
      <c r="E4834" s="85">
        <f>C4834*D4834</f>
        <v>80</v>
      </c>
    </row>
    <row r="4835" spans="1:5" ht="18" x14ac:dyDescent="0.35">
      <c r="A4835" s="5"/>
      <c r="B4835" s="5"/>
      <c r="C4835" s="54"/>
      <c r="D4835" s="54"/>
      <c r="E4835" s="85">
        <f>SUM(E4833:E4834)</f>
        <v>194.27649799999998</v>
      </c>
    </row>
    <row r="4837" spans="1:5" x14ac:dyDescent="0.3">
      <c r="A4837" t="s">
        <v>1405</v>
      </c>
    </row>
    <row r="4838" spans="1:5" ht="21" x14ac:dyDescent="0.4">
      <c r="A4838" s="40" t="s">
        <v>1409</v>
      </c>
      <c r="B4838" s="40"/>
      <c r="C4838" s="84"/>
    </row>
    <row r="4839" spans="1:5" ht="18" x14ac:dyDescent="0.35">
      <c r="A4839" s="5"/>
      <c r="B4839" s="5"/>
      <c r="C4839" s="7" t="s">
        <v>28</v>
      </c>
      <c r="D4839" s="7" t="s">
        <v>29</v>
      </c>
      <c r="E4839" s="7" t="s">
        <v>30</v>
      </c>
    </row>
    <row r="4840" spans="1:5" ht="18" x14ac:dyDescent="0.35">
      <c r="A4840" s="5" t="s">
        <v>1410</v>
      </c>
      <c r="B4840" s="50" t="s">
        <v>32</v>
      </c>
      <c r="C4840" s="7">
        <v>0.874</v>
      </c>
      <c r="D4840" s="7">
        <v>11.37</v>
      </c>
      <c r="E4840" s="85">
        <f t="shared" ref="E4840:E4845" si="345">C4840*D4840</f>
        <v>9.9373799999999992</v>
      </c>
    </row>
    <row r="4841" spans="1:5" ht="18" x14ac:dyDescent="0.35">
      <c r="A4841" s="5" t="s">
        <v>829</v>
      </c>
      <c r="B4841" s="50" t="s">
        <v>33</v>
      </c>
      <c r="C4841" s="7">
        <v>1.008</v>
      </c>
      <c r="D4841" s="7">
        <v>14.94</v>
      </c>
      <c r="E4841" s="85">
        <f t="shared" si="345"/>
        <v>15.059519999999999</v>
      </c>
    </row>
    <row r="4842" spans="1:5" ht="18" x14ac:dyDescent="0.35">
      <c r="A4842" s="5" t="s">
        <v>530</v>
      </c>
      <c r="B4842" s="50" t="s">
        <v>42</v>
      </c>
      <c r="C4842" s="7">
        <v>2</v>
      </c>
      <c r="D4842" s="7">
        <v>1.1499999999999999</v>
      </c>
      <c r="E4842" s="85">
        <f t="shared" si="345"/>
        <v>2.2999999999999998</v>
      </c>
    </row>
    <row r="4843" spans="1:5" ht="18" x14ac:dyDescent="0.35">
      <c r="A4843" s="5" t="s">
        <v>1377</v>
      </c>
      <c r="B4843" s="50" t="s">
        <v>34</v>
      </c>
      <c r="C4843" s="7"/>
      <c r="D4843" s="7">
        <v>14.61</v>
      </c>
      <c r="E4843" s="85">
        <f t="shared" si="345"/>
        <v>0</v>
      </c>
    </row>
    <row r="4844" spans="1:5" ht="18" x14ac:dyDescent="0.35">
      <c r="A4844" s="5"/>
      <c r="B4844" s="50" t="s">
        <v>35</v>
      </c>
      <c r="C4844" s="7">
        <v>4</v>
      </c>
      <c r="D4844" s="7">
        <v>2.91</v>
      </c>
      <c r="E4844" s="85">
        <f t="shared" si="345"/>
        <v>11.64</v>
      </c>
    </row>
    <row r="4845" spans="1:5" ht="18" x14ac:dyDescent="0.35">
      <c r="A4845" s="5"/>
      <c r="B4845" s="50" t="s">
        <v>36</v>
      </c>
      <c r="C4845" s="7">
        <v>4</v>
      </c>
      <c r="D4845" s="7">
        <v>0.61</v>
      </c>
      <c r="E4845" s="85">
        <f t="shared" si="345"/>
        <v>2.44</v>
      </c>
    </row>
    <row r="4846" spans="1:5" ht="18" x14ac:dyDescent="0.35">
      <c r="A4846" s="5"/>
      <c r="B4846" s="5"/>
      <c r="C4846" s="54"/>
      <c r="D4846" s="54"/>
      <c r="E4846" s="89">
        <f>SUM(E4840:E4845)</f>
        <v>41.376899999999992</v>
      </c>
    </row>
    <row r="4847" spans="1:5" ht="18" x14ac:dyDescent="0.35">
      <c r="A4847" s="5"/>
      <c r="B4847" s="5"/>
      <c r="C4847" s="54"/>
      <c r="D4847" s="54" t="s">
        <v>1063</v>
      </c>
      <c r="E4847" s="89">
        <f>E4846+E4846*40%</f>
        <v>57.927659999999989</v>
      </c>
    </row>
    <row r="4848" spans="1:5" ht="18" x14ac:dyDescent="0.35">
      <c r="A4848" s="5"/>
      <c r="B4848" s="50" t="s">
        <v>37</v>
      </c>
      <c r="C4848" s="54">
        <v>0.4</v>
      </c>
      <c r="D4848" s="54">
        <v>200</v>
      </c>
      <c r="E4848" s="85">
        <f>C4848*D4848</f>
        <v>80</v>
      </c>
    </row>
    <row r="4849" spans="1:5" ht="18" x14ac:dyDescent="0.35">
      <c r="A4849" s="5"/>
      <c r="B4849" s="5"/>
      <c r="C4849" s="54"/>
      <c r="D4849" s="54"/>
      <c r="E4849" s="85">
        <f>SUM(E4847:E4848)</f>
        <v>137.92766</v>
      </c>
    </row>
    <row r="4851" spans="1:5" x14ac:dyDescent="0.3">
      <c r="A4851" t="s">
        <v>1405</v>
      </c>
    </row>
    <row r="4852" spans="1:5" ht="21" x14ac:dyDescent="0.4">
      <c r="A4852" s="40" t="s">
        <v>1412</v>
      </c>
      <c r="B4852" s="40"/>
      <c r="C4852" s="84"/>
    </row>
    <row r="4853" spans="1:5" ht="18" x14ac:dyDescent="0.35">
      <c r="A4853" s="5"/>
      <c r="B4853" s="5"/>
      <c r="C4853" s="7" t="s">
        <v>28</v>
      </c>
      <c r="D4853" s="7" t="s">
        <v>29</v>
      </c>
      <c r="E4853" s="7" t="s">
        <v>30</v>
      </c>
    </row>
    <row r="4854" spans="1:5" ht="18" x14ac:dyDescent="0.35">
      <c r="A4854" s="5" t="s">
        <v>1411</v>
      </c>
      <c r="B4854" s="50" t="s">
        <v>32</v>
      </c>
      <c r="C4854" s="7">
        <v>2.1539999999999999</v>
      </c>
      <c r="D4854" s="7">
        <v>11.37</v>
      </c>
      <c r="E4854" s="85">
        <f t="shared" ref="E4854:E4859" si="346">C4854*D4854</f>
        <v>24.490979999999997</v>
      </c>
    </row>
    <row r="4855" spans="1:5" ht="18" x14ac:dyDescent="0.35">
      <c r="A4855" s="5" t="s">
        <v>819</v>
      </c>
      <c r="B4855" s="50" t="s">
        <v>33</v>
      </c>
      <c r="C4855" s="7">
        <v>10.657999999999999</v>
      </c>
      <c r="D4855" s="7">
        <v>14.94</v>
      </c>
      <c r="E4855" s="85">
        <f t="shared" si="346"/>
        <v>159.23051999999998</v>
      </c>
    </row>
    <row r="4856" spans="1:5" ht="18" x14ac:dyDescent="0.35">
      <c r="A4856" s="5" t="s">
        <v>530</v>
      </c>
      <c r="B4856" s="50" t="s">
        <v>98</v>
      </c>
      <c r="C4856" s="7">
        <v>2</v>
      </c>
      <c r="D4856" s="7">
        <v>3</v>
      </c>
      <c r="E4856" s="85">
        <f t="shared" si="346"/>
        <v>6</v>
      </c>
    </row>
    <row r="4857" spans="1:5" ht="18" x14ac:dyDescent="0.35">
      <c r="A4857" s="5" t="s">
        <v>1377</v>
      </c>
      <c r="B4857" s="50" t="s">
        <v>34</v>
      </c>
      <c r="C4857" s="7">
        <v>0.6</v>
      </c>
      <c r="D4857" s="7">
        <v>3.39</v>
      </c>
      <c r="E4857" s="85">
        <f t="shared" si="346"/>
        <v>2.0339999999999998</v>
      </c>
    </row>
    <row r="4858" spans="1:5" ht="18" x14ac:dyDescent="0.35">
      <c r="A4858" s="5"/>
      <c r="B4858" s="50" t="s">
        <v>35</v>
      </c>
      <c r="C4858" s="7">
        <v>4</v>
      </c>
      <c r="D4858" s="7">
        <v>2.91</v>
      </c>
      <c r="E4858" s="85">
        <f t="shared" si="346"/>
        <v>11.64</v>
      </c>
    </row>
    <row r="4859" spans="1:5" ht="18" x14ac:dyDescent="0.35">
      <c r="A4859" s="5"/>
      <c r="B4859" s="50" t="s">
        <v>36</v>
      </c>
      <c r="C4859" s="7">
        <v>4</v>
      </c>
      <c r="D4859" s="7">
        <v>0.61</v>
      </c>
      <c r="E4859" s="85">
        <f t="shared" si="346"/>
        <v>2.44</v>
      </c>
    </row>
    <row r="4860" spans="1:5" ht="18" x14ac:dyDescent="0.35">
      <c r="A4860" s="5"/>
      <c r="B4860" s="5"/>
      <c r="C4860" s="54"/>
      <c r="D4860" s="54"/>
      <c r="E4860" s="89">
        <f>SUM(E4854:E4859)</f>
        <v>205.83549999999997</v>
      </c>
    </row>
    <row r="4861" spans="1:5" ht="18" x14ac:dyDescent="0.35">
      <c r="A4861" s="5"/>
      <c r="B4861" s="5"/>
      <c r="C4861" s="54"/>
      <c r="D4861" s="54" t="s">
        <v>1063</v>
      </c>
      <c r="E4861" s="89">
        <f>E4860+E4860*40%</f>
        <v>288.16969999999998</v>
      </c>
    </row>
    <row r="4862" spans="1:5" ht="18" x14ac:dyDescent="0.35">
      <c r="A4862" s="5"/>
      <c r="B4862" s="50" t="s">
        <v>37</v>
      </c>
      <c r="C4862" s="54">
        <v>1</v>
      </c>
      <c r="D4862" s="54">
        <v>200</v>
      </c>
      <c r="E4862" s="85">
        <f>C4862*D4862</f>
        <v>200</v>
      </c>
    </row>
    <row r="4863" spans="1:5" ht="18" x14ac:dyDescent="0.35">
      <c r="A4863" s="5"/>
      <c r="B4863" s="5"/>
      <c r="C4863" s="54"/>
      <c r="D4863" s="54"/>
      <c r="E4863" s="85">
        <f>SUM(E4861:E4862)</f>
        <v>488.16969999999998</v>
      </c>
    </row>
    <row r="4865" spans="1:5" x14ac:dyDescent="0.3">
      <c r="A4865" t="s">
        <v>1405</v>
      </c>
    </row>
    <row r="4866" spans="1:5" ht="21" x14ac:dyDescent="0.4">
      <c r="A4866" s="40" t="s">
        <v>1413</v>
      </c>
      <c r="B4866" s="40"/>
      <c r="C4866" s="84"/>
    </row>
    <row r="4867" spans="1:5" ht="18" x14ac:dyDescent="0.35">
      <c r="A4867" s="5"/>
      <c r="B4867" s="5"/>
      <c r="C4867" s="7" t="s">
        <v>28</v>
      </c>
      <c r="D4867" s="7" t="s">
        <v>29</v>
      </c>
      <c r="E4867" s="7" t="s">
        <v>30</v>
      </c>
    </row>
    <row r="4868" spans="1:5" ht="18" x14ac:dyDescent="0.35">
      <c r="A4868" s="5" t="s">
        <v>1414</v>
      </c>
      <c r="B4868" s="50" t="s">
        <v>32</v>
      </c>
      <c r="C4868" s="7">
        <v>2.1120000000000001</v>
      </c>
      <c r="D4868" s="7">
        <v>11.37</v>
      </c>
      <c r="E4868" s="85">
        <f t="shared" ref="E4868:E4873" si="347">C4868*D4868</f>
        <v>24.013439999999999</v>
      </c>
    </row>
    <row r="4869" spans="1:5" ht="18" x14ac:dyDescent="0.35">
      <c r="A4869" s="5" t="s">
        <v>1415</v>
      </c>
      <c r="B4869" s="50" t="s">
        <v>33</v>
      </c>
      <c r="C4869" s="7">
        <v>10.050000000000001</v>
      </c>
      <c r="D4869" s="7">
        <v>14.94</v>
      </c>
      <c r="E4869" s="85">
        <f t="shared" si="347"/>
        <v>150.14700000000002</v>
      </c>
    </row>
    <row r="4870" spans="1:5" ht="18" x14ac:dyDescent="0.35">
      <c r="A4870" s="5" t="s">
        <v>659</v>
      </c>
      <c r="B4870" s="50" t="s">
        <v>98</v>
      </c>
      <c r="C4870" s="7">
        <v>2</v>
      </c>
      <c r="D4870" s="7">
        <v>3.39</v>
      </c>
      <c r="E4870" s="85">
        <f t="shared" si="347"/>
        <v>6.78</v>
      </c>
    </row>
    <row r="4871" spans="1:5" ht="18" x14ac:dyDescent="0.35">
      <c r="A4871" s="5" t="s">
        <v>1377</v>
      </c>
      <c r="B4871" s="50" t="s">
        <v>34</v>
      </c>
      <c r="C4871" s="7">
        <v>0.61</v>
      </c>
      <c r="D4871" s="7">
        <v>3.39</v>
      </c>
      <c r="E4871" s="85">
        <f t="shared" si="347"/>
        <v>2.0678999999999998</v>
      </c>
    </row>
    <row r="4872" spans="1:5" ht="18" x14ac:dyDescent="0.35">
      <c r="A4872" s="5"/>
      <c r="B4872" s="50" t="s">
        <v>35</v>
      </c>
      <c r="C4872" s="7">
        <v>4</v>
      </c>
      <c r="D4872" s="7">
        <v>2.91</v>
      </c>
      <c r="E4872" s="85">
        <f t="shared" si="347"/>
        <v>11.64</v>
      </c>
    </row>
    <row r="4873" spans="1:5" ht="18" x14ac:dyDescent="0.35">
      <c r="A4873" s="5"/>
      <c r="B4873" s="50" t="s">
        <v>36</v>
      </c>
      <c r="C4873" s="7">
        <v>4</v>
      </c>
      <c r="D4873" s="7">
        <v>0.61</v>
      </c>
      <c r="E4873" s="85">
        <f t="shared" si="347"/>
        <v>2.44</v>
      </c>
    </row>
    <row r="4874" spans="1:5" ht="18" x14ac:dyDescent="0.35">
      <c r="A4874" s="5"/>
      <c r="B4874" s="5"/>
      <c r="C4874" s="54"/>
      <c r="D4874" s="54"/>
      <c r="E4874" s="89">
        <f>SUM(E4868:E4873)</f>
        <v>197.08834000000002</v>
      </c>
    </row>
    <row r="4875" spans="1:5" ht="18" x14ac:dyDescent="0.35">
      <c r="A4875" s="5"/>
      <c r="B4875" s="5"/>
      <c r="C4875" s="54"/>
      <c r="D4875" s="54" t="s">
        <v>1063</v>
      </c>
      <c r="E4875" s="89">
        <f>E4874+E4874*40%</f>
        <v>275.923676</v>
      </c>
    </row>
    <row r="4876" spans="1:5" ht="18" x14ac:dyDescent="0.35">
      <c r="A4876" s="5"/>
      <c r="B4876" s="50" t="s">
        <v>37</v>
      </c>
      <c r="C4876" s="54">
        <v>1</v>
      </c>
      <c r="D4876" s="54">
        <v>200</v>
      </c>
      <c r="E4876" s="85">
        <f>C4876*D4876</f>
        <v>200</v>
      </c>
    </row>
    <row r="4877" spans="1:5" ht="18" x14ac:dyDescent="0.35">
      <c r="A4877" s="5"/>
      <c r="B4877" s="5"/>
      <c r="C4877" s="54"/>
      <c r="D4877" s="54"/>
      <c r="E4877" s="85">
        <f>SUM(E4875:E4876)</f>
        <v>475.923676</v>
      </c>
    </row>
    <row r="4879" spans="1:5" x14ac:dyDescent="0.3">
      <c r="A4879" t="s">
        <v>1416</v>
      </c>
    </row>
    <row r="4880" spans="1:5" ht="21" x14ac:dyDescent="0.4">
      <c r="A4880" s="40" t="s">
        <v>1417</v>
      </c>
      <c r="B4880" s="40"/>
      <c r="C4880" s="84"/>
    </row>
    <row r="4881" spans="1:5" ht="18" x14ac:dyDescent="0.35">
      <c r="A4881" s="5"/>
      <c r="B4881" s="5"/>
      <c r="C4881" s="7" t="s">
        <v>28</v>
      </c>
      <c r="D4881" s="7" t="s">
        <v>29</v>
      </c>
      <c r="E4881" s="7" t="s">
        <v>30</v>
      </c>
    </row>
    <row r="4882" spans="1:5" ht="18" x14ac:dyDescent="0.35">
      <c r="A4882" s="5" t="s">
        <v>41</v>
      </c>
      <c r="B4882" s="50" t="s">
        <v>32</v>
      </c>
      <c r="C4882" s="7">
        <v>1.3979999999999999</v>
      </c>
      <c r="D4882" s="7">
        <v>10.34</v>
      </c>
      <c r="E4882" s="85">
        <f t="shared" ref="E4882:E4887" si="348">C4882*D4882</f>
        <v>14.455319999999999</v>
      </c>
    </row>
    <row r="4883" spans="1:5" ht="18" x14ac:dyDescent="0.35">
      <c r="A4883" s="5" t="s">
        <v>829</v>
      </c>
      <c r="B4883" s="50" t="s">
        <v>33</v>
      </c>
      <c r="C4883" s="7">
        <v>2.0579999999999998</v>
      </c>
      <c r="D4883" s="7">
        <v>16.170000000000002</v>
      </c>
      <c r="E4883" s="85">
        <f t="shared" si="348"/>
        <v>33.277860000000004</v>
      </c>
    </row>
    <row r="4884" spans="1:5" ht="18" x14ac:dyDescent="0.35">
      <c r="A4884" s="5" t="s">
        <v>530</v>
      </c>
      <c r="B4884" s="50" t="s">
        <v>42</v>
      </c>
      <c r="C4884" s="7">
        <v>2</v>
      </c>
      <c r="D4884" s="7">
        <v>1.1499999999999999</v>
      </c>
      <c r="E4884" s="85">
        <f t="shared" si="348"/>
        <v>2.2999999999999998</v>
      </c>
    </row>
    <row r="4885" spans="1:5" ht="18" x14ac:dyDescent="0.35">
      <c r="A4885" s="5" t="s">
        <v>1377</v>
      </c>
      <c r="B4885" s="50" t="s">
        <v>34</v>
      </c>
      <c r="C4885" s="7"/>
      <c r="D4885" s="7">
        <v>14.61</v>
      </c>
      <c r="E4885" s="85">
        <f t="shared" si="348"/>
        <v>0</v>
      </c>
    </row>
    <row r="4886" spans="1:5" ht="18" x14ac:dyDescent="0.35">
      <c r="A4886" s="5"/>
      <c r="B4886" s="50" t="s">
        <v>35</v>
      </c>
      <c r="C4886" s="7">
        <v>4</v>
      </c>
      <c r="D4886" s="7">
        <v>2.91</v>
      </c>
      <c r="E4886" s="85">
        <f t="shared" si="348"/>
        <v>11.64</v>
      </c>
    </row>
    <row r="4887" spans="1:5" ht="18" x14ac:dyDescent="0.35">
      <c r="A4887" s="5"/>
      <c r="B4887" s="50" t="s">
        <v>36</v>
      </c>
      <c r="C4887" s="7">
        <v>4</v>
      </c>
      <c r="D4887" s="7">
        <v>0.61</v>
      </c>
      <c r="E4887" s="85">
        <f t="shared" si="348"/>
        <v>2.44</v>
      </c>
    </row>
    <row r="4888" spans="1:5" ht="18" x14ac:dyDescent="0.35">
      <c r="A4888" s="5"/>
      <c r="B4888" s="5"/>
      <c r="C4888" s="54"/>
      <c r="D4888" s="54"/>
      <c r="E4888" s="89">
        <f>SUM(E4882:E4887)</f>
        <v>64.11318</v>
      </c>
    </row>
    <row r="4889" spans="1:5" ht="18" x14ac:dyDescent="0.35">
      <c r="A4889" s="5"/>
      <c r="B4889" s="5"/>
      <c r="C4889" s="54"/>
      <c r="D4889" s="54" t="s">
        <v>1063</v>
      </c>
      <c r="E4889" s="89">
        <f>E4888+E4888*40%</f>
        <v>89.758452000000005</v>
      </c>
    </row>
    <row r="4890" spans="1:5" ht="18" x14ac:dyDescent="0.35">
      <c r="A4890" s="5"/>
      <c r="B4890" s="50" t="s">
        <v>37</v>
      </c>
      <c r="C4890" s="54">
        <v>0.4</v>
      </c>
      <c r="D4890" s="54">
        <v>200</v>
      </c>
      <c r="E4890" s="85">
        <f>C4890*D4890</f>
        <v>80</v>
      </c>
    </row>
    <row r="4891" spans="1:5" ht="18" x14ac:dyDescent="0.35">
      <c r="A4891" s="5"/>
      <c r="B4891" s="5"/>
      <c r="C4891" s="54"/>
      <c r="D4891" s="54"/>
      <c r="E4891" s="85">
        <f>SUM(E4889:E4890)</f>
        <v>169.75845200000001</v>
      </c>
    </row>
    <row r="4892" spans="1:5" x14ac:dyDescent="0.3">
      <c r="A4892" t="s">
        <v>1427</v>
      </c>
    </row>
    <row r="4893" spans="1:5" ht="21" x14ac:dyDescent="0.4">
      <c r="A4893" s="40" t="s">
        <v>1420</v>
      </c>
      <c r="B4893" s="40"/>
      <c r="C4893" s="84"/>
    </row>
    <row r="4894" spans="1:5" ht="18" x14ac:dyDescent="0.35">
      <c r="A4894" s="5"/>
      <c r="B4894" s="5"/>
      <c r="C4894" s="7" t="s">
        <v>28</v>
      </c>
      <c r="D4894" s="7" t="s">
        <v>29</v>
      </c>
      <c r="E4894" s="7" t="s">
        <v>30</v>
      </c>
    </row>
    <row r="4895" spans="1:5" ht="18" x14ac:dyDescent="0.35">
      <c r="A4895" s="5" t="s">
        <v>1421</v>
      </c>
      <c r="B4895" s="50" t="s">
        <v>32</v>
      </c>
      <c r="C4895" s="7">
        <v>4.0229999999999997</v>
      </c>
      <c r="D4895" s="7">
        <v>10.34</v>
      </c>
      <c r="E4895" s="85">
        <f t="shared" ref="E4895:E4900" si="349">C4895*D4895</f>
        <v>41.597819999999999</v>
      </c>
    </row>
    <row r="4896" spans="1:5" ht="18" x14ac:dyDescent="0.35">
      <c r="A4896" s="5" t="s">
        <v>828</v>
      </c>
      <c r="B4896" s="50" t="s">
        <v>33</v>
      </c>
      <c r="C4896" s="7">
        <v>15.497999999999999</v>
      </c>
      <c r="D4896" s="7">
        <v>16.170000000000002</v>
      </c>
      <c r="E4896" s="85">
        <f t="shared" si="349"/>
        <v>250.60266000000001</v>
      </c>
    </row>
    <row r="4897" spans="1:5" ht="18" x14ac:dyDescent="0.35">
      <c r="A4897" s="5" t="s">
        <v>1205</v>
      </c>
      <c r="B4897" s="50" t="s">
        <v>85</v>
      </c>
      <c r="C4897" s="7">
        <v>2</v>
      </c>
      <c r="D4897" s="7">
        <v>1.48</v>
      </c>
      <c r="E4897" s="85">
        <f t="shared" si="349"/>
        <v>2.96</v>
      </c>
    </row>
    <row r="4898" spans="1:5" ht="18" x14ac:dyDescent="0.35">
      <c r="A4898" s="5" t="s">
        <v>1377</v>
      </c>
      <c r="B4898" s="50" t="s">
        <v>34</v>
      </c>
      <c r="C4898" s="7">
        <v>0.84</v>
      </c>
      <c r="D4898" s="7">
        <v>14.61</v>
      </c>
      <c r="E4898" s="85">
        <f t="shared" si="349"/>
        <v>12.272399999999999</v>
      </c>
    </row>
    <row r="4899" spans="1:5" ht="18" x14ac:dyDescent="0.35">
      <c r="A4899" s="5"/>
      <c r="B4899" s="50" t="s">
        <v>35</v>
      </c>
      <c r="C4899" s="7">
        <v>4</v>
      </c>
      <c r="D4899" s="7">
        <v>2.91</v>
      </c>
      <c r="E4899" s="85">
        <f t="shared" si="349"/>
        <v>11.64</v>
      </c>
    </row>
    <row r="4900" spans="1:5" ht="18" x14ac:dyDescent="0.35">
      <c r="A4900" s="5"/>
      <c r="B4900" s="50" t="s">
        <v>36</v>
      </c>
      <c r="C4900" s="7">
        <v>4</v>
      </c>
      <c r="D4900" s="7">
        <v>0.61</v>
      </c>
      <c r="E4900" s="85">
        <f t="shared" si="349"/>
        <v>2.44</v>
      </c>
    </row>
    <row r="4901" spans="1:5" ht="18" x14ac:dyDescent="0.35">
      <c r="A4901" s="5"/>
      <c r="B4901" s="5"/>
      <c r="C4901" s="54"/>
      <c r="D4901" s="54"/>
      <c r="E4901" s="89">
        <f>SUM(E4895:E4900)</f>
        <v>321.51288</v>
      </c>
    </row>
    <row r="4902" spans="1:5" ht="18" x14ac:dyDescent="0.35">
      <c r="A4902" s="5"/>
      <c r="B4902" s="5"/>
      <c r="C4902" s="54"/>
      <c r="D4902" s="54" t="s">
        <v>1063</v>
      </c>
      <c r="E4902" s="89">
        <f>E4901+E4901*40%</f>
        <v>450.11803199999997</v>
      </c>
    </row>
    <row r="4903" spans="1:5" ht="18" x14ac:dyDescent="0.35">
      <c r="A4903" s="5"/>
      <c r="B4903" s="50" t="s">
        <v>37</v>
      </c>
      <c r="C4903" s="54">
        <v>1</v>
      </c>
      <c r="D4903" s="54">
        <v>200</v>
      </c>
      <c r="E4903" s="85">
        <f>C4903*D4903</f>
        <v>200</v>
      </c>
    </row>
    <row r="4904" spans="1:5" ht="18" x14ac:dyDescent="0.35">
      <c r="A4904" s="5"/>
      <c r="B4904" s="5"/>
      <c r="C4904" s="54"/>
      <c r="D4904" s="54"/>
      <c r="E4904" s="85">
        <f>SUM(E4902:E4903)</f>
        <v>650.11803199999997</v>
      </c>
    </row>
    <row r="4905" spans="1:5" x14ac:dyDescent="0.3">
      <c r="A4905" t="s">
        <v>1427</v>
      </c>
    </row>
    <row r="4906" spans="1:5" ht="21" x14ac:dyDescent="0.4">
      <c r="A4906" s="40" t="s">
        <v>1422</v>
      </c>
      <c r="B4906" s="40"/>
      <c r="C4906" s="40"/>
      <c r="D4906" s="12"/>
      <c r="E4906" s="12"/>
    </row>
    <row r="4907" spans="1:5" ht="18" x14ac:dyDescent="0.35">
      <c r="A4907" s="5"/>
      <c r="B4907" s="5"/>
      <c r="C4907" s="7" t="s">
        <v>28</v>
      </c>
      <c r="D4907" s="7" t="s">
        <v>29</v>
      </c>
      <c r="E4907" s="7" t="s">
        <v>30</v>
      </c>
    </row>
    <row r="4908" spans="1:5" ht="18" x14ac:dyDescent="0.35">
      <c r="A4908" s="5" t="s">
        <v>1421</v>
      </c>
      <c r="B4908" s="50" t="s">
        <v>32</v>
      </c>
      <c r="C4908" s="7">
        <v>4.0229999999999997</v>
      </c>
      <c r="D4908" s="7">
        <v>11.37</v>
      </c>
      <c r="E4908" s="85">
        <f>C4908*D4908</f>
        <v>45.741509999999991</v>
      </c>
    </row>
    <row r="4909" spans="1:5" ht="18" x14ac:dyDescent="0.35">
      <c r="A4909" s="5" t="s">
        <v>1356</v>
      </c>
      <c r="B4909" s="50" t="s">
        <v>33</v>
      </c>
      <c r="C4909" s="7">
        <v>24.108000000000001</v>
      </c>
      <c r="D4909" s="7">
        <v>15.25</v>
      </c>
      <c r="E4909" s="85">
        <f>C4909*D4909</f>
        <v>367.64699999999999</v>
      </c>
    </row>
    <row r="4910" spans="1:5" ht="18" x14ac:dyDescent="0.35">
      <c r="A4910" s="5" t="s">
        <v>1205</v>
      </c>
      <c r="B4910" s="50" t="s">
        <v>137</v>
      </c>
      <c r="C4910" s="7">
        <v>0.84</v>
      </c>
      <c r="D4910" s="7">
        <v>15.25</v>
      </c>
      <c r="E4910" s="85">
        <f>C4910*D4910</f>
        <v>12.809999999999999</v>
      </c>
    </row>
    <row r="4911" spans="1:5" ht="18" x14ac:dyDescent="0.35">
      <c r="A4911" s="5"/>
      <c r="B4911" s="50" t="s">
        <v>35</v>
      </c>
      <c r="C4911" s="7">
        <v>4</v>
      </c>
      <c r="D4911" s="7">
        <v>2.91</v>
      </c>
      <c r="E4911" s="85">
        <f>C4911*D4911</f>
        <v>11.64</v>
      </c>
    </row>
    <row r="4912" spans="1:5" ht="18" x14ac:dyDescent="0.35">
      <c r="A4912" s="5"/>
      <c r="B4912" s="50" t="s">
        <v>36</v>
      </c>
      <c r="C4912" s="7">
        <v>4</v>
      </c>
      <c r="D4912" s="7">
        <v>0.61</v>
      </c>
      <c r="E4912" s="85">
        <f>C4912*D4912</f>
        <v>2.44</v>
      </c>
    </row>
    <row r="4913" spans="1:5" ht="18" x14ac:dyDescent="0.35">
      <c r="A4913" s="5"/>
      <c r="B4913" s="50"/>
      <c r="C4913" s="87"/>
      <c r="D4913" s="88"/>
      <c r="E4913" s="85">
        <f>SUM(E4908:E4912)</f>
        <v>440.27850999999998</v>
      </c>
    </row>
    <row r="4914" spans="1:5" ht="18" x14ac:dyDescent="0.35">
      <c r="A4914" s="5"/>
      <c r="B4914" s="50"/>
      <c r="C4914" s="87"/>
      <c r="D4914" s="88" t="s">
        <v>1266</v>
      </c>
      <c r="E4914" s="85">
        <f>E4913+E4913*40%</f>
        <v>616.38991399999998</v>
      </c>
    </row>
    <row r="4915" spans="1:5" ht="18" x14ac:dyDescent="0.35">
      <c r="A4915" s="5"/>
      <c r="B4915" s="50" t="s">
        <v>37</v>
      </c>
      <c r="C4915" s="54">
        <v>1.2</v>
      </c>
      <c r="D4915" s="86">
        <v>200</v>
      </c>
      <c r="E4915" s="85">
        <f>C4915*D4915</f>
        <v>240</v>
      </c>
    </row>
    <row r="4916" spans="1:5" ht="18" x14ac:dyDescent="0.35">
      <c r="A4916" s="5"/>
      <c r="B4916" s="5"/>
      <c r="C4916" s="54"/>
      <c r="D4916" s="54"/>
      <c r="E4916" s="85">
        <f>SUM(E4914:E4915)</f>
        <v>856.38991399999998</v>
      </c>
    </row>
    <row r="4918" spans="1:5" ht="21" x14ac:dyDescent="0.4">
      <c r="A4918" s="40" t="s">
        <v>1423</v>
      </c>
      <c r="B4918" s="40"/>
      <c r="C4918" s="40"/>
      <c r="D4918" s="12"/>
      <c r="E4918" s="12"/>
    </row>
    <row r="4919" spans="1:5" ht="18" x14ac:dyDescent="0.35">
      <c r="A4919" t="s">
        <v>1427</v>
      </c>
      <c r="B4919" s="5"/>
      <c r="C4919" s="7" t="s">
        <v>28</v>
      </c>
      <c r="D4919" s="7" t="s">
        <v>29</v>
      </c>
      <c r="E4919" s="7" t="s">
        <v>30</v>
      </c>
    </row>
    <row r="4920" spans="1:5" ht="18" x14ac:dyDescent="0.35">
      <c r="A4920" s="5" t="s">
        <v>1424</v>
      </c>
      <c r="B4920" s="50" t="s">
        <v>32</v>
      </c>
      <c r="C4920" s="7">
        <v>2.532</v>
      </c>
      <c r="D4920" s="7">
        <v>11.37</v>
      </c>
      <c r="E4920" s="85">
        <f>C4920*D4920</f>
        <v>28.788839999999997</v>
      </c>
    </row>
    <row r="4921" spans="1:5" ht="18" x14ac:dyDescent="0.35">
      <c r="A4921" s="5" t="s">
        <v>1356</v>
      </c>
      <c r="B4921" s="50" t="s">
        <v>33</v>
      </c>
      <c r="C4921" s="7">
        <v>13.670999999999999</v>
      </c>
      <c r="D4921" s="7">
        <v>15.25</v>
      </c>
      <c r="E4921" s="85">
        <f>C4921*D4921</f>
        <v>208.48274999999998</v>
      </c>
    </row>
    <row r="4922" spans="1:5" ht="18" x14ac:dyDescent="0.35">
      <c r="A4922" s="5" t="s">
        <v>1425</v>
      </c>
      <c r="B4922" s="50" t="s">
        <v>137</v>
      </c>
      <c r="C4922" s="7">
        <v>0.84</v>
      </c>
      <c r="D4922" s="7">
        <v>15.25</v>
      </c>
      <c r="E4922" s="85">
        <f>C4922*D4922</f>
        <v>12.809999999999999</v>
      </c>
    </row>
    <row r="4923" spans="1:5" ht="18" x14ac:dyDescent="0.35">
      <c r="A4923" s="5"/>
      <c r="B4923" s="50" t="s">
        <v>35</v>
      </c>
      <c r="C4923" s="7">
        <v>4</v>
      </c>
      <c r="D4923" s="7">
        <v>2.91</v>
      </c>
      <c r="E4923" s="85">
        <f>C4923*D4923</f>
        <v>11.64</v>
      </c>
    </row>
    <row r="4924" spans="1:5" ht="18" x14ac:dyDescent="0.35">
      <c r="A4924" s="5"/>
      <c r="B4924" s="50" t="s">
        <v>36</v>
      </c>
      <c r="C4924" s="7">
        <v>4</v>
      </c>
      <c r="D4924" s="7">
        <v>0.61</v>
      </c>
      <c r="E4924" s="85">
        <f>C4924*D4924</f>
        <v>2.44</v>
      </c>
    </row>
    <row r="4925" spans="1:5" ht="18" x14ac:dyDescent="0.35">
      <c r="A4925" s="5"/>
      <c r="B4925" s="50"/>
      <c r="C4925" s="87"/>
      <c r="D4925" s="88"/>
      <c r="E4925" s="85">
        <f>SUM(E4920:E4924)</f>
        <v>264.16158999999999</v>
      </c>
    </row>
    <row r="4926" spans="1:5" ht="18" x14ac:dyDescent="0.35">
      <c r="A4926" s="5"/>
      <c r="B4926" s="50"/>
      <c r="C4926" s="87"/>
      <c r="D4926" s="88" t="s">
        <v>1266</v>
      </c>
      <c r="E4926" s="85">
        <f>E4925+E4925*40%</f>
        <v>369.82622600000002</v>
      </c>
    </row>
    <row r="4927" spans="1:5" ht="18" x14ac:dyDescent="0.35">
      <c r="A4927" s="5"/>
      <c r="B4927" s="50" t="s">
        <v>37</v>
      </c>
      <c r="C4927" s="54">
        <v>1</v>
      </c>
      <c r="D4927" s="86">
        <v>200</v>
      </c>
      <c r="E4927" s="85">
        <f>C4927*D4927</f>
        <v>200</v>
      </c>
    </row>
    <row r="4928" spans="1:5" ht="18" x14ac:dyDescent="0.35">
      <c r="A4928" s="5"/>
      <c r="B4928" s="5"/>
      <c r="C4928" s="54"/>
      <c r="D4928" s="54"/>
      <c r="E4928" s="85">
        <f>SUM(E4926:E4927)</f>
        <v>569.82622600000002</v>
      </c>
    </row>
    <row r="4930" spans="1:5" ht="21" x14ac:dyDescent="0.4">
      <c r="A4930" s="40" t="s">
        <v>1426</v>
      </c>
      <c r="B4930" s="40"/>
      <c r="C4930" s="84"/>
    </row>
    <row r="4931" spans="1:5" ht="18" x14ac:dyDescent="0.35">
      <c r="A4931" t="s">
        <v>1427</v>
      </c>
      <c r="B4931" s="5"/>
      <c r="C4931" s="7" t="s">
        <v>28</v>
      </c>
      <c r="D4931" s="7" t="s">
        <v>29</v>
      </c>
      <c r="E4931" s="7" t="s">
        <v>30</v>
      </c>
    </row>
    <row r="4932" spans="1:5" ht="18" x14ac:dyDescent="0.35">
      <c r="A4932" s="5" t="s">
        <v>1424</v>
      </c>
      <c r="B4932" s="50" t="s">
        <v>32</v>
      </c>
      <c r="C4932" s="7">
        <v>2.532</v>
      </c>
      <c r="D4932" s="7">
        <v>10.34</v>
      </c>
      <c r="E4932" s="85">
        <f t="shared" ref="E4932:E4937" si="350">C4932*D4932</f>
        <v>26.180879999999998</v>
      </c>
    </row>
    <row r="4933" spans="1:5" ht="18" x14ac:dyDescent="0.35">
      <c r="A4933" s="5" t="s">
        <v>828</v>
      </c>
      <c r="B4933" s="50" t="s">
        <v>33</v>
      </c>
      <c r="C4933" s="7">
        <v>8.7880000000000003</v>
      </c>
      <c r="D4933" s="7">
        <v>16.170000000000002</v>
      </c>
      <c r="E4933" s="85">
        <f t="shared" si="350"/>
        <v>142.10196000000002</v>
      </c>
    </row>
    <row r="4934" spans="1:5" ht="18" x14ac:dyDescent="0.35">
      <c r="A4934" s="5" t="s">
        <v>1425</v>
      </c>
      <c r="B4934" s="50" t="s">
        <v>85</v>
      </c>
      <c r="C4934" s="7">
        <v>2</v>
      </c>
      <c r="D4934" s="7">
        <v>1.48</v>
      </c>
      <c r="E4934" s="85">
        <f t="shared" si="350"/>
        <v>2.96</v>
      </c>
    </row>
    <row r="4935" spans="1:5" ht="18" x14ac:dyDescent="0.35">
      <c r="A4935" s="5" t="s">
        <v>1377</v>
      </c>
      <c r="B4935" s="50" t="s">
        <v>34</v>
      </c>
      <c r="C4935" s="7">
        <v>0.42</v>
      </c>
      <c r="D4935" s="7">
        <v>14.61</v>
      </c>
      <c r="E4935" s="85">
        <f t="shared" si="350"/>
        <v>6.1361999999999997</v>
      </c>
    </row>
    <row r="4936" spans="1:5" ht="18" x14ac:dyDescent="0.35">
      <c r="A4936" s="5"/>
      <c r="B4936" s="50" t="s">
        <v>35</v>
      </c>
      <c r="C4936" s="7">
        <v>4</v>
      </c>
      <c r="D4936" s="7">
        <v>2.91</v>
      </c>
      <c r="E4936" s="85">
        <f t="shared" si="350"/>
        <v>11.64</v>
      </c>
    </row>
    <row r="4937" spans="1:5" ht="18" x14ac:dyDescent="0.35">
      <c r="A4937" s="5"/>
      <c r="B4937" s="50" t="s">
        <v>36</v>
      </c>
      <c r="C4937" s="7">
        <v>4</v>
      </c>
      <c r="D4937" s="7">
        <v>0.61</v>
      </c>
      <c r="E4937" s="85">
        <f t="shared" si="350"/>
        <v>2.44</v>
      </c>
    </row>
    <row r="4938" spans="1:5" ht="18" x14ac:dyDescent="0.35">
      <c r="A4938" s="5"/>
      <c r="B4938" s="5"/>
      <c r="C4938" s="54"/>
      <c r="D4938" s="54"/>
      <c r="E4938" s="89">
        <f>SUM(E4932:E4937)</f>
        <v>191.45904000000002</v>
      </c>
    </row>
    <row r="4939" spans="1:5" ht="18" x14ac:dyDescent="0.35">
      <c r="A4939" s="5"/>
      <c r="B4939" s="5"/>
      <c r="C4939" s="54"/>
      <c r="D4939" s="54" t="s">
        <v>1063</v>
      </c>
      <c r="E4939" s="89">
        <f>E4938+E4938*40%</f>
        <v>268.04265600000002</v>
      </c>
    </row>
    <row r="4940" spans="1:5" ht="18" x14ac:dyDescent="0.35">
      <c r="A4940" s="5"/>
      <c r="B4940" s="50" t="s">
        <v>37</v>
      </c>
      <c r="C4940" s="54">
        <v>1</v>
      </c>
      <c r="D4940" s="54">
        <v>200</v>
      </c>
      <c r="E4940" s="85">
        <f>C4940*D4940</f>
        <v>200</v>
      </c>
    </row>
    <row r="4941" spans="1:5" ht="18" x14ac:dyDescent="0.35">
      <c r="A4941" s="5"/>
      <c r="B4941" s="5"/>
      <c r="C4941" s="54"/>
      <c r="D4941" s="54"/>
      <c r="E4941" s="85">
        <f>SUM(E4939:E4940)</f>
        <v>468.04265600000002</v>
      </c>
    </row>
    <row r="4942" spans="1:5" x14ac:dyDescent="0.3">
      <c r="A4942" t="s">
        <v>1428</v>
      </c>
    </row>
    <row r="4943" spans="1:5" ht="21" x14ac:dyDescent="0.4">
      <c r="A4943" s="40" t="s">
        <v>1430</v>
      </c>
      <c r="B4943" s="40"/>
      <c r="C4943" s="84"/>
    </row>
    <row r="4944" spans="1:5" ht="18" x14ac:dyDescent="0.35">
      <c r="B4944" s="5"/>
      <c r="C4944" s="7" t="s">
        <v>28</v>
      </c>
      <c r="D4944" s="7" t="s">
        <v>29</v>
      </c>
      <c r="E4944" s="7" t="s">
        <v>30</v>
      </c>
    </row>
    <row r="4945" spans="1:5" ht="18" x14ac:dyDescent="0.35">
      <c r="A4945" s="5" t="s">
        <v>1429</v>
      </c>
      <c r="B4945" s="50" t="s">
        <v>32</v>
      </c>
      <c r="C4945" s="7">
        <v>2.1539999999999999</v>
      </c>
      <c r="D4945" s="7">
        <v>11.37</v>
      </c>
      <c r="E4945" s="85">
        <f t="shared" ref="E4945:E4950" si="351">C4945*D4945</f>
        <v>24.490979999999997</v>
      </c>
    </row>
    <row r="4946" spans="1:5" ht="18" x14ac:dyDescent="0.35">
      <c r="A4946" s="5" t="s">
        <v>828</v>
      </c>
      <c r="B4946" s="50" t="s">
        <v>33</v>
      </c>
      <c r="C4946" s="7">
        <v>7.2759999999999998</v>
      </c>
      <c r="D4946" s="7">
        <v>14.94</v>
      </c>
      <c r="E4946" s="85">
        <f t="shared" si="351"/>
        <v>108.70344</v>
      </c>
    </row>
    <row r="4947" spans="1:5" ht="18" x14ac:dyDescent="0.35">
      <c r="A4947" s="5" t="s">
        <v>1425</v>
      </c>
      <c r="B4947" s="50" t="s">
        <v>85</v>
      </c>
      <c r="C4947" s="7">
        <v>2</v>
      </c>
      <c r="D4947" s="7">
        <v>1.48</v>
      </c>
      <c r="E4947" s="85">
        <f t="shared" si="351"/>
        <v>2.96</v>
      </c>
    </row>
    <row r="4948" spans="1:5" ht="18" x14ac:dyDescent="0.35">
      <c r="A4948" s="5" t="s">
        <v>1377</v>
      </c>
      <c r="B4948" s="50" t="s">
        <v>34</v>
      </c>
      <c r="C4948" s="7">
        <v>0.38</v>
      </c>
      <c r="D4948" s="7">
        <v>14.61</v>
      </c>
      <c r="E4948" s="85">
        <f t="shared" si="351"/>
        <v>5.5518000000000001</v>
      </c>
    </row>
    <row r="4949" spans="1:5" ht="18" x14ac:dyDescent="0.35">
      <c r="A4949" s="5"/>
      <c r="B4949" s="50" t="s">
        <v>35</v>
      </c>
      <c r="C4949" s="7">
        <v>4</v>
      </c>
      <c r="D4949" s="7">
        <v>2.91</v>
      </c>
      <c r="E4949" s="85">
        <f t="shared" si="351"/>
        <v>11.64</v>
      </c>
    </row>
    <row r="4950" spans="1:5" ht="18" x14ac:dyDescent="0.35">
      <c r="A4950" s="5"/>
      <c r="B4950" s="50" t="s">
        <v>36</v>
      </c>
      <c r="C4950" s="7">
        <v>4</v>
      </c>
      <c r="D4950" s="7">
        <v>0.61</v>
      </c>
      <c r="E4950" s="85">
        <f t="shared" si="351"/>
        <v>2.44</v>
      </c>
    </row>
    <row r="4951" spans="1:5" ht="18" x14ac:dyDescent="0.35">
      <c r="A4951" s="5"/>
      <c r="B4951" s="5"/>
      <c r="C4951" s="54"/>
      <c r="D4951" s="54"/>
      <c r="E4951" s="89">
        <f>SUM(E4945:E4950)</f>
        <v>155.78622000000001</v>
      </c>
    </row>
    <row r="4952" spans="1:5" ht="18" x14ac:dyDescent="0.35">
      <c r="A4952" s="5"/>
      <c r="B4952" s="5"/>
      <c r="C4952" s="54"/>
      <c r="D4952" s="54" t="s">
        <v>1063</v>
      </c>
      <c r="E4952" s="89">
        <f>E4951+E4951*40%</f>
        <v>218.10070800000003</v>
      </c>
    </row>
    <row r="4953" spans="1:5" ht="18" x14ac:dyDescent="0.35">
      <c r="A4953" s="5"/>
      <c r="B4953" s="50" t="s">
        <v>37</v>
      </c>
      <c r="C4953" s="54">
        <v>1</v>
      </c>
      <c r="D4953" s="54">
        <v>200</v>
      </c>
      <c r="E4953" s="85">
        <f>C4953*D4953</f>
        <v>200</v>
      </c>
    </row>
    <row r="4954" spans="1:5" ht="18" x14ac:dyDescent="0.35">
      <c r="A4954" s="5"/>
      <c r="B4954" s="5"/>
      <c r="C4954" s="54"/>
      <c r="D4954" s="54"/>
      <c r="E4954" s="85">
        <f>SUM(E4952:E4953)</f>
        <v>418.10070800000005</v>
      </c>
    </row>
    <row r="4956" spans="1:5" x14ac:dyDescent="0.3">
      <c r="A4956" t="s">
        <v>1428</v>
      </c>
    </row>
    <row r="4957" spans="1:5" ht="21" x14ac:dyDescent="0.4">
      <c r="A4957" s="40" t="s">
        <v>1431</v>
      </c>
      <c r="B4957" s="40"/>
      <c r="C4957" s="84"/>
    </row>
    <row r="4958" spans="1:5" ht="18" x14ac:dyDescent="0.35">
      <c r="A4958" s="5"/>
      <c r="B4958" s="5"/>
      <c r="C4958" s="7" t="s">
        <v>28</v>
      </c>
      <c r="D4958" s="7" t="s">
        <v>29</v>
      </c>
      <c r="E4958" s="7" t="s">
        <v>30</v>
      </c>
    </row>
    <row r="4959" spans="1:5" ht="18" x14ac:dyDescent="0.35">
      <c r="A4959" s="5" t="s">
        <v>1429</v>
      </c>
      <c r="B4959" s="50" t="s">
        <v>32</v>
      </c>
      <c r="C4959" s="7">
        <v>2.1539999999999999</v>
      </c>
      <c r="D4959" s="7">
        <v>16.43</v>
      </c>
      <c r="E4959" s="85">
        <f t="shared" ref="E4959:E4966" si="352">C4959*D4959</f>
        <v>35.390219999999999</v>
      </c>
    </row>
    <row r="4960" spans="1:5" ht="18" x14ac:dyDescent="0.35">
      <c r="A4960" s="5" t="s">
        <v>828</v>
      </c>
      <c r="B4960" s="50" t="s">
        <v>33</v>
      </c>
      <c r="C4960" s="7">
        <v>7.2759999999999998</v>
      </c>
      <c r="D4960" s="7">
        <v>14.94</v>
      </c>
      <c r="E4960" s="85">
        <f t="shared" si="352"/>
        <v>108.70344</v>
      </c>
    </row>
    <row r="4961" spans="1:5" ht="18" x14ac:dyDescent="0.35">
      <c r="A4961" s="5" t="s">
        <v>397</v>
      </c>
      <c r="B4961" s="50" t="s">
        <v>33</v>
      </c>
      <c r="C4961" s="7">
        <v>7.14</v>
      </c>
      <c r="D4961" s="7">
        <v>14.94</v>
      </c>
      <c r="E4961" s="85">
        <f t="shared" si="352"/>
        <v>106.6716</v>
      </c>
    </row>
    <row r="4962" spans="1:5" ht="18" x14ac:dyDescent="0.35">
      <c r="A4962" s="5" t="s">
        <v>530</v>
      </c>
      <c r="B4962" s="50" t="s">
        <v>85</v>
      </c>
      <c r="C4962" s="7">
        <v>2</v>
      </c>
      <c r="D4962" s="7">
        <v>1.48</v>
      </c>
      <c r="E4962" s="85">
        <f t="shared" si="352"/>
        <v>2.96</v>
      </c>
    </row>
    <row r="4963" spans="1:5" ht="18" x14ac:dyDescent="0.35">
      <c r="A4963" s="5"/>
      <c r="B4963" s="50" t="s">
        <v>87</v>
      </c>
      <c r="C4963" s="7">
        <v>4</v>
      </c>
      <c r="D4963" s="7">
        <v>1.81</v>
      </c>
      <c r="E4963" s="85">
        <f t="shared" si="352"/>
        <v>7.24</v>
      </c>
    </row>
    <row r="4964" spans="1:5" ht="18" x14ac:dyDescent="0.35">
      <c r="A4964" s="5"/>
      <c r="B4964" s="50" t="s">
        <v>34</v>
      </c>
      <c r="C4964" s="7">
        <v>0.38</v>
      </c>
      <c r="D4964" s="7">
        <v>14.61</v>
      </c>
      <c r="E4964" s="85">
        <f t="shared" si="352"/>
        <v>5.5518000000000001</v>
      </c>
    </row>
    <row r="4965" spans="1:5" ht="18" x14ac:dyDescent="0.35">
      <c r="A4965" s="5"/>
      <c r="B4965" s="50" t="s">
        <v>35</v>
      </c>
      <c r="C4965" s="7">
        <v>4</v>
      </c>
      <c r="D4965" s="7">
        <v>2.91</v>
      </c>
      <c r="E4965" s="85">
        <f t="shared" si="352"/>
        <v>11.64</v>
      </c>
    </row>
    <row r="4966" spans="1:5" ht="18" x14ac:dyDescent="0.35">
      <c r="A4966" s="5"/>
      <c r="B4966" s="50" t="s">
        <v>36</v>
      </c>
      <c r="C4966" s="7">
        <v>4</v>
      </c>
      <c r="D4966" s="7">
        <v>0.61</v>
      </c>
      <c r="E4966" s="85">
        <f t="shared" si="352"/>
        <v>2.44</v>
      </c>
    </row>
    <row r="4967" spans="1:5" ht="18" x14ac:dyDescent="0.35">
      <c r="A4967" s="5"/>
      <c r="B4967" s="5"/>
      <c r="C4967" s="54"/>
      <c r="D4967" s="54"/>
      <c r="E4967" s="89">
        <f>SUM(E4959:E4966)</f>
        <v>280.59706</v>
      </c>
    </row>
    <row r="4968" spans="1:5" ht="18" x14ac:dyDescent="0.35">
      <c r="A4968" s="5"/>
      <c r="B4968" s="5"/>
      <c r="C4968" s="54"/>
      <c r="D4968" s="54" t="s">
        <v>1063</v>
      </c>
      <c r="E4968" s="89">
        <f>E4967+E4967*40%</f>
        <v>392.83588400000002</v>
      </c>
    </row>
    <row r="4969" spans="1:5" ht="18" x14ac:dyDescent="0.35">
      <c r="A4969" s="5"/>
      <c r="B4969" s="50" t="s">
        <v>37</v>
      </c>
      <c r="C4969" s="54">
        <v>1</v>
      </c>
      <c r="D4969" s="54">
        <v>200</v>
      </c>
      <c r="E4969" s="85">
        <f>C4969*D4969</f>
        <v>200</v>
      </c>
    </row>
    <row r="4970" spans="1:5" ht="18" x14ac:dyDescent="0.35">
      <c r="A4970" s="5"/>
      <c r="B4970" s="5"/>
      <c r="C4970" s="54"/>
      <c r="D4970" s="54"/>
      <c r="E4970" s="85">
        <f>SUM(E4968:E4969)</f>
        <v>592.83588400000008</v>
      </c>
    </row>
    <row r="4972" spans="1:5" x14ac:dyDescent="0.3">
      <c r="A4972" t="s">
        <v>1202</v>
      </c>
    </row>
    <row r="4973" spans="1:5" ht="21" x14ac:dyDescent="0.4">
      <c r="A4973" s="40" t="s">
        <v>1344</v>
      </c>
      <c r="B4973" s="40"/>
      <c r="C4973" s="84"/>
    </row>
    <row r="4974" spans="1:5" ht="18" x14ac:dyDescent="0.35">
      <c r="A4974" s="5"/>
      <c r="B4974" s="5"/>
      <c r="C4974" s="7" t="s">
        <v>28</v>
      </c>
      <c r="D4974" s="7" t="s">
        <v>29</v>
      </c>
      <c r="E4974" s="7" t="s">
        <v>30</v>
      </c>
    </row>
    <row r="4975" spans="1:5" ht="18" x14ac:dyDescent="0.35">
      <c r="A4975" s="5" t="s">
        <v>65</v>
      </c>
      <c r="B4975" s="50" t="s">
        <v>32</v>
      </c>
      <c r="C4975" s="7">
        <v>1.2929999999999999</v>
      </c>
      <c r="D4975" s="7">
        <v>10.34</v>
      </c>
      <c r="E4975" s="85">
        <f t="shared" ref="E4975:E4980" si="353">C4975*D4975</f>
        <v>13.369619999999999</v>
      </c>
    </row>
    <row r="4976" spans="1:5" ht="18" x14ac:dyDescent="0.35">
      <c r="A4976" s="5" t="s">
        <v>791</v>
      </c>
      <c r="B4976" s="50" t="s">
        <v>33</v>
      </c>
      <c r="C4976" s="7">
        <v>2.4569999999999999</v>
      </c>
      <c r="D4976" s="7">
        <v>16.170000000000002</v>
      </c>
      <c r="E4976" s="85">
        <f t="shared" si="353"/>
        <v>39.729690000000005</v>
      </c>
    </row>
    <row r="4977" spans="1:5" ht="18" x14ac:dyDescent="0.35">
      <c r="A4977" s="5" t="s">
        <v>696</v>
      </c>
      <c r="B4977" s="50" t="s">
        <v>42</v>
      </c>
      <c r="C4977" s="7">
        <v>2</v>
      </c>
      <c r="D4977" s="7">
        <v>1.1499999999999999</v>
      </c>
      <c r="E4977" s="85">
        <f t="shared" si="353"/>
        <v>2.2999999999999998</v>
      </c>
    </row>
    <row r="4978" spans="1:5" ht="18" x14ac:dyDescent="0.35">
      <c r="A4978" s="5" t="s">
        <v>1377</v>
      </c>
      <c r="B4978" s="50" t="s">
        <v>34</v>
      </c>
      <c r="C4978" s="7"/>
      <c r="D4978" s="7">
        <v>14.61</v>
      </c>
      <c r="E4978" s="85">
        <f t="shared" si="353"/>
        <v>0</v>
      </c>
    </row>
    <row r="4979" spans="1:5" ht="18" x14ac:dyDescent="0.35">
      <c r="A4979" s="5"/>
      <c r="B4979" s="50" t="s">
        <v>35</v>
      </c>
      <c r="C4979" s="7">
        <v>4</v>
      </c>
      <c r="D4979" s="7">
        <v>2.91</v>
      </c>
      <c r="E4979" s="85">
        <f t="shared" si="353"/>
        <v>11.64</v>
      </c>
    </row>
    <row r="4980" spans="1:5" ht="18" x14ac:dyDescent="0.35">
      <c r="A4980" s="5"/>
      <c r="B4980" s="50" t="s">
        <v>36</v>
      </c>
      <c r="C4980" s="7">
        <v>4</v>
      </c>
      <c r="D4980" s="7">
        <v>0.61</v>
      </c>
      <c r="E4980" s="85">
        <f t="shared" si="353"/>
        <v>2.44</v>
      </c>
    </row>
    <row r="4981" spans="1:5" ht="18" x14ac:dyDescent="0.35">
      <c r="A4981" s="5"/>
      <c r="B4981" s="5"/>
      <c r="C4981" s="54"/>
      <c r="D4981" s="54"/>
      <c r="E4981" s="89">
        <f>SUM(E4975:E4980)</f>
        <v>69.479309999999998</v>
      </c>
    </row>
    <row r="4982" spans="1:5" ht="18" x14ac:dyDescent="0.35">
      <c r="A4982" s="5"/>
      <c r="B4982" s="5"/>
      <c r="C4982" s="54"/>
      <c r="D4982" s="54" t="s">
        <v>1116</v>
      </c>
      <c r="E4982" s="89">
        <f>E4981+E4981*30%</f>
        <v>90.323103000000003</v>
      </c>
    </row>
    <row r="4983" spans="1:5" ht="18" x14ac:dyDescent="0.35">
      <c r="A4983" s="5"/>
      <c r="B4983" s="50" t="s">
        <v>37</v>
      </c>
      <c r="C4983" s="54">
        <v>0.2</v>
      </c>
      <c r="D4983" s="54"/>
      <c r="E4983" s="85">
        <v>27</v>
      </c>
    </row>
    <row r="4984" spans="1:5" ht="18" x14ac:dyDescent="0.35">
      <c r="A4984" s="5"/>
      <c r="B4984" s="5"/>
      <c r="C4984" s="54"/>
      <c r="D4984" s="54"/>
      <c r="E4984" s="85">
        <f>SUM(E4982:E4983)</f>
        <v>117.323103</v>
      </c>
    </row>
    <row r="4986" spans="1:5" ht="21" x14ac:dyDescent="0.4">
      <c r="A4986" s="40" t="s">
        <v>1432</v>
      </c>
      <c r="B4986" s="40"/>
      <c r="C4986" s="40"/>
      <c r="D4986" s="12"/>
      <c r="E4986" s="12"/>
    </row>
    <row r="4987" spans="1:5" ht="18" x14ac:dyDescent="0.35">
      <c r="A4987" s="5"/>
      <c r="B4987" s="5"/>
      <c r="C4987" s="7" t="s">
        <v>28</v>
      </c>
      <c r="D4987" s="7" t="s">
        <v>29</v>
      </c>
      <c r="E4987" s="7" t="s">
        <v>30</v>
      </c>
    </row>
    <row r="4988" spans="1:5" ht="18" x14ac:dyDescent="0.35">
      <c r="A4988" s="5" t="s">
        <v>1433</v>
      </c>
      <c r="B4988" s="50" t="s">
        <v>32</v>
      </c>
      <c r="C4988" s="7"/>
      <c r="D4988" s="7">
        <v>11.37</v>
      </c>
      <c r="E4988" s="85">
        <f>C4988*D4988</f>
        <v>0</v>
      </c>
    </row>
    <row r="4989" spans="1:5" ht="18" x14ac:dyDescent="0.35">
      <c r="A4989" s="5" t="s">
        <v>909</v>
      </c>
      <c r="B4989" s="50" t="s">
        <v>33</v>
      </c>
      <c r="C4989" s="7">
        <v>2.0790000000000002</v>
      </c>
      <c r="D4989" s="7">
        <v>15.25</v>
      </c>
      <c r="E4989" s="85">
        <f>C4989*D4989</f>
        <v>31.704750000000004</v>
      </c>
    </row>
    <row r="4990" spans="1:5" ht="18" x14ac:dyDescent="0.35">
      <c r="A4990" s="5" t="s">
        <v>623</v>
      </c>
      <c r="B4990" s="50" t="s">
        <v>137</v>
      </c>
      <c r="C4990" s="7">
        <v>0.13</v>
      </c>
      <c r="D4990" s="7">
        <v>15.25</v>
      </c>
      <c r="E4990" s="85">
        <f>C4990*D4990</f>
        <v>1.9825000000000002</v>
      </c>
    </row>
    <row r="4991" spans="1:5" ht="18" x14ac:dyDescent="0.35">
      <c r="A4991" s="5"/>
      <c r="B4991" s="50" t="s">
        <v>35</v>
      </c>
      <c r="C4991" s="7">
        <v>4</v>
      </c>
      <c r="D4991" s="7">
        <v>2.91</v>
      </c>
      <c r="E4991" s="85">
        <f>C4991*D4991</f>
        <v>11.64</v>
      </c>
    </row>
    <row r="4992" spans="1:5" ht="18" x14ac:dyDescent="0.35">
      <c r="A4992" s="5"/>
      <c r="B4992" s="50" t="s">
        <v>36</v>
      </c>
      <c r="C4992" s="7">
        <v>4</v>
      </c>
      <c r="D4992" s="7">
        <v>0.61</v>
      </c>
      <c r="E4992" s="85">
        <f>C4992*D4992</f>
        <v>2.44</v>
      </c>
    </row>
    <row r="4993" spans="1:5" ht="18" x14ac:dyDescent="0.35">
      <c r="A4993" s="5"/>
      <c r="B4993" s="50"/>
      <c r="C4993" s="87"/>
      <c r="D4993" s="88"/>
      <c r="E4993" s="85">
        <f>SUM(E4988:E4992)</f>
        <v>47.767250000000004</v>
      </c>
    </row>
    <row r="4994" spans="1:5" ht="18" x14ac:dyDescent="0.35">
      <c r="A4994" s="5"/>
      <c r="B4994" s="50"/>
      <c r="C4994" s="87"/>
      <c r="D4994" s="88" t="s">
        <v>1266</v>
      </c>
      <c r="E4994" s="85">
        <f>E4993+E4993*40%</f>
        <v>66.874150000000014</v>
      </c>
    </row>
    <row r="4995" spans="1:5" ht="18" x14ac:dyDescent="0.35">
      <c r="A4995" s="5"/>
      <c r="B4995" s="50" t="s">
        <v>37</v>
      </c>
      <c r="C4995" s="54">
        <v>0.2</v>
      </c>
      <c r="D4995" s="86">
        <v>200</v>
      </c>
      <c r="E4995" s="85">
        <f>C4995*D4995</f>
        <v>40</v>
      </c>
    </row>
    <row r="4996" spans="1:5" ht="18" x14ac:dyDescent="0.35">
      <c r="A4996" s="5"/>
      <c r="B4996" s="5"/>
      <c r="C4996" s="54"/>
      <c r="D4996" s="54"/>
      <c r="E4996" s="85">
        <f>SUM(E4994:E4995)</f>
        <v>106.87415000000001</v>
      </c>
    </row>
    <row r="4997" spans="1:5" x14ac:dyDescent="0.3">
      <c r="A4997" t="s">
        <v>1383</v>
      </c>
    </row>
    <row r="4998" spans="1:5" ht="21" x14ac:dyDescent="0.4">
      <c r="A4998" s="40" t="s">
        <v>1434</v>
      </c>
      <c r="B4998" s="40"/>
      <c r="C4998" s="84"/>
    </row>
    <row r="4999" spans="1:5" ht="18" x14ac:dyDescent="0.35">
      <c r="A4999" t="s">
        <v>1383</v>
      </c>
      <c r="B4999" s="5"/>
      <c r="C4999" s="7" t="s">
        <v>28</v>
      </c>
      <c r="D4999" s="7" t="s">
        <v>29</v>
      </c>
      <c r="E4999" s="7" t="s">
        <v>30</v>
      </c>
    </row>
    <row r="5000" spans="1:5" ht="18" x14ac:dyDescent="0.35">
      <c r="A5000" s="5" t="s">
        <v>1435</v>
      </c>
      <c r="B5000" s="50" t="s">
        <v>32</v>
      </c>
      <c r="C5000" s="7">
        <v>2.1749999999999998</v>
      </c>
      <c r="D5000" s="7">
        <v>10.34</v>
      </c>
      <c r="E5000" s="85">
        <f t="shared" ref="E5000:E5005" si="354">C5000*D5000</f>
        <v>22.4895</v>
      </c>
    </row>
    <row r="5001" spans="1:5" ht="18" x14ac:dyDescent="0.35">
      <c r="A5001" s="5" t="s">
        <v>810</v>
      </c>
      <c r="B5001" s="50" t="s">
        <v>33</v>
      </c>
      <c r="C5001" s="7">
        <v>2.8029999999999999</v>
      </c>
      <c r="D5001" s="7">
        <v>16.170000000000002</v>
      </c>
      <c r="E5001" s="85">
        <f t="shared" si="354"/>
        <v>45.324510000000004</v>
      </c>
    </row>
    <row r="5002" spans="1:5" ht="18" x14ac:dyDescent="0.35">
      <c r="A5002" s="5" t="s">
        <v>696</v>
      </c>
      <c r="B5002" s="50" t="s">
        <v>42</v>
      </c>
      <c r="C5002" s="7">
        <v>2</v>
      </c>
      <c r="D5002" s="7">
        <v>1.1499999999999999</v>
      </c>
      <c r="E5002" s="85">
        <f t="shared" si="354"/>
        <v>2.2999999999999998</v>
      </c>
    </row>
    <row r="5003" spans="1:5" ht="18" x14ac:dyDescent="0.35">
      <c r="A5003" s="5" t="s">
        <v>1377</v>
      </c>
      <c r="B5003" s="50" t="s">
        <v>34</v>
      </c>
      <c r="C5003" s="7">
        <v>0.14000000000000001</v>
      </c>
      <c r="D5003" s="7">
        <v>14.61</v>
      </c>
      <c r="E5003" s="85">
        <f t="shared" si="354"/>
        <v>2.0454000000000003</v>
      </c>
    </row>
    <row r="5004" spans="1:5" ht="18" x14ac:dyDescent="0.35">
      <c r="A5004" s="5"/>
      <c r="B5004" s="50" t="s">
        <v>35</v>
      </c>
      <c r="C5004" s="7">
        <v>4</v>
      </c>
      <c r="D5004" s="7">
        <v>2.91</v>
      </c>
      <c r="E5004" s="85">
        <f t="shared" si="354"/>
        <v>11.64</v>
      </c>
    </row>
    <row r="5005" spans="1:5" ht="18" x14ac:dyDescent="0.35">
      <c r="A5005" s="5"/>
      <c r="B5005" s="50" t="s">
        <v>36</v>
      </c>
      <c r="C5005" s="7">
        <v>4</v>
      </c>
      <c r="D5005" s="7">
        <v>0.61</v>
      </c>
      <c r="E5005" s="85">
        <f t="shared" si="354"/>
        <v>2.44</v>
      </c>
    </row>
    <row r="5006" spans="1:5" ht="18" x14ac:dyDescent="0.35">
      <c r="A5006" s="5"/>
      <c r="B5006" s="5"/>
      <c r="C5006" s="54"/>
      <c r="D5006" s="54"/>
      <c r="E5006" s="89">
        <f>SUM(E5000:E5005)</f>
        <v>86.239409999999992</v>
      </c>
    </row>
    <row r="5007" spans="1:5" ht="18" x14ac:dyDescent="0.35">
      <c r="A5007" s="5"/>
      <c r="B5007" s="5"/>
      <c r="C5007" s="54"/>
      <c r="D5007" s="54" t="s">
        <v>1116</v>
      </c>
      <c r="E5007" s="89">
        <f>E5006+E5006*30%</f>
        <v>112.11123299999998</v>
      </c>
    </row>
    <row r="5008" spans="1:5" ht="18" x14ac:dyDescent="0.35">
      <c r="A5008" s="5"/>
      <c r="B5008" s="50" t="s">
        <v>37</v>
      </c>
      <c r="C5008" s="54">
        <v>0.35</v>
      </c>
      <c r="D5008" s="54">
        <v>200</v>
      </c>
      <c r="E5008" s="85">
        <f>C5008*D5008</f>
        <v>70</v>
      </c>
    </row>
    <row r="5009" spans="1:5" ht="18" x14ac:dyDescent="0.35">
      <c r="A5009" s="5"/>
      <c r="B5009" s="5"/>
      <c r="C5009" s="54"/>
      <c r="D5009" s="54"/>
      <c r="E5009" s="85">
        <f>SUM(E5007:E5008)</f>
        <v>182.11123299999997</v>
      </c>
    </row>
    <row r="5011" spans="1:5" ht="21" x14ac:dyDescent="0.4">
      <c r="A5011" s="40" t="s">
        <v>1436</v>
      </c>
      <c r="B5011" s="40"/>
      <c r="C5011" s="40"/>
      <c r="D5011" s="12"/>
      <c r="E5011" s="12"/>
    </row>
    <row r="5012" spans="1:5" ht="18" x14ac:dyDescent="0.35">
      <c r="A5012" s="5"/>
      <c r="B5012" s="5"/>
      <c r="C5012" s="7" t="s">
        <v>28</v>
      </c>
      <c r="D5012" s="7" t="s">
        <v>29</v>
      </c>
      <c r="E5012" s="7" t="s">
        <v>30</v>
      </c>
    </row>
    <row r="5013" spans="1:5" ht="18" x14ac:dyDescent="0.35">
      <c r="A5013" s="5" t="s">
        <v>223</v>
      </c>
      <c r="B5013" s="50" t="s">
        <v>32</v>
      </c>
      <c r="C5013" s="7">
        <v>2.1549999999999998</v>
      </c>
      <c r="D5013" s="7">
        <v>11.37</v>
      </c>
      <c r="E5013" s="85">
        <f>C5013*D5013</f>
        <v>24.502349999999996</v>
      </c>
    </row>
    <row r="5014" spans="1:5" ht="18" x14ac:dyDescent="0.35">
      <c r="A5014" s="5" t="s">
        <v>810</v>
      </c>
      <c r="B5014" s="50" t="s">
        <v>33</v>
      </c>
      <c r="C5014" s="7">
        <v>2.8029999999999999</v>
      </c>
      <c r="D5014" s="7">
        <v>15.25</v>
      </c>
      <c r="E5014" s="85">
        <f>C5014*D5014</f>
        <v>42.745750000000001</v>
      </c>
    </row>
    <row r="5015" spans="1:5" ht="18" x14ac:dyDescent="0.35">
      <c r="A5015" s="5" t="s">
        <v>623</v>
      </c>
      <c r="B5015" s="50" t="s">
        <v>137</v>
      </c>
      <c r="C5015" s="7">
        <v>0.24</v>
      </c>
      <c r="D5015" s="7">
        <v>15.25</v>
      </c>
      <c r="E5015" s="85">
        <f>C5015*D5015</f>
        <v>3.6599999999999997</v>
      </c>
    </row>
    <row r="5016" spans="1:5" ht="18" x14ac:dyDescent="0.35">
      <c r="A5016" s="5"/>
      <c r="B5016" s="50" t="s">
        <v>35</v>
      </c>
      <c r="C5016" s="7">
        <v>4</v>
      </c>
      <c r="D5016" s="7">
        <v>2.91</v>
      </c>
      <c r="E5016" s="85">
        <f>C5016*D5016</f>
        <v>11.64</v>
      </c>
    </row>
    <row r="5017" spans="1:5" ht="18" x14ac:dyDescent="0.35">
      <c r="A5017" s="5"/>
      <c r="B5017" s="50" t="s">
        <v>36</v>
      </c>
      <c r="C5017" s="7">
        <v>4</v>
      </c>
      <c r="D5017" s="7">
        <v>0.61</v>
      </c>
      <c r="E5017" s="85">
        <f>C5017*D5017</f>
        <v>2.44</v>
      </c>
    </row>
    <row r="5018" spans="1:5" ht="18" x14ac:dyDescent="0.35">
      <c r="A5018" s="5"/>
      <c r="B5018" s="50"/>
      <c r="C5018" s="87"/>
      <c r="D5018" s="88"/>
      <c r="E5018" s="85">
        <f>SUM(E5013:E5017)</f>
        <v>84.988099999999989</v>
      </c>
    </row>
    <row r="5019" spans="1:5" ht="18" x14ac:dyDescent="0.35">
      <c r="A5019" s="5"/>
      <c r="B5019" s="50"/>
      <c r="C5019" s="87"/>
      <c r="D5019" s="88" t="s">
        <v>1437</v>
      </c>
      <c r="E5019" s="85">
        <f>E5018+E5018*40%</f>
        <v>118.98333999999998</v>
      </c>
    </row>
    <row r="5020" spans="1:5" ht="18" x14ac:dyDescent="0.35">
      <c r="A5020" s="5"/>
      <c r="B5020" s="50" t="s">
        <v>37</v>
      </c>
      <c r="C5020" s="54">
        <v>0.35</v>
      </c>
      <c r="D5020" s="86">
        <v>200</v>
      </c>
      <c r="E5020" s="85">
        <f>C5020*D5020</f>
        <v>70</v>
      </c>
    </row>
    <row r="5021" spans="1:5" ht="18" x14ac:dyDescent="0.35">
      <c r="A5021" s="5"/>
      <c r="B5021" s="5"/>
      <c r="C5021" s="54"/>
      <c r="D5021" s="54"/>
      <c r="E5021" s="85">
        <f>SUM(E5019:E5020)</f>
        <v>188.98334</v>
      </c>
    </row>
    <row r="5023" spans="1:5" x14ac:dyDescent="0.3">
      <c r="A5023" t="s">
        <v>1440</v>
      </c>
    </row>
    <row r="5024" spans="1:5" ht="21" x14ac:dyDescent="0.4">
      <c r="A5024" s="40" t="s">
        <v>1438</v>
      </c>
      <c r="B5024" s="40"/>
      <c r="C5024" s="40"/>
      <c r="D5024" s="12"/>
      <c r="E5024" s="12"/>
    </row>
    <row r="5025" spans="1:5" ht="18" x14ac:dyDescent="0.35">
      <c r="A5025" s="5"/>
      <c r="B5025" s="5"/>
      <c r="C5025" s="7" t="s">
        <v>28</v>
      </c>
      <c r="D5025" s="7" t="s">
        <v>29</v>
      </c>
      <c r="E5025" s="7" t="s">
        <v>30</v>
      </c>
    </row>
    <row r="5026" spans="1:5" ht="18" x14ac:dyDescent="0.35">
      <c r="A5026" s="5" t="s">
        <v>107</v>
      </c>
      <c r="B5026" s="50" t="s">
        <v>32</v>
      </c>
      <c r="C5026" s="7">
        <v>2.448</v>
      </c>
      <c r="D5026" s="7">
        <v>11.37</v>
      </c>
      <c r="E5026" s="85">
        <f>C5026*D5026</f>
        <v>27.833759999999998</v>
      </c>
    </row>
    <row r="5027" spans="1:5" ht="18" x14ac:dyDescent="0.35">
      <c r="A5027" s="5" t="s">
        <v>1378</v>
      </c>
      <c r="B5027" s="50" t="s">
        <v>33</v>
      </c>
      <c r="C5027" s="7">
        <v>17.419</v>
      </c>
      <c r="D5027" s="7">
        <v>15.25</v>
      </c>
      <c r="E5027" s="85">
        <f>C5027*D5027</f>
        <v>265.63974999999999</v>
      </c>
    </row>
    <row r="5028" spans="1:5" ht="18" x14ac:dyDescent="0.35">
      <c r="A5028" s="5" t="s">
        <v>623</v>
      </c>
      <c r="B5028" s="50" t="s">
        <v>137</v>
      </c>
      <c r="C5028" s="7">
        <v>0.95</v>
      </c>
      <c r="D5028" s="7">
        <v>15.25</v>
      </c>
      <c r="E5028" s="85">
        <f>C5028*D5028</f>
        <v>14.487499999999999</v>
      </c>
    </row>
    <row r="5029" spans="1:5" ht="18" x14ac:dyDescent="0.35">
      <c r="A5029" s="5"/>
      <c r="B5029" s="50" t="s">
        <v>35</v>
      </c>
      <c r="C5029" s="7">
        <v>4</v>
      </c>
      <c r="D5029" s="7">
        <v>2.91</v>
      </c>
      <c r="E5029" s="85">
        <f>C5029*D5029</f>
        <v>11.64</v>
      </c>
    </row>
    <row r="5030" spans="1:5" ht="18" x14ac:dyDescent="0.35">
      <c r="A5030" s="5"/>
      <c r="B5030" s="50" t="s">
        <v>36</v>
      </c>
      <c r="C5030" s="7">
        <v>4</v>
      </c>
      <c r="D5030" s="7">
        <v>0.61</v>
      </c>
      <c r="E5030" s="85">
        <f>C5030*D5030</f>
        <v>2.44</v>
      </c>
    </row>
    <row r="5031" spans="1:5" ht="18" x14ac:dyDescent="0.35">
      <c r="A5031" s="5"/>
      <c r="B5031" s="50"/>
      <c r="C5031" s="87"/>
      <c r="D5031" s="88"/>
      <c r="E5031" s="85">
        <f>SUM(E5026:E5030)</f>
        <v>322.04100999999997</v>
      </c>
    </row>
    <row r="5032" spans="1:5" ht="18" x14ac:dyDescent="0.35">
      <c r="A5032" s="5"/>
      <c r="B5032" s="50"/>
      <c r="C5032" s="87"/>
      <c r="D5032" s="88" t="s">
        <v>1266</v>
      </c>
      <c r="E5032" s="85">
        <f>E5031+E5031*40%</f>
        <v>450.85741399999995</v>
      </c>
    </row>
    <row r="5033" spans="1:5" ht="18" x14ac:dyDescent="0.35">
      <c r="A5033" s="5"/>
      <c r="B5033" s="50" t="s">
        <v>37</v>
      </c>
      <c r="C5033" s="54">
        <v>0.55000000000000004</v>
      </c>
      <c r="D5033" s="86">
        <v>200</v>
      </c>
      <c r="E5033" s="85">
        <f>C5033*D5033</f>
        <v>110.00000000000001</v>
      </c>
    </row>
    <row r="5034" spans="1:5" ht="18" x14ac:dyDescent="0.35">
      <c r="A5034" s="5"/>
      <c r="B5034" s="5"/>
      <c r="C5034" s="54"/>
      <c r="D5034" s="54"/>
      <c r="E5034" s="85">
        <f>SUM(E5032:E5033)</f>
        <v>560.85741399999995</v>
      </c>
    </row>
    <row r="5035" spans="1:5" x14ac:dyDescent="0.3">
      <c r="A5035" t="s">
        <v>1440</v>
      </c>
    </row>
    <row r="5036" spans="1:5" ht="21" x14ac:dyDescent="0.4">
      <c r="A5036" s="40" t="s">
        <v>1439</v>
      </c>
      <c r="B5036" s="40"/>
      <c r="C5036" s="40"/>
      <c r="D5036" s="12"/>
      <c r="E5036" s="12"/>
    </row>
    <row r="5037" spans="1:5" ht="18" x14ac:dyDescent="0.35">
      <c r="A5037" s="5"/>
      <c r="B5037" s="5"/>
      <c r="C5037" s="7" t="s">
        <v>28</v>
      </c>
      <c r="D5037" s="7" t="s">
        <v>29</v>
      </c>
      <c r="E5037" s="7" t="s">
        <v>30</v>
      </c>
    </row>
    <row r="5038" spans="1:5" ht="18" x14ac:dyDescent="0.35">
      <c r="A5038" s="5" t="s">
        <v>105</v>
      </c>
      <c r="B5038" s="50" t="s">
        <v>32</v>
      </c>
      <c r="C5038" s="7">
        <v>2.028</v>
      </c>
      <c r="D5038" s="7">
        <v>11.37</v>
      </c>
      <c r="E5038" s="85">
        <f>C5038*D5038</f>
        <v>23.05836</v>
      </c>
    </row>
    <row r="5039" spans="1:5" ht="18" x14ac:dyDescent="0.35">
      <c r="A5039" s="5" t="s">
        <v>1378</v>
      </c>
      <c r="B5039" s="50" t="s">
        <v>33</v>
      </c>
      <c r="C5039" s="7">
        <v>13.009</v>
      </c>
      <c r="D5039" s="7">
        <v>15.25</v>
      </c>
      <c r="E5039" s="85">
        <f>C5039*D5039</f>
        <v>198.38724999999999</v>
      </c>
    </row>
    <row r="5040" spans="1:5" ht="18" x14ac:dyDescent="0.35">
      <c r="A5040" s="5" t="s">
        <v>623</v>
      </c>
      <c r="B5040" s="50" t="s">
        <v>137</v>
      </c>
      <c r="C5040" s="7">
        <v>0.95</v>
      </c>
      <c r="D5040" s="7">
        <v>15.25</v>
      </c>
      <c r="E5040" s="85">
        <f>C5040*D5040</f>
        <v>14.487499999999999</v>
      </c>
    </row>
    <row r="5041" spans="1:5" ht="18" x14ac:dyDescent="0.35">
      <c r="A5041" s="5"/>
      <c r="B5041" s="50" t="s">
        <v>35</v>
      </c>
      <c r="C5041" s="7">
        <v>4</v>
      </c>
      <c r="D5041" s="7">
        <v>2.91</v>
      </c>
      <c r="E5041" s="85">
        <f>C5041*D5041</f>
        <v>11.64</v>
      </c>
    </row>
    <row r="5042" spans="1:5" ht="18" x14ac:dyDescent="0.35">
      <c r="A5042" s="5"/>
      <c r="B5042" s="50" t="s">
        <v>36</v>
      </c>
      <c r="C5042" s="7">
        <v>4</v>
      </c>
      <c r="D5042" s="7">
        <v>0.61</v>
      </c>
      <c r="E5042" s="85">
        <f>C5042*D5042</f>
        <v>2.44</v>
      </c>
    </row>
    <row r="5043" spans="1:5" ht="18" x14ac:dyDescent="0.35">
      <c r="A5043" s="5"/>
      <c r="B5043" s="50"/>
      <c r="C5043" s="87"/>
      <c r="D5043" s="88"/>
      <c r="E5043" s="85">
        <f>SUM(E5038:E5042)</f>
        <v>250.01310999999998</v>
      </c>
    </row>
    <row r="5044" spans="1:5" ht="18" x14ac:dyDescent="0.35">
      <c r="A5044" s="5"/>
      <c r="B5044" s="50"/>
      <c r="C5044" s="87"/>
      <c r="D5044" s="88" t="s">
        <v>1266</v>
      </c>
      <c r="E5044" s="85">
        <f>E5043+E5043*40%</f>
        <v>350.01835399999999</v>
      </c>
    </row>
    <row r="5045" spans="1:5" ht="18" x14ac:dyDescent="0.35">
      <c r="A5045" s="5"/>
      <c r="B5045" s="50" t="s">
        <v>37</v>
      </c>
      <c r="C5045" s="54">
        <v>0.55000000000000004</v>
      </c>
      <c r="D5045" s="86">
        <v>200</v>
      </c>
      <c r="E5045" s="85">
        <f>C5045*D5045</f>
        <v>110.00000000000001</v>
      </c>
    </row>
    <row r="5046" spans="1:5" ht="18" x14ac:dyDescent="0.35">
      <c r="A5046" s="5"/>
      <c r="B5046" s="5"/>
      <c r="C5046" s="54"/>
      <c r="D5046" s="54"/>
      <c r="E5046" s="85">
        <f>SUM(E5044:E5045)</f>
        <v>460.01835399999999</v>
      </c>
    </row>
    <row r="5048" spans="1:5" x14ac:dyDescent="0.3">
      <c r="A5048" t="s">
        <v>1271</v>
      </c>
    </row>
    <row r="5049" spans="1:5" ht="21" x14ac:dyDescent="0.4">
      <c r="A5049" s="40" t="s">
        <v>1441</v>
      </c>
      <c r="B5049" s="40"/>
      <c r="C5049" s="40"/>
      <c r="D5049" s="12"/>
      <c r="E5049" s="12"/>
    </row>
    <row r="5050" spans="1:5" ht="18" x14ac:dyDescent="0.35">
      <c r="A5050" s="5"/>
      <c r="B5050" s="5"/>
      <c r="C5050" s="7" t="s">
        <v>28</v>
      </c>
      <c r="D5050" s="7" t="s">
        <v>29</v>
      </c>
      <c r="E5050" s="7" t="s">
        <v>30</v>
      </c>
    </row>
    <row r="5051" spans="1:5" ht="18" x14ac:dyDescent="0.35">
      <c r="A5051" s="5" t="s">
        <v>103</v>
      </c>
      <c r="B5051" s="50" t="s">
        <v>32</v>
      </c>
      <c r="C5051" s="7">
        <v>1.6080000000000001</v>
      </c>
      <c r="D5051" s="7">
        <v>10.34</v>
      </c>
      <c r="E5051" s="85">
        <f>C5051*D5051</f>
        <v>16.626720000000002</v>
      </c>
    </row>
    <row r="5052" spans="1:5" ht="18" x14ac:dyDescent="0.35">
      <c r="A5052" s="5" t="s">
        <v>1378</v>
      </c>
      <c r="B5052" s="50" t="s">
        <v>33</v>
      </c>
      <c r="C5052" s="7">
        <v>8.5990000000000002</v>
      </c>
      <c r="D5052" s="7">
        <v>17.059999999999999</v>
      </c>
      <c r="E5052" s="85">
        <f>C5052*D5052</f>
        <v>146.69893999999999</v>
      </c>
    </row>
    <row r="5053" spans="1:5" ht="18" x14ac:dyDescent="0.35">
      <c r="A5053" s="5" t="s">
        <v>616</v>
      </c>
      <c r="B5053" s="50" t="s">
        <v>137</v>
      </c>
      <c r="C5053" s="7">
        <v>0.63</v>
      </c>
      <c r="D5053" s="7">
        <v>16.170000000000002</v>
      </c>
      <c r="E5053" s="85">
        <f>C5053*D5053</f>
        <v>10.187100000000001</v>
      </c>
    </row>
    <row r="5054" spans="1:5" ht="18" x14ac:dyDescent="0.35">
      <c r="A5054" s="5"/>
      <c r="B5054" s="50" t="s">
        <v>35</v>
      </c>
      <c r="C5054" s="7">
        <v>4</v>
      </c>
      <c r="D5054" s="7">
        <v>2.91</v>
      </c>
      <c r="E5054" s="85">
        <f>C5054*D5054</f>
        <v>11.64</v>
      </c>
    </row>
    <row r="5055" spans="1:5" ht="18" x14ac:dyDescent="0.35">
      <c r="A5055" s="5"/>
      <c r="B5055" s="50" t="s">
        <v>36</v>
      </c>
      <c r="C5055" s="7">
        <v>4</v>
      </c>
      <c r="D5055" s="7">
        <v>0.61</v>
      </c>
      <c r="E5055" s="85">
        <f>C5055*D5055</f>
        <v>2.44</v>
      </c>
    </row>
    <row r="5056" spans="1:5" ht="18" x14ac:dyDescent="0.35">
      <c r="A5056" s="5"/>
      <c r="B5056" s="50"/>
      <c r="C5056" s="87"/>
      <c r="D5056" s="88"/>
      <c r="E5056" s="85">
        <f>SUM(E5051:E5055)</f>
        <v>187.59276</v>
      </c>
    </row>
    <row r="5057" spans="1:5" ht="18" x14ac:dyDescent="0.35">
      <c r="A5057" s="5"/>
      <c r="B5057" s="50"/>
      <c r="C5057" s="87"/>
      <c r="D5057" s="88" t="s">
        <v>1266</v>
      </c>
      <c r="E5057" s="85">
        <f>E5056+E5056*40%</f>
        <v>262.629864</v>
      </c>
    </row>
    <row r="5058" spans="1:5" ht="18" x14ac:dyDescent="0.35">
      <c r="A5058" s="5"/>
      <c r="B5058" s="50" t="s">
        <v>37</v>
      </c>
      <c r="C5058" s="54">
        <v>0.4</v>
      </c>
      <c r="D5058" s="86">
        <v>200</v>
      </c>
      <c r="E5058" s="85">
        <f>C5058*D5058</f>
        <v>80</v>
      </c>
    </row>
    <row r="5059" spans="1:5" ht="18" x14ac:dyDescent="0.35">
      <c r="A5059" s="5"/>
      <c r="B5059" s="5"/>
      <c r="C5059" s="54"/>
      <c r="D5059" s="54"/>
      <c r="E5059" s="85">
        <f>SUM(E5057:E5058)</f>
        <v>342.629864</v>
      </c>
    </row>
    <row r="5061" spans="1:5" x14ac:dyDescent="0.3">
      <c r="A5061" t="s">
        <v>1271</v>
      </c>
    </row>
    <row r="5062" spans="1:5" ht="21" x14ac:dyDescent="0.4">
      <c r="A5062" s="40" t="s">
        <v>1442</v>
      </c>
      <c r="B5062" s="40"/>
      <c r="C5062" s="40"/>
      <c r="D5062" s="12"/>
      <c r="E5062" s="12"/>
    </row>
    <row r="5063" spans="1:5" ht="18" x14ac:dyDescent="0.35">
      <c r="A5063" s="5"/>
      <c r="B5063" s="5"/>
      <c r="C5063" s="7" t="s">
        <v>28</v>
      </c>
      <c r="D5063" s="7" t="s">
        <v>29</v>
      </c>
      <c r="E5063" s="7" t="s">
        <v>30</v>
      </c>
    </row>
    <row r="5064" spans="1:5" ht="18" x14ac:dyDescent="0.35">
      <c r="A5064" s="5" t="s">
        <v>118</v>
      </c>
      <c r="B5064" s="50" t="s">
        <v>32</v>
      </c>
      <c r="C5064" s="7">
        <v>2.028</v>
      </c>
      <c r="D5064" s="7">
        <v>10.34</v>
      </c>
      <c r="E5064" s="85">
        <f>C5064*D5064</f>
        <v>20.969519999999999</v>
      </c>
    </row>
    <row r="5065" spans="1:5" ht="18" x14ac:dyDescent="0.35">
      <c r="A5065" s="5" t="s">
        <v>819</v>
      </c>
      <c r="B5065" s="50" t="s">
        <v>33</v>
      </c>
      <c r="C5065" s="7">
        <v>14.92</v>
      </c>
      <c r="D5065" s="7">
        <v>17.059999999999999</v>
      </c>
      <c r="E5065" s="85">
        <f>C5065*D5065</f>
        <v>254.53519999999997</v>
      </c>
    </row>
    <row r="5066" spans="1:5" ht="18" x14ac:dyDescent="0.35">
      <c r="A5066" s="5" t="s">
        <v>616</v>
      </c>
      <c r="B5066" s="50" t="s">
        <v>137</v>
      </c>
      <c r="C5066" s="7">
        <v>0.63</v>
      </c>
      <c r="D5066" s="7">
        <v>15.25</v>
      </c>
      <c r="E5066" s="85">
        <f>C5066*D5066</f>
        <v>9.6074999999999999</v>
      </c>
    </row>
    <row r="5067" spans="1:5" ht="18" x14ac:dyDescent="0.35">
      <c r="A5067" s="5"/>
      <c r="B5067" s="50" t="s">
        <v>35</v>
      </c>
      <c r="C5067" s="7">
        <v>4</v>
      </c>
      <c r="D5067" s="7">
        <v>2.91</v>
      </c>
      <c r="E5067" s="85">
        <f>C5067*D5067</f>
        <v>11.64</v>
      </c>
    </row>
    <row r="5068" spans="1:5" ht="18" x14ac:dyDescent="0.35">
      <c r="A5068" s="5"/>
      <c r="B5068" s="50" t="s">
        <v>36</v>
      </c>
      <c r="C5068" s="7">
        <v>4</v>
      </c>
      <c r="D5068" s="7">
        <v>0.61</v>
      </c>
      <c r="E5068" s="85">
        <f>C5068*D5068</f>
        <v>2.44</v>
      </c>
    </row>
    <row r="5069" spans="1:5" ht="18" x14ac:dyDescent="0.35">
      <c r="A5069" s="5"/>
      <c r="B5069" s="50"/>
      <c r="C5069" s="87"/>
      <c r="D5069" s="88"/>
      <c r="E5069" s="85">
        <f>SUM(E5064:E5068)</f>
        <v>299.19221999999996</v>
      </c>
    </row>
    <row r="5070" spans="1:5" ht="18" x14ac:dyDescent="0.35">
      <c r="A5070" s="5"/>
      <c r="B5070" s="50"/>
      <c r="C5070" s="87"/>
      <c r="D5070" s="88" t="s">
        <v>1266</v>
      </c>
      <c r="E5070" s="85">
        <f>E5069+E5069*40%</f>
        <v>418.86910799999998</v>
      </c>
    </row>
    <row r="5071" spans="1:5" ht="18" x14ac:dyDescent="0.35">
      <c r="A5071" s="5"/>
      <c r="B5071" s="50" t="s">
        <v>37</v>
      </c>
      <c r="C5071" s="54">
        <v>0.45</v>
      </c>
      <c r="D5071" s="86">
        <v>200</v>
      </c>
      <c r="E5071" s="85">
        <f>C5071*D5071</f>
        <v>90</v>
      </c>
    </row>
    <row r="5072" spans="1:5" ht="18" x14ac:dyDescent="0.35">
      <c r="A5072" s="5"/>
      <c r="B5072" s="5"/>
      <c r="C5072" s="54"/>
      <c r="D5072" s="54"/>
      <c r="E5072" s="85">
        <f>SUM(E5070:E5071)</f>
        <v>508.86910799999998</v>
      </c>
    </row>
    <row r="5074" spans="1:5" x14ac:dyDescent="0.3">
      <c r="A5074" t="s">
        <v>1271</v>
      </c>
    </row>
    <row r="5075" spans="1:5" ht="21" x14ac:dyDescent="0.4">
      <c r="A5075" s="40" t="s">
        <v>1443</v>
      </c>
      <c r="B5075" s="40"/>
      <c r="C5075" s="40"/>
      <c r="D5075" s="12"/>
      <c r="E5075" s="12"/>
    </row>
    <row r="5076" spans="1:5" ht="18" x14ac:dyDescent="0.35">
      <c r="A5076" s="5"/>
      <c r="B5076" s="5"/>
      <c r="C5076" s="7" t="s">
        <v>28</v>
      </c>
      <c r="D5076" s="7" t="s">
        <v>29</v>
      </c>
      <c r="E5076" s="7" t="s">
        <v>30</v>
      </c>
    </row>
    <row r="5077" spans="1:5" ht="18" x14ac:dyDescent="0.35">
      <c r="A5077" s="5" t="s">
        <v>122</v>
      </c>
      <c r="B5077" s="50" t="s">
        <v>32</v>
      </c>
      <c r="C5077" s="7">
        <v>2.8679999999999999</v>
      </c>
      <c r="D5077" s="7">
        <v>10.34</v>
      </c>
      <c r="E5077" s="85">
        <f>C5077*D5077</f>
        <v>29.65512</v>
      </c>
    </row>
    <row r="5078" spans="1:5" ht="18" x14ac:dyDescent="0.35">
      <c r="A5078" s="5" t="s">
        <v>819</v>
      </c>
      <c r="B5078" s="50" t="s">
        <v>33</v>
      </c>
      <c r="C5078" s="7">
        <v>27.1</v>
      </c>
      <c r="D5078" s="7">
        <v>17.059999999999999</v>
      </c>
      <c r="E5078" s="85">
        <f>C5078*D5078</f>
        <v>462.32599999999996</v>
      </c>
    </row>
    <row r="5079" spans="1:5" ht="18" x14ac:dyDescent="0.35">
      <c r="A5079" s="5" t="s">
        <v>616</v>
      </c>
      <c r="B5079" s="50" t="s">
        <v>137</v>
      </c>
      <c r="C5079" s="7">
        <v>0.63</v>
      </c>
      <c r="D5079" s="7">
        <v>16.170000000000002</v>
      </c>
      <c r="E5079" s="85">
        <f>C5079*D5079</f>
        <v>10.187100000000001</v>
      </c>
    </row>
    <row r="5080" spans="1:5" ht="18" x14ac:dyDescent="0.35">
      <c r="A5080" s="5"/>
      <c r="B5080" s="50" t="s">
        <v>35</v>
      </c>
      <c r="C5080" s="7">
        <v>4</v>
      </c>
      <c r="D5080" s="7">
        <v>2.91</v>
      </c>
      <c r="E5080" s="85">
        <f>C5080*D5080</f>
        <v>11.64</v>
      </c>
    </row>
    <row r="5081" spans="1:5" ht="18" x14ac:dyDescent="0.35">
      <c r="A5081" s="5"/>
      <c r="B5081" s="50" t="s">
        <v>36</v>
      </c>
      <c r="C5081" s="7">
        <v>4</v>
      </c>
      <c r="D5081" s="7">
        <v>0.61</v>
      </c>
      <c r="E5081" s="85">
        <f>C5081*D5081</f>
        <v>2.44</v>
      </c>
    </row>
    <row r="5082" spans="1:5" ht="18" x14ac:dyDescent="0.35">
      <c r="A5082" s="5"/>
      <c r="B5082" s="50"/>
      <c r="C5082" s="87"/>
      <c r="D5082" s="88"/>
      <c r="E5082" s="85">
        <f>SUM(E5077:E5081)</f>
        <v>516.24822000000006</v>
      </c>
    </row>
    <row r="5083" spans="1:5" ht="18" x14ac:dyDescent="0.35">
      <c r="A5083" s="5"/>
      <c r="B5083" s="50"/>
      <c r="C5083" s="87"/>
      <c r="D5083" s="88" t="s">
        <v>1266</v>
      </c>
      <c r="E5083" s="85">
        <f>E5082+E5082*40%</f>
        <v>722.74750800000015</v>
      </c>
    </row>
    <row r="5084" spans="1:5" ht="18" x14ac:dyDescent="0.35">
      <c r="A5084" s="5"/>
      <c r="B5084" s="50" t="s">
        <v>37</v>
      </c>
      <c r="C5084" s="54">
        <v>0.5</v>
      </c>
      <c r="D5084" s="86">
        <v>200</v>
      </c>
      <c r="E5084" s="85">
        <f>C5084*D5084</f>
        <v>100</v>
      </c>
    </row>
    <row r="5085" spans="1:5" ht="18" x14ac:dyDescent="0.35">
      <c r="A5085" s="5"/>
      <c r="B5085" s="5"/>
      <c r="C5085" s="54"/>
      <c r="D5085" s="54"/>
      <c r="E5085" s="85">
        <f>SUM(E5083:E5084)</f>
        <v>822.74750800000015</v>
      </c>
    </row>
    <row r="5086" spans="1:5" x14ac:dyDescent="0.3">
      <c r="A5086" t="s">
        <v>1445</v>
      </c>
    </row>
    <row r="5087" spans="1:5" ht="21" x14ac:dyDescent="0.4">
      <c r="A5087" s="40" t="s">
        <v>1175</v>
      </c>
      <c r="B5087" s="40"/>
      <c r="C5087" s="84"/>
    </row>
    <row r="5088" spans="1:5" ht="18" x14ac:dyDescent="0.35">
      <c r="B5088" s="5"/>
      <c r="C5088" s="7" t="s">
        <v>28</v>
      </c>
      <c r="D5088" s="7" t="s">
        <v>29</v>
      </c>
      <c r="E5088" s="7" t="s">
        <v>30</v>
      </c>
    </row>
    <row r="5089" spans="1:5" ht="18" x14ac:dyDescent="0.35">
      <c r="A5089" s="5" t="s">
        <v>237</v>
      </c>
      <c r="B5089" s="50" t="s">
        <v>32</v>
      </c>
      <c r="C5089" s="7">
        <v>2.3959999999999999</v>
      </c>
      <c r="D5089" s="7">
        <v>10.34</v>
      </c>
      <c r="E5089" s="85">
        <f t="shared" ref="E5089:E5094" si="355">C5089*D5089</f>
        <v>24.774639999999998</v>
      </c>
    </row>
    <row r="5090" spans="1:5" ht="18" x14ac:dyDescent="0.35">
      <c r="A5090" s="5" t="s">
        <v>810</v>
      </c>
      <c r="B5090" s="50" t="s">
        <v>33</v>
      </c>
      <c r="C5090" s="7">
        <v>3.1179999999999999</v>
      </c>
      <c r="D5090" s="7">
        <v>16.170000000000002</v>
      </c>
      <c r="E5090" s="85">
        <f t="shared" si="355"/>
        <v>50.418060000000004</v>
      </c>
    </row>
    <row r="5091" spans="1:5" ht="18" x14ac:dyDescent="0.35">
      <c r="A5091" s="5" t="s">
        <v>674</v>
      </c>
      <c r="B5091" s="50" t="s">
        <v>42</v>
      </c>
      <c r="C5091" s="7">
        <v>2</v>
      </c>
      <c r="D5091" s="7">
        <v>1.1499999999999999</v>
      </c>
      <c r="E5091" s="85">
        <f t="shared" si="355"/>
        <v>2.2999999999999998</v>
      </c>
    </row>
    <row r="5092" spans="1:5" ht="18" x14ac:dyDescent="0.35">
      <c r="A5092" s="5" t="s">
        <v>1446</v>
      </c>
      <c r="B5092" s="50" t="s">
        <v>34</v>
      </c>
      <c r="C5092" s="7">
        <v>0.32</v>
      </c>
      <c r="D5092" s="7">
        <v>14.61</v>
      </c>
      <c r="E5092" s="85">
        <f t="shared" si="355"/>
        <v>4.6752000000000002</v>
      </c>
    </row>
    <row r="5093" spans="1:5" ht="18" x14ac:dyDescent="0.35">
      <c r="A5093" s="5"/>
      <c r="B5093" s="50" t="s">
        <v>35</v>
      </c>
      <c r="C5093" s="7">
        <v>4</v>
      </c>
      <c r="D5093" s="7">
        <v>2.91</v>
      </c>
      <c r="E5093" s="85">
        <f t="shared" si="355"/>
        <v>11.64</v>
      </c>
    </row>
    <row r="5094" spans="1:5" ht="18" x14ac:dyDescent="0.35">
      <c r="A5094" s="5"/>
      <c r="B5094" s="50" t="s">
        <v>36</v>
      </c>
      <c r="C5094" s="7">
        <v>4</v>
      </c>
      <c r="D5094" s="7">
        <v>0.61</v>
      </c>
      <c r="E5094" s="85">
        <f t="shared" si="355"/>
        <v>2.44</v>
      </c>
    </row>
    <row r="5095" spans="1:5" ht="18" x14ac:dyDescent="0.35">
      <c r="A5095" s="5"/>
      <c r="B5095" s="5"/>
      <c r="C5095" s="54"/>
      <c r="D5095" s="54"/>
      <c r="E5095" s="89">
        <f>SUM(E5089:E5094)</f>
        <v>96.247900000000001</v>
      </c>
    </row>
    <row r="5096" spans="1:5" ht="18" x14ac:dyDescent="0.35">
      <c r="A5096" s="5"/>
      <c r="B5096" s="5"/>
      <c r="C5096" s="54"/>
      <c r="D5096" s="54" t="s">
        <v>1063</v>
      </c>
      <c r="E5096" s="89">
        <f>E5095+E5095*40%</f>
        <v>134.74706</v>
      </c>
    </row>
    <row r="5097" spans="1:5" ht="18" x14ac:dyDescent="0.35">
      <c r="A5097" s="5"/>
      <c r="B5097" s="50" t="s">
        <v>37</v>
      </c>
      <c r="C5097" s="54">
        <v>0.4</v>
      </c>
      <c r="D5097" s="54">
        <v>200</v>
      </c>
      <c r="E5097" s="85">
        <f>C5097*D5097</f>
        <v>80</v>
      </c>
    </row>
    <row r="5098" spans="1:5" ht="18" x14ac:dyDescent="0.35">
      <c r="A5098" s="5"/>
      <c r="B5098" s="5"/>
      <c r="C5098" s="54"/>
      <c r="D5098" s="54"/>
      <c r="E5098" s="85">
        <f>SUM(E5096:E5097)</f>
        <v>214.74706</v>
      </c>
    </row>
    <row r="5101" spans="1:5" ht="21" x14ac:dyDescent="0.4">
      <c r="A5101" s="40" t="s">
        <v>1448</v>
      </c>
      <c r="B5101" s="40"/>
      <c r="C5101" s="84"/>
    </row>
    <row r="5102" spans="1:5" ht="18" x14ac:dyDescent="0.35">
      <c r="B5102" s="5"/>
      <c r="C5102" s="7" t="s">
        <v>28</v>
      </c>
      <c r="D5102" s="7" t="s">
        <v>29</v>
      </c>
      <c r="E5102" s="7" t="s">
        <v>30</v>
      </c>
    </row>
    <row r="5103" spans="1:5" ht="18" x14ac:dyDescent="0.35">
      <c r="A5103" s="5" t="s">
        <v>1449</v>
      </c>
      <c r="B5103" s="50" t="s">
        <v>32</v>
      </c>
      <c r="C5103" s="7">
        <v>0.91500000000000004</v>
      </c>
      <c r="D5103" s="7">
        <v>10.34</v>
      </c>
      <c r="E5103" s="85">
        <f t="shared" ref="E5103:E5108" si="356">C5103*D5103</f>
        <v>9.4611000000000001</v>
      </c>
    </row>
    <row r="5104" spans="1:5" ht="18" x14ac:dyDescent="0.35">
      <c r="A5104" s="5" t="s">
        <v>810</v>
      </c>
      <c r="B5104" s="50" t="s">
        <v>33</v>
      </c>
      <c r="C5104" s="7">
        <v>0.91300000000000003</v>
      </c>
      <c r="D5104" s="7">
        <v>16.170000000000002</v>
      </c>
      <c r="E5104" s="85">
        <f t="shared" si="356"/>
        <v>14.763210000000003</v>
      </c>
    </row>
    <row r="5105" spans="1:5" ht="18" x14ac:dyDescent="0.35">
      <c r="A5105" s="5" t="s">
        <v>619</v>
      </c>
      <c r="B5105" s="50" t="s">
        <v>42</v>
      </c>
      <c r="C5105" s="7">
        <v>2</v>
      </c>
      <c r="D5105" s="7">
        <v>1.1499999999999999</v>
      </c>
      <c r="E5105" s="85">
        <f t="shared" si="356"/>
        <v>2.2999999999999998</v>
      </c>
    </row>
    <row r="5106" spans="1:5" ht="18" x14ac:dyDescent="0.35">
      <c r="A5106" s="5" t="s">
        <v>1446</v>
      </c>
      <c r="B5106" s="50" t="s">
        <v>34</v>
      </c>
      <c r="C5106" s="7"/>
      <c r="D5106" s="7">
        <v>14.61</v>
      </c>
      <c r="E5106" s="85">
        <f t="shared" si="356"/>
        <v>0</v>
      </c>
    </row>
    <row r="5107" spans="1:5" ht="18" x14ac:dyDescent="0.35">
      <c r="A5107" s="5"/>
      <c r="B5107" s="50" t="s">
        <v>35</v>
      </c>
      <c r="C5107" s="7">
        <v>4</v>
      </c>
      <c r="D5107" s="7">
        <v>2.91</v>
      </c>
      <c r="E5107" s="85">
        <f t="shared" si="356"/>
        <v>11.64</v>
      </c>
    </row>
    <row r="5108" spans="1:5" ht="18" x14ac:dyDescent="0.35">
      <c r="A5108" s="5"/>
      <c r="B5108" s="50" t="s">
        <v>36</v>
      </c>
      <c r="C5108" s="7">
        <v>4</v>
      </c>
      <c r="D5108" s="7">
        <v>0.61</v>
      </c>
      <c r="E5108" s="85">
        <f t="shared" si="356"/>
        <v>2.44</v>
      </c>
    </row>
    <row r="5109" spans="1:5" ht="18" x14ac:dyDescent="0.35">
      <c r="A5109" s="5"/>
      <c r="B5109" s="5"/>
      <c r="C5109" s="54"/>
      <c r="D5109" s="54"/>
      <c r="E5109" s="89">
        <f>SUM(E5103:E5108)</f>
        <v>40.604309999999998</v>
      </c>
    </row>
    <row r="5110" spans="1:5" ht="18" x14ac:dyDescent="0.35">
      <c r="A5110" s="5"/>
      <c r="B5110" s="5"/>
      <c r="C5110" s="54"/>
      <c r="D5110" s="54" t="s">
        <v>1063</v>
      </c>
      <c r="E5110" s="89">
        <f>E5109+E5109*40%</f>
        <v>56.846034000000003</v>
      </c>
    </row>
    <row r="5111" spans="1:5" ht="18" x14ac:dyDescent="0.35">
      <c r="A5111" s="5"/>
      <c r="B5111" s="50" t="s">
        <v>37</v>
      </c>
      <c r="C5111" s="54">
        <v>0.2</v>
      </c>
      <c r="D5111" s="54">
        <v>200</v>
      </c>
      <c r="E5111" s="85">
        <f>C5111*D5111</f>
        <v>40</v>
      </c>
    </row>
    <row r="5112" spans="1:5" ht="18" x14ac:dyDescent="0.35">
      <c r="A5112" s="5"/>
      <c r="B5112" s="5"/>
      <c r="C5112" s="54"/>
      <c r="D5112" s="54"/>
      <c r="E5112" s="85">
        <f>SUM(E5110:E5111)</f>
        <v>96.846034000000003</v>
      </c>
    </row>
    <row r="5115" spans="1:5" ht="21" x14ac:dyDescent="0.4">
      <c r="A5115" s="40" t="s">
        <v>1450</v>
      </c>
      <c r="B5115" s="40"/>
      <c r="C5115" s="84"/>
    </row>
    <row r="5116" spans="1:5" ht="18" x14ac:dyDescent="0.35">
      <c r="A5116" t="s">
        <v>1451</v>
      </c>
      <c r="B5116" s="5"/>
      <c r="C5116" s="7" t="s">
        <v>28</v>
      </c>
      <c r="D5116" s="7" t="s">
        <v>29</v>
      </c>
      <c r="E5116" s="7" t="s">
        <v>30</v>
      </c>
    </row>
    <row r="5117" spans="1:5" ht="18" x14ac:dyDescent="0.35">
      <c r="A5117" s="5" t="s">
        <v>697</v>
      </c>
      <c r="B5117" s="50" t="s">
        <v>32</v>
      </c>
      <c r="C5117" s="7">
        <v>2.238</v>
      </c>
      <c r="D5117" s="7">
        <v>10.34</v>
      </c>
      <c r="E5117" s="85">
        <f t="shared" ref="E5117:E5122" si="357">C5117*D5117</f>
        <v>23.140920000000001</v>
      </c>
    </row>
    <row r="5118" spans="1:5" ht="18" x14ac:dyDescent="0.35">
      <c r="A5118" s="5" t="s">
        <v>819</v>
      </c>
      <c r="B5118" s="50" t="s">
        <v>33</v>
      </c>
      <c r="C5118" s="7">
        <v>11.875</v>
      </c>
      <c r="D5118" s="7">
        <v>16.170000000000002</v>
      </c>
      <c r="E5118" s="85">
        <f t="shared" si="357"/>
        <v>192.01875000000001</v>
      </c>
    </row>
    <row r="5119" spans="1:5" ht="18" x14ac:dyDescent="0.35">
      <c r="A5119" s="5" t="s">
        <v>431</v>
      </c>
      <c r="B5119" s="50" t="s">
        <v>98</v>
      </c>
      <c r="C5119" s="7">
        <v>2</v>
      </c>
      <c r="D5119" s="7">
        <v>3.4</v>
      </c>
      <c r="E5119" s="85">
        <f t="shared" si="357"/>
        <v>6.8</v>
      </c>
    </row>
    <row r="5120" spans="1:5" ht="18" x14ac:dyDescent="0.35">
      <c r="A5120" s="5" t="s">
        <v>1446</v>
      </c>
      <c r="B5120" s="50" t="s">
        <v>34</v>
      </c>
      <c r="C5120" s="7"/>
      <c r="D5120" s="7">
        <v>14.61</v>
      </c>
      <c r="E5120" s="85">
        <f t="shared" si="357"/>
        <v>0</v>
      </c>
    </row>
    <row r="5121" spans="1:5" ht="18" x14ac:dyDescent="0.35">
      <c r="A5121" s="5"/>
      <c r="B5121" s="50" t="s">
        <v>35</v>
      </c>
      <c r="C5121" s="7">
        <v>4</v>
      </c>
      <c r="D5121" s="7">
        <v>2.91</v>
      </c>
      <c r="E5121" s="85">
        <f t="shared" si="357"/>
        <v>11.64</v>
      </c>
    </row>
    <row r="5122" spans="1:5" ht="18" x14ac:dyDescent="0.35">
      <c r="A5122" s="5"/>
      <c r="B5122" s="50" t="s">
        <v>36</v>
      </c>
      <c r="C5122" s="7">
        <v>4</v>
      </c>
      <c r="D5122" s="7">
        <v>0.61</v>
      </c>
      <c r="E5122" s="85">
        <f t="shared" si="357"/>
        <v>2.44</v>
      </c>
    </row>
    <row r="5123" spans="1:5" ht="18" x14ac:dyDescent="0.35">
      <c r="A5123" s="5"/>
      <c r="B5123" s="5"/>
      <c r="C5123" s="54"/>
      <c r="D5123" s="54"/>
      <c r="E5123" s="89">
        <f>SUM(E5117:E5122)</f>
        <v>236.03967</v>
      </c>
    </row>
    <row r="5124" spans="1:5" ht="18" x14ac:dyDescent="0.35">
      <c r="A5124" s="5"/>
      <c r="B5124" s="5"/>
      <c r="C5124" s="54"/>
      <c r="D5124" s="54" t="s">
        <v>1063</v>
      </c>
      <c r="E5124" s="89">
        <f>E5123+E5123*40%</f>
        <v>330.45553799999999</v>
      </c>
    </row>
    <row r="5125" spans="1:5" ht="18" x14ac:dyDescent="0.35">
      <c r="A5125" s="5"/>
      <c r="B5125" s="50" t="s">
        <v>37</v>
      </c>
      <c r="C5125" s="54">
        <v>0.5</v>
      </c>
      <c r="D5125" s="54">
        <v>200</v>
      </c>
      <c r="E5125" s="85">
        <f>C5125*D5125</f>
        <v>100</v>
      </c>
    </row>
    <row r="5126" spans="1:5" ht="18" x14ac:dyDescent="0.35">
      <c r="A5126" s="5"/>
      <c r="B5126" s="5"/>
      <c r="C5126" s="54"/>
      <c r="D5126" s="54"/>
      <c r="E5126" s="85">
        <f>SUM(E5124:E5125)</f>
        <v>430.45553799999999</v>
      </c>
    </row>
    <row r="5129" spans="1:5" ht="21" x14ac:dyDescent="0.4">
      <c r="A5129" s="40" t="s">
        <v>1453</v>
      </c>
      <c r="B5129" s="40"/>
      <c r="C5129" s="84"/>
    </row>
    <row r="5130" spans="1:5" ht="18" x14ac:dyDescent="0.35">
      <c r="A5130" t="s">
        <v>1452</v>
      </c>
      <c r="B5130" s="5"/>
      <c r="C5130" s="7" t="s">
        <v>28</v>
      </c>
      <c r="D5130" s="7" t="s">
        <v>29</v>
      </c>
      <c r="E5130" s="7" t="s">
        <v>30</v>
      </c>
    </row>
    <row r="5131" spans="1:5" ht="18" x14ac:dyDescent="0.35">
      <c r="A5131" s="5" t="s">
        <v>1454</v>
      </c>
      <c r="B5131" s="50" t="s">
        <v>32</v>
      </c>
      <c r="C5131" s="7">
        <v>3.3551000000000002</v>
      </c>
      <c r="D5131" s="7">
        <v>10.34</v>
      </c>
      <c r="E5131" s="85">
        <f t="shared" ref="E5131:E5136" si="358">C5131*D5131</f>
        <v>34.691734000000004</v>
      </c>
    </row>
    <row r="5132" spans="1:5" ht="18" x14ac:dyDescent="0.35">
      <c r="A5132" s="5" t="s">
        <v>1220</v>
      </c>
      <c r="B5132" s="50" t="s">
        <v>33</v>
      </c>
      <c r="C5132" s="7">
        <v>7.8220000000000001</v>
      </c>
      <c r="D5132" s="7">
        <v>16.170000000000002</v>
      </c>
      <c r="E5132" s="85">
        <f t="shared" si="358"/>
        <v>126.48174000000002</v>
      </c>
    </row>
    <row r="5133" spans="1:5" ht="18" x14ac:dyDescent="0.35">
      <c r="A5133" s="5" t="s">
        <v>431</v>
      </c>
      <c r="B5133" s="50" t="s">
        <v>1455</v>
      </c>
      <c r="C5133" s="7">
        <v>2</v>
      </c>
      <c r="D5133" s="7">
        <v>1.6</v>
      </c>
      <c r="E5133" s="85">
        <f t="shared" si="358"/>
        <v>3.2</v>
      </c>
    </row>
    <row r="5134" spans="1:5" ht="18" x14ac:dyDescent="0.35">
      <c r="A5134" s="5" t="s">
        <v>1446</v>
      </c>
      <c r="B5134" s="50" t="s">
        <v>34</v>
      </c>
      <c r="C5134" s="7">
        <v>0.8</v>
      </c>
      <c r="D5134" s="7">
        <v>14.61</v>
      </c>
      <c r="E5134" s="85">
        <f t="shared" si="358"/>
        <v>11.688000000000001</v>
      </c>
    </row>
    <row r="5135" spans="1:5" ht="18" x14ac:dyDescent="0.35">
      <c r="A5135" s="5"/>
      <c r="B5135" s="50" t="s">
        <v>35</v>
      </c>
      <c r="C5135" s="7">
        <v>4</v>
      </c>
      <c r="D5135" s="7">
        <v>2.91</v>
      </c>
      <c r="E5135" s="85">
        <f t="shared" si="358"/>
        <v>11.64</v>
      </c>
    </row>
    <row r="5136" spans="1:5" ht="18" x14ac:dyDescent="0.35">
      <c r="A5136" s="5"/>
      <c r="B5136" s="50" t="s">
        <v>36</v>
      </c>
      <c r="C5136" s="7">
        <v>4</v>
      </c>
      <c r="D5136" s="7">
        <v>0.61</v>
      </c>
      <c r="E5136" s="85">
        <f t="shared" si="358"/>
        <v>2.44</v>
      </c>
    </row>
    <row r="5137" spans="1:5" ht="18" x14ac:dyDescent="0.35">
      <c r="A5137" s="5"/>
      <c r="B5137" s="5"/>
      <c r="C5137" s="54"/>
      <c r="D5137" s="54"/>
      <c r="E5137" s="89">
        <f>SUM(E5131:E5136)</f>
        <v>190.14147400000002</v>
      </c>
    </row>
    <row r="5138" spans="1:5" ht="18" x14ac:dyDescent="0.35">
      <c r="A5138" s="5"/>
      <c r="B5138" s="5"/>
      <c r="C5138" s="54"/>
      <c r="D5138" s="54" t="s">
        <v>1063</v>
      </c>
      <c r="E5138" s="89">
        <f>E5137+E5137*40%</f>
        <v>266.19806360000001</v>
      </c>
    </row>
    <row r="5139" spans="1:5" ht="18" x14ac:dyDescent="0.35">
      <c r="A5139" s="5"/>
      <c r="B5139" s="50" t="s">
        <v>37</v>
      </c>
      <c r="C5139" s="54">
        <v>1</v>
      </c>
      <c r="D5139" s="54">
        <v>200</v>
      </c>
      <c r="E5139" s="85">
        <f>C5139*D5139</f>
        <v>200</v>
      </c>
    </row>
    <row r="5140" spans="1:5" ht="18" x14ac:dyDescent="0.35">
      <c r="A5140" s="5"/>
      <c r="B5140" s="5"/>
      <c r="C5140" s="54"/>
      <c r="D5140" s="54"/>
      <c r="E5140" s="85">
        <f>SUM(E5138:E5139)</f>
        <v>466.19806360000001</v>
      </c>
    </row>
    <row r="5143" spans="1:5" x14ac:dyDescent="0.3">
      <c r="A5143" t="s">
        <v>1456</v>
      </c>
    </row>
    <row r="5144" spans="1:5" ht="21" x14ac:dyDescent="0.4">
      <c r="A5144" s="40" t="s">
        <v>1457</v>
      </c>
      <c r="B5144" s="40"/>
      <c r="C5144" s="40"/>
      <c r="D5144" s="12"/>
      <c r="E5144" s="12"/>
    </row>
    <row r="5145" spans="1:5" ht="18" x14ac:dyDescent="0.35">
      <c r="A5145" s="5"/>
      <c r="B5145" s="5"/>
      <c r="C5145" s="7" t="s">
        <v>28</v>
      </c>
      <c r="D5145" s="7" t="s">
        <v>29</v>
      </c>
      <c r="E5145" s="7" t="s">
        <v>30</v>
      </c>
    </row>
    <row r="5146" spans="1:5" ht="18" x14ac:dyDescent="0.35">
      <c r="A5146" s="5" t="s">
        <v>123</v>
      </c>
      <c r="B5146" s="50" t="s">
        <v>32</v>
      </c>
      <c r="C5146" s="7">
        <v>3.0779999999999998</v>
      </c>
      <c r="D5146" s="7">
        <v>16.43</v>
      </c>
      <c r="E5146" s="85">
        <f>C5146*D5146</f>
        <v>50.571539999999999</v>
      </c>
    </row>
    <row r="5147" spans="1:5" ht="18" x14ac:dyDescent="0.35">
      <c r="A5147" s="5" t="s">
        <v>819</v>
      </c>
      <c r="B5147" s="50" t="s">
        <v>33</v>
      </c>
      <c r="C5147" s="7">
        <v>30.145</v>
      </c>
      <c r="D5147" s="7">
        <v>15.25</v>
      </c>
      <c r="E5147" s="85">
        <f>C5147*D5147</f>
        <v>459.71125000000001</v>
      </c>
    </row>
    <row r="5148" spans="1:5" ht="18" x14ac:dyDescent="0.35">
      <c r="A5148" s="5" t="s">
        <v>595</v>
      </c>
      <c r="B5148" s="50" t="s">
        <v>137</v>
      </c>
      <c r="C5148" s="7">
        <v>0.8</v>
      </c>
      <c r="D5148" s="7">
        <v>16.170000000000002</v>
      </c>
      <c r="E5148" s="85">
        <f>C5148*D5148</f>
        <v>12.936000000000002</v>
      </c>
    </row>
    <row r="5149" spans="1:5" ht="18" x14ac:dyDescent="0.35">
      <c r="A5149" s="5"/>
      <c r="B5149" s="50" t="s">
        <v>35</v>
      </c>
      <c r="C5149" s="7">
        <v>4</v>
      </c>
      <c r="D5149" s="7">
        <v>2.91</v>
      </c>
      <c r="E5149" s="85">
        <f>C5149*D5149</f>
        <v>11.64</v>
      </c>
    </row>
    <row r="5150" spans="1:5" ht="18" x14ac:dyDescent="0.35">
      <c r="A5150" s="5"/>
      <c r="B5150" s="50" t="s">
        <v>36</v>
      </c>
      <c r="C5150" s="7">
        <v>4</v>
      </c>
      <c r="D5150" s="7">
        <v>0.61</v>
      </c>
      <c r="E5150" s="85">
        <f>C5150*D5150</f>
        <v>2.44</v>
      </c>
    </row>
    <row r="5151" spans="1:5" ht="18" x14ac:dyDescent="0.35">
      <c r="A5151" s="5"/>
      <c r="B5151" s="50"/>
      <c r="C5151" s="87"/>
      <c r="D5151" s="88"/>
      <c r="E5151" s="85">
        <f>SUM(E5146:E5150)</f>
        <v>537.29879000000005</v>
      </c>
    </row>
    <row r="5152" spans="1:5" ht="18" x14ac:dyDescent="0.35">
      <c r="A5152" s="5"/>
      <c r="B5152" s="50"/>
      <c r="C5152" s="87"/>
      <c r="D5152" s="88" t="s">
        <v>1266</v>
      </c>
      <c r="E5152" s="85">
        <f>E5151+E5151*40%</f>
        <v>752.2183060000001</v>
      </c>
    </row>
    <row r="5153" spans="1:5" ht="18" x14ac:dyDescent="0.35">
      <c r="A5153" s="5"/>
      <c r="B5153" s="50" t="s">
        <v>37</v>
      </c>
      <c r="C5153" s="54">
        <v>1</v>
      </c>
      <c r="D5153" s="86">
        <v>200</v>
      </c>
      <c r="E5153" s="85">
        <f>C5153*D5153</f>
        <v>200</v>
      </c>
    </row>
    <row r="5154" spans="1:5" ht="18" x14ac:dyDescent="0.35">
      <c r="A5154" s="5"/>
      <c r="B5154" s="5"/>
      <c r="C5154" s="54"/>
      <c r="D5154" s="54"/>
      <c r="E5154" s="85">
        <f>SUM(E5152:E5153)</f>
        <v>952.2183060000001</v>
      </c>
    </row>
    <row r="5156" spans="1:5" ht="21" x14ac:dyDescent="0.4">
      <c r="A5156" s="40" t="s">
        <v>1458</v>
      </c>
      <c r="B5156" s="40"/>
      <c r="C5156" s="84"/>
    </row>
    <row r="5157" spans="1:5" ht="18" x14ac:dyDescent="0.35">
      <c r="A5157" t="s">
        <v>1459</v>
      </c>
      <c r="B5157" s="5"/>
      <c r="C5157" s="7" t="s">
        <v>28</v>
      </c>
      <c r="D5157" s="7" t="s">
        <v>29</v>
      </c>
      <c r="E5157" s="7" t="s">
        <v>30</v>
      </c>
    </row>
    <row r="5158" spans="1:5" ht="18" x14ac:dyDescent="0.35">
      <c r="A5158" s="5" t="s">
        <v>1460</v>
      </c>
      <c r="B5158" s="50" t="s">
        <v>32</v>
      </c>
      <c r="C5158" s="7">
        <v>2.6579999999999999</v>
      </c>
      <c r="D5158" s="7">
        <v>10.34</v>
      </c>
      <c r="E5158" s="85">
        <f t="shared" ref="E5158:E5163" si="359">C5158*D5158</f>
        <v>27.483719999999998</v>
      </c>
    </row>
    <row r="5159" spans="1:5" ht="18" x14ac:dyDescent="0.35">
      <c r="A5159" s="5" t="s">
        <v>767</v>
      </c>
      <c r="B5159" s="50" t="s">
        <v>33</v>
      </c>
      <c r="C5159" s="7">
        <v>16.38</v>
      </c>
      <c r="D5159" s="7">
        <v>16.170000000000002</v>
      </c>
      <c r="E5159" s="85">
        <f t="shared" si="359"/>
        <v>264.8646</v>
      </c>
    </row>
    <row r="5160" spans="1:5" ht="18" x14ac:dyDescent="0.35">
      <c r="A5160" s="5" t="s">
        <v>431</v>
      </c>
      <c r="B5160" s="50" t="s">
        <v>87</v>
      </c>
      <c r="C5160" s="7">
        <v>4</v>
      </c>
      <c r="D5160" s="7">
        <v>1.81</v>
      </c>
      <c r="E5160" s="85">
        <f t="shared" si="359"/>
        <v>7.24</v>
      </c>
    </row>
    <row r="5161" spans="1:5" ht="18" x14ac:dyDescent="0.35">
      <c r="A5161" s="5" t="s">
        <v>1446</v>
      </c>
      <c r="B5161" s="50" t="s">
        <v>34</v>
      </c>
      <c r="C5161" s="7">
        <v>0.84</v>
      </c>
      <c r="D5161" s="7">
        <v>14.61</v>
      </c>
      <c r="E5161" s="85">
        <f t="shared" si="359"/>
        <v>12.272399999999999</v>
      </c>
    </row>
    <row r="5162" spans="1:5" ht="18" x14ac:dyDescent="0.35">
      <c r="A5162" s="5"/>
      <c r="B5162" s="50" t="s">
        <v>35</v>
      </c>
      <c r="C5162" s="7">
        <v>4</v>
      </c>
      <c r="D5162" s="7">
        <v>2.91</v>
      </c>
      <c r="E5162" s="85">
        <f t="shared" si="359"/>
        <v>11.64</v>
      </c>
    </row>
    <row r="5163" spans="1:5" ht="18" x14ac:dyDescent="0.35">
      <c r="A5163" s="5"/>
      <c r="B5163" s="50" t="s">
        <v>36</v>
      </c>
      <c r="C5163" s="7">
        <v>4</v>
      </c>
      <c r="D5163" s="7">
        <v>0.61</v>
      </c>
      <c r="E5163" s="85">
        <f t="shared" si="359"/>
        <v>2.44</v>
      </c>
    </row>
    <row r="5164" spans="1:5" ht="18" x14ac:dyDescent="0.35">
      <c r="A5164" s="5"/>
      <c r="B5164" s="5"/>
      <c r="C5164" s="54"/>
      <c r="D5164" s="54"/>
      <c r="E5164" s="89">
        <f>SUM(E5158:E5163)</f>
        <v>325.94072</v>
      </c>
    </row>
    <row r="5165" spans="1:5" ht="18" x14ac:dyDescent="0.35">
      <c r="A5165" s="5"/>
      <c r="B5165" s="5"/>
      <c r="C5165" s="54"/>
      <c r="D5165" s="54" t="s">
        <v>1063</v>
      </c>
      <c r="E5165" s="89">
        <f>E5164+E5164*40%</f>
        <v>456.31700799999999</v>
      </c>
    </row>
    <row r="5166" spans="1:5" ht="18" x14ac:dyDescent="0.35">
      <c r="A5166" s="5"/>
      <c r="B5166" s="50" t="s">
        <v>37</v>
      </c>
      <c r="C5166" s="54">
        <v>1</v>
      </c>
      <c r="D5166" s="54">
        <v>200</v>
      </c>
      <c r="E5166" s="85">
        <f>C5166*D5166</f>
        <v>200</v>
      </c>
    </row>
    <row r="5167" spans="1:5" ht="18" x14ac:dyDescent="0.35">
      <c r="A5167" s="5"/>
      <c r="B5167" s="5"/>
      <c r="C5167" s="54"/>
      <c r="D5167" s="54"/>
      <c r="E5167" s="85">
        <f>SUM(E5165:E5166)</f>
        <v>656.31700799999999</v>
      </c>
    </row>
    <row r="5169" spans="1:12" ht="21" x14ac:dyDescent="0.4">
      <c r="A5169" s="40" t="s">
        <v>1462</v>
      </c>
      <c r="B5169" s="40"/>
      <c r="C5169" s="84"/>
    </row>
    <row r="5170" spans="1:12" ht="18" x14ac:dyDescent="0.35">
      <c r="A5170" t="s">
        <v>1459</v>
      </c>
      <c r="B5170" s="5"/>
      <c r="C5170" s="7" t="s">
        <v>28</v>
      </c>
      <c r="D5170" s="7" t="s">
        <v>29</v>
      </c>
      <c r="E5170" s="7" t="s">
        <v>30</v>
      </c>
    </row>
    <row r="5171" spans="1:12" ht="18" x14ac:dyDescent="0.35">
      <c r="A5171" s="5" t="s">
        <v>1460</v>
      </c>
      <c r="B5171" s="50" t="s">
        <v>32</v>
      </c>
      <c r="C5171" s="7">
        <v>2.6579999999999999</v>
      </c>
      <c r="D5171" s="7">
        <v>14.93</v>
      </c>
      <c r="E5171" s="85">
        <f t="shared" ref="E5171:E5178" si="360">C5171*D5171</f>
        <v>39.68394</v>
      </c>
    </row>
    <row r="5172" spans="1:12" ht="18" x14ac:dyDescent="0.35">
      <c r="A5172" s="5" t="s">
        <v>824</v>
      </c>
      <c r="B5172" s="50" t="s">
        <v>33</v>
      </c>
      <c r="C5172" s="7">
        <v>15.76</v>
      </c>
      <c r="D5172" s="7">
        <v>16.170000000000002</v>
      </c>
      <c r="E5172" s="85">
        <f t="shared" si="360"/>
        <v>254.83920000000003</v>
      </c>
    </row>
    <row r="5173" spans="1:12" ht="18" x14ac:dyDescent="0.35">
      <c r="A5173" s="5" t="s">
        <v>397</v>
      </c>
      <c r="B5173" s="50" t="s">
        <v>33</v>
      </c>
      <c r="C5173" s="7">
        <v>16.38</v>
      </c>
      <c r="D5173" s="7">
        <v>16.170000000000002</v>
      </c>
      <c r="E5173" s="85">
        <f t="shared" si="360"/>
        <v>264.8646</v>
      </c>
    </row>
    <row r="5174" spans="1:12" ht="18" x14ac:dyDescent="0.35">
      <c r="A5174" s="5" t="s">
        <v>1461</v>
      </c>
      <c r="B5174" s="50" t="s">
        <v>87</v>
      </c>
      <c r="C5174" s="7">
        <v>2</v>
      </c>
      <c r="D5174" s="7">
        <v>1.81</v>
      </c>
      <c r="E5174" s="85">
        <f t="shared" si="360"/>
        <v>3.62</v>
      </c>
    </row>
    <row r="5175" spans="1:12" ht="18" x14ac:dyDescent="0.35">
      <c r="A5175" s="5"/>
      <c r="B5175" s="50" t="s">
        <v>87</v>
      </c>
      <c r="C5175" s="7">
        <v>4</v>
      </c>
      <c r="D5175" s="7">
        <v>1.81</v>
      </c>
      <c r="E5175" s="85">
        <f t="shared" si="360"/>
        <v>7.24</v>
      </c>
    </row>
    <row r="5176" spans="1:12" ht="18" x14ac:dyDescent="0.35">
      <c r="A5176" s="5"/>
      <c r="B5176" s="50" t="s">
        <v>34</v>
      </c>
      <c r="C5176" s="7">
        <v>0.84</v>
      </c>
      <c r="D5176" s="7">
        <v>14.61</v>
      </c>
      <c r="E5176" s="85">
        <f t="shared" si="360"/>
        <v>12.272399999999999</v>
      </c>
    </row>
    <row r="5177" spans="1:12" ht="18" x14ac:dyDescent="0.35">
      <c r="A5177" s="5"/>
      <c r="B5177" s="50" t="s">
        <v>35</v>
      </c>
      <c r="C5177" s="7">
        <v>4</v>
      </c>
      <c r="D5177" s="7">
        <v>2.91</v>
      </c>
      <c r="E5177" s="85">
        <f t="shared" si="360"/>
        <v>11.64</v>
      </c>
    </row>
    <row r="5178" spans="1:12" ht="18" x14ac:dyDescent="0.35">
      <c r="A5178" s="5"/>
      <c r="B5178" s="50" t="s">
        <v>36</v>
      </c>
      <c r="C5178" s="7">
        <v>4</v>
      </c>
      <c r="D5178" s="7">
        <v>0.61</v>
      </c>
      <c r="E5178" s="85">
        <f t="shared" si="360"/>
        <v>2.44</v>
      </c>
    </row>
    <row r="5179" spans="1:12" ht="18" x14ac:dyDescent="0.35">
      <c r="A5179" s="5"/>
      <c r="B5179" s="5"/>
      <c r="C5179" s="54"/>
      <c r="D5179" s="54"/>
      <c r="E5179" s="89">
        <f>SUM(E5171:E5178)</f>
        <v>596.60014000000001</v>
      </c>
    </row>
    <row r="5180" spans="1:12" ht="18" x14ac:dyDescent="0.35">
      <c r="A5180" s="5"/>
      <c r="B5180" s="5"/>
      <c r="C5180" s="54"/>
      <c r="D5180" s="54" t="s">
        <v>1063</v>
      </c>
      <c r="E5180" s="89">
        <f>E5179+E5179*40%</f>
        <v>835.24019599999997</v>
      </c>
    </row>
    <row r="5181" spans="1:12" ht="18" x14ac:dyDescent="0.35">
      <c r="A5181" s="5"/>
      <c r="B5181" s="50" t="s">
        <v>37</v>
      </c>
      <c r="C5181" s="54">
        <v>1.5</v>
      </c>
      <c r="D5181" s="54">
        <v>200</v>
      </c>
      <c r="E5181" s="85">
        <f>C5181*D5181</f>
        <v>300</v>
      </c>
    </row>
    <row r="5182" spans="1:12" ht="18" x14ac:dyDescent="0.35">
      <c r="A5182" s="5"/>
      <c r="B5182" s="5"/>
      <c r="C5182" s="54"/>
      <c r="D5182" s="54"/>
      <c r="E5182" s="85">
        <f>SUM(E5180:E5181)</f>
        <v>1135.240196</v>
      </c>
    </row>
    <row r="5184" spans="1:12" ht="21" x14ac:dyDescent="0.4">
      <c r="A5184" s="40" t="s">
        <v>1467</v>
      </c>
      <c r="B5184" s="40"/>
      <c r="C5184" s="40"/>
      <c r="D5184" s="12"/>
      <c r="E5184" s="12"/>
      <c r="H5184" s="40" t="s">
        <v>1467</v>
      </c>
      <c r="I5184" s="40"/>
      <c r="J5184" s="40"/>
      <c r="K5184" s="12"/>
      <c r="L5184" s="12"/>
    </row>
    <row r="5185" spans="1:12" ht="18" x14ac:dyDescent="0.35">
      <c r="A5185" s="5"/>
      <c r="B5185" s="5"/>
      <c r="C5185" s="7" t="s">
        <v>28</v>
      </c>
      <c r="D5185" s="7" t="s">
        <v>29</v>
      </c>
      <c r="E5185" s="7" t="s">
        <v>30</v>
      </c>
      <c r="H5185" s="5"/>
      <c r="I5185" s="5"/>
      <c r="J5185" s="7" t="s">
        <v>28</v>
      </c>
      <c r="K5185" s="7" t="s">
        <v>29</v>
      </c>
      <c r="L5185" s="7" t="s">
        <v>30</v>
      </c>
    </row>
    <row r="5186" spans="1:12" ht="18" x14ac:dyDescent="0.35">
      <c r="A5186" s="5" t="s">
        <v>119</v>
      </c>
      <c r="B5186" s="50" t="s">
        <v>32</v>
      </c>
      <c r="C5186" s="7">
        <v>2.238</v>
      </c>
      <c r="D5186" s="7">
        <v>10.34</v>
      </c>
      <c r="E5186" s="85">
        <f>C5186*D5186</f>
        <v>23.140920000000001</v>
      </c>
      <c r="H5186" s="5" t="s">
        <v>119</v>
      </c>
      <c r="I5186" s="50" t="s">
        <v>32</v>
      </c>
      <c r="J5186" s="7">
        <v>2.238</v>
      </c>
      <c r="K5186" s="7">
        <v>10.34</v>
      </c>
      <c r="L5186" s="85">
        <f>J5186*K5186</f>
        <v>23.140920000000001</v>
      </c>
    </row>
    <row r="5187" spans="1:12" ht="18" x14ac:dyDescent="0.35">
      <c r="A5187" s="5" t="s">
        <v>819</v>
      </c>
      <c r="B5187" s="50" t="s">
        <v>33</v>
      </c>
      <c r="C5187" s="7">
        <v>17.965</v>
      </c>
      <c r="D5187" s="7">
        <v>17.059999999999999</v>
      </c>
      <c r="E5187" s="85">
        <f>C5187*D5187</f>
        <v>306.48289999999997</v>
      </c>
      <c r="H5187" s="5" t="s">
        <v>819</v>
      </c>
      <c r="I5187" s="50" t="s">
        <v>33</v>
      </c>
      <c r="J5187" s="7">
        <v>17.11</v>
      </c>
      <c r="K5187" s="7">
        <v>17.059999999999999</v>
      </c>
      <c r="L5187" s="85">
        <f>J5187*K5187</f>
        <v>291.89659999999998</v>
      </c>
    </row>
    <row r="5188" spans="1:12" ht="18" x14ac:dyDescent="0.35">
      <c r="A5188" s="5" t="s">
        <v>431</v>
      </c>
      <c r="B5188" s="50" t="s">
        <v>137</v>
      </c>
      <c r="C5188" s="7">
        <v>0.84</v>
      </c>
      <c r="D5188" s="7">
        <v>16.170000000000002</v>
      </c>
      <c r="E5188" s="85">
        <f>C5188*D5188</f>
        <v>13.582800000000001</v>
      </c>
      <c r="H5188" s="5" t="s">
        <v>431</v>
      </c>
      <c r="I5188" s="50" t="s">
        <v>137</v>
      </c>
      <c r="J5188" s="7">
        <v>0.8</v>
      </c>
      <c r="K5188" s="7">
        <v>16.170000000000002</v>
      </c>
      <c r="L5188" s="85">
        <f>J5188*K5188</f>
        <v>12.936000000000002</v>
      </c>
    </row>
    <row r="5189" spans="1:12" ht="18" x14ac:dyDescent="0.35">
      <c r="A5189" s="5"/>
      <c r="B5189" s="50" t="s">
        <v>35</v>
      </c>
      <c r="C5189" s="7">
        <v>4</v>
      </c>
      <c r="D5189" s="7">
        <v>2.91</v>
      </c>
      <c r="E5189" s="85">
        <f>C5189*D5189</f>
        <v>11.64</v>
      </c>
      <c r="H5189" s="5"/>
      <c r="I5189" s="50" t="s">
        <v>35</v>
      </c>
      <c r="J5189" s="7">
        <v>4</v>
      </c>
      <c r="K5189" s="7">
        <v>2.91</v>
      </c>
      <c r="L5189" s="85">
        <f>J5189*K5189</f>
        <v>11.64</v>
      </c>
    </row>
    <row r="5190" spans="1:12" ht="18" x14ac:dyDescent="0.35">
      <c r="A5190" s="5"/>
      <c r="B5190" s="50" t="s">
        <v>36</v>
      </c>
      <c r="C5190" s="7">
        <v>4</v>
      </c>
      <c r="D5190" s="7">
        <v>0.61</v>
      </c>
      <c r="E5190" s="85">
        <f>C5190*D5190</f>
        <v>2.44</v>
      </c>
      <c r="H5190" s="5"/>
      <c r="I5190" s="50" t="s">
        <v>36</v>
      </c>
      <c r="J5190" s="7">
        <v>4</v>
      </c>
      <c r="K5190" s="7">
        <v>0.61</v>
      </c>
      <c r="L5190" s="85">
        <f>J5190*K5190</f>
        <v>2.44</v>
      </c>
    </row>
    <row r="5191" spans="1:12" ht="18" x14ac:dyDescent="0.35">
      <c r="A5191" s="5"/>
      <c r="B5191" s="50"/>
      <c r="C5191" s="87"/>
      <c r="D5191" s="88"/>
      <c r="E5191" s="85">
        <f>SUM(E5186:E5190)</f>
        <v>357.28661999999997</v>
      </c>
      <c r="H5191" s="5"/>
      <c r="I5191" s="50"/>
      <c r="J5191" s="87"/>
      <c r="K5191" s="88"/>
      <c r="L5191" s="85">
        <f>SUM(L5186:L5190)</f>
        <v>342.05351999999993</v>
      </c>
    </row>
    <row r="5192" spans="1:12" ht="18" x14ac:dyDescent="0.35">
      <c r="A5192" s="5"/>
      <c r="B5192" s="50"/>
      <c r="C5192" s="87"/>
      <c r="D5192" s="88" t="s">
        <v>1437</v>
      </c>
      <c r="E5192" s="85">
        <f>E5191+E5191*30%</f>
        <v>464.47260599999993</v>
      </c>
      <c r="H5192" s="5"/>
      <c r="I5192" s="50"/>
      <c r="J5192" s="87"/>
      <c r="K5192" s="88"/>
      <c r="L5192" s="85"/>
    </row>
    <row r="5193" spans="1:12" ht="18" x14ac:dyDescent="0.35">
      <c r="A5193" s="5"/>
      <c r="B5193" s="50" t="s">
        <v>37</v>
      </c>
      <c r="C5193" s="54">
        <v>1</v>
      </c>
      <c r="D5193" s="86">
        <v>200</v>
      </c>
      <c r="E5193" s="85">
        <f>C5193*D5193</f>
        <v>200</v>
      </c>
      <c r="H5193" s="5"/>
      <c r="I5193" s="50" t="s">
        <v>37</v>
      </c>
      <c r="J5193" s="54">
        <v>1</v>
      </c>
      <c r="K5193" s="86">
        <v>85</v>
      </c>
      <c r="L5193" s="85">
        <f>J5193*K5193</f>
        <v>85</v>
      </c>
    </row>
    <row r="5194" spans="1:12" ht="18" x14ac:dyDescent="0.35">
      <c r="A5194" s="5"/>
      <c r="B5194" s="5"/>
      <c r="C5194" s="54"/>
      <c r="D5194" s="54"/>
      <c r="E5194" s="85">
        <f>SUM(E5192:E5193)</f>
        <v>664.47260599999993</v>
      </c>
      <c r="H5194" s="5"/>
      <c r="I5194" s="5"/>
      <c r="J5194" s="54"/>
      <c r="K5194" s="54"/>
      <c r="L5194" s="85">
        <f>SUM(L5191:L5193)</f>
        <v>427.05351999999993</v>
      </c>
    </row>
    <row r="5197" spans="1:12" ht="21" x14ac:dyDescent="0.4">
      <c r="A5197" s="40" t="s">
        <v>1468</v>
      </c>
      <c r="B5197" s="40"/>
      <c r="C5197" s="40"/>
      <c r="D5197" s="12"/>
      <c r="E5197" s="12"/>
    </row>
    <row r="5198" spans="1:12" ht="18" x14ac:dyDescent="0.35">
      <c r="A5198" s="5"/>
      <c r="B5198" s="5"/>
      <c r="C5198" s="7" t="s">
        <v>28</v>
      </c>
      <c r="D5198" s="7" t="s">
        <v>29</v>
      </c>
      <c r="E5198" s="7" t="s">
        <v>30</v>
      </c>
    </row>
    <row r="5199" spans="1:12" ht="18" x14ac:dyDescent="0.35">
      <c r="A5199" s="5" t="s">
        <v>1002</v>
      </c>
      <c r="B5199" s="50" t="s">
        <v>32</v>
      </c>
      <c r="C5199" s="7">
        <v>2.238</v>
      </c>
      <c r="D5199" s="7">
        <v>10.37</v>
      </c>
      <c r="E5199" s="85">
        <f>C5199*D5199</f>
        <v>23.20806</v>
      </c>
    </row>
    <row r="5200" spans="1:12" ht="18" x14ac:dyDescent="0.35">
      <c r="A5200" s="5" t="s">
        <v>171</v>
      </c>
      <c r="B5200" s="50" t="s">
        <v>33</v>
      </c>
      <c r="C5200" s="7">
        <v>1.974</v>
      </c>
      <c r="D5200" s="7">
        <v>17.059999999999999</v>
      </c>
      <c r="E5200" s="85">
        <f>C5200*D5200</f>
        <v>33.676439999999999</v>
      </c>
    </row>
    <row r="5201" spans="1:5" ht="18" x14ac:dyDescent="0.35">
      <c r="A5201" s="5" t="s">
        <v>623</v>
      </c>
      <c r="B5201" s="50" t="s">
        <v>137</v>
      </c>
      <c r="C5201" s="7">
        <v>0.1</v>
      </c>
      <c r="D5201" s="7">
        <v>16.07</v>
      </c>
      <c r="E5201" s="85">
        <f>C5201*D5201</f>
        <v>1.6070000000000002</v>
      </c>
    </row>
    <row r="5202" spans="1:5" ht="18" x14ac:dyDescent="0.35">
      <c r="A5202" s="5"/>
      <c r="B5202" s="50" t="s">
        <v>35</v>
      </c>
      <c r="C5202" s="7">
        <v>4</v>
      </c>
      <c r="D5202" s="7">
        <v>2.91</v>
      </c>
      <c r="E5202" s="85">
        <f>C5202*D5202</f>
        <v>11.64</v>
      </c>
    </row>
    <row r="5203" spans="1:5" ht="18" x14ac:dyDescent="0.35">
      <c r="A5203" s="5"/>
      <c r="B5203" s="50" t="s">
        <v>36</v>
      </c>
      <c r="C5203" s="7">
        <v>4</v>
      </c>
      <c r="D5203" s="7">
        <v>0.61</v>
      </c>
      <c r="E5203" s="85">
        <f>C5203*D5203</f>
        <v>2.44</v>
      </c>
    </row>
    <row r="5204" spans="1:5" ht="18" x14ac:dyDescent="0.35">
      <c r="A5204" s="5"/>
      <c r="B5204" s="50"/>
      <c r="C5204" s="87"/>
      <c r="D5204" s="88"/>
      <c r="E5204" s="85">
        <f>SUM(E5199:E5203)</f>
        <v>72.5715</v>
      </c>
    </row>
    <row r="5205" spans="1:5" ht="18" x14ac:dyDescent="0.35">
      <c r="A5205" s="5"/>
      <c r="B5205" s="50"/>
      <c r="C5205" s="87"/>
      <c r="D5205" s="88" t="s">
        <v>1266</v>
      </c>
      <c r="E5205" s="85">
        <f>E5204+E5204*40%</f>
        <v>101.6001</v>
      </c>
    </row>
    <row r="5206" spans="1:5" ht="18" x14ac:dyDescent="0.35">
      <c r="A5206" s="5"/>
      <c r="B5206" s="50" t="s">
        <v>37</v>
      </c>
      <c r="C5206" s="54">
        <v>0.5</v>
      </c>
      <c r="D5206" s="86">
        <v>200</v>
      </c>
      <c r="E5206" s="85">
        <f>C5206*D5206</f>
        <v>100</v>
      </c>
    </row>
    <row r="5207" spans="1:5" ht="18" x14ac:dyDescent="0.35">
      <c r="A5207" s="5"/>
      <c r="B5207" s="5"/>
      <c r="C5207" s="54"/>
      <c r="D5207" s="54"/>
      <c r="E5207" s="85">
        <f>SUM(E5205:E5206)</f>
        <v>201.6001</v>
      </c>
    </row>
    <row r="5209" spans="1:5" ht="21" x14ac:dyDescent="0.4">
      <c r="A5209" s="40" t="s">
        <v>1469</v>
      </c>
      <c r="B5209" s="40"/>
      <c r="C5209" s="84"/>
    </row>
    <row r="5210" spans="1:5" ht="18" x14ac:dyDescent="0.35">
      <c r="A5210" t="s">
        <v>1471</v>
      </c>
      <c r="B5210" s="5"/>
      <c r="C5210" s="7" t="s">
        <v>28</v>
      </c>
      <c r="D5210" s="7" t="s">
        <v>29</v>
      </c>
      <c r="E5210" s="7" t="s">
        <v>30</v>
      </c>
    </row>
    <row r="5211" spans="1:5" ht="18" x14ac:dyDescent="0.35">
      <c r="A5211" s="5" t="s">
        <v>181</v>
      </c>
      <c r="B5211" s="50" t="s">
        <v>32</v>
      </c>
      <c r="C5211" s="7">
        <v>1.482</v>
      </c>
      <c r="D5211" s="7">
        <v>10.34</v>
      </c>
      <c r="E5211" s="85">
        <f t="shared" ref="E5211:E5216" si="361">C5211*D5211</f>
        <v>15.323879999999999</v>
      </c>
    </row>
    <row r="5212" spans="1:5" ht="18" x14ac:dyDescent="0.35">
      <c r="A5212" s="5" t="s">
        <v>839</v>
      </c>
      <c r="B5212" s="50" t="s">
        <v>33</v>
      </c>
      <c r="C5212" s="7">
        <v>0.61899999999999999</v>
      </c>
      <c r="D5212" s="7">
        <v>16.170000000000002</v>
      </c>
      <c r="E5212" s="85">
        <f t="shared" si="361"/>
        <v>10.009230000000001</v>
      </c>
    </row>
    <row r="5213" spans="1:5" ht="18" x14ac:dyDescent="0.35">
      <c r="A5213" s="5" t="s">
        <v>619</v>
      </c>
      <c r="B5213" s="50" t="s">
        <v>911</v>
      </c>
      <c r="C5213" s="7">
        <v>2</v>
      </c>
      <c r="D5213" s="7">
        <v>1.1499999999999999</v>
      </c>
      <c r="E5213" s="85">
        <f t="shared" si="361"/>
        <v>2.2999999999999998</v>
      </c>
    </row>
    <row r="5214" spans="1:5" ht="18" x14ac:dyDescent="0.35">
      <c r="A5214" s="5" t="s">
        <v>1446</v>
      </c>
      <c r="B5214" s="50" t="s">
        <v>34</v>
      </c>
      <c r="C5214" s="7">
        <v>0.05</v>
      </c>
      <c r="D5214" s="7">
        <v>14.61</v>
      </c>
      <c r="E5214" s="85">
        <f t="shared" si="361"/>
        <v>0.73050000000000004</v>
      </c>
    </row>
    <row r="5215" spans="1:5" ht="18" x14ac:dyDescent="0.35">
      <c r="A5215" s="5"/>
      <c r="B5215" s="50" t="s">
        <v>35</v>
      </c>
      <c r="C5215" s="7">
        <v>4</v>
      </c>
      <c r="D5215" s="7">
        <v>2.91</v>
      </c>
      <c r="E5215" s="85">
        <f t="shared" si="361"/>
        <v>11.64</v>
      </c>
    </row>
    <row r="5216" spans="1:5" ht="18" x14ac:dyDescent="0.35">
      <c r="A5216" s="5"/>
      <c r="B5216" s="50" t="s">
        <v>36</v>
      </c>
      <c r="C5216" s="7">
        <v>4</v>
      </c>
      <c r="D5216" s="7">
        <v>0.61</v>
      </c>
      <c r="E5216" s="85">
        <f t="shared" si="361"/>
        <v>2.44</v>
      </c>
    </row>
    <row r="5217" spans="1:5" ht="18" x14ac:dyDescent="0.35">
      <c r="A5217" s="5"/>
      <c r="B5217" s="5"/>
      <c r="C5217" s="54"/>
      <c r="D5217" s="54"/>
      <c r="E5217" s="89">
        <f>SUM(E5211:E5216)</f>
        <v>42.443609999999993</v>
      </c>
    </row>
    <row r="5218" spans="1:5" ht="18" x14ac:dyDescent="0.35">
      <c r="A5218" s="5"/>
      <c r="B5218" s="5"/>
      <c r="C5218" s="54"/>
      <c r="D5218" s="54" t="s">
        <v>1063</v>
      </c>
      <c r="E5218" s="89">
        <f>E5217+E5217*40%</f>
        <v>59.421053999999991</v>
      </c>
    </row>
    <row r="5219" spans="1:5" ht="18" x14ac:dyDescent="0.35">
      <c r="A5219" s="5"/>
      <c r="B5219" s="50" t="s">
        <v>37</v>
      </c>
      <c r="C5219" s="54">
        <v>0.2</v>
      </c>
      <c r="D5219" s="54">
        <v>200</v>
      </c>
      <c r="E5219" s="85">
        <f>C5219*D5219</f>
        <v>40</v>
      </c>
    </row>
    <row r="5220" spans="1:5" ht="18" x14ac:dyDescent="0.35">
      <c r="A5220" s="5"/>
      <c r="B5220" s="5"/>
      <c r="C5220" s="54"/>
      <c r="D5220" s="54"/>
      <c r="E5220" s="85">
        <f>SUM(E5218:E5219)</f>
        <v>99.421053999999998</v>
      </c>
    </row>
    <row r="5223" spans="1:5" ht="21" x14ac:dyDescent="0.4">
      <c r="A5223" s="40" t="s">
        <v>1470</v>
      </c>
      <c r="B5223" s="40"/>
      <c r="C5223" s="84"/>
    </row>
    <row r="5224" spans="1:5" ht="18" x14ac:dyDescent="0.35">
      <c r="A5224" t="s">
        <v>1471</v>
      </c>
      <c r="B5224" s="5"/>
      <c r="C5224" s="7" t="s">
        <v>28</v>
      </c>
      <c r="D5224" s="7" t="s">
        <v>29</v>
      </c>
      <c r="E5224" s="7" t="s">
        <v>30</v>
      </c>
    </row>
    <row r="5225" spans="1:5" ht="18" x14ac:dyDescent="0.35">
      <c r="A5225" s="5" t="s">
        <v>169</v>
      </c>
      <c r="B5225" s="50" t="s">
        <v>32</v>
      </c>
      <c r="C5225" s="7">
        <v>1.272</v>
      </c>
      <c r="D5225" s="7">
        <v>10.34</v>
      </c>
      <c r="E5225" s="85">
        <f t="shared" ref="E5225:E5230" si="362">C5225*D5225</f>
        <v>13.152480000000001</v>
      </c>
    </row>
    <row r="5226" spans="1:5" ht="18" x14ac:dyDescent="0.35">
      <c r="A5226" s="5" t="s">
        <v>839</v>
      </c>
      <c r="B5226" s="50" t="s">
        <v>33</v>
      </c>
      <c r="C5226" s="7">
        <v>0.51400000000000001</v>
      </c>
      <c r="D5226" s="7">
        <v>16.170000000000002</v>
      </c>
      <c r="E5226" s="85">
        <f t="shared" si="362"/>
        <v>8.3113800000000015</v>
      </c>
    </row>
    <row r="5227" spans="1:5" ht="18" x14ac:dyDescent="0.35">
      <c r="A5227" s="5" t="s">
        <v>1048</v>
      </c>
      <c r="B5227" s="50" t="s">
        <v>911</v>
      </c>
      <c r="C5227" s="7">
        <v>2</v>
      </c>
      <c r="D5227" s="7">
        <v>1.1499999999999999</v>
      </c>
      <c r="E5227" s="85">
        <f t="shared" si="362"/>
        <v>2.2999999999999998</v>
      </c>
    </row>
    <row r="5228" spans="1:5" ht="18" x14ac:dyDescent="0.35">
      <c r="A5228" s="5" t="s">
        <v>1446</v>
      </c>
      <c r="B5228" s="50" t="s">
        <v>34</v>
      </c>
      <c r="C5228" s="7">
        <v>0.05</v>
      </c>
      <c r="D5228" s="7">
        <v>14.61</v>
      </c>
      <c r="E5228" s="85">
        <f t="shared" si="362"/>
        <v>0.73050000000000004</v>
      </c>
    </row>
    <row r="5229" spans="1:5" ht="18" x14ac:dyDescent="0.35">
      <c r="A5229" s="5"/>
      <c r="B5229" s="50" t="s">
        <v>35</v>
      </c>
      <c r="C5229" s="7">
        <v>4</v>
      </c>
      <c r="D5229" s="7">
        <v>2.91</v>
      </c>
      <c r="E5229" s="85">
        <f t="shared" si="362"/>
        <v>11.64</v>
      </c>
    </row>
    <row r="5230" spans="1:5" ht="18" x14ac:dyDescent="0.35">
      <c r="A5230" s="5"/>
      <c r="B5230" s="50" t="s">
        <v>36</v>
      </c>
      <c r="C5230" s="7">
        <v>4</v>
      </c>
      <c r="D5230" s="7">
        <v>0.61</v>
      </c>
      <c r="E5230" s="85">
        <f t="shared" si="362"/>
        <v>2.44</v>
      </c>
    </row>
    <row r="5231" spans="1:5" ht="18" x14ac:dyDescent="0.35">
      <c r="A5231" s="5"/>
      <c r="B5231" s="5"/>
      <c r="C5231" s="54"/>
      <c r="D5231" s="54"/>
      <c r="E5231" s="89">
        <f>SUM(E5225:E5230)</f>
        <v>38.574359999999999</v>
      </c>
    </row>
    <row r="5232" spans="1:5" ht="18" x14ac:dyDescent="0.35">
      <c r="A5232" s="5"/>
      <c r="B5232" s="5"/>
      <c r="C5232" s="54"/>
      <c r="D5232" s="54" t="s">
        <v>1063</v>
      </c>
      <c r="E5232" s="89">
        <f>E5231+E5231*40%</f>
        <v>54.004103999999998</v>
      </c>
    </row>
    <row r="5233" spans="1:5" ht="18" x14ac:dyDescent="0.35">
      <c r="A5233" s="5"/>
      <c r="B5233" s="50" t="s">
        <v>37</v>
      </c>
      <c r="C5233" s="54">
        <v>0.2</v>
      </c>
      <c r="D5233" s="54">
        <v>200</v>
      </c>
      <c r="E5233" s="85">
        <f>C5233*D5233</f>
        <v>40</v>
      </c>
    </row>
    <row r="5234" spans="1:5" ht="18" x14ac:dyDescent="0.35">
      <c r="A5234" s="5"/>
      <c r="B5234" s="5"/>
      <c r="C5234" s="54"/>
      <c r="D5234" s="54"/>
      <c r="E5234" s="85">
        <f>SUM(E5232:E5233)</f>
        <v>94.004103999999998</v>
      </c>
    </row>
    <row r="5236" spans="1:5" ht="21" x14ac:dyDescent="0.4">
      <c r="A5236" s="40" t="s">
        <v>1382</v>
      </c>
      <c r="B5236" s="40"/>
      <c r="C5236" s="84"/>
    </row>
    <row r="5237" spans="1:5" ht="18" x14ac:dyDescent="0.35">
      <c r="A5237" t="s">
        <v>1476</v>
      </c>
      <c r="B5237" s="5"/>
      <c r="C5237" s="7" t="s">
        <v>28</v>
      </c>
      <c r="D5237" s="7" t="s">
        <v>29</v>
      </c>
      <c r="E5237" s="7" t="s">
        <v>30</v>
      </c>
    </row>
    <row r="5238" spans="1:5" ht="18" x14ac:dyDescent="0.35">
      <c r="A5238" s="5" t="s">
        <v>66</v>
      </c>
      <c r="B5238" s="50" t="s">
        <v>32</v>
      </c>
      <c r="C5238" s="7">
        <v>1.5029999999999999</v>
      </c>
      <c r="D5238" s="7">
        <v>14.93</v>
      </c>
      <c r="E5238" s="85">
        <f t="shared" ref="E5238:E5245" si="363">C5238*D5238</f>
        <v>22.439789999999999</v>
      </c>
    </row>
    <row r="5239" spans="1:5" ht="18" x14ac:dyDescent="0.35">
      <c r="A5239" s="5" t="s">
        <v>143</v>
      </c>
      <c r="B5239" s="50" t="s">
        <v>33</v>
      </c>
      <c r="C5239" s="7">
        <v>3.0870000000000002</v>
      </c>
      <c r="D5239" s="7">
        <v>16.170000000000002</v>
      </c>
      <c r="E5239" s="85">
        <f t="shared" si="363"/>
        <v>49.916790000000006</v>
      </c>
    </row>
    <row r="5240" spans="1:5" ht="18" x14ac:dyDescent="0.35">
      <c r="A5240" s="5" t="s">
        <v>55</v>
      </c>
      <c r="B5240" s="50" t="s">
        <v>33</v>
      </c>
      <c r="C5240" s="7">
        <v>3.528</v>
      </c>
      <c r="D5240" s="7">
        <v>16.170000000000002</v>
      </c>
      <c r="E5240" s="85">
        <f t="shared" si="363"/>
        <v>57.047760000000004</v>
      </c>
    </row>
    <row r="5241" spans="1:5" ht="18" x14ac:dyDescent="0.35">
      <c r="A5241" s="5" t="s">
        <v>1124</v>
      </c>
      <c r="B5241" s="50" t="s">
        <v>84</v>
      </c>
      <c r="C5241" s="7">
        <v>2</v>
      </c>
      <c r="D5241" s="7">
        <v>1.6</v>
      </c>
      <c r="E5241" s="85">
        <f t="shared" si="363"/>
        <v>3.2</v>
      </c>
    </row>
    <row r="5242" spans="1:5" ht="18" x14ac:dyDescent="0.35">
      <c r="A5242" s="5"/>
      <c r="B5242" s="50" t="s">
        <v>113</v>
      </c>
      <c r="C5242" s="7">
        <v>2</v>
      </c>
      <c r="D5242" s="7">
        <v>2.2400000000000002</v>
      </c>
      <c r="E5242" s="85">
        <f t="shared" si="363"/>
        <v>4.4800000000000004</v>
      </c>
    </row>
    <row r="5243" spans="1:5" ht="18" x14ac:dyDescent="0.35">
      <c r="A5243" s="5"/>
      <c r="B5243" s="50" t="s">
        <v>34</v>
      </c>
      <c r="C5243" s="7"/>
      <c r="D5243" s="7">
        <v>14.61</v>
      </c>
      <c r="E5243" s="85">
        <f t="shared" si="363"/>
        <v>0</v>
      </c>
    </row>
    <row r="5244" spans="1:5" ht="18" x14ac:dyDescent="0.35">
      <c r="A5244" s="5"/>
      <c r="B5244" s="50" t="s">
        <v>35</v>
      </c>
      <c r="C5244" s="7">
        <v>4</v>
      </c>
      <c r="D5244" s="7">
        <v>2.91</v>
      </c>
      <c r="E5244" s="85">
        <f t="shared" si="363"/>
        <v>11.64</v>
      </c>
    </row>
    <row r="5245" spans="1:5" ht="18" x14ac:dyDescent="0.35">
      <c r="A5245" s="5"/>
      <c r="B5245" s="50" t="s">
        <v>36</v>
      </c>
      <c r="C5245" s="7">
        <v>4</v>
      </c>
      <c r="D5245" s="7">
        <v>0.61</v>
      </c>
      <c r="E5245" s="85">
        <f t="shared" si="363"/>
        <v>2.44</v>
      </c>
    </row>
    <row r="5246" spans="1:5" ht="18" x14ac:dyDescent="0.35">
      <c r="A5246" s="5"/>
      <c r="B5246" s="5"/>
      <c r="C5246" s="54"/>
      <c r="D5246" s="54"/>
      <c r="E5246" s="89">
        <f>SUM(E5238:E5245)</f>
        <v>151.16433999999998</v>
      </c>
    </row>
    <row r="5247" spans="1:5" ht="18" x14ac:dyDescent="0.35">
      <c r="A5247" s="5"/>
      <c r="B5247" s="5"/>
      <c r="C5247" s="54"/>
      <c r="D5247" s="54" t="s">
        <v>1116</v>
      </c>
      <c r="E5247" s="89">
        <f>E5246+E5246*40%</f>
        <v>211.63007599999997</v>
      </c>
    </row>
    <row r="5248" spans="1:5" ht="18" x14ac:dyDescent="0.35">
      <c r="A5248" s="5"/>
      <c r="B5248" s="50" t="s">
        <v>37</v>
      </c>
      <c r="C5248" s="54">
        <v>0.5</v>
      </c>
      <c r="D5248" s="54">
        <v>200</v>
      </c>
      <c r="E5248" s="85">
        <f>C5248*D5248</f>
        <v>100</v>
      </c>
    </row>
    <row r="5249" spans="1:11" ht="18" x14ac:dyDescent="0.35">
      <c r="A5249" s="5"/>
      <c r="B5249" s="5"/>
      <c r="C5249" s="54"/>
      <c r="D5249" s="54"/>
      <c r="E5249" s="85">
        <f>SUM(E5247:E5248)</f>
        <v>311.63007599999997</v>
      </c>
    </row>
    <row r="5251" spans="1:11" ht="21" x14ac:dyDescent="0.4">
      <c r="A5251" s="40" t="s">
        <v>1474</v>
      </c>
      <c r="B5251" s="40"/>
      <c r="C5251" s="40"/>
      <c r="D5251" s="12"/>
      <c r="E5251" s="12"/>
    </row>
    <row r="5252" spans="1:11" ht="18" x14ac:dyDescent="0.35">
      <c r="A5252" s="5"/>
      <c r="B5252" s="5"/>
      <c r="C5252" s="7" t="s">
        <v>28</v>
      </c>
      <c r="D5252" s="7" t="s">
        <v>29</v>
      </c>
      <c r="E5252" s="7" t="s">
        <v>30</v>
      </c>
    </row>
    <row r="5253" spans="1:11" ht="18" x14ac:dyDescent="0.35">
      <c r="A5253" s="5" t="s">
        <v>67</v>
      </c>
      <c r="B5253" s="50" t="s">
        <v>32</v>
      </c>
      <c r="C5253" s="7">
        <v>1.7130000000000001</v>
      </c>
      <c r="D5253" s="7">
        <v>16.43</v>
      </c>
      <c r="E5253" s="85">
        <f>C5253*D5253</f>
        <v>28.144590000000001</v>
      </c>
    </row>
    <row r="5254" spans="1:11" ht="18" x14ac:dyDescent="0.35">
      <c r="A5254" s="5" t="s">
        <v>904</v>
      </c>
      <c r="B5254" s="50" t="s">
        <v>33</v>
      </c>
      <c r="C5254" s="7">
        <v>6.1950000000000003</v>
      </c>
      <c r="D5254" s="7">
        <v>15.25</v>
      </c>
      <c r="E5254" s="85">
        <f>C5254*D5254</f>
        <v>94.47375000000001</v>
      </c>
    </row>
    <row r="5255" spans="1:11" ht="18" x14ac:dyDescent="0.35">
      <c r="A5255" s="5" t="s">
        <v>1124</v>
      </c>
      <c r="B5255" s="50" t="s">
        <v>137</v>
      </c>
      <c r="C5255" s="7">
        <v>0.32</v>
      </c>
      <c r="D5255" s="7">
        <v>16.170000000000002</v>
      </c>
      <c r="E5255" s="85">
        <f>C5255*D5255</f>
        <v>5.1744000000000003</v>
      </c>
    </row>
    <row r="5256" spans="1:11" ht="18" x14ac:dyDescent="0.35">
      <c r="A5256" s="5"/>
      <c r="B5256" s="50" t="s">
        <v>35</v>
      </c>
      <c r="C5256" s="7">
        <v>4</v>
      </c>
      <c r="D5256" s="7">
        <v>2.91</v>
      </c>
      <c r="E5256" s="85">
        <f>C5256*D5256</f>
        <v>11.64</v>
      </c>
    </row>
    <row r="5257" spans="1:11" ht="18" x14ac:dyDescent="0.35">
      <c r="A5257" s="5"/>
      <c r="B5257" s="50" t="s">
        <v>36</v>
      </c>
      <c r="C5257" s="7">
        <v>4</v>
      </c>
      <c r="D5257" s="7">
        <v>0.61</v>
      </c>
      <c r="E5257" s="85">
        <f>C5257*D5257</f>
        <v>2.44</v>
      </c>
    </row>
    <row r="5258" spans="1:11" ht="18" x14ac:dyDescent="0.35">
      <c r="A5258" s="5"/>
      <c r="B5258" s="50"/>
      <c r="C5258" s="87"/>
      <c r="D5258" s="88"/>
      <c r="E5258" s="85">
        <f>SUM(E5253:E5257)</f>
        <v>141.87274000000002</v>
      </c>
    </row>
    <row r="5259" spans="1:11" ht="18" x14ac:dyDescent="0.35">
      <c r="A5259" s="5"/>
      <c r="B5259" s="50"/>
      <c r="C5259" s="87"/>
      <c r="D5259" s="88" t="s">
        <v>1437</v>
      </c>
      <c r="E5259" s="85">
        <f>E5258+E5258*40%</f>
        <v>198.62183600000003</v>
      </c>
    </row>
    <row r="5260" spans="1:11" ht="18" x14ac:dyDescent="0.35">
      <c r="A5260" s="5"/>
      <c r="B5260" s="50" t="s">
        <v>37</v>
      </c>
      <c r="C5260" s="54">
        <v>0.5</v>
      </c>
      <c r="D5260" s="86">
        <v>200</v>
      </c>
      <c r="E5260" s="85">
        <f>C5260*D5260</f>
        <v>100</v>
      </c>
    </row>
    <row r="5261" spans="1:11" ht="18" x14ac:dyDescent="0.35">
      <c r="A5261" s="5"/>
      <c r="B5261" s="5"/>
      <c r="C5261" s="54"/>
      <c r="D5261" s="54"/>
      <c r="E5261" s="85">
        <f>SUM(E5259:E5260)</f>
        <v>298.62183600000003</v>
      </c>
    </row>
    <row r="5264" spans="1:11" ht="21" x14ac:dyDescent="0.4">
      <c r="A5264" s="40" t="s">
        <v>1478</v>
      </c>
      <c r="B5264" s="40"/>
      <c r="C5264" s="40"/>
      <c r="D5264" s="12"/>
      <c r="E5264" s="12"/>
      <c r="G5264" s="40" t="s">
        <v>1478</v>
      </c>
      <c r="H5264" s="40"/>
      <c r="I5264" s="40"/>
      <c r="J5264" s="12"/>
      <c r="K5264" s="12"/>
    </row>
    <row r="5265" spans="1:11" ht="18" x14ac:dyDescent="0.35">
      <c r="A5265" s="5" t="s">
        <v>1479</v>
      </c>
      <c r="B5265" s="5"/>
      <c r="C5265" s="7" t="s">
        <v>28</v>
      </c>
      <c r="D5265" s="7" t="s">
        <v>29</v>
      </c>
      <c r="E5265" s="7" t="s">
        <v>30</v>
      </c>
      <c r="G5265" s="5" t="s">
        <v>1479</v>
      </c>
      <c r="H5265" s="5"/>
      <c r="I5265" s="7" t="s">
        <v>28</v>
      </c>
      <c r="J5265" s="7" t="s">
        <v>29</v>
      </c>
      <c r="K5265" s="7" t="s">
        <v>30</v>
      </c>
    </row>
    <row r="5266" spans="1:11" ht="18" x14ac:dyDescent="0.35">
      <c r="A5266" s="5" t="s">
        <v>1112</v>
      </c>
      <c r="B5266" s="50" t="s">
        <v>32</v>
      </c>
      <c r="C5266" s="7">
        <v>4.758</v>
      </c>
      <c r="D5266" s="7">
        <v>10.34</v>
      </c>
      <c r="E5266" s="85">
        <f>C5266*D5266</f>
        <v>49.197719999999997</v>
      </c>
      <c r="G5266" s="5" t="s">
        <v>1112</v>
      </c>
      <c r="H5266" s="50" t="s">
        <v>32</v>
      </c>
      <c r="I5266" s="7">
        <v>4.758</v>
      </c>
      <c r="J5266" s="7">
        <v>11.37</v>
      </c>
      <c r="K5266" s="85">
        <f>I5266*J5266</f>
        <v>54.098459999999996</v>
      </c>
    </row>
    <row r="5267" spans="1:11" ht="18" x14ac:dyDescent="0.35">
      <c r="A5267" s="5" t="s">
        <v>217</v>
      </c>
      <c r="B5267" s="50" t="s">
        <v>33</v>
      </c>
      <c r="C5267" s="7">
        <v>26.312999999999999</v>
      </c>
      <c r="D5267" s="7">
        <v>17.059999999999999</v>
      </c>
      <c r="E5267" s="85">
        <f>C5267*D5267</f>
        <v>448.89977999999996</v>
      </c>
      <c r="G5267" s="5" t="s">
        <v>217</v>
      </c>
      <c r="H5267" s="50" t="s">
        <v>33</v>
      </c>
      <c r="I5267" s="7">
        <v>26.312999999999999</v>
      </c>
      <c r="J5267" s="7">
        <v>17.059999999999999</v>
      </c>
      <c r="K5267" s="85">
        <f>I5267*J5267</f>
        <v>448.89977999999996</v>
      </c>
    </row>
    <row r="5268" spans="1:11" ht="18" x14ac:dyDescent="0.35">
      <c r="A5268" s="5" t="s">
        <v>673</v>
      </c>
      <c r="B5268" s="50" t="s">
        <v>137</v>
      </c>
      <c r="C5268" s="7">
        <v>1.68</v>
      </c>
      <c r="D5268" s="7">
        <v>15.25</v>
      </c>
      <c r="E5268" s="85">
        <f>C5268*D5268</f>
        <v>25.619999999999997</v>
      </c>
      <c r="G5268" s="5" t="s">
        <v>673</v>
      </c>
      <c r="H5268" s="50" t="s">
        <v>137</v>
      </c>
      <c r="I5268" s="7">
        <v>1.68</v>
      </c>
      <c r="J5268" s="7">
        <v>15.25</v>
      </c>
      <c r="K5268" s="85">
        <f>I5268*J5268</f>
        <v>25.619999999999997</v>
      </c>
    </row>
    <row r="5269" spans="1:11" ht="18" x14ac:dyDescent="0.35">
      <c r="A5269" s="5"/>
      <c r="B5269" s="50" t="s">
        <v>35</v>
      </c>
      <c r="C5269" s="7">
        <v>4</v>
      </c>
      <c r="D5269" s="7">
        <v>2.91</v>
      </c>
      <c r="E5269" s="85">
        <f>C5269*D5269</f>
        <v>11.64</v>
      </c>
      <c r="G5269" s="5"/>
      <c r="H5269" s="50" t="s">
        <v>35</v>
      </c>
      <c r="I5269" s="7">
        <v>4</v>
      </c>
      <c r="J5269" s="7">
        <v>2.91</v>
      </c>
      <c r="K5269" s="85">
        <f>I5269*J5269</f>
        <v>11.64</v>
      </c>
    </row>
    <row r="5270" spans="1:11" ht="18" x14ac:dyDescent="0.35">
      <c r="A5270" s="5"/>
      <c r="B5270" s="50" t="s">
        <v>36</v>
      </c>
      <c r="C5270" s="7">
        <v>4</v>
      </c>
      <c r="D5270" s="7">
        <v>0.61</v>
      </c>
      <c r="E5270" s="85">
        <f>C5270*D5270</f>
        <v>2.44</v>
      </c>
      <c r="G5270" s="5"/>
      <c r="H5270" s="50" t="s">
        <v>36</v>
      </c>
      <c r="I5270" s="7">
        <v>4</v>
      </c>
      <c r="J5270" s="7">
        <v>0.61</v>
      </c>
      <c r="K5270" s="85">
        <f>I5270*J5270</f>
        <v>2.44</v>
      </c>
    </row>
    <row r="5271" spans="1:11" ht="18" x14ac:dyDescent="0.35">
      <c r="A5271" s="5"/>
      <c r="B5271" s="50"/>
      <c r="C5271" s="87"/>
      <c r="D5271" s="88"/>
      <c r="E5271" s="85">
        <f>SUM(E5266:E5270)</f>
        <v>537.79750000000001</v>
      </c>
      <c r="G5271" s="5"/>
      <c r="H5271" s="50"/>
      <c r="I5271" s="87"/>
      <c r="J5271" s="88"/>
      <c r="K5271" s="85">
        <f>SUM(K5266:K5270)</f>
        <v>542.69823999999994</v>
      </c>
    </row>
    <row r="5272" spans="1:11" ht="18" x14ac:dyDescent="0.35">
      <c r="A5272" s="5"/>
      <c r="B5272" s="50"/>
      <c r="C5272" s="87"/>
      <c r="D5272" s="88" t="s">
        <v>1266</v>
      </c>
      <c r="E5272" s="85">
        <f>E5271+E5271*40%</f>
        <v>752.91650000000004</v>
      </c>
      <c r="G5272" s="5"/>
      <c r="H5272" s="50"/>
      <c r="I5272" s="87"/>
      <c r="J5272" s="88" t="s">
        <v>1266</v>
      </c>
      <c r="K5272" s="85">
        <f>K5271+K5271*40%</f>
        <v>759.77753599999994</v>
      </c>
    </row>
    <row r="5273" spans="1:11" ht="18" x14ac:dyDescent="0.35">
      <c r="A5273" s="5"/>
      <c r="B5273" s="50" t="s">
        <v>37</v>
      </c>
      <c r="C5273" s="54">
        <v>1</v>
      </c>
      <c r="D5273" s="86">
        <v>200</v>
      </c>
      <c r="E5273" s="85">
        <f>C5273*D5273</f>
        <v>200</v>
      </c>
      <c r="G5273" s="5"/>
      <c r="H5273" s="50" t="s">
        <v>37</v>
      </c>
      <c r="I5273" s="54">
        <v>1</v>
      </c>
      <c r="J5273" s="86">
        <v>200</v>
      </c>
      <c r="K5273" s="85">
        <f>I5273*J5273</f>
        <v>200</v>
      </c>
    </row>
    <row r="5274" spans="1:11" ht="18" x14ac:dyDescent="0.35">
      <c r="A5274" s="5"/>
      <c r="B5274" s="5"/>
      <c r="C5274" s="54"/>
      <c r="D5274" s="54"/>
      <c r="E5274" s="85">
        <f>SUM(E5272:E5273)</f>
        <v>952.91650000000004</v>
      </c>
      <c r="G5274" s="5"/>
      <c r="H5274" s="5"/>
      <c r="I5274" s="54"/>
      <c r="J5274" s="54"/>
      <c r="K5274" s="85">
        <f>SUM(K5272:K5273)</f>
        <v>959.77753599999994</v>
      </c>
    </row>
    <row r="5276" spans="1:11" ht="21" x14ac:dyDescent="0.4">
      <c r="A5276" s="40" t="s">
        <v>1417</v>
      </c>
      <c r="B5276" s="40"/>
      <c r="C5276" s="84"/>
    </row>
    <row r="5277" spans="1:11" ht="18" x14ac:dyDescent="0.35">
      <c r="A5277" s="5" t="s">
        <v>1156</v>
      </c>
      <c r="B5277" s="5"/>
      <c r="C5277" s="7" t="s">
        <v>28</v>
      </c>
      <c r="D5277" s="7" t="s">
        <v>29</v>
      </c>
      <c r="E5277" s="7" t="s">
        <v>30</v>
      </c>
    </row>
    <row r="5278" spans="1:11" ht="18" x14ac:dyDescent="0.35">
      <c r="A5278" s="5" t="s">
        <v>41</v>
      </c>
      <c r="B5278" s="50" t="s">
        <v>32</v>
      </c>
      <c r="C5278" s="7">
        <v>1.3979999999999999</v>
      </c>
      <c r="D5278" s="7">
        <v>10.34</v>
      </c>
      <c r="E5278" s="85">
        <f t="shared" ref="E5278:E5283" si="364">C5278*D5278</f>
        <v>14.455319999999999</v>
      </c>
    </row>
    <row r="5279" spans="1:11" ht="18" x14ac:dyDescent="0.35">
      <c r="A5279" s="5" t="s">
        <v>829</v>
      </c>
      <c r="B5279" s="50" t="s">
        <v>33</v>
      </c>
      <c r="C5279" s="7">
        <v>2.0579999999999998</v>
      </c>
      <c r="D5279" s="7">
        <v>16.170000000000002</v>
      </c>
      <c r="E5279" s="85">
        <f t="shared" si="364"/>
        <v>33.277860000000004</v>
      </c>
    </row>
    <row r="5280" spans="1:11" ht="18" x14ac:dyDescent="0.35">
      <c r="A5280" s="5" t="s">
        <v>530</v>
      </c>
      <c r="B5280" s="50" t="s">
        <v>42</v>
      </c>
      <c r="C5280" s="7">
        <v>2</v>
      </c>
      <c r="D5280" s="7">
        <v>1.1499999999999999</v>
      </c>
      <c r="E5280" s="85">
        <f t="shared" si="364"/>
        <v>2.2999999999999998</v>
      </c>
    </row>
    <row r="5281" spans="1:5" ht="18" x14ac:dyDescent="0.35">
      <c r="A5281" s="5" t="s">
        <v>1377</v>
      </c>
      <c r="B5281" s="50" t="s">
        <v>34</v>
      </c>
      <c r="C5281" s="7"/>
      <c r="D5281" s="7">
        <v>14.61</v>
      </c>
      <c r="E5281" s="85">
        <f t="shared" si="364"/>
        <v>0</v>
      </c>
    </row>
    <row r="5282" spans="1:5" ht="18" x14ac:dyDescent="0.35">
      <c r="A5282" s="5"/>
      <c r="B5282" s="50" t="s">
        <v>35</v>
      </c>
      <c r="C5282" s="7">
        <v>4</v>
      </c>
      <c r="D5282" s="7">
        <v>2.91</v>
      </c>
      <c r="E5282" s="85">
        <f t="shared" si="364"/>
        <v>11.64</v>
      </c>
    </row>
    <row r="5283" spans="1:5" ht="18" x14ac:dyDescent="0.35">
      <c r="A5283" s="5"/>
      <c r="B5283" s="50" t="s">
        <v>36</v>
      </c>
      <c r="C5283" s="7">
        <v>4</v>
      </c>
      <c r="D5283" s="7">
        <v>0.61</v>
      </c>
      <c r="E5283" s="85">
        <f t="shared" si="364"/>
        <v>2.44</v>
      </c>
    </row>
    <row r="5284" spans="1:5" ht="18" x14ac:dyDescent="0.35">
      <c r="A5284" s="5"/>
      <c r="B5284" s="5"/>
      <c r="C5284" s="54"/>
      <c r="D5284" s="54"/>
      <c r="E5284" s="89">
        <f>SUM(E5278:E5283)</f>
        <v>64.11318</v>
      </c>
    </row>
    <row r="5285" spans="1:5" ht="18" x14ac:dyDescent="0.35">
      <c r="A5285" s="5"/>
      <c r="B5285" s="5"/>
      <c r="C5285" s="54"/>
      <c r="D5285" s="54" t="s">
        <v>1116</v>
      </c>
      <c r="E5285" s="89">
        <f>E5284+E5284*30%</f>
        <v>83.347133999999997</v>
      </c>
    </row>
    <row r="5286" spans="1:5" ht="18" x14ac:dyDescent="0.35">
      <c r="A5286" s="5"/>
      <c r="B5286" s="50" t="s">
        <v>37</v>
      </c>
      <c r="C5286" s="54">
        <v>0.2</v>
      </c>
      <c r="D5286" s="54">
        <v>200</v>
      </c>
      <c r="E5286" s="85">
        <f>C5286*D5286</f>
        <v>40</v>
      </c>
    </row>
    <row r="5287" spans="1:5" ht="18" x14ac:dyDescent="0.35">
      <c r="A5287" s="5"/>
      <c r="B5287" s="5"/>
      <c r="C5287" s="54"/>
      <c r="D5287" s="54"/>
      <c r="E5287" s="85">
        <f>SUM(E5285:E5286)</f>
        <v>123.347134</v>
      </c>
    </row>
    <row r="5290" spans="1:5" ht="21" x14ac:dyDescent="0.4">
      <c r="A5290" s="40" t="s">
        <v>1480</v>
      </c>
      <c r="B5290" s="40"/>
      <c r="C5290" s="40"/>
      <c r="D5290" s="12"/>
      <c r="E5290" s="12"/>
    </row>
    <row r="5291" spans="1:5" ht="18" x14ac:dyDescent="0.35">
      <c r="A5291" s="5"/>
      <c r="B5291" s="5"/>
      <c r="C5291" s="7" t="s">
        <v>28</v>
      </c>
      <c r="D5291" s="7" t="s">
        <v>29</v>
      </c>
      <c r="E5291" s="7" t="s">
        <v>30</v>
      </c>
    </row>
    <row r="5292" spans="1:5" ht="18" x14ac:dyDescent="0.35">
      <c r="A5292" s="5" t="s">
        <v>169</v>
      </c>
      <c r="B5292" s="50" t="s">
        <v>32</v>
      </c>
      <c r="C5292" s="7">
        <v>1.212</v>
      </c>
      <c r="D5292" s="7">
        <v>10.37</v>
      </c>
      <c r="E5292" s="85">
        <f>C5292*D5292</f>
        <v>12.568439999999999</v>
      </c>
    </row>
    <row r="5293" spans="1:5" ht="18" x14ac:dyDescent="0.35">
      <c r="A5293" s="5" t="s">
        <v>219</v>
      </c>
      <c r="B5293" s="50" t="s">
        <v>33</v>
      </c>
      <c r="C5293" s="7">
        <v>0.49</v>
      </c>
      <c r="D5293" s="7">
        <v>17.059999999999999</v>
      </c>
      <c r="E5293" s="85">
        <f>C5293*D5293</f>
        <v>8.3593999999999991</v>
      </c>
    </row>
    <row r="5294" spans="1:5" ht="18" x14ac:dyDescent="0.35">
      <c r="A5294" s="5" t="s">
        <v>623</v>
      </c>
      <c r="B5294" s="50" t="s">
        <v>137</v>
      </c>
      <c r="C5294" s="7">
        <v>0.08</v>
      </c>
      <c r="D5294" s="7">
        <v>16.07</v>
      </c>
      <c r="E5294" s="85">
        <f>C5294*D5294</f>
        <v>1.2856000000000001</v>
      </c>
    </row>
    <row r="5295" spans="1:5" ht="18" x14ac:dyDescent="0.35">
      <c r="A5295" s="5"/>
      <c r="B5295" s="50" t="s">
        <v>35</v>
      </c>
      <c r="C5295" s="7">
        <v>4</v>
      </c>
      <c r="D5295" s="7">
        <v>2.91</v>
      </c>
      <c r="E5295" s="85">
        <f>C5295*D5295</f>
        <v>11.64</v>
      </c>
    </row>
    <row r="5296" spans="1:5" ht="18" x14ac:dyDescent="0.35">
      <c r="A5296" s="5"/>
      <c r="B5296" s="50" t="s">
        <v>36</v>
      </c>
      <c r="C5296" s="7">
        <v>4</v>
      </c>
      <c r="D5296" s="7">
        <v>0.61</v>
      </c>
      <c r="E5296" s="85">
        <f>C5296*D5296</f>
        <v>2.44</v>
      </c>
    </row>
    <row r="5297" spans="1:5" ht="18" x14ac:dyDescent="0.35">
      <c r="A5297" s="5"/>
      <c r="B5297" s="50"/>
      <c r="C5297" s="87"/>
      <c r="D5297" s="88"/>
      <c r="E5297" s="85">
        <f>SUM(E5292:E5296)</f>
        <v>36.29343999999999</v>
      </c>
    </row>
    <row r="5298" spans="1:5" ht="18" x14ac:dyDescent="0.35">
      <c r="A5298" s="5"/>
      <c r="B5298" s="50"/>
      <c r="C5298" s="87"/>
      <c r="D5298" s="88" t="s">
        <v>1266</v>
      </c>
      <c r="E5298" s="85">
        <f>E5297+E5297*40%</f>
        <v>50.810815999999988</v>
      </c>
    </row>
    <row r="5299" spans="1:5" ht="18" x14ac:dyDescent="0.35">
      <c r="A5299" s="5"/>
      <c r="B5299" s="50" t="s">
        <v>37</v>
      </c>
      <c r="C5299" s="54">
        <v>0.2</v>
      </c>
      <c r="D5299" s="86">
        <v>200</v>
      </c>
      <c r="E5299" s="85">
        <f>C5299*D5299</f>
        <v>40</v>
      </c>
    </row>
    <row r="5300" spans="1:5" ht="18" x14ac:dyDescent="0.35">
      <c r="A5300" s="5"/>
      <c r="B5300" s="5"/>
      <c r="C5300" s="54"/>
      <c r="D5300" s="54"/>
      <c r="E5300" s="85">
        <f>SUM(E5298:E5299)</f>
        <v>90.810815999999988</v>
      </c>
    </row>
    <row r="5303" spans="1:5" ht="21" x14ac:dyDescent="0.4">
      <c r="A5303" s="40" t="s">
        <v>1480</v>
      </c>
      <c r="B5303" s="40"/>
      <c r="C5303" s="40"/>
      <c r="D5303" s="12"/>
      <c r="E5303" s="12"/>
    </row>
    <row r="5304" spans="1:5" ht="18" x14ac:dyDescent="0.35">
      <c r="A5304" s="5"/>
      <c r="B5304" s="5"/>
      <c r="C5304" s="7" t="s">
        <v>28</v>
      </c>
      <c r="D5304" s="7" t="s">
        <v>29</v>
      </c>
      <c r="E5304" s="7" t="s">
        <v>30</v>
      </c>
    </row>
    <row r="5305" spans="1:5" ht="18" x14ac:dyDescent="0.35">
      <c r="A5305" s="5" t="s">
        <v>181</v>
      </c>
      <c r="B5305" s="50" t="s">
        <v>32</v>
      </c>
      <c r="C5305" s="7">
        <v>1.4119999999999999</v>
      </c>
      <c r="D5305" s="7">
        <v>10.37</v>
      </c>
      <c r="E5305" s="85">
        <f>C5305*D5305</f>
        <v>14.642439999999999</v>
      </c>
    </row>
    <row r="5306" spans="1:5" ht="18" x14ac:dyDescent="0.35">
      <c r="A5306" s="5" t="s">
        <v>219</v>
      </c>
      <c r="B5306" s="50" t="s">
        <v>33</v>
      </c>
      <c r="C5306" s="7">
        <v>0.59</v>
      </c>
      <c r="D5306" s="7">
        <v>17.059999999999999</v>
      </c>
      <c r="E5306" s="85">
        <f>C5306*D5306</f>
        <v>10.065399999999999</v>
      </c>
    </row>
    <row r="5307" spans="1:5" ht="18" x14ac:dyDescent="0.35">
      <c r="A5307" s="5" t="s">
        <v>623</v>
      </c>
      <c r="B5307" s="50" t="s">
        <v>137</v>
      </c>
      <c r="C5307" s="7">
        <v>0.08</v>
      </c>
      <c r="D5307" s="7">
        <v>16.07</v>
      </c>
      <c r="E5307" s="85">
        <f>C5307*D5307</f>
        <v>1.2856000000000001</v>
      </c>
    </row>
    <row r="5308" spans="1:5" ht="18" x14ac:dyDescent="0.35">
      <c r="A5308" s="5"/>
      <c r="B5308" s="50" t="s">
        <v>35</v>
      </c>
      <c r="C5308" s="7">
        <v>4</v>
      </c>
      <c r="D5308" s="7">
        <v>2.91</v>
      </c>
      <c r="E5308" s="85">
        <f>C5308*D5308</f>
        <v>11.64</v>
      </c>
    </row>
    <row r="5309" spans="1:5" ht="18" x14ac:dyDescent="0.35">
      <c r="A5309" s="5"/>
      <c r="B5309" s="50" t="s">
        <v>36</v>
      </c>
      <c r="C5309" s="7">
        <v>4</v>
      </c>
      <c r="D5309" s="7">
        <v>0.61</v>
      </c>
      <c r="E5309" s="85">
        <f>C5309*D5309</f>
        <v>2.44</v>
      </c>
    </row>
    <row r="5310" spans="1:5" ht="18" x14ac:dyDescent="0.35">
      <c r="A5310" s="5"/>
      <c r="B5310" s="50"/>
      <c r="C5310" s="87"/>
      <c r="D5310" s="88"/>
      <c r="E5310" s="85">
        <f>SUM(E5305:E5309)</f>
        <v>40.073439999999991</v>
      </c>
    </row>
    <row r="5311" spans="1:5" ht="18" x14ac:dyDescent="0.35">
      <c r="A5311" s="5"/>
      <c r="B5311" s="50"/>
      <c r="C5311" s="87"/>
      <c r="D5311" s="88" t="s">
        <v>1266</v>
      </c>
      <c r="E5311" s="85">
        <f>E5310+E5310*30%</f>
        <v>52.095471999999987</v>
      </c>
    </row>
    <row r="5312" spans="1:5" ht="18" x14ac:dyDescent="0.35">
      <c r="A5312" s="5"/>
      <c r="B5312" s="50" t="s">
        <v>37</v>
      </c>
      <c r="C5312" s="54">
        <v>0.2</v>
      </c>
      <c r="D5312" s="86">
        <v>200</v>
      </c>
      <c r="E5312" s="85">
        <f>C5312*D5312</f>
        <v>40</v>
      </c>
    </row>
    <row r="5313" spans="1:5" ht="18" x14ac:dyDescent="0.35">
      <c r="A5313" s="5"/>
      <c r="B5313" s="5"/>
      <c r="C5313" s="54"/>
      <c r="D5313" s="54"/>
      <c r="E5313" s="85">
        <f>SUM(E5311:E5312)</f>
        <v>92.095471999999987</v>
      </c>
    </row>
    <row r="5315" spans="1:5" ht="21" x14ac:dyDescent="0.4">
      <c r="A5315" s="40" t="s">
        <v>1481</v>
      </c>
      <c r="B5315" s="40"/>
      <c r="C5315" s="84"/>
    </row>
    <row r="5316" spans="1:5" ht="18" x14ac:dyDescent="0.35">
      <c r="A5316" s="5" t="s">
        <v>1482</v>
      </c>
      <c r="B5316" s="5"/>
      <c r="C5316" s="7" t="s">
        <v>28</v>
      </c>
      <c r="D5316" s="7" t="s">
        <v>29</v>
      </c>
      <c r="E5316" s="7" t="s">
        <v>30</v>
      </c>
    </row>
    <row r="5317" spans="1:5" ht="18" x14ac:dyDescent="0.35">
      <c r="A5317" s="5" t="s">
        <v>1483</v>
      </c>
      <c r="B5317" s="50" t="s">
        <v>32</v>
      </c>
      <c r="C5317" s="7">
        <v>1.125</v>
      </c>
      <c r="D5317" s="7">
        <v>10.34</v>
      </c>
      <c r="E5317" s="85">
        <f t="shared" ref="E5317:E5322" si="365">C5317*D5317</f>
        <v>11.6325</v>
      </c>
    </row>
    <row r="5318" spans="1:5" ht="18" x14ac:dyDescent="0.35">
      <c r="A5318" s="5" t="s">
        <v>829</v>
      </c>
      <c r="B5318" s="50" t="s">
        <v>33</v>
      </c>
      <c r="C5318" s="7">
        <v>1.554</v>
      </c>
      <c r="D5318" s="7">
        <v>16.170000000000002</v>
      </c>
      <c r="E5318" s="85">
        <f t="shared" si="365"/>
        <v>25.128180000000004</v>
      </c>
    </row>
    <row r="5319" spans="1:5" ht="18" x14ac:dyDescent="0.35">
      <c r="A5319" s="5" t="s">
        <v>677</v>
      </c>
      <c r="B5319" s="50" t="s">
        <v>42</v>
      </c>
      <c r="C5319" s="7">
        <v>2</v>
      </c>
      <c r="D5319" s="7">
        <v>1.1499999999999999</v>
      </c>
      <c r="E5319" s="85">
        <f t="shared" si="365"/>
        <v>2.2999999999999998</v>
      </c>
    </row>
    <row r="5320" spans="1:5" ht="18" x14ac:dyDescent="0.35">
      <c r="A5320" s="5" t="s">
        <v>1377</v>
      </c>
      <c r="B5320" s="50" t="s">
        <v>34</v>
      </c>
      <c r="C5320" s="7"/>
      <c r="D5320" s="7">
        <v>14.61</v>
      </c>
      <c r="E5320" s="85">
        <f t="shared" si="365"/>
        <v>0</v>
      </c>
    </row>
    <row r="5321" spans="1:5" ht="18" x14ac:dyDescent="0.35">
      <c r="A5321" s="5"/>
      <c r="B5321" s="50" t="s">
        <v>35</v>
      </c>
      <c r="C5321" s="7">
        <v>4</v>
      </c>
      <c r="D5321" s="7">
        <v>2.91</v>
      </c>
      <c r="E5321" s="85">
        <f t="shared" si="365"/>
        <v>11.64</v>
      </c>
    </row>
    <row r="5322" spans="1:5" ht="18" x14ac:dyDescent="0.35">
      <c r="A5322" s="5"/>
      <c r="B5322" s="50" t="s">
        <v>36</v>
      </c>
      <c r="C5322" s="7">
        <v>4</v>
      </c>
      <c r="D5322" s="7">
        <v>0.61</v>
      </c>
      <c r="E5322" s="85">
        <f t="shared" si="365"/>
        <v>2.44</v>
      </c>
    </row>
    <row r="5323" spans="1:5" ht="18" x14ac:dyDescent="0.35">
      <c r="A5323" s="5"/>
      <c r="B5323" s="5"/>
      <c r="C5323" s="54"/>
      <c r="D5323" s="54"/>
      <c r="E5323" s="89">
        <f>SUM(E5317:E5322)</f>
        <v>53.140680000000003</v>
      </c>
    </row>
    <row r="5324" spans="1:5" ht="18" x14ac:dyDescent="0.35">
      <c r="A5324" s="5"/>
      <c r="B5324" s="5"/>
      <c r="C5324" s="54"/>
      <c r="D5324" s="54" t="s">
        <v>1063</v>
      </c>
      <c r="E5324" s="89">
        <f>E5323+E5323*40%</f>
        <v>74.396951999999999</v>
      </c>
    </row>
    <row r="5325" spans="1:5" ht="18" x14ac:dyDescent="0.35">
      <c r="A5325" s="5"/>
      <c r="B5325" s="50" t="s">
        <v>37</v>
      </c>
      <c r="C5325" s="54">
        <v>0.2</v>
      </c>
      <c r="D5325" s="54">
        <v>200</v>
      </c>
      <c r="E5325" s="85">
        <f>C5325*D5325</f>
        <v>40</v>
      </c>
    </row>
    <row r="5326" spans="1:5" ht="18" x14ac:dyDescent="0.35">
      <c r="A5326" s="5"/>
      <c r="B5326" s="5"/>
      <c r="C5326" s="54"/>
      <c r="D5326" s="54"/>
      <c r="E5326" s="85">
        <f>SUM(E5324:E5325)</f>
        <v>114.396952</v>
      </c>
    </row>
    <row r="5328" spans="1:5" ht="21" x14ac:dyDescent="0.4">
      <c r="A5328" s="40" t="s">
        <v>1485</v>
      </c>
      <c r="B5328" s="40"/>
      <c r="C5328" s="40"/>
      <c r="D5328" s="12"/>
      <c r="E5328" s="12"/>
    </row>
    <row r="5329" spans="1:5" ht="18" x14ac:dyDescent="0.35">
      <c r="A5329" s="5"/>
      <c r="B5329" s="5"/>
      <c r="C5329" s="7" t="s">
        <v>28</v>
      </c>
      <c r="D5329" s="7" t="s">
        <v>29</v>
      </c>
      <c r="E5329" s="7" t="s">
        <v>30</v>
      </c>
    </row>
    <row r="5330" spans="1:5" ht="18" x14ac:dyDescent="0.35">
      <c r="A5330" s="5" t="s">
        <v>1486</v>
      </c>
      <c r="B5330" s="50" t="s">
        <v>32</v>
      </c>
      <c r="C5330" s="7">
        <v>4.5060000000000002</v>
      </c>
      <c r="D5330" s="7">
        <v>10.34</v>
      </c>
      <c r="E5330" s="85">
        <f>C5330*D5330</f>
        <v>46.592040000000004</v>
      </c>
    </row>
    <row r="5331" spans="1:5" ht="18" x14ac:dyDescent="0.35">
      <c r="A5331" s="5" t="s">
        <v>217</v>
      </c>
      <c r="B5331" s="50" t="s">
        <v>33</v>
      </c>
      <c r="C5331" s="7">
        <v>26.018999999999998</v>
      </c>
      <c r="D5331" s="7">
        <v>17.059999999999999</v>
      </c>
      <c r="E5331" s="85">
        <f>C5331*D5331</f>
        <v>443.88413999999995</v>
      </c>
    </row>
    <row r="5332" spans="1:5" ht="18" x14ac:dyDescent="0.35">
      <c r="A5332" s="5" t="s">
        <v>623</v>
      </c>
      <c r="B5332" s="50" t="s">
        <v>137</v>
      </c>
      <c r="C5332" s="7">
        <v>2.52</v>
      </c>
      <c r="D5332" s="7">
        <v>16.07</v>
      </c>
      <c r="E5332" s="85">
        <f>C5332*D5332</f>
        <v>40.496400000000001</v>
      </c>
    </row>
    <row r="5333" spans="1:5" ht="18" x14ac:dyDescent="0.35">
      <c r="A5333" s="5"/>
      <c r="B5333" s="50" t="s">
        <v>35</v>
      </c>
      <c r="C5333" s="7">
        <v>4</v>
      </c>
      <c r="D5333" s="7">
        <v>2.91</v>
      </c>
      <c r="E5333" s="85">
        <f>C5333*D5333</f>
        <v>11.64</v>
      </c>
    </row>
    <row r="5334" spans="1:5" ht="18" x14ac:dyDescent="0.35">
      <c r="A5334" s="5"/>
      <c r="B5334" s="50" t="s">
        <v>36</v>
      </c>
      <c r="C5334" s="7">
        <v>4</v>
      </c>
      <c r="D5334" s="7">
        <v>0.61</v>
      </c>
      <c r="E5334" s="85">
        <f>C5334*D5334</f>
        <v>2.44</v>
      </c>
    </row>
    <row r="5335" spans="1:5" ht="18" x14ac:dyDescent="0.35">
      <c r="A5335" s="5"/>
      <c r="B5335" s="50"/>
      <c r="C5335" s="87"/>
      <c r="D5335" s="88"/>
      <c r="E5335" s="85">
        <f>SUM(E5330:E5334)</f>
        <v>545.05258000000003</v>
      </c>
    </row>
    <row r="5336" spans="1:5" ht="18" x14ac:dyDescent="0.35">
      <c r="A5336" s="5"/>
      <c r="B5336" s="50"/>
      <c r="C5336" s="87"/>
      <c r="D5336" s="88" t="s">
        <v>1266</v>
      </c>
      <c r="E5336" s="85">
        <f>E5335+E5335*40%</f>
        <v>763.07361200000003</v>
      </c>
    </row>
    <row r="5337" spans="1:5" ht="18" x14ac:dyDescent="0.35">
      <c r="A5337" s="5"/>
      <c r="B5337" s="50" t="s">
        <v>37</v>
      </c>
      <c r="C5337" s="54">
        <v>1</v>
      </c>
      <c r="D5337" s="86">
        <v>200</v>
      </c>
      <c r="E5337" s="85">
        <f>C5337*D5337</f>
        <v>200</v>
      </c>
    </row>
    <row r="5338" spans="1:5" ht="18" x14ac:dyDescent="0.35">
      <c r="A5338" s="5"/>
      <c r="B5338" s="5"/>
      <c r="C5338" s="54"/>
      <c r="D5338" s="54"/>
      <c r="E5338" s="85">
        <f>SUM(E5336:E5337)</f>
        <v>963.07361200000003</v>
      </c>
    </row>
    <row r="5340" spans="1:5" ht="21" x14ac:dyDescent="0.4">
      <c r="A5340" s="40" t="s">
        <v>1487</v>
      </c>
      <c r="B5340" s="40"/>
      <c r="C5340" s="40"/>
      <c r="D5340" s="12"/>
      <c r="E5340" s="12"/>
    </row>
    <row r="5341" spans="1:5" ht="18" x14ac:dyDescent="0.35">
      <c r="A5341" s="5"/>
      <c r="B5341" s="5"/>
      <c r="C5341" s="7" t="s">
        <v>28</v>
      </c>
      <c r="D5341" s="7" t="s">
        <v>29</v>
      </c>
      <c r="E5341" s="7" t="s">
        <v>30</v>
      </c>
    </row>
    <row r="5342" spans="1:5" ht="18" x14ac:dyDescent="0.35">
      <c r="A5342" s="5" t="s">
        <v>1488</v>
      </c>
      <c r="B5342" s="50" t="s">
        <v>32</v>
      </c>
      <c r="C5342" s="7">
        <v>6.0389999999999997</v>
      </c>
      <c r="D5342" s="7">
        <v>10.34</v>
      </c>
      <c r="E5342" s="85">
        <f>C5342*D5342</f>
        <v>62.443259999999995</v>
      </c>
    </row>
    <row r="5343" spans="1:5" ht="18" x14ac:dyDescent="0.35">
      <c r="A5343" s="5" t="s">
        <v>217</v>
      </c>
      <c r="B5343" s="50" t="s">
        <v>33</v>
      </c>
      <c r="C5343" s="7">
        <v>36.75</v>
      </c>
      <c r="D5343" s="7">
        <v>17.059999999999999</v>
      </c>
      <c r="E5343" s="85">
        <f>C5343*D5343</f>
        <v>626.95499999999993</v>
      </c>
    </row>
    <row r="5344" spans="1:5" ht="18" x14ac:dyDescent="0.35">
      <c r="A5344" s="5" t="s">
        <v>623</v>
      </c>
      <c r="B5344" s="50" t="s">
        <v>137</v>
      </c>
      <c r="C5344" s="7">
        <v>1.26</v>
      </c>
      <c r="D5344" s="7">
        <v>16.07</v>
      </c>
      <c r="E5344" s="85">
        <f>C5344*D5344</f>
        <v>20.248200000000001</v>
      </c>
    </row>
    <row r="5345" spans="1:5" ht="18" x14ac:dyDescent="0.35">
      <c r="A5345" s="5"/>
      <c r="B5345" s="50" t="s">
        <v>35</v>
      </c>
      <c r="C5345" s="7">
        <v>4</v>
      </c>
      <c r="D5345" s="7">
        <v>2.91</v>
      </c>
      <c r="E5345" s="85">
        <f>C5345*D5345</f>
        <v>11.64</v>
      </c>
    </row>
    <row r="5346" spans="1:5" ht="18" x14ac:dyDescent="0.35">
      <c r="A5346" s="5"/>
      <c r="B5346" s="50" t="s">
        <v>36</v>
      </c>
      <c r="C5346" s="7">
        <v>4</v>
      </c>
      <c r="D5346" s="7">
        <v>0.61</v>
      </c>
      <c r="E5346" s="85">
        <f>C5346*D5346</f>
        <v>2.44</v>
      </c>
    </row>
    <row r="5347" spans="1:5" ht="18" x14ac:dyDescent="0.35">
      <c r="A5347" s="5"/>
      <c r="B5347" s="50"/>
      <c r="C5347" s="87"/>
      <c r="D5347" s="88"/>
      <c r="E5347" s="85">
        <f>SUM(E5342:E5346)</f>
        <v>723.72645999999997</v>
      </c>
    </row>
    <row r="5348" spans="1:5" ht="18" x14ac:dyDescent="0.35">
      <c r="A5348" s="5"/>
      <c r="B5348" s="50"/>
      <c r="C5348" s="87"/>
      <c r="D5348" s="88" t="s">
        <v>1266</v>
      </c>
      <c r="E5348" s="85">
        <f>E5347+E5347*40%</f>
        <v>1013.217044</v>
      </c>
    </row>
    <row r="5349" spans="1:5" ht="18" x14ac:dyDescent="0.35">
      <c r="A5349" s="5"/>
      <c r="B5349" s="50" t="s">
        <v>37</v>
      </c>
      <c r="C5349" s="54">
        <v>1</v>
      </c>
      <c r="D5349" s="86">
        <v>200</v>
      </c>
      <c r="E5349" s="85">
        <f>C5349*D5349</f>
        <v>200</v>
      </c>
    </row>
    <row r="5350" spans="1:5" ht="18" x14ac:dyDescent="0.35">
      <c r="A5350" s="5"/>
      <c r="B5350" s="5"/>
      <c r="C5350" s="54"/>
      <c r="D5350" s="54"/>
      <c r="E5350" s="85">
        <f>SUM(E5348:E5349)</f>
        <v>1213.217044</v>
      </c>
    </row>
    <row r="5353" spans="1:5" ht="21" x14ac:dyDescent="0.4">
      <c r="A5353" s="40" t="s">
        <v>1480</v>
      </c>
      <c r="B5353" s="40"/>
      <c r="C5353" s="40"/>
      <c r="D5353" s="12"/>
      <c r="E5353" s="12"/>
    </row>
    <row r="5354" spans="1:5" ht="18" x14ac:dyDescent="0.35">
      <c r="A5354" s="5"/>
      <c r="B5354" s="5"/>
      <c r="C5354" s="7" t="s">
        <v>28</v>
      </c>
      <c r="D5354" s="7" t="s">
        <v>29</v>
      </c>
      <c r="E5354" s="7" t="s">
        <v>30</v>
      </c>
    </row>
    <row r="5355" spans="1:5" ht="18" x14ac:dyDescent="0.35">
      <c r="A5355" s="5" t="s">
        <v>158</v>
      </c>
      <c r="B5355" s="50" t="s">
        <v>32</v>
      </c>
      <c r="C5355" s="7">
        <v>1.0620000000000001</v>
      </c>
      <c r="D5355" s="7">
        <v>10.37</v>
      </c>
      <c r="E5355" s="85">
        <f>C5355*D5355</f>
        <v>11.01294</v>
      </c>
    </row>
    <row r="5356" spans="1:5" ht="18" x14ac:dyDescent="0.35">
      <c r="A5356" s="5" t="s">
        <v>219</v>
      </c>
      <c r="B5356" s="50" t="s">
        <v>33</v>
      </c>
      <c r="C5356" s="7">
        <v>0.39</v>
      </c>
      <c r="D5356" s="7">
        <v>17.059999999999999</v>
      </c>
      <c r="E5356" s="85">
        <f>C5356*D5356</f>
        <v>6.6533999999999995</v>
      </c>
    </row>
    <row r="5357" spans="1:5" ht="18" x14ac:dyDescent="0.35">
      <c r="A5357" s="5" t="s">
        <v>623</v>
      </c>
      <c r="B5357" s="50" t="s">
        <v>137</v>
      </c>
      <c r="C5357" s="7">
        <v>0.09</v>
      </c>
      <c r="D5357" s="7">
        <v>16.07</v>
      </c>
      <c r="E5357" s="85">
        <f>C5357*D5357</f>
        <v>1.4462999999999999</v>
      </c>
    </row>
    <row r="5358" spans="1:5" ht="18" x14ac:dyDescent="0.35">
      <c r="A5358" s="5"/>
      <c r="B5358" s="50" t="s">
        <v>35</v>
      </c>
      <c r="C5358" s="7">
        <v>4</v>
      </c>
      <c r="D5358" s="7">
        <v>2.91</v>
      </c>
      <c r="E5358" s="85">
        <f>C5358*D5358</f>
        <v>11.64</v>
      </c>
    </row>
    <row r="5359" spans="1:5" ht="18" x14ac:dyDescent="0.35">
      <c r="A5359" s="5"/>
      <c r="B5359" s="50" t="s">
        <v>36</v>
      </c>
      <c r="C5359" s="7">
        <v>4</v>
      </c>
      <c r="D5359" s="7">
        <v>0.61</v>
      </c>
      <c r="E5359" s="85">
        <f>C5359*D5359</f>
        <v>2.44</v>
      </c>
    </row>
    <row r="5360" spans="1:5" ht="18" x14ac:dyDescent="0.35">
      <c r="A5360" s="5"/>
      <c r="B5360" s="50"/>
      <c r="C5360" s="87"/>
      <c r="D5360" s="88"/>
      <c r="E5360" s="85">
        <f>SUM(E5355:E5359)</f>
        <v>33.192639999999997</v>
      </c>
    </row>
    <row r="5361" spans="1:5" ht="18" x14ac:dyDescent="0.35">
      <c r="A5361" s="5"/>
      <c r="B5361" s="50"/>
      <c r="C5361" s="87"/>
      <c r="D5361" s="88" t="s">
        <v>1266</v>
      </c>
      <c r="E5361" s="85">
        <f>E5360+E5360*40%</f>
        <v>46.469695999999999</v>
      </c>
    </row>
    <row r="5362" spans="1:5" ht="18" x14ac:dyDescent="0.35">
      <c r="A5362" s="5"/>
      <c r="B5362" s="50" t="s">
        <v>37</v>
      </c>
      <c r="C5362" s="54">
        <v>0.2</v>
      </c>
      <c r="D5362" s="86">
        <v>200</v>
      </c>
      <c r="E5362" s="85">
        <f>C5362*D5362</f>
        <v>40</v>
      </c>
    </row>
    <row r="5363" spans="1:5" ht="18" x14ac:dyDescent="0.35">
      <c r="A5363" s="5"/>
      <c r="B5363" s="5"/>
      <c r="C5363" s="54"/>
      <c r="D5363" s="54"/>
      <c r="E5363" s="85">
        <f>SUM(E5361:E5362)</f>
        <v>86.469695999999999</v>
      </c>
    </row>
    <row r="5365" spans="1:5" ht="21" x14ac:dyDescent="0.4">
      <c r="A5365" s="40" t="s">
        <v>1478</v>
      </c>
      <c r="B5365" s="40"/>
      <c r="C5365" s="40"/>
      <c r="D5365" s="12"/>
      <c r="E5365" s="12"/>
    </row>
    <row r="5366" spans="1:5" ht="18" x14ac:dyDescent="0.35">
      <c r="A5366" s="5" t="s">
        <v>1479</v>
      </c>
      <c r="B5366" s="5"/>
      <c r="C5366" s="7" t="s">
        <v>28</v>
      </c>
      <c r="D5366" s="7" t="s">
        <v>29</v>
      </c>
      <c r="E5366" s="7" t="s">
        <v>30</v>
      </c>
    </row>
    <row r="5367" spans="1:5" ht="18" x14ac:dyDescent="0.35">
      <c r="A5367" s="5" t="s">
        <v>1489</v>
      </c>
      <c r="B5367" s="50" t="s">
        <v>32</v>
      </c>
      <c r="C5367" s="7">
        <v>4.758</v>
      </c>
      <c r="D5367" s="7">
        <v>11.37</v>
      </c>
      <c r="E5367" s="85">
        <f>C5367*D5367</f>
        <v>54.098459999999996</v>
      </c>
    </row>
    <row r="5368" spans="1:5" ht="18" x14ac:dyDescent="0.35">
      <c r="A5368" s="5" t="s">
        <v>56</v>
      </c>
      <c r="B5368" s="50" t="s">
        <v>33</v>
      </c>
      <c r="C5368" s="7">
        <v>54.505000000000003</v>
      </c>
      <c r="D5368" s="7">
        <v>17.059999999999999</v>
      </c>
      <c r="E5368" s="85">
        <f>C5368*D5368</f>
        <v>929.85529999999994</v>
      </c>
    </row>
    <row r="5369" spans="1:5" ht="18" x14ac:dyDescent="0.35">
      <c r="A5369" s="5" t="s">
        <v>673</v>
      </c>
      <c r="B5369" s="50" t="s">
        <v>137</v>
      </c>
      <c r="C5369" s="7">
        <v>2.52</v>
      </c>
      <c r="D5369" s="7">
        <v>15.25</v>
      </c>
      <c r="E5369" s="85">
        <f>C5369*D5369</f>
        <v>38.43</v>
      </c>
    </row>
    <row r="5370" spans="1:5" ht="18" x14ac:dyDescent="0.35">
      <c r="A5370" s="5"/>
      <c r="B5370" s="50" t="s">
        <v>35</v>
      </c>
      <c r="C5370" s="7">
        <v>4</v>
      </c>
      <c r="D5370" s="7">
        <v>2.91</v>
      </c>
      <c r="E5370" s="85">
        <f>C5370*D5370</f>
        <v>11.64</v>
      </c>
    </row>
    <row r="5371" spans="1:5" ht="18" x14ac:dyDescent="0.35">
      <c r="A5371" s="5"/>
      <c r="B5371" s="50" t="s">
        <v>36</v>
      </c>
      <c r="C5371" s="7">
        <v>4</v>
      </c>
      <c r="D5371" s="7">
        <v>0.61</v>
      </c>
      <c r="E5371" s="85">
        <f>C5371*D5371</f>
        <v>2.44</v>
      </c>
    </row>
    <row r="5372" spans="1:5" ht="18" x14ac:dyDescent="0.35">
      <c r="A5372" s="5"/>
      <c r="B5372" s="50"/>
      <c r="C5372" s="87"/>
      <c r="D5372" s="88"/>
      <c r="E5372" s="85">
        <f>SUM(E5367:E5371)</f>
        <v>1036.4637600000001</v>
      </c>
    </row>
    <row r="5373" spans="1:5" ht="18" x14ac:dyDescent="0.35">
      <c r="A5373" s="5"/>
      <c r="B5373" s="50"/>
      <c r="C5373" s="87"/>
      <c r="D5373" s="88" t="s">
        <v>1266</v>
      </c>
      <c r="E5373" s="85">
        <f>E5372+E5372*40%</f>
        <v>1451.0492640000002</v>
      </c>
    </row>
    <row r="5374" spans="1:5" ht="18" x14ac:dyDescent="0.35">
      <c r="A5374" s="5"/>
      <c r="B5374" s="50" t="s">
        <v>37</v>
      </c>
      <c r="C5374" s="54">
        <v>1.5</v>
      </c>
      <c r="D5374" s="86">
        <v>200</v>
      </c>
      <c r="E5374" s="85">
        <f>C5374*D5374</f>
        <v>300</v>
      </c>
    </row>
    <row r="5375" spans="1:5" ht="18" x14ac:dyDescent="0.35">
      <c r="A5375" s="5"/>
      <c r="B5375" s="5"/>
      <c r="C5375" s="54"/>
      <c r="D5375" s="54"/>
      <c r="E5375" s="85">
        <f>SUM(E5373:E5374)</f>
        <v>1751.0492640000002</v>
      </c>
    </row>
    <row r="5377" spans="1:5" ht="21" x14ac:dyDescent="0.4">
      <c r="A5377" s="40" t="s">
        <v>1494</v>
      </c>
      <c r="B5377" s="40"/>
      <c r="C5377" s="84"/>
    </row>
    <row r="5378" spans="1:5" ht="18" x14ac:dyDescent="0.35">
      <c r="A5378" s="5" t="s">
        <v>1490</v>
      </c>
      <c r="B5378" s="5"/>
      <c r="C5378" s="7" t="s">
        <v>28</v>
      </c>
      <c r="D5378" s="7" t="s">
        <v>29</v>
      </c>
      <c r="E5378" s="7" t="s">
        <v>30</v>
      </c>
    </row>
    <row r="5379" spans="1:5" ht="18" x14ac:dyDescent="0.35">
      <c r="A5379" s="5" t="s">
        <v>1491</v>
      </c>
      <c r="B5379" s="50" t="s">
        <v>32</v>
      </c>
      <c r="C5379" s="7">
        <v>1.923</v>
      </c>
      <c r="D5379" s="7">
        <v>10.34</v>
      </c>
      <c r="E5379" s="85">
        <f t="shared" ref="E5379:E5384" si="366">C5379*D5379</f>
        <v>19.88382</v>
      </c>
    </row>
    <row r="5380" spans="1:5" ht="18" x14ac:dyDescent="0.35">
      <c r="A5380" s="5" t="s">
        <v>829</v>
      </c>
      <c r="B5380" s="50" t="s">
        <v>33</v>
      </c>
      <c r="C5380" s="7">
        <v>3.1080000000000001</v>
      </c>
      <c r="D5380" s="7">
        <v>16.170000000000002</v>
      </c>
      <c r="E5380" s="85">
        <f t="shared" si="366"/>
        <v>50.256360000000008</v>
      </c>
    </row>
    <row r="5381" spans="1:5" ht="18" x14ac:dyDescent="0.35">
      <c r="A5381" s="5" t="s">
        <v>674</v>
      </c>
      <c r="B5381" s="50" t="s">
        <v>42</v>
      </c>
      <c r="C5381" s="7">
        <v>2</v>
      </c>
      <c r="D5381" s="7">
        <v>1.1499999999999999</v>
      </c>
      <c r="E5381" s="85">
        <f t="shared" si="366"/>
        <v>2.2999999999999998</v>
      </c>
    </row>
    <row r="5382" spans="1:5" ht="18" x14ac:dyDescent="0.35">
      <c r="A5382" s="5" t="s">
        <v>1377</v>
      </c>
      <c r="B5382" s="50" t="s">
        <v>34</v>
      </c>
      <c r="C5382" s="7">
        <v>0.12</v>
      </c>
      <c r="D5382" s="7">
        <v>14.61</v>
      </c>
      <c r="E5382" s="85">
        <f t="shared" si="366"/>
        <v>1.7531999999999999</v>
      </c>
    </row>
    <row r="5383" spans="1:5" ht="18" x14ac:dyDescent="0.35">
      <c r="A5383" s="5"/>
      <c r="B5383" s="50" t="s">
        <v>35</v>
      </c>
      <c r="C5383" s="7">
        <v>4</v>
      </c>
      <c r="D5383" s="7">
        <v>2.91</v>
      </c>
      <c r="E5383" s="85">
        <f t="shared" si="366"/>
        <v>11.64</v>
      </c>
    </row>
    <row r="5384" spans="1:5" ht="18" x14ac:dyDescent="0.35">
      <c r="A5384" s="5"/>
      <c r="B5384" s="50" t="s">
        <v>36</v>
      </c>
      <c r="C5384" s="7">
        <v>4</v>
      </c>
      <c r="D5384" s="7">
        <v>0.61</v>
      </c>
      <c r="E5384" s="85">
        <f t="shared" si="366"/>
        <v>2.44</v>
      </c>
    </row>
    <row r="5385" spans="1:5" ht="18" x14ac:dyDescent="0.35">
      <c r="A5385" s="5"/>
      <c r="B5385" s="5"/>
      <c r="C5385" s="54"/>
      <c r="D5385" s="54"/>
      <c r="E5385" s="89">
        <f>SUM(E5379:E5384)</f>
        <v>88.273380000000017</v>
      </c>
    </row>
    <row r="5386" spans="1:5" ht="18" x14ac:dyDescent="0.35">
      <c r="A5386" s="5"/>
      <c r="B5386" s="5"/>
      <c r="C5386" s="54"/>
      <c r="D5386" s="54" t="s">
        <v>1063</v>
      </c>
      <c r="E5386" s="89">
        <f>E5385+E5385*40%</f>
        <v>123.58273200000002</v>
      </c>
    </row>
    <row r="5387" spans="1:5" ht="18" x14ac:dyDescent="0.35">
      <c r="A5387" s="5"/>
      <c r="B5387" s="50" t="s">
        <v>37</v>
      </c>
      <c r="C5387" s="54">
        <v>0.6</v>
      </c>
      <c r="D5387" s="54">
        <v>200</v>
      </c>
      <c r="E5387" s="85">
        <f>C5387*D5387</f>
        <v>120</v>
      </c>
    </row>
    <row r="5388" spans="1:5" ht="18" x14ac:dyDescent="0.35">
      <c r="A5388" s="5"/>
      <c r="B5388" s="5"/>
      <c r="C5388" s="54"/>
      <c r="D5388" s="54"/>
      <c r="E5388" s="85">
        <f>SUM(E5386:E5387)</f>
        <v>243.58273200000002</v>
      </c>
    </row>
    <row r="5390" spans="1:5" ht="21" x14ac:dyDescent="0.4">
      <c r="A5390" s="40" t="s">
        <v>1495</v>
      </c>
      <c r="B5390" s="40"/>
      <c r="C5390" s="84"/>
    </row>
    <row r="5391" spans="1:5" ht="18" x14ac:dyDescent="0.35">
      <c r="A5391" s="5" t="s">
        <v>1490</v>
      </c>
      <c r="B5391" s="5"/>
      <c r="C5391" s="7" t="s">
        <v>28</v>
      </c>
      <c r="D5391" s="7" t="s">
        <v>29</v>
      </c>
      <c r="E5391" s="7" t="s">
        <v>30</v>
      </c>
    </row>
    <row r="5392" spans="1:5" ht="18" x14ac:dyDescent="0.35">
      <c r="A5392" s="5" t="s">
        <v>1496</v>
      </c>
      <c r="B5392" s="50" t="s">
        <v>32</v>
      </c>
      <c r="C5392" s="7">
        <v>1.65</v>
      </c>
      <c r="D5392" s="7">
        <v>10.34</v>
      </c>
      <c r="E5392" s="85">
        <f t="shared" ref="E5392:E5397" si="367">C5392*D5392</f>
        <v>17.061</v>
      </c>
    </row>
    <row r="5393" spans="1:5" ht="18" x14ac:dyDescent="0.35">
      <c r="A5393" s="5" t="s">
        <v>1497</v>
      </c>
      <c r="B5393" s="50" t="s">
        <v>33</v>
      </c>
      <c r="C5393" s="7">
        <v>5.6589999999999998</v>
      </c>
      <c r="D5393" s="7">
        <v>16.170000000000002</v>
      </c>
      <c r="E5393" s="85">
        <f t="shared" si="367"/>
        <v>91.50603000000001</v>
      </c>
    </row>
    <row r="5394" spans="1:5" ht="18" x14ac:dyDescent="0.35">
      <c r="A5394" s="5" t="s">
        <v>781</v>
      </c>
      <c r="B5394" s="50" t="s">
        <v>1498</v>
      </c>
      <c r="C5394" s="7">
        <v>2</v>
      </c>
      <c r="D5394" s="7">
        <v>1.48</v>
      </c>
      <c r="E5394" s="85">
        <f t="shared" si="367"/>
        <v>2.96</v>
      </c>
    </row>
    <row r="5395" spans="1:5" ht="18" x14ac:dyDescent="0.35">
      <c r="A5395" s="5" t="s">
        <v>1377</v>
      </c>
      <c r="B5395" s="50" t="s">
        <v>34</v>
      </c>
      <c r="C5395" s="7"/>
      <c r="D5395" s="7">
        <v>14.61</v>
      </c>
      <c r="E5395" s="85">
        <f t="shared" si="367"/>
        <v>0</v>
      </c>
    </row>
    <row r="5396" spans="1:5" ht="18" x14ac:dyDescent="0.35">
      <c r="A5396" s="5"/>
      <c r="B5396" s="50" t="s">
        <v>35</v>
      </c>
      <c r="C5396" s="7">
        <v>4</v>
      </c>
      <c r="D5396" s="7">
        <v>2.91</v>
      </c>
      <c r="E5396" s="85">
        <f t="shared" si="367"/>
        <v>11.64</v>
      </c>
    </row>
    <row r="5397" spans="1:5" ht="18" x14ac:dyDescent="0.35">
      <c r="A5397" s="5"/>
      <c r="B5397" s="50" t="s">
        <v>36</v>
      </c>
      <c r="C5397" s="7">
        <v>4</v>
      </c>
      <c r="D5397" s="7">
        <v>0.61</v>
      </c>
      <c r="E5397" s="85">
        <f t="shared" si="367"/>
        <v>2.44</v>
      </c>
    </row>
    <row r="5398" spans="1:5" ht="18" x14ac:dyDescent="0.35">
      <c r="A5398" s="5"/>
      <c r="B5398" s="5"/>
      <c r="C5398" s="54"/>
      <c r="D5398" s="54"/>
      <c r="E5398" s="89">
        <f>SUM(E5392:E5397)</f>
        <v>125.60703000000001</v>
      </c>
    </row>
    <row r="5399" spans="1:5" ht="18" x14ac:dyDescent="0.35">
      <c r="A5399" s="5"/>
      <c r="B5399" s="5"/>
      <c r="C5399" s="54"/>
      <c r="D5399" s="54" t="s">
        <v>1116</v>
      </c>
      <c r="E5399" s="89">
        <f>E5398+E5398*30%</f>
        <v>163.28913900000001</v>
      </c>
    </row>
    <row r="5400" spans="1:5" ht="18" x14ac:dyDescent="0.35">
      <c r="A5400" s="5"/>
      <c r="B5400" s="50" t="s">
        <v>37</v>
      </c>
      <c r="C5400" s="54">
        <v>0.3</v>
      </c>
      <c r="D5400" s="54">
        <v>200</v>
      </c>
      <c r="E5400" s="85">
        <f>C5400*D5400</f>
        <v>60</v>
      </c>
    </row>
    <row r="5401" spans="1:5" ht="18" x14ac:dyDescent="0.35">
      <c r="A5401" s="5"/>
      <c r="B5401" s="5"/>
      <c r="C5401" s="54"/>
      <c r="D5401" s="54"/>
      <c r="E5401" s="85">
        <f>SUM(E5399:E5400)</f>
        <v>223.28913900000001</v>
      </c>
    </row>
    <row r="5403" spans="1:5" ht="21" x14ac:dyDescent="0.4">
      <c r="A5403" s="40" t="s">
        <v>1501</v>
      </c>
      <c r="B5403" s="40"/>
      <c r="C5403" s="84"/>
    </row>
    <row r="5404" spans="1:5" ht="18" x14ac:dyDescent="0.35">
      <c r="A5404" s="5" t="s">
        <v>1499</v>
      </c>
      <c r="B5404" s="5"/>
      <c r="C5404" s="7" t="s">
        <v>28</v>
      </c>
      <c r="D5404" s="7" t="s">
        <v>29</v>
      </c>
      <c r="E5404" s="7" t="s">
        <v>30</v>
      </c>
    </row>
    <row r="5405" spans="1:5" ht="18" x14ac:dyDescent="0.35">
      <c r="A5405" s="5" t="s">
        <v>1500</v>
      </c>
      <c r="B5405" s="50" t="s">
        <v>32</v>
      </c>
      <c r="C5405" s="7">
        <v>2.8690000000000002</v>
      </c>
      <c r="D5405" s="7">
        <v>10.34</v>
      </c>
      <c r="E5405" s="85">
        <f t="shared" ref="E5405:E5410" si="368">C5405*D5405</f>
        <v>29.665460000000003</v>
      </c>
    </row>
    <row r="5406" spans="1:5" ht="18" x14ac:dyDescent="0.35">
      <c r="A5406" s="5" t="s">
        <v>1502</v>
      </c>
      <c r="B5406" s="50" t="s">
        <v>33</v>
      </c>
      <c r="C5406" s="7">
        <v>15.12</v>
      </c>
      <c r="D5406" s="7">
        <v>16.170000000000002</v>
      </c>
      <c r="E5406" s="85">
        <f t="shared" si="368"/>
        <v>244.49040000000002</v>
      </c>
    </row>
    <row r="5407" spans="1:5" ht="18" x14ac:dyDescent="0.35">
      <c r="A5407" s="5" t="s">
        <v>674</v>
      </c>
      <c r="B5407" s="50" t="s">
        <v>86</v>
      </c>
      <c r="C5407" s="7">
        <v>2</v>
      </c>
      <c r="D5407" s="7">
        <v>1.7</v>
      </c>
      <c r="E5407" s="85">
        <f t="shared" si="368"/>
        <v>3.4</v>
      </c>
    </row>
    <row r="5408" spans="1:5" ht="18" x14ac:dyDescent="0.35">
      <c r="A5408" s="5" t="s">
        <v>1377</v>
      </c>
      <c r="B5408" s="50" t="s">
        <v>34</v>
      </c>
      <c r="C5408" s="7">
        <v>0.66</v>
      </c>
      <c r="D5408" s="7">
        <v>14.61</v>
      </c>
      <c r="E5408" s="85">
        <f t="shared" si="368"/>
        <v>9.6425999999999998</v>
      </c>
    </row>
    <row r="5409" spans="1:5" ht="18" x14ac:dyDescent="0.35">
      <c r="A5409" s="5"/>
      <c r="B5409" s="50" t="s">
        <v>35</v>
      </c>
      <c r="C5409" s="7">
        <v>4</v>
      </c>
      <c r="D5409" s="7">
        <v>2.91</v>
      </c>
      <c r="E5409" s="85">
        <f t="shared" si="368"/>
        <v>11.64</v>
      </c>
    </row>
    <row r="5410" spans="1:5" ht="18" x14ac:dyDescent="0.35">
      <c r="A5410" s="5"/>
      <c r="B5410" s="50" t="s">
        <v>36</v>
      </c>
      <c r="C5410" s="7">
        <v>4</v>
      </c>
      <c r="D5410" s="7">
        <v>0.61</v>
      </c>
      <c r="E5410" s="85">
        <f t="shared" si="368"/>
        <v>2.44</v>
      </c>
    </row>
    <row r="5411" spans="1:5" ht="18" x14ac:dyDescent="0.35">
      <c r="A5411" s="5"/>
      <c r="B5411" s="5"/>
      <c r="C5411" s="54"/>
      <c r="D5411" s="54"/>
      <c r="E5411" s="89">
        <f>SUM(E5405:E5410)</f>
        <v>301.27846</v>
      </c>
    </row>
    <row r="5412" spans="1:5" ht="18" x14ac:dyDescent="0.35">
      <c r="A5412" s="5"/>
      <c r="B5412" s="5"/>
      <c r="C5412" s="54"/>
      <c r="D5412" s="54" t="s">
        <v>1116</v>
      </c>
      <c r="E5412" s="89">
        <f>E5411+E5411*30%</f>
        <v>391.66199799999998</v>
      </c>
    </row>
    <row r="5413" spans="1:5" ht="18" x14ac:dyDescent="0.35">
      <c r="A5413" s="5"/>
      <c r="B5413" s="50" t="s">
        <v>37</v>
      </c>
      <c r="C5413" s="54">
        <v>0.5</v>
      </c>
      <c r="D5413" s="54">
        <v>200</v>
      </c>
      <c r="E5413" s="85">
        <f>C5413*D5413</f>
        <v>100</v>
      </c>
    </row>
    <row r="5414" spans="1:5" ht="18" x14ac:dyDescent="0.35">
      <c r="A5414" s="5"/>
      <c r="B5414" s="5"/>
      <c r="C5414" s="54"/>
      <c r="D5414" s="54"/>
      <c r="E5414" s="85">
        <f>SUM(E5412:E5413)</f>
        <v>491.66199799999998</v>
      </c>
    </row>
    <row r="5416" spans="1:5" ht="21" x14ac:dyDescent="0.4">
      <c r="A5416" s="40" t="s">
        <v>1503</v>
      </c>
      <c r="B5416" s="40"/>
      <c r="C5416" s="40"/>
      <c r="D5416" s="12"/>
      <c r="E5416" s="12"/>
    </row>
    <row r="5417" spans="1:5" ht="18" x14ac:dyDescent="0.35">
      <c r="A5417" s="5" t="s">
        <v>1471</v>
      </c>
      <c r="B5417" s="5"/>
      <c r="C5417" s="7" t="s">
        <v>28</v>
      </c>
      <c r="D5417" s="7" t="s">
        <v>29</v>
      </c>
      <c r="E5417" s="7" t="s">
        <v>30</v>
      </c>
    </row>
    <row r="5418" spans="1:5" ht="18" x14ac:dyDescent="0.35">
      <c r="A5418" s="5" t="s">
        <v>1500</v>
      </c>
      <c r="B5418" s="50" t="s">
        <v>32</v>
      </c>
      <c r="C5418" s="7">
        <v>2.8690000000000002</v>
      </c>
      <c r="D5418" s="7">
        <v>10.34</v>
      </c>
      <c r="E5418" s="85">
        <f>C5418*D5418</f>
        <v>29.665460000000003</v>
      </c>
    </row>
    <row r="5419" spans="1:5" ht="18" x14ac:dyDescent="0.35">
      <c r="A5419" s="5" t="s">
        <v>213</v>
      </c>
      <c r="B5419" s="50" t="s">
        <v>33</v>
      </c>
      <c r="C5419" s="7">
        <v>21.167999999999999</v>
      </c>
      <c r="D5419" s="7">
        <v>17.059999999999999</v>
      </c>
      <c r="E5419" s="85">
        <f>C5419*D5419</f>
        <v>361.12607999999994</v>
      </c>
    </row>
    <row r="5420" spans="1:5" ht="18" x14ac:dyDescent="0.35">
      <c r="A5420" s="5" t="s">
        <v>673</v>
      </c>
      <c r="B5420" s="50" t="s">
        <v>137</v>
      </c>
      <c r="C5420" s="7">
        <v>0.66</v>
      </c>
      <c r="D5420" s="7">
        <v>15.25</v>
      </c>
      <c r="E5420" s="85">
        <f>C5420*D5420</f>
        <v>10.065000000000001</v>
      </c>
    </row>
    <row r="5421" spans="1:5" ht="18" x14ac:dyDescent="0.35">
      <c r="A5421" s="5"/>
      <c r="B5421" s="50" t="s">
        <v>35</v>
      </c>
      <c r="C5421" s="7">
        <v>4</v>
      </c>
      <c r="D5421" s="7">
        <v>2.91</v>
      </c>
      <c r="E5421" s="85">
        <f>C5421*D5421</f>
        <v>11.64</v>
      </c>
    </row>
    <row r="5422" spans="1:5" ht="18" x14ac:dyDescent="0.35">
      <c r="A5422" s="5"/>
      <c r="B5422" s="50" t="s">
        <v>36</v>
      </c>
      <c r="C5422" s="7">
        <v>4</v>
      </c>
      <c r="D5422" s="7">
        <v>0.61</v>
      </c>
      <c r="E5422" s="85">
        <f>C5422*D5422</f>
        <v>2.44</v>
      </c>
    </row>
    <row r="5423" spans="1:5" ht="18" x14ac:dyDescent="0.35">
      <c r="A5423" s="5"/>
      <c r="B5423" s="50"/>
      <c r="C5423" s="87"/>
      <c r="D5423" s="88"/>
      <c r="E5423" s="85">
        <f>SUM(E5418:E5422)</f>
        <v>414.93653999999992</v>
      </c>
    </row>
    <row r="5424" spans="1:5" ht="18" x14ac:dyDescent="0.35">
      <c r="A5424" s="5"/>
      <c r="B5424" s="50"/>
      <c r="C5424" s="87"/>
      <c r="D5424" s="88" t="s">
        <v>1437</v>
      </c>
      <c r="E5424" s="85">
        <f>E5423+E5423*30%</f>
        <v>539.4175019999999</v>
      </c>
    </row>
    <row r="5425" spans="1:5" ht="18" x14ac:dyDescent="0.35">
      <c r="A5425" s="5"/>
      <c r="B5425" s="50" t="s">
        <v>37</v>
      </c>
      <c r="C5425" s="54">
        <v>0.75</v>
      </c>
      <c r="D5425" s="86">
        <v>200</v>
      </c>
      <c r="E5425" s="85">
        <f>C5425*D5425</f>
        <v>150</v>
      </c>
    </row>
    <row r="5426" spans="1:5" ht="18" x14ac:dyDescent="0.35">
      <c r="A5426" s="5"/>
      <c r="B5426" s="5"/>
      <c r="C5426" s="54"/>
      <c r="D5426" s="54"/>
      <c r="E5426" s="85">
        <f>SUM(E5424:E5425)</f>
        <v>689.4175019999999</v>
      </c>
    </row>
    <row r="5428" spans="1:5" ht="21" x14ac:dyDescent="0.4">
      <c r="A5428" s="40" t="s">
        <v>1504</v>
      </c>
      <c r="B5428" s="40"/>
      <c r="C5428" s="84"/>
    </row>
    <row r="5429" spans="1:5" ht="18" x14ac:dyDescent="0.35">
      <c r="A5429" s="5" t="s">
        <v>1202</v>
      </c>
      <c r="B5429" s="5"/>
      <c r="C5429" s="7" t="s">
        <v>28</v>
      </c>
      <c r="D5429" s="7" t="s">
        <v>29</v>
      </c>
      <c r="E5429" s="7" t="s">
        <v>30</v>
      </c>
    </row>
    <row r="5430" spans="1:5" ht="18" x14ac:dyDescent="0.35">
      <c r="A5430" s="5" t="s">
        <v>75</v>
      </c>
      <c r="B5430" s="50" t="s">
        <v>32</v>
      </c>
      <c r="C5430" s="7">
        <v>1.3979999999999999</v>
      </c>
      <c r="D5430" s="7">
        <v>10.34</v>
      </c>
      <c r="E5430" s="85">
        <f t="shared" ref="E5430:E5435" si="369">C5430*D5430</f>
        <v>14.455319999999999</v>
      </c>
    </row>
    <row r="5431" spans="1:5" ht="18" x14ac:dyDescent="0.35">
      <c r="A5431" s="5" t="s">
        <v>828</v>
      </c>
      <c r="B5431" s="50" t="s">
        <v>33</v>
      </c>
      <c r="C5431" s="7">
        <v>3.6850000000000001</v>
      </c>
      <c r="D5431" s="7">
        <v>16.170000000000002</v>
      </c>
      <c r="E5431" s="85">
        <f t="shared" si="369"/>
        <v>59.586450000000006</v>
      </c>
    </row>
    <row r="5432" spans="1:5" ht="18" x14ac:dyDescent="0.35">
      <c r="A5432" s="5" t="s">
        <v>674</v>
      </c>
      <c r="B5432" s="50" t="s">
        <v>85</v>
      </c>
      <c r="C5432" s="7">
        <v>2</v>
      </c>
      <c r="D5432" s="7">
        <v>1.48</v>
      </c>
      <c r="E5432" s="85">
        <f t="shared" si="369"/>
        <v>2.96</v>
      </c>
    </row>
    <row r="5433" spans="1:5" ht="18" x14ac:dyDescent="0.35">
      <c r="A5433" s="5" t="s">
        <v>1377</v>
      </c>
      <c r="B5433" s="50" t="s">
        <v>34</v>
      </c>
      <c r="C5433" s="7"/>
      <c r="D5433" s="7">
        <v>14.61</v>
      </c>
      <c r="E5433" s="85">
        <f t="shared" si="369"/>
        <v>0</v>
      </c>
    </row>
    <row r="5434" spans="1:5" ht="18" x14ac:dyDescent="0.35">
      <c r="A5434" s="5"/>
      <c r="B5434" s="50" t="s">
        <v>35</v>
      </c>
      <c r="C5434" s="7">
        <v>4</v>
      </c>
      <c r="D5434" s="7">
        <v>2.91</v>
      </c>
      <c r="E5434" s="85">
        <f t="shared" si="369"/>
        <v>11.64</v>
      </c>
    </row>
    <row r="5435" spans="1:5" ht="18" x14ac:dyDescent="0.35">
      <c r="A5435" s="5"/>
      <c r="B5435" s="50" t="s">
        <v>36</v>
      </c>
      <c r="C5435" s="7">
        <v>4</v>
      </c>
      <c r="D5435" s="7">
        <v>0.61</v>
      </c>
      <c r="E5435" s="85">
        <f t="shared" si="369"/>
        <v>2.44</v>
      </c>
    </row>
    <row r="5436" spans="1:5" ht="18" x14ac:dyDescent="0.35">
      <c r="A5436" s="5"/>
      <c r="B5436" s="5"/>
      <c r="C5436" s="54"/>
      <c r="D5436" s="54"/>
      <c r="E5436" s="89">
        <f>SUM(E5430:E5435)</f>
        <v>91.081769999999992</v>
      </c>
    </row>
    <row r="5437" spans="1:5" ht="18" x14ac:dyDescent="0.35">
      <c r="A5437" s="5"/>
      <c r="B5437" s="5"/>
      <c r="C5437" s="54"/>
      <c r="D5437" s="54" t="s">
        <v>1116</v>
      </c>
      <c r="E5437" s="89">
        <f>E5436+E5436*30%</f>
        <v>118.40630099999998</v>
      </c>
    </row>
    <row r="5438" spans="1:5" ht="18" x14ac:dyDescent="0.35">
      <c r="A5438" s="5"/>
      <c r="B5438" s="50" t="s">
        <v>37</v>
      </c>
      <c r="C5438" s="54">
        <v>0.25</v>
      </c>
      <c r="D5438" s="54">
        <v>150</v>
      </c>
      <c r="E5438" s="85">
        <f>C5438*D5438</f>
        <v>37.5</v>
      </c>
    </row>
    <row r="5439" spans="1:5" ht="18" x14ac:dyDescent="0.35">
      <c r="A5439" s="5"/>
      <c r="B5439" s="5"/>
      <c r="C5439" s="54"/>
      <c r="D5439" s="54"/>
      <c r="E5439" s="85">
        <f>SUM(E5437:E5438)</f>
        <v>155.90630099999998</v>
      </c>
    </row>
    <row r="5441" spans="1:5" ht="21" x14ac:dyDescent="0.4">
      <c r="A5441" s="40" t="s">
        <v>1504</v>
      </c>
      <c r="B5441" s="40"/>
      <c r="C5441" s="84"/>
    </row>
    <row r="5442" spans="1:5" ht="18" x14ac:dyDescent="0.35">
      <c r="A5442" s="5" t="s">
        <v>1202</v>
      </c>
      <c r="B5442" s="5"/>
      <c r="C5442" s="7" t="s">
        <v>28</v>
      </c>
      <c r="D5442" s="7" t="s">
        <v>29</v>
      </c>
      <c r="E5442" s="7" t="s">
        <v>30</v>
      </c>
    </row>
    <row r="5443" spans="1:5" ht="18" x14ac:dyDescent="0.35">
      <c r="A5443" s="5" t="s">
        <v>38</v>
      </c>
      <c r="B5443" s="50" t="s">
        <v>32</v>
      </c>
      <c r="C5443" s="7">
        <v>0.97799999999999998</v>
      </c>
      <c r="D5443" s="7">
        <v>10.34</v>
      </c>
      <c r="E5443" s="85">
        <f t="shared" ref="E5443:E5448" si="370">C5443*D5443</f>
        <v>10.11252</v>
      </c>
    </row>
    <row r="5444" spans="1:5" ht="18" x14ac:dyDescent="0.35">
      <c r="A5444" s="5" t="s">
        <v>1505</v>
      </c>
      <c r="B5444" s="50" t="s">
        <v>33</v>
      </c>
      <c r="C5444" s="7">
        <v>1.218</v>
      </c>
      <c r="D5444" s="7">
        <v>16.170000000000002</v>
      </c>
      <c r="E5444" s="85">
        <f t="shared" si="370"/>
        <v>19.695060000000002</v>
      </c>
    </row>
    <row r="5445" spans="1:5" ht="18" x14ac:dyDescent="0.35">
      <c r="A5445" s="5" t="s">
        <v>619</v>
      </c>
      <c r="B5445" s="50" t="s">
        <v>42</v>
      </c>
      <c r="C5445" s="7">
        <v>2</v>
      </c>
      <c r="D5445" s="7">
        <v>1.1499999999999999</v>
      </c>
      <c r="E5445" s="85">
        <f t="shared" si="370"/>
        <v>2.2999999999999998</v>
      </c>
    </row>
    <row r="5446" spans="1:5" ht="18" x14ac:dyDescent="0.35">
      <c r="A5446" s="5" t="s">
        <v>1377</v>
      </c>
      <c r="B5446" s="50" t="s">
        <v>34</v>
      </c>
      <c r="C5446" s="7"/>
      <c r="D5446" s="7">
        <v>14.61</v>
      </c>
      <c r="E5446" s="85">
        <f t="shared" si="370"/>
        <v>0</v>
      </c>
    </row>
    <row r="5447" spans="1:5" ht="18" x14ac:dyDescent="0.35">
      <c r="A5447" s="5"/>
      <c r="B5447" s="50" t="s">
        <v>35</v>
      </c>
      <c r="C5447" s="7">
        <v>4</v>
      </c>
      <c r="D5447" s="7">
        <v>2.91</v>
      </c>
      <c r="E5447" s="85">
        <f t="shared" si="370"/>
        <v>11.64</v>
      </c>
    </row>
    <row r="5448" spans="1:5" ht="18" x14ac:dyDescent="0.35">
      <c r="A5448" s="5"/>
      <c r="B5448" s="50" t="s">
        <v>36</v>
      </c>
      <c r="C5448" s="7">
        <v>4</v>
      </c>
      <c r="D5448" s="7">
        <v>0.61</v>
      </c>
      <c r="E5448" s="85">
        <f t="shared" si="370"/>
        <v>2.44</v>
      </c>
    </row>
    <row r="5449" spans="1:5" ht="18" x14ac:dyDescent="0.35">
      <c r="A5449" s="5"/>
      <c r="B5449" s="5"/>
      <c r="C5449" s="54"/>
      <c r="D5449" s="54"/>
      <c r="E5449" s="89">
        <f>SUM(E5443:E5448)</f>
        <v>46.187579999999997</v>
      </c>
    </row>
    <row r="5450" spans="1:5" ht="18" x14ac:dyDescent="0.35">
      <c r="A5450" s="5"/>
      <c r="B5450" s="5"/>
      <c r="C5450" s="54"/>
      <c r="D5450" s="54" t="s">
        <v>1116</v>
      </c>
      <c r="E5450" s="89">
        <f>E5449+E5449*30%</f>
        <v>60.043853999999996</v>
      </c>
    </row>
    <row r="5451" spans="1:5" ht="18" x14ac:dyDescent="0.35">
      <c r="A5451" s="5"/>
      <c r="B5451" s="50" t="s">
        <v>37</v>
      </c>
      <c r="C5451" s="54">
        <v>0.2</v>
      </c>
      <c r="D5451" s="54">
        <v>150</v>
      </c>
      <c r="E5451" s="85">
        <f>C5451*D5451</f>
        <v>30</v>
      </c>
    </row>
    <row r="5452" spans="1:5" ht="18" x14ac:dyDescent="0.35">
      <c r="A5452" s="5"/>
      <c r="B5452" s="5"/>
      <c r="C5452" s="54"/>
      <c r="D5452" s="54"/>
      <c r="E5452" s="85">
        <f>SUM(E5450:E5451)</f>
        <v>90.043853999999996</v>
      </c>
    </row>
    <row r="5454" spans="1:5" ht="21" x14ac:dyDescent="0.4">
      <c r="A5454" s="40" t="s">
        <v>1506</v>
      </c>
      <c r="B5454" s="40"/>
      <c r="C5454" s="40"/>
      <c r="D5454" s="12"/>
      <c r="E5454" s="12"/>
    </row>
    <row r="5455" spans="1:5" ht="18" x14ac:dyDescent="0.35">
      <c r="A5455" s="5" t="s">
        <v>1471</v>
      </c>
      <c r="B5455" s="5"/>
      <c r="C5455" s="7" t="s">
        <v>28</v>
      </c>
      <c r="D5455" s="7" t="s">
        <v>29</v>
      </c>
      <c r="E5455" s="7" t="s">
        <v>30</v>
      </c>
    </row>
    <row r="5456" spans="1:5" ht="18" x14ac:dyDescent="0.35">
      <c r="A5456" s="5" t="s">
        <v>305</v>
      </c>
      <c r="B5456" s="50" t="s">
        <v>32</v>
      </c>
      <c r="C5456" s="7">
        <v>6.5229999999999997</v>
      </c>
      <c r="D5456" s="7">
        <v>10.34</v>
      </c>
      <c r="E5456" s="85">
        <f>C5456*D5456</f>
        <v>67.447819999999993</v>
      </c>
    </row>
    <row r="5457" spans="1:5" ht="18" x14ac:dyDescent="0.35">
      <c r="A5457" s="5" t="s">
        <v>219</v>
      </c>
      <c r="B5457" s="50" t="s">
        <v>33</v>
      </c>
      <c r="C5457" s="7">
        <v>3.1389999999999998</v>
      </c>
      <c r="D5457" s="7">
        <v>17.059999999999999</v>
      </c>
      <c r="E5457" s="85">
        <f>C5457*D5457</f>
        <v>53.551339999999989</v>
      </c>
    </row>
    <row r="5458" spans="1:5" ht="18" x14ac:dyDescent="0.35">
      <c r="A5458" s="5" t="s">
        <v>616</v>
      </c>
      <c r="B5458" s="50" t="s">
        <v>137</v>
      </c>
      <c r="C5458" s="7">
        <v>0.24</v>
      </c>
      <c r="D5458" s="7">
        <v>15.25</v>
      </c>
      <c r="E5458" s="85">
        <f>C5458*D5458</f>
        <v>3.6599999999999997</v>
      </c>
    </row>
    <row r="5459" spans="1:5" ht="18" x14ac:dyDescent="0.35">
      <c r="A5459" s="5"/>
      <c r="B5459" s="50" t="s">
        <v>35</v>
      </c>
      <c r="C5459" s="7">
        <v>4</v>
      </c>
      <c r="D5459" s="7">
        <v>2.91</v>
      </c>
      <c r="E5459" s="85">
        <f>C5459*D5459</f>
        <v>11.64</v>
      </c>
    </row>
    <row r="5460" spans="1:5" ht="18" x14ac:dyDescent="0.35">
      <c r="A5460" s="5"/>
      <c r="B5460" s="50" t="s">
        <v>36</v>
      </c>
      <c r="C5460" s="7">
        <v>4</v>
      </c>
      <c r="D5460" s="7">
        <v>0.61</v>
      </c>
      <c r="E5460" s="85">
        <f>C5460*D5460</f>
        <v>2.44</v>
      </c>
    </row>
    <row r="5461" spans="1:5" ht="18" x14ac:dyDescent="0.35">
      <c r="A5461" s="5"/>
      <c r="B5461" s="50"/>
      <c r="C5461" s="87"/>
      <c r="D5461" s="88"/>
      <c r="E5461" s="85">
        <f>SUM(E5456:E5460)</f>
        <v>138.73915999999997</v>
      </c>
    </row>
    <row r="5462" spans="1:5" ht="18" x14ac:dyDescent="0.35">
      <c r="A5462" s="5"/>
      <c r="B5462" s="50"/>
      <c r="C5462" s="87"/>
      <c r="D5462" s="88" t="s">
        <v>1437</v>
      </c>
      <c r="E5462" s="85">
        <f>E5461+E5461*30%</f>
        <v>180.36090799999997</v>
      </c>
    </row>
    <row r="5463" spans="1:5" ht="18" x14ac:dyDescent="0.35">
      <c r="A5463" s="5"/>
      <c r="B5463" s="50" t="s">
        <v>37</v>
      </c>
      <c r="C5463" s="54">
        <v>0.75</v>
      </c>
      <c r="D5463" s="86">
        <v>200</v>
      </c>
      <c r="E5463" s="85">
        <f>C5463*D5463</f>
        <v>150</v>
      </c>
    </row>
    <row r="5464" spans="1:5" ht="18" x14ac:dyDescent="0.35">
      <c r="A5464" s="5"/>
      <c r="B5464" s="5"/>
      <c r="C5464" s="54"/>
      <c r="D5464" s="54"/>
      <c r="E5464" s="85">
        <f>SUM(E5462:E5463)</f>
        <v>330.36090799999999</v>
      </c>
    </row>
    <row r="5466" spans="1:5" ht="21" x14ac:dyDescent="0.4">
      <c r="A5466" s="40" t="s">
        <v>1507</v>
      </c>
      <c r="B5466" s="40"/>
      <c r="C5466" s="84"/>
    </row>
    <row r="5467" spans="1:5" ht="18" x14ac:dyDescent="0.35">
      <c r="A5467" t="s">
        <v>1476</v>
      </c>
      <c r="B5467" s="5"/>
      <c r="C5467" s="7" t="s">
        <v>28</v>
      </c>
      <c r="D5467" s="7" t="s">
        <v>29</v>
      </c>
      <c r="E5467" s="7" t="s">
        <v>30</v>
      </c>
    </row>
    <row r="5468" spans="1:5" ht="18" x14ac:dyDescent="0.35">
      <c r="A5468" s="5" t="s">
        <v>66</v>
      </c>
      <c r="B5468" s="50" t="s">
        <v>32</v>
      </c>
      <c r="C5468" s="7">
        <v>1.5029999999999999</v>
      </c>
      <c r="D5468" s="7">
        <v>14.93</v>
      </c>
      <c r="E5468" s="85">
        <f t="shared" ref="E5468:E5475" si="371">C5468*D5468</f>
        <v>22.439789999999999</v>
      </c>
    </row>
    <row r="5469" spans="1:5" ht="18" x14ac:dyDescent="0.35">
      <c r="A5469" s="5" t="s">
        <v>143</v>
      </c>
      <c r="B5469" s="50" t="s">
        <v>33</v>
      </c>
      <c r="C5469" s="7">
        <v>3.0870000000000002</v>
      </c>
      <c r="D5469" s="7">
        <v>16.170000000000002</v>
      </c>
      <c r="E5469" s="85">
        <f t="shared" si="371"/>
        <v>49.916790000000006</v>
      </c>
    </row>
    <row r="5470" spans="1:5" ht="18" x14ac:dyDescent="0.35">
      <c r="A5470" s="5" t="s">
        <v>55</v>
      </c>
      <c r="B5470" s="50" t="s">
        <v>33</v>
      </c>
      <c r="C5470" s="7">
        <v>3.528</v>
      </c>
      <c r="D5470" s="7">
        <v>16.170000000000002</v>
      </c>
      <c r="E5470" s="85">
        <f t="shared" si="371"/>
        <v>57.047760000000004</v>
      </c>
    </row>
    <row r="5471" spans="1:5" ht="18" x14ac:dyDescent="0.35">
      <c r="A5471" s="5" t="s">
        <v>1124</v>
      </c>
      <c r="B5471" s="50" t="s">
        <v>84</v>
      </c>
      <c r="C5471" s="7">
        <v>2</v>
      </c>
      <c r="D5471" s="7">
        <v>1.6</v>
      </c>
      <c r="E5471" s="85">
        <f t="shared" si="371"/>
        <v>3.2</v>
      </c>
    </row>
    <row r="5472" spans="1:5" ht="18" x14ac:dyDescent="0.35">
      <c r="A5472" s="5"/>
      <c r="B5472" s="50" t="s">
        <v>113</v>
      </c>
      <c r="C5472" s="7">
        <v>2</v>
      </c>
      <c r="D5472" s="7">
        <v>2.2400000000000002</v>
      </c>
      <c r="E5472" s="85">
        <f t="shared" si="371"/>
        <v>4.4800000000000004</v>
      </c>
    </row>
    <row r="5473" spans="1:5" ht="18" x14ac:dyDescent="0.35">
      <c r="A5473" s="5"/>
      <c r="B5473" s="50" t="s">
        <v>34</v>
      </c>
      <c r="C5473" s="7"/>
      <c r="D5473" s="7">
        <v>14.61</v>
      </c>
      <c r="E5473" s="85">
        <f t="shared" si="371"/>
        <v>0</v>
      </c>
    </row>
    <row r="5474" spans="1:5" ht="18" x14ac:dyDescent="0.35">
      <c r="A5474" s="5"/>
      <c r="B5474" s="50" t="s">
        <v>35</v>
      </c>
      <c r="C5474" s="7">
        <v>4</v>
      </c>
      <c r="D5474" s="7">
        <v>2.91</v>
      </c>
      <c r="E5474" s="85">
        <f t="shared" si="371"/>
        <v>11.64</v>
      </c>
    </row>
    <row r="5475" spans="1:5" ht="18" x14ac:dyDescent="0.35">
      <c r="A5475" s="5"/>
      <c r="B5475" s="50" t="s">
        <v>36</v>
      </c>
      <c r="C5475" s="7">
        <v>4</v>
      </c>
      <c r="D5475" s="7">
        <v>0.61</v>
      </c>
      <c r="E5475" s="85">
        <f t="shared" si="371"/>
        <v>2.44</v>
      </c>
    </row>
    <row r="5476" spans="1:5" ht="18" x14ac:dyDescent="0.35">
      <c r="A5476" s="5"/>
      <c r="B5476" s="5"/>
      <c r="C5476" s="54"/>
      <c r="D5476" s="54"/>
      <c r="E5476" s="89">
        <f>SUM(E5468:E5475)</f>
        <v>151.16433999999998</v>
      </c>
    </row>
    <row r="5477" spans="1:5" ht="18" x14ac:dyDescent="0.35">
      <c r="A5477" s="5"/>
      <c r="B5477" s="5"/>
      <c r="C5477" s="54"/>
      <c r="D5477" s="54" t="s">
        <v>1116</v>
      </c>
      <c r="E5477" s="89">
        <f>E5476+E5476*40%</f>
        <v>211.63007599999997</v>
      </c>
    </row>
    <row r="5478" spans="1:5" ht="18" x14ac:dyDescent="0.35">
      <c r="A5478" s="5"/>
      <c r="B5478" s="50" t="s">
        <v>37</v>
      </c>
      <c r="C5478" s="54">
        <v>0.5</v>
      </c>
      <c r="D5478" s="54">
        <v>200</v>
      </c>
      <c r="E5478" s="85">
        <f>C5478*D5478</f>
        <v>100</v>
      </c>
    </row>
    <row r="5479" spans="1:5" ht="18" x14ac:dyDescent="0.35">
      <c r="A5479" s="5"/>
      <c r="B5479" s="5"/>
      <c r="C5479" s="54"/>
      <c r="D5479" s="54"/>
      <c r="E5479" s="85">
        <f>SUM(E5477:E5478)</f>
        <v>311.63007599999997</v>
      </c>
    </row>
    <row r="5480" spans="1:5" ht="21" x14ac:dyDescent="0.4">
      <c r="A5480" s="40" t="s">
        <v>1508</v>
      </c>
      <c r="B5480" s="40"/>
      <c r="C5480" s="84"/>
    </row>
    <row r="5481" spans="1:5" ht="18" x14ac:dyDescent="0.35">
      <c r="A5481" t="s">
        <v>1509</v>
      </c>
      <c r="B5481" s="5"/>
      <c r="C5481" s="7" t="s">
        <v>28</v>
      </c>
      <c r="D5481" s="7" t="s">
        <v>29</v>
      </c>
      <c r="E5481" s="7" t="s">
        <v>30</v>
      </c>
    </row>
    <row r="5482" spans="1:5" ht="18" x14ac:dyDescent="0.35">
      <c r="A5482" s="5" t="s">
        <v>105</v>
      </c>
      <c r="B5482" s="50" t="s">
        <v>32</v>
      </c>
      <c r="C5482" s="7">
        <v>2.028</v>
      </c>
      <c r="D5482" s="7">
        <v>14.93</v>
      </c>
      <c r="E5482" s="85">
        <f t="shared" ref="E5482:E5489" si="372">C5482*D5482</f>
        <v>30.278040000000001</v>
      </c>
    </row>
    <row r="5483" spans="1:5" ht="18" x14ac:dyDescent="0.35">
      <c r="A5483" s="5" t="s">
        <v>1356</v>
      </c>
      <c r="B5483" s="50" t="s">
        <v>33</v>
      </c>
      <c r="C5483" s="7">
        <v>8.673</v>
      </c>
      <c r="D5483" s="7">
        <v>16.170000000000002</v>
      </c>
      <c r="E5483" s="85">
        <f t="shared" si="372"/>
        <v>140.24241000000001</v>
      </c>
    </row>
    <row r="5484" spans="1:5" ht="18" x14ac:dyDescent="0.35">
      <c r="A5484" s="5" t="s">
        <v>56</v>
      </c>
      <c r="B5484" s="50" t="s">
        <v>33</v>
      </c>
      <c r="C5484" s="7">
        <v>8.83</v>
      </c>
      <c r="D5484" s="7">
        <v>16.170000000000002</v>
      </c>
      <c r="E5484" s="85">
        <f t="shared" si="372"/>
        <v>142.78110000000001</v>
      </c>
    </row>
    <row r="5485" spans="1:5" ht="18" x14ac:dyDescent="0.35">
      <c r="A5485" s="5" t="s">
        <v>427</v>
      </c>
      <c r="B5485" s="50" t="s">
        <v>86</v>
      </c>
      <c r="C5485" s="7">
        <v>2</v>
      </c>
      <c r="D5485" s="7">
        <v>1.7</v>
      </c>
      <c r="E5485" s="85">
        <f t="shared" si="372"/>
        <v>3.4</v>
      </c>
    </row>
    <row r="5486" spans="1:5" ht="18" x14ac:dyDescent="0.35">
      <c r="A5486" s="5"/>
      <c r="B5486" s="50" t="s">
        <v>98</v>
      </c>
      <c r="C5486" s="7">
        <v>2</v>
      </c>
      <c r="D5486" s="7">
        <v>3.4</v>
      </c>
      <c r="E5486" s="85">
        <f t="shared" si="372"/>
        <v>6.8</v>
      </c>
    </row>
    <row r="5487" spans="1:5" ht="18" x14ac:dyDescent="0.35">
      <c r="A5487" s="5"/>
      <c r="B5487" s="50" t="s">
        <v>34</v>
      </c>
      <c r="C5487" s="7">
        <v>0.32</v>
      </c>
      <c r="D5487" s="7">
        <v>14.61</v>
      </c>
      <c r="E5487" s="85">
        <f t="shared" si="372"/>
        <v>4.6752000000000002</v>
      </c>
    </row>
    <row r="5488" spans="1:5" ht="18" x14ac:dyDescent="0.35">
      <c r="A5488" s="5"/>
      <c r="B5488" s="50" t="s">
        <v>35</v>
      </c>
      <c r="C5488" s="7">
        <v>4</v>
      </c>
      <c r="D5488" s="7">
        <v>2.91</v>
      </c>
      <c r="E5488" s="85">
        <f t="shared" si="372"/>
        <v>11.64</v>
      </c>
    </row>
    <row r="5489" spans="1:5" ht="18" x14ac:dyDescent="0.35">
      <c r="A5489" s="5"/>
      <c r="B5489" s="50" t="s">
        <v>36</v>
      </c>
      <c r="C5489" s="7">
        <v>4</v>
      </c>
      <c r="D5489" s="7">
        <v>0.61</v>
      </c>
      <c r="E5489" s="85">
        <f t="shared" si="372"/>
        <v>2.44</v>
      </c>
    </row>
    <row r="5490" spans="1:5" ht="18" x14ac:dyDescent="0.35">
      <c r="A5490" s="5"/>
      <c r="B5490" s="5"/>
      <c r="C5490" s="54"/>
      <c r="D5490" s="54"/>
      <c r="E5490" s="89">
        <f>SUM(E5482:E5489)</f>
        <v>342.25675000000001</v>
      </c>
    </row>
    <row r="5491" spans="1:5" ht="18" x14ac:dyDescent="0.35">
      <c r="A5491" s="5"/>
      <c r="B5491" s="5"/>
      <c r="C5491" s="54"/>
      <c r="D5491" s="54" t="s">
        <v>1116</v>
      </c>
      <c r="E5491" s="89">
        <f>E5490+E5490*30%</f>
        <v>444.93377500000003</v>
      </c>
    </row>
    <row r="5492" spans="1:5" ht="18" x14ac:dyDescent="0.35">
      <c r="A5492" s="5"/>
      <c r="B5492" s="50" t="s">
        <v>37</v>
      </c>
      <c r="C5492" s="54">
        <v>0.75</v>
      </c>
      <c r="D5492" s="54">
        <v>200</v>
      </c>
      <c r="E5492" s="85">
        <f>C5492*D5492</f>
        <v>150</v>
      </c>
    </row>
    <row r="5493" spans="1:5" ht="18" x14ac:dyDescent="0.35">
      <c r="A5493" s="5"/>
      <c r="B5493" s="5"/>
      <c r="C5493" s="54"/>
      <c r="D5493" s="54"/>
      <c r="E5493" s="85">
        <f>SUM(E5491:E5492)</f>
        <v>594.93377499999997</v>
      </c>
    </row>
    <row r="5496" spans="1:5" ht="21" x14ac:dyDescent="0.4">
      <c r="A5496" s="40" t="s">
        <v>1504</v>
      </c>
      <c r="B5496" s="40"/>
      <c r="C5496" s="84"/>
    </row>
    <row r="5497" spans="1:5" ht="18" x14ac:dyDescent="0.35">
      <c r="A5497" s="5" t="s">
        <v>1365</v>
      </c>
      <c r="B5497" s="5"/>
      <c r="C5497" s="7" t="s">
        <v>28</v>
      </c>
      <c r="D5497" s="7" t="s">
        <v>29</v>
      </c>
      <c r="E5497" s="7" t="s">
        <v>30</v>
      </c>
    </row>
    <row r="5498" spans="1:5" ht="18" x14ac:dyDescent="0.35">
      <c r="A5498" s="5" t="s">
        <v>105</v>
      </c>
      <c r="B5498" s="50" t="s">
        <v>32</v>
      </c>
      <c r="C5498" s="7">
        <v>2.028</v>
      </c>
      <c r="D5498" s="7">
        <v>10.34</v>
      </c>
      <c r="E5498" s="85">
        <f t="shared" ref="E5498:E5503" si="373">C5498*D5498</f>
        <v>20.969519999999999</v>
      </c>
    </row>
    <row r="5499" spans="1:5" ht="18" x14ac:dyDescent="0.35">
      <c r="A5499" s="5" t="s">
        <v>1510</v>
      </c>
      <c r="B5499" s="50" t="s">
        <v>33</v>
      </c>
      <c r="C5499" s="7">
        <v>8.673</v>
      </c>
      <c r="D5499" s="7">
        <v>16.170000000000002</v>
      </c>
      <c r="E5499" s="85">
        <f t="shared" si="373"/>
        <v>140.24241000000001</v>
      </c>
    </row>
    <row r="5500" spans="1:5" ht="18" x14ac:dyDescent="0.35">
      <c r="A5500" s="5" t="s">
        <v>427</v>
      </c>
      <c r="B5500" s="50" t="s">
        <v>86</v>
      </c>
      <c r="C5500" s="7">
        <v>2</v>
      </c>
      <c r="D5500" s="7">
        <v>1.7</v>
      </c>
      <c r="E5500" s="85">
        <f t="shared" si="373"/>
        <v>3.4</v>
      </c>
    </row>
    <row r="5501" spans="1:5" ht="18" x14ac:dyDescent="0.35">
      <c r="A5501" s="5" t="s">
        <v>1377</v>
      </c>
      <c r="B5501" s="50" t="s">
        <v>34</v>
      </c>
      <c r="C5501" s="7">
        <v>0.32</v>
      </c>
      <c r="D5501" s="7">
        <v>14.61</v>
      </c>
      <c r="E5501" s="85">
        <f t="shared" si="373"/>
        <v>4.6752000000000002</v>
      </c>
    </row>
    <row r="5502" spans="1:5" ht="18" x14ac:dyDescent="0.35">
      <c r="A5502" s="5"/>
      <c r="B5502" s="50" t="s">
        <v>35</v>
      </c>
      <c r="C5502" s="7">
        <v>4</v>
      </c>
      <c r="D5502" s="7">
        <v>2.91</v>
      </c>
      <c r="E5502" s="85">
        <f t="shared" si="373"/>
        <v>11.64</v>
      </c>
    </row>
    <row r="5503" spans="1:5" ht="18" x14ac:dyDescent="0.35">
      <c r="A5503" s="5"/>
      <c r="B5503" s="50" t="s">
        <v>36</v>
      </c>
      <c r="C5503" s="7">
        <v>4</v>
      </c>
      <c r="D5503" s="7">
        <v>0.61</v>
      </c>
      <c r="E5503" s="85">
        <f t="shared" si="373"/>
        <v>2.44</v>
      </c>
    </row>
    <row r="5504" spans="1:5" ht="18" x14ac:dyDescent="0.35">
      <c r="A5504" s="5"/>
      <c r="B5504" s="5"/>
      <c r="C5504" s="54"/>
      <c r="D5504" s="54"/>
      <c r="E5504" s="89">
        <f>SUM(E5498:E5503)</f>
        <v>183.36712999999997</v>
      </c>
    </row>
    <row r="5505" spans="1:5" ht="18" x14ac:dyDescent="0.35">
      <c r="A5505" s="5"/>
      <c r="B5505" s="5"/>
      <c r="C5505" s="54"/>
      <c r="D5505" s="54" t="s">
        <v>1116</v>
      </c>
      <c r="E5505" s="89">
        <f>E5504+E5504*30%</f>
        <v>238.37726899999996</v>
      </c>
    </row>
    <row r="5506" spans="1:5" ht="18" x14ac:dyDescent="0.35">
      <c r="A5506" s="5"/>
      <c r="B5506" s="50" t="s">
        <v>37</v>
      </c>
      <c r="C5506" s="54">
        <v>0.3</v>
      </c>
      <c r="D5506" s="54">
        <v>150</v>
      </c>
      <c r="E5506" s="85">
        <f>C5506*D5506</f>
        <v>45</v>
      </c>
    </row>
    <row r="5507" spans="1:5" ht="18" x14ac:dyDescent="0.35">
      <c r="A5507" s="5"/>
      <c r="B5507" s="5"/>
      <c r="C5507" s="54"/>
      <c r="D5507" s="54"/>
      <c r="E5507" s="85">
        <f>SUM(E5505:E5506)</f>
        <v>283.37726899999996</v>
      </c>
    </row>
    <row r="5509" spans="1:5" ht="21" x14ac:dyDescent="0.4">
      <c r="A5509" s="40" t="s">
        <v>1504</v>
      </c>
      <c r="B5509" s="40"/>
      <c r="C5509" s="84"/>
    </row>
    <row r="5510" spans="1:5" ht="18" x14ac:dyDescent="0.35">
      <c r="A5510" s="5" t="s">
        <v>1365</v>
      </c>
      <c r="B5510" s="5"/>
      <c r="C5510" s="7" t="s">
        <v>28</v>
      </c>
      <c r="D5510" s="7" t="s">
        <v>29</v>
      </c>
      <c r="E5510" s="7" t="s">
        <v>30</v>
      </c>
    </row>
    <row r="5511" spans="1:5" ht="18" x14ac:dyDescent="0.35">
      <c r="A5511" s="5" t="s">
        <v>105</v>
      </c>
      <c r="B5511" s="50" t="s">
        <v>32</v>
      </c>
      <c r="C5511" s="7">
        <v>2.028</v>
      </c>
      <c r="D5511" s="7">
        <v>10.34</v>
      </c>
      <c r="E5511" s="85">
        <f t="shared" ref="E5511:E5516" si="374">C5511*D5511</f>
        <v>20.969519999999999</v>
      </c>
    </row>
    <row r="5512" spans="1:5" ht="18" x14ac:dyDescent="0.35">
      <c r="A5512" s="5" t="s">
        <v>1510</v>
      </c>
      <c r="B5512" s="50" t="s">
        <v>33</v>
      </c>
      <c r="C5512" s="7">
        <v>8.673</v>
      </c>
      <c r="D5512" s="7">
        <v>16.170000000000002</v>
      </c>
      <c r="E5512" s="85">
        <f t="shared" si="374"/>
        <v>140.24241000000001</v>
      </c>
    </row>
    <row r="5513" spans="1:5" ht="18" x14ac:dyDescent="0.35">
      <c r="A5513" s="5" t="s">
        <v>427</v>
      </c>
      <c r="B5513" s="50" t="s">
        <v>86</v>
      </c>
      <c r="C5513" s="7">
        <v>2</v>
      </c>
      <c r="D5513" s="7">
        <v>1.7</v>
      </c>
      <c r="E5513" s="85">
        <f t="shared" si="374"/>
        <v>3.4</v>
      </c>
    </row>
    <row r="5514" spans="1:5" ht="18" x14ac:dyDescent="0.35">
      <c r="A5514" s="5" t="s">
        <v>1377</v>
      </c>
      <c r="B5514" s="50" t="s">
        <v>34</v>
      </c>
      <c r="C5514" s="7">
        <v>0.32</v>
      </c>
      <c r="D5514" s="7">
        <v>14.61</v>
      </c>
      <c r="E5514" s="85">
        <f t="shared" si="374"/>
        <v>4.6752000000000002</v>
      </c>
    </row>
    <row r="5515" spans="1:5" ht="18" x14ac:dyDescent="0.35">
      <c r="A5515" s="5"/>
      <c r="B5515" s="50" t="s">
        <v>35</v>
      </c>
      <c r="C5515" s="7">
        <v>4</v>
      </c>
      <c r="D5515" s="7">
        <v>2.91</v>
      </c>
      <c r="E5515" s="85">
        <f t="shared" si="374"/>
        <v>11.64</v>
      </c>
    </row>
    <row r="5516" spans="1:5" ht="18" x14ac:dyDescent="0.35">
      <c r="A5516" s="5"/>
      <c r="B5516" s="50" t="s">
        <v>36</v>
      </c>
      <c r="C5516" s="7">
        <v>4</v>
      </c>
      <c r="D5516" s="7">
        <v>0.61</v>
      </c>
      <c r="E5516" s="85">
        <f t="shared" si="374"/>
        <v>2.44</v>
      </c>
    </row>
    <row r="5517" spans="1:5" ht="18" x14ac:dyDescent="0.35">
      <c r="A5517" s="5"/>
      <c r="B5517" s="5"/>
      <c r="C5517" s="54"/>
      <c r="D5517" s="54"/>
      <c r="E5517" s="89">
        <f>SUM(E5511:E5516)</f>
        <v>183.36712999999997</v>
      </c>
    </row>
    <row r="5518" spans="1:5" ht="18" x14ac:dyDescent="0.35">
      <c r="A5518" s="5"/>
      <c r="B5518" s="5"/>
      <c r="C5518" s="54"/>
      <c r="D5518" s="54" t="s">
        <v>1116</v>
      </c>
      <c r="E5518" s="89">
        <f>E5517+E5517*30%</f>
        <v>238.37726899999996</v>
      </c>
    </row>
    <row r="5519" spans="1:5" ht="18" x14ac:dyDescent="0.35">
      <c r="A5519" s="5"/>
      <c r="B5519" s="50" t="s">
        <v>37</v>
      </c>
      <c r="C5519" s="54">
        <v>0.3</v>
      </c>
      <c r="D5519" s="54">
        <v>150</v>
      </c>
      <c r="E5519" s="85">
        <f>C5519*D5519</f>
        <v>45</v>
      </c>
    </row>
    <row r="5520" spans="1:5" ht="18" x14ac:dyDescent="0.35">
      <c r="A5520" s="5"/>
      <c r="B5520" s="5"/>
      <c r="C5520" s="54"/>
      <c r="D5520" s="54"/>
      <c r="E5520" s="85">
        <f>SUM(E5518:E5519)</f>
        <v>283.37726899999996</v>
      </c>
    </row>
    <row r="5522" spans="1:5" ht="21" x14ac:dyDescent="0.4">
      <c r="A5522" s="40" t="s">
        <v>1515</v>
      </c>
      <c r="B5522" s="40"/>
      <c r="C5522" s="84"/>
    </row>
    <row r="5523" spans="1:5" ht="18" x14ac:dyDescent="0.35">
      <c r="A5523" s="5" t="s">
        <v>1512</v>
      </c>
      <c r="B5523" s="5"/>
      <c r="C5523" s="7" t="s">
        <v>28</v>
      </c>
      <c r="D5523" s="7" t="s">
        <v>29</v>
      </c>
      <c r="E5523" s="7" t="s">
        <v>30</v>
      </c>
    </row>
    <row r="5524" spans="1:5" ht="18" x14ac:dyDescent="0.35">
      <c r="A5524" s="5" t="s">
        <v>1513</v>
      </c>
      <c r="B5524" s="50" t="s">
        <v>32</v>
      </c>
      <c r="C5524" s="7">
        <v>7.2779999999999996</v>
      </c>
      <c r="D5524" s="7">
        <v>11.37</v>
      </c>
      <c r="E5524" s="85">
        <f t="shared" ref="E5524:E5529" si="375">C5524*D5524</f>
        <v>82.750859999999989</v>
      </c>
    </row>
    <row r="5525" spans="1:5" ht="18" x14ac:dyDescent="0.35">
      <c r="A5525" s="5" t="s">
        <v>824</v>
      </c>
      <c r="B5525" s="50" t="s">
        <v>33</v>
      </c>
      <c r="C5525" s="7">
        <v>59.65</v>
      </c>
      <c r="D5525" s="7">
        <v>14.94</v>
      </c>
      <c r="E5525" s="85">
        <f t="shared" si="375"/>
        <v>891.17099999999994</v>
      </c>
    </row>
    <row r="5526" spans="1:5" ht="18" x14ac:dyDescent="0.35">
      <c r="A5526" s="5" t="s">
        <v>1514</v>
      </c>
      <c r="B5526" s="50" t="s">
        <v>87</v>
      </c>
      <c r="C5526" s="7">
        <v>2</v>
      </c>
      <c r="D5526" s="7">
        <v>1.81</v>
      </c>
      <c r="E5526" s="85">
        <f t="shared" si="375"/>
        <v>3.62</v>
      </c>
    </row>
    <row r="5527" spans="1:5" ht="18" x14ac:dyDescent="0.35">
      <c r="A5527" s="5"/>
      <c r="B5527" s="50" t="s">
        <v>34</v>
      </c>
      <c r="C5527" s="7">
        <v>2.4</v>
      </c>
      <c r="D5527" s="7">
        <v>14.61</v>
      </c>
      <c r="E5527" s="85">
        <f t="shared" si="375"/>
        <v>35.064</v>
      </c>
    </row>
    <row r="5528" spans="1:5" ht="18" x14ac:dyDescent="0.35">
      <c r="A5528" s="5"/>
      <c r="B5528" s="50" t="s">
        <v>35</v>
      </c>
      <c r="C5528" s="7">
        <v>4</v>
      </c>
      <c r="D5528" s="7">
        <v>2.91</v>
      </c>
      <c r="E5528" s="85">
        <f t="shared" si="375"/>
        <v>11.64</v>
      </c>
    </row>
    <row r="5529" spans="1:5" ht="18" x14ac:dyDescent="0.35">
      <c r="A5529" s="5"/>
      <c r="B5529" s="50" t="s">
        <v>36</v>
      </c>
      <c r="C5529" s="7">
        <v>4</v>
      </c>
      <c r="D5529" s="7">
        <v>0.61</v>
      </c>
      <c r="E5529" s="85">
        <f t="shared" si="375"/>
        <v>2.44</v>
      </c>
    </row>
    <row r="5530" spans="1:5" ht="18" x14ac:dyDescent="0.35">
      <c r="A5530" s="5"/>
      <c r="B5530" s="5"/>
      <c r="C5530" s="54"/>
      <c r="D5530" s="54"/>
      <c r="E5530" s="89">
        <f>SUM(E5524:E5529)</f>
        <v>1026.68586</v>
      </c>
    </row>
    <row r="5531" spans="1:5" ht="18" x14ac:dyDescent="0.35">
      <c r="A5531" s="5"/>
      <c r="B5531" s="5"/>
      <c r="C5531" s="54"/>
      <c r="D5531" s="54" t="s">
        <v>1063</v>
      </c>
      <c r="E5531" s="89">
        <f>E5530+E5530*40%</f>
        <v>1437.3602040000001</v>
      </c>
    </row>
    <row r="5532" spans="1:5" ht="18" x14ac:dyDescent="0.35">
      <c r="A5532" s="5"/>
      <c r="B5532" s="50" t="s">
        <v>37</v>
      </c>
      <c r="C5532" s="54">
        <v>2</v>
      </c>
      <c r="D5532" s="54">
        <v>200</v>
      </c>
      <c r="E5532" s="85">
        <f>C5532*D5532</f>
        <v>400</v>
      </c>
    </row>
    <row r="5533" spans="1:5" ht="18" x14ac:dyDescent="0.35">
      <c r="A5533" s="5"/>
      <c r="B5533" s="5"/>
      <c r="C5533" s="54"/>
      <c r="D5533" s="54"/>
      <c r="E5533" s="85">
        <f>SUM(E5531:E5532)</f>
        <v>1837.3602040000001</v>
      </c>
    </row>
    <row r="5535" spans="1:5" ht="21" x14ac:dyDescent="0.4">
      <c r="A5535" s="40" t="s">
        <v>1516</v>
      </c>
      <c r="B5535" s="40"/>
      <c r="C5535" s="84"/>
    </row>
    <row r="5536" spans="1:5" ht="18" x14ac:dyDescent="0.35">
      <c r="A5536" s="5" t="s">
        <v>1512</v>
      </c>
      <c r="B5536" s="5"/>
      <c r="C5536" s="7" t="s">
        <v>28</v>
      </c>
      <c r="D5536" s="7" t="s">
        <v>29</v>
      </c>
      <c r="E5536" s="7" t="s">
        <v>30</v>
      </c>
    </row>
    <row r="5537" spans="1:5" ht="18" x14ac:dyDescent="0.35">
      <c r="A5537" s="5" t="s">
        <v>1517</v>
      </c>
      <c r="B5537" s="50" t="s">
        <v>32</v>
      </c>
      <c r="C5537" s="7">
        <v>6.0179999999999998</v>
      </c>
      <c r="D5537" s="7">
        <v>11.37</v>
      </c>
      <c r="E5537" s="85">
        <f t="shared" ref="E5537:E5542" si="376">C5537*D5537</f>
        <v>68.424659999999989</v>
      </c>
    </row>
    <row r="5538" spans="1:5" ht="18" x14ac:dyDescent="0.35">
      <c r="A5538" s="5" t="s">
        <v>1356</v>
      </c>
      <c r="B5538" s="50" t="s">
        <v>33</v>
      </c>
      <c r="C5538" s="7">
        <v>36.603000000000002</v>
      </c>
      <c r="D5538" s="7">
        <v>14.94</v>
      </c>
      <c r="E5538" s="85">
        <f t="shared" si="376"/>
        <v>546.84882000000005</v>
      </c>
    </row>
    <row r="5539" spans="1:5" ht="18" x14ac:dyDescent="0.35">
      <c r="A5539" s="5" t="s">
        <v>1520</v>
      </c>
      <c r="B5539" s="50" t="s">
        <v>86</v>
      </c>
      <c r="C5539" s="7">
        <v>2</v>
      </c>
      <c r="D5539" s="7">
        <v>1.71</v>
      </c>
      <c r="E5539" s="85">
        <f t="shared" si="376"/>
        <v>3.42</v>
      </c>
    </row>
    <row r="5540" spans="1:5" ht="18" x14ac:dyDescent="0.35">
      <c r="A5540" s="5"/>
      <c r="B5540" s="50" t="s">
        <v>34</v>
      </c>
      <c r="C5540" s="7">
        <v>1.8</v>
      </c>
      <c r="D5540" s="7">
        <v>14.61</v>
      </c>
      <c r="E5540" s="85">
        <f t="shared" si="376"/>
        <v>26.297999999999998</v>
      </c>
    </row>
    <row r="5541" spans="1:5" ht="18" x14ac:dyDescent="0.35">
      <c r="A5541" s="5"/>
      <c r="B5541" s="50" t="s">
        <v>35</v>
      </c>
      <c r="C5541" s="7">
        <v>4</v>
      </c>
      <c r="D5541" s="7">
        <v>2.91</v>
      </c>
      <c r="E5541" s="85">
        <f t="shared" si="376"/>
        <v>11.64</v>
      </c>
    </row>
    <row r="5542" spans="1:5" ht="18" x14ac:dyDescent="0.35">
      <c r="A5542" s="5"/>
      <c r="B5542" s="50" t="s">
        <v>36</v>
      </c>
      <c r="C5542" s="7">
        <v>4</v>
      </c>
      <c r="D5542" s="7">
        <v>0.61</v>
      </c>
      <c r="E5542" s="85">
        <f t="shared" si="376"/>
        <v>2.44</v>
      </c>
    </row>
    <row r="5543" spans="1:5" ht="18" x14ac:dyDescent="0.35">
      <c r="A5543" s="5"/>
      <c r="B5543" s="5"/>
      <c r="C5543" s="54"/>
      <c r="D5543" s="54"/>
      <c r="E5543" s="89">
        <f>SUM(E5537:E5542)</f>
        <v>659.07148000000007</v>
      </c>
    </row>
    <row r="5544" spans="1:5" ht="18" x14ac:dyDescent="0.35">
      <c r="A5544" s="5"/>
      <c r="B5544" s="5"/>
      <c r="C5544" s="54"/>
      <c r="D5544" s="54" t="s">
        <v>1063</v>
      </c>
      <c r="E5544" s="89">
        <f>E5543+E5543*40%</f>
        <v>922.70007200000009</v>
      </c>
    </row>
    <row r="5545" spans="1:5" ht="18" x14ac:dyDescent="0.35">
      <c r="A5545" s="5"/>
      <c r="B5545" s="50" t="s">
        <v>37</v>
      </c>
      <c r="C5545" s="54">
        <v>2</v>
      </c>
      <c r="D5545" s="54">
        <v>200</v>
      </c>
      <c r="E5545" s="85">
        <f>C5545*D5545</f>
        <v>400</v>
      </c>
    </row>
    <row r="5546" spans="1:5" ht="18" x14ac:dyDescent="0.35">
      <c r="A5546" s="5"/>
      <c r="B5546" s="5"/>
      <c r="C5546" s="54"/>
      <c r="D5546" s="54"/>
      <c r="E5546" s="85">
        <f>SUM(E5544:E5545)</f>
        <v>1322.7000720000001</v>
      </c>
    </row>
    <row r="5548" spans="1:5" ht="21" x14ac:dyDescent="0.4">
      <c r="A5548" s="40" t="s">
        <v>1518</v>
      </c>
      <c r="B5548" s="40"/>
      <c r="C5548" s="84"/>
    </row>
    <row r="5549" spans="1:5" ht="18" x14ac:dyDescent="0.35">
      <c r="A5549" s="5" t="s">
        <v>1512</v>
      </c>
      <c r="B5549" s="5"/>
      <c r="C5549" s="7" t="s">
        <v>28</v>
      </c>
      <c r="D5549" s="7" t="s">
        <v>29</v>
      </c>
      <c r="E5549" s="7" t="s">
        <v>30</v>
      </c>
    </row>
    <row r="5550" spans="1:5" ht="18" x14ac:dyDescent="0.35">
      <c r="A5550" s="5" t="s">
        <v>1519</v>
      </c>
      <c r="B5550" s="50" t="s">
        <v>32</v>
      </c>
      <c r="C5550" s="7">
        <v>5.9130000000000003</v>
      </c>
      <c r="D5550" s="7">
        <v>11.37</v>
      </c>
      <c r="E5550" s="85">
        <f t="shared" ref="E5550:E5555" si="377">C5550*D5550</f>
        <v>67.230810000000005</v>
      </c>
    </row>
    <row r="5551" spans="1:5" ht="18" x14ac:dyDescent="0.35">
      <c r="A5551" s="5" t="s">
        <v>1356</v>
      </c>
      <c r="B5551" s="50" t="s">
        <v>33</v>
      </c>
      <c r="C5551" s="7">
        <v>35.868000000000002</v>
      </c>
      <c r="D5551" s="7">
        <v>14.94</v>
      </c>
      <c r="E5551" s="85">
        <f t="shared" si="377"/>
        <v>535.86792000000003</v>
      </c>
    </row>
    <row r="5552" spans="1:5" ht="18" x14ac:dyDescent="0.35">
      <c r="A5552" s="5" t="s">
        <v>1521</v>
      </c>
      <c r="B5552" s="50" t="s">
        <v>86</v>
      </c>
      <c r="C5552" s="7">
        <v>2</v>
      </c>
      <c r="D5552" s="7">
        <v>1.71</v>
      </c>
      <c r="E5552" s="85">
        <f t="shared" si="377"/>
        <v>3.42</v>
      </c>
    </row>
    <row r="5553" spans="1:5" ht="18" x14ac:dyDescent="0.35">
      <c r="A5553" s="5"/>
      <c r="B5553" s="50" t="s">
        <v>34</v>
      </c>
      <c r="C5553" s="7">
        <v>1.8</v>
      </c>
      <c r="D5553" s="7">
        <v>14.61</v>
      </c>
      <c r="E5553" s="85">
        <f t="shared" si="377"/>
        <v>26.297999999999998</v>
      </c>
    </row>
    <row r="5554" spans="1:5" ht="18" x14ac:dyDescent="0.35">
      <c r="A5554" s="5"/>
      <c r="B5554" s="50" t="s">
        <v>35</v>
      </c>
      <c r="C5554" s="7">
        <v>4</v>
      </c>
      <c r="D5554" s="7">
        <v>2.91</v>
      </c>
      <c r="E5554" s="85">
        <f t="shared" si="377"/>
        <v>11.64</v>
      </c>
    </row>
    <row r="5555" spans="1:5" ht="18" x14ac:dyDescent="0.35">
      <c r="A5555" s="5"/>
      <c r="B5555" s="50" t="s">
        <v>36</v>
      </c>
      <c r="C5555" s="7">
        <v>4</v>
      </c>
      <c r="D5555" s="7">
        <v>0.61</v>
      </c>
      <c r="E5555" s="85">
        <f t="shared" si="377"/>
        <v>2.44</v>
      </c>
    </row>
    <row r="5556" spans="1:5" ht="18" x14ac:dyDescent="0.35">
      <c r="A5556" s="5"/>
      <c r="B5556" s="5"/>
      <c r="C5556" s="54"/>
      <c r="D5556" s="54"/>
      <c r="E5556" s="89">
        <f>SUM(E5550:E5555)</f>
        <v>646.89673000000005</v>
      </c>
    </row>
    <row r="5557" spans="1:5" ht="18" x14ac:dyDescent="0.35">
      <c r="A5557" s="5"/>
      <c r="B5557" s="5"/>
      <c r="C5557" s="54"/>
      <c r="D5557" s="54" t="s">
        <v>1063</v>
      </c>
      <c r="E5557" s="89">
        <f>E5556+E5556*40%</f>
        <v>905.65542200000004</v>
      </c>
    </row>
    <row r="5558" spans="1:5" ht="18" x14ac:dyDescent="0.35">
      <c r="A5558" s="5"/>
      <c r="B5558" s="50" t="s">
        <v>37</v>
      </c>
      <c r="C5558" s="54">
        <v>2</v>
      </c>
      <c r="D5558" s="54">
        <v>200</v>
      </c>
      <c r="E5558" s="85">
        <f>C5558*D5558</f>
        <v>400</v>
      </c>
    </row>
    <row r="5559" spans="1:5" ht="18" x14ac:dyDescent="0.35">
      <c r="A5559" s="5"/>
      <c r="B5559" s="5"/>
      <c r="C5559" s="54"/>
      <c r="D5559" s="54"/>
      <c r="E5559" s="85">
        <f>SUM(E5557:E5558)</f>
        <v>1305.655422</v>
      </c>
    </row>
    <row r="5561" spans="1:5" ht="21" x14ac:dyDescent="0.4">
      <c r="A5561" s="40" t="s">
        <v>1522</v>
      </c>
      <c r="B5561" s="40"/>
      <c r="C5561" s="84"/>
    </row>
    <row r="5562" spans="1:5" ht="18" x14ac:dyDescent="0.35">
      <c r="A5562" s="5" t="s">
        <v>1512</v>
      </c>
      <c r="B5562" s="5"/>
      <c r="C5562" s="7" t="s">
        <v>28</v>
      </c>
      <c r="D5562" s="7" t="s">
        <v>29</v>
      </c>
      <c r="E5562" s="7" t="s">
        <v>30</v>
      </c>
    </row>
    <row r="5563" spans="1:5" ht="18" x14ac:dyDescent="0.35">
      <c r="A5563" s="5" t="s">
        <v>1523</v>
      </c>
      <c r="B5563" s="50" t="s">
        <v>32</v>
      </c>
      <c r="C5563" s="7">
        <v>5.4930000000000003</v>
      </c>
      <c r="D5563" s="7">
        <v>11.37</v>
      </c>
      <c r="E5563" s="85">
        <f t="shared" ref="E5563:E5568" si="378">C5563*D5563</f>
        <v>62.455410000000001</v>
      </c>
    </row>
    <row r="5564" spans="1:5" ht="18" x14ac:dyDescent="0.35">
      <c r="A5564" s="5" t="s">
        <v>1356</v>
      </c>
      <c r="B5564" s="50" t="s">
        <v>33</v>
      </c>
      <c r="C5564" s="7">
        <v>32.927999999999997</v>
      </c>
      <c r="D5564" s="7">
        <v>14.94</v>
      </c>
      <c r="E5564" s="85">
        <f t="shared" si="378"/>
        <v>491.94431999999995</v>
      </c>
    </row>
    <row r="5565" spans="1:5" ht="18" x14ac:dyDescent="0.35">
      <c r="A5565" s="5" t="s">
        <v>1521</v>
      </c>
      <c r="B5565" s="50" t="s">
        <v>86</v>
      </c>
      <c r="C5565" s="7">
        <v>2</v>
      </c>
      <c r="D5565" s="7">
        <v>1.71</v>
      </c>
      <c r="E5565" s="85">
        <f t="shared" si="378"/>
        <v>3.42</v>
      </c>
    </row>
    <row r="5566" spans="1:5" ht="18" x14ac:dyDescent="0.35">
      <c r="A5566" s="5"/>
      <c r="B5566" s="50" t="s">
        <v>34</v>
      </c>
      <c r="C5566" s="7">
        <v>1.8</v>
      </c>
      <c r="D5566" s="7">
        <v>14.61</v>
      </c>
      <c r="E5566" s="85">
        <f t="shared" si="378"/>
        <v>26.297999999999998</v>
      </c>
    </row>
    <row r="5567" spans="1:5" ht="18" x14ac:dyDescent="0.35">
      <c r="A5567" s="5"/>
      <c r="B5567" s="50" t="s">
        <v>35</v>
      </c>
      <c r="C5567" s="7">
        <v>4</v>
      </c>
      <c r="D5567" s="7">
        <v>2.91</v>
      </c>
      <c r="E5567" s="85">
        <f t="shared" si="378"/>
        <v>11.64</v>
      </c>
    </row>
    <row r="5568" spans="1:5" ht="18" x14ac:dyDescent="0.35">
      <c r="A5568" s="5"/>
      <c r="B5568" s="50" t="s">
        <v>36</v>
      </c>
      <c r="C5568" s="7">
        <v>4</v>
      </c>
      <c r="D5568" s="7">
        <v>0.61</v>
      </c>
      <c r="E5568" s="85">
        <f t="shared" si="378"/>
        <v>2.44</v>
      </c>
    </row>
    <row r="5569" spans="1:5" ht="18" x14ac:dyDescent="0.35">
      <c r="A5569" s="5"/>
      <c r="B5569" s="5"/>
      <c r="C5569" s="54"/>
      <c r="D5569" s="54"/>
      <c r="E5569" s="89">
        <f>SUM(E5563:E5568)</f>
        <v>598.19772999999998</v>
      </c>
    </row>
    <row r="5570" spans="1:5" ht="18" x14ac:dyDescent="0.35">
      <c r="A5570" s="5"/>
      <c r="B5570" s="5"/>
      <c r="C5570" s="54"/>
      <c r="D5570" s="54" t="s">
        <v>1063</v>
      </c>
      <c r="E5570" s="89">
        <f>E5569+E5569*40%</f>
        <v>837.47682199999997</v>
      </c>
    </row>
    <row r="5571" spans="1:5" ht="18" x14ac:dyDescent="0.35">
      <c r="A5571" s="5"/>
      <c r="B5571" s="50" t="s">
        <v>37</v>
      </c>
      <c r="C5571" s="54">
        <v>1.5</v>
      </c>
      <c r="D5571" s="54">
        <v>200</v>
      </c>
      <c r="E5571" s="85">
        <f>C5571*D5571</f>
        <v>300</v>
      </c>
    </row>
    <row r="5572" spans="1:5" ht="18" x14ac:dyDescent="0.35">
      <c r="A5572" s="5"/>
      <c r="B5572" s="5"/>
      <c r="C5572" s="54"/>
      <c r="D5572" s="54"/>
      <c r="E5572" s="85">
        <f>SUM(E5570:E5571)</f>
        <v>1137.4768220000001</v>
      </c>
    </row>
    <row r="5574" spans="1:5" ht="21" x14ac:dyDescent="0.4">
      <c r="A5574" s="40" t="s">
        <v>1529</v>
      </c>
      <c r="B5574" s="40"/>
      <c r="C5574" s="40"/>
      <c r="D5574" s="12"/>
      <c r="E5574" s="12"/>
    </row>
    <row r="5575" spans="1:5" ht="18" x14ac:dyDescent="0.35">
      <c r="A5575" s="5" t="s">
        <v>1512</v>
      </c>
      <c r="B5575" s="5"/>
      <c r="C5575" s="7" t="s">
        <v>28</v>
      </c>
      <c r="D5575" s="7" t="s">
        <v>29</v>
      </c>
      <c r="E5575" s="7" t="s">
        <v>30</v>
      </c>
    </row>
    <row r="5576" spans="1:5" ht="18" x14ac:dyDescent="0.35">
      <c r="A5576" s="5" t="s">
        <v>1513</v>
      </c>
      <c r="B5576" s="50" t="s">
        <v>32</v>
      </c>
      <c r="C5576" s="7">
        <v>7.2779999999999996</v>
      </c>
      <c r="D5576" s="7">
        <v>11.37</v>
      </c>
      <c r="E5576" s="85">
        <f>C5576*D5576</f>
        <v>82.750859999999989</v>
      </c>
    </row>
    <row r="5577" spans="1:5" ht="18" x14ac:dyDescent="0.35">
      <c r="A5577" s="5" t="s">
        <v>56</v>
      </c>
      <c r="B5577" s="50" t="s">
        <v>33</v>
      </c>
      <c r="C5577" s="7">
        <v>91.045000000000002</v>
      </c>
      <c r="D5577" s="7">
        <v>15.25</v>
      </c>
      <c r="E5577" s="85">
        <f>C5577*D5577</f>
        <v>1388.43625</v>
      </c>
    </row>
    <row r="5578" spans="1:5" ht="18" x14ac:dyDescent="0.35">
      <c r="A5578" s="5" t="s">
        <v>1524</v>
      </c>
      <c r="B5578" s="50" t="s">
        <v>137</v>
      </c>
      <c r="C5578" s="7">
        <v>3.2</v>
      </c>
      <c r="D5578" s="7">
        <v>15.25</v>
      </c>
      <c r="E5578" s="85">
        <f>C5578*D5578</f>
        <v>48.800000000000004</v>
      </c>
    </row>
    <row r="5579" spans="1:5" ht="18" x14ac:dyDescent="0.35">
      <c r="A5579" s="5"/>
      <c r="B5579" s="50" t="s">
        <v>35</v>
      </c>
      <c r="C5579" s="7">
        <v>4</v>
      </c>
      <c r="D5579" s="7">
        <v>2.91</v>
      </c>
      <c r="E5579" s="85">
        <f>C5579*D5579</f>
        <v>11.64</v>
      </c>
    </row>
    <row r="5580" spans="1:5" ht="18" x14ac:dyDescent="0.35">
      <c r="A5580" s="5"/>
      <c r="B5580" s="50" t="s">
        <v>36</v>
      </c>
      <c r="C5580" s="7">
        <v>4</v>
      </c>
      <c r="D5580" s="7">
        <v>0.61</v>
      </c>
      <c r="E5580" s="85">
        <f>C5580*D5580</f>
        <v>2.44</v>
      </c>
    </row>
    <row r="5581" spans="1:5" ht="18" x14ac:dyDescent="0.35">
      <c r="A5581" s="5"/>
      <c r="B5581" s="50"/>
      <c r="C5581" s="87"/>
      <c r="D5581" s="88"/>
      <c r="E5581" s="85">
        <f>SUM(E5576:E5580)</f>
        <v>1534.06711</v>
      </c>
    </row>
    <row r="5582" spans="1:5" ht="18" x14ac:dyDescent="0.35">
      <c r="A5582" s="5"/>
      <c r="B5582" s="50"/>
      <c r="C5582" s="87"/>
      <c r="D5582" s="88" t="s">
        <v>1266</v>
      </c>
      <c r="E5582" s="85">
        <f>E5581+E5581*40%</f>
        <v>2147.6939539999998</v>
      </c>
    </row>
    <row r="5583" spans="1:5" ht="18" x14ac:dyDescent="0.35">
      <c r="A5583" s="5"/>
      <c r="B5583" s="50" t="s">
        <v>37</v>
      </c>
      <c r="C5583" s="54">
        <v>2</v>
      </c>
      <c r="D5583" s="86">
        <v>200</v>
      </c>
      <c r="E5583" s="85">
        <f>C5583*D5583</f>
        <v>400</v>
      </c>
    </row>
    <row r="5584" spans="1:5" ht="18" x14ac:dyDescent="0.35">
      <c r="A5584" s="5"/>
      <c r="B5584" s="5"/>
      <c r="C5584" s="54"/>
      <c r="D5584" s="54"/>
      <c r="E5584" s="85">
        <f>SUM(E5582:E5583)</f>
        <v>2547.6939539999998</v>
      </c>
    </row>
    <row r="5587" spans="1:5" ht="21" x14ac:dyDescent="0.4">
      <c r="A5587" s="40" t="s">
        <v>1528</v>
      </c>
      <c r="B5587" s="40"/>
      <c r="C5587" s="40"/>
      <c r="D5587" s="12"/>
      <c r="E5587" s="12"/>
    </row>
    <row r="5588" spans="1:5" ht="18" x14ac:dyDescent="0.35">
      <c r="A5588" s="5" t="s">
        <v>1512</v>
      </c>
      <c r="B5588" s="5"/>
      <c r="C5588" s="7" t="s">
        <v>28</v>
      </c>
      <c r="D5588" s="7" t="s">
        <v>29</v>
      </c>
      <c r="E5588" s="7" t="s">
        <v>30</v>
      </c>
    </row>
    <row r="5589" spans="1:5" ht="18" x14ac:dyDescent="0.35">
      <c r="A5589" s="5" t="s">
        <v>1519</v>
      </c>
      <c r="B5589" s="50" t="s">
        <v>32</v>
      </c>
      <c r="C5589" s="7">
        <v>5.9130000000000003</v>
      </c>
      <c r="D5589" s="7">
        <v>11.37</v>
      </c>
      <c r="E5589" s="85">
        <f>C5589*D5589</f>
        <v>67.230810000000005</v>
      </c>
    </row>
    <row r="5590" spans="1:5" ht="18" x14ac:dyDescent="0.35">
      <c r="A5590" s="5" t="s">
        <v>56</v>
      </c>
      <c r="B5590" s="50" t="s">
        <v>33</v>
      </c>
      <c r="C5590" s="7">
        <v>74.298000000000002</v>
      </c>
      <c r="D5590" s="7">
        <v>15.25</v>
      </c>
      <c r="E5590" s="85">
        <f>C5590*D5590</f>
        <v>1133.0445</v>
      </c>
    </row>
    <row r="5591" spans="1:5" ht="18" x14ac:dyDescent="0.35">
      <c r="A5591" s="5" t="s">
        <v>1521</v>
      </c>
      <c r="B5591" s="50" t="s">
        <v>137</v>
      </c>
      <c r="C5591" s="7">
        <v>3.2</v>
      </c>
      <c r="D5591" s="7">
        <v>15.25</v>
      </c>
      <c r="E5591" s="85">
        <f>C5591*D5591</f>
        <v>48.800000000000004</v>
      </c>
    </row>
    <row r="5592" spans="1:5" ht="18" x14ac:dyDescent="0.35">
      <c r="A5592" s="5"/>
      <c r="B5592" s="50" t="s">
        <v>35</v>
      </c>
      <c r="C5592" s="7">
        <v>4</v>
      </c>
      <c r="D5592" s="7">
        <v>2.91</v>
      </c>
      <c r="E5592" s="85">
        <f>C5592*D5592</f>
        <v>11.64</v>
      </c>
    </row>
    <row r="5593" spans="1:5" ht="18" x14ac:dyDescent="0.35">
      <c r="A5593" s="5"/>
      <c r="B5593" s="50" t="s">
        <v>36</v>
      </c>
      <c r="C5593" s="7">
        <v>4</v>
      </c>
      <c r="D5593" s="7">
        <v>0.61</v>
      </c>
      <c r="E5593" s="85">
        <f>C5593*D5593</f>
        <v>2.44</v>
      </c>
    </row>
    <row r="5594" spans="1:5" ht="18" x14ac:dyDescent="0.35">
      <c r="A5594" s="5"/>
      <c r="B5594" s="50"/>
      <c r="C5594" s="87"/>
      <c r="D5594" s="88"/>
      <c r="E5594" s="85">
        <f>SUM(E5589:E5593)</f>
        <v>1263.1553100000001</v>
      </c>
    </row>
    <row r="5595" spans="1:5" ht="18" x14ac:dyDescent="0.35">
      <c r="A5595" s="5"/>
      <c r="B5595" s="50"/>
      <c r="C5595" s="87"/>
      <c r="D5595" s="88" t="s">
        <v>1266</v>
      </c>
      <c r="E5595" s="85">
        <f>E5594+E5594*40%</f>
        <v>1768.4174340000002</v>
      </c>
    </row>
    <row r="5596" spans="1:5" ht="18" x14ac:dyDescent="0.35">
      <c r="A5596" s="5"/>
      <c r="B5596" s="50" t="s">
        <v>37</v>
      </c>
      <c r="C5596" s="54">
        <v>2</v>
      </c>
      <c r="D5596" s="86">
        <v>200</v>
      </c>
      <c r="E5596" s="85">
        <f>C5596*D5596</f>
        <v>400</v>
      </c>
    </row>
    <row r="5597" spans="1:5" ht="18" x14ac:dyDescent="0.35">
      <c r="A5597" s="5"/>
      <c r="B5597" s="5"/>
      <c r="C5597" s="54"/>
      <c r="D5597" s="54"/>
      <c r="E5597" s="85">
        <f>SUM(E5595:E5596)</f>
        <v>2168.417434</v>
      </c>
    </row>
    <row r="5599" spans="1:5" ht="21" x14ac:dyDescent="0.4">
      <c r="A5599" s="40" t="s">
        <v>1527</v>
      </c>
      <c r="B5599" s="40"/>
      <c r="C5599" s="40"/>
      <c r="D5599" s="12"/>
      <c r="E5599" s="12"/>
    </row>
    <row r="5600" spans="1:5" ht="18" x14ac:dyDescent="0.35">
      <c r="A5600" s="5" t="s">
        <v>1512</v>
      </c>
      <c r="B5600" s="5"/>
      <c r="C5600" s="7" t="s">
        <v>28</v>
      </c>
      <c r="D5600" s="7" t="s">
        <v>29</v>
      </c>
      <c r="E5600" s="7" t="s">
        <v>30</v>
      </c>
    </row>
    <row r="5601" spans="1:5" ht="18" x14ac:dyDescent="0.35">
      <c r="A5601" s="5" t="s">
        <v>1523</v>
      </c>
      <c r="B5601" s="50" t="s">
        <v>32</v>
      </c>
      <c r="C5601" s="7">
        <v>5.4930000000000003</v>
      </c>
      <c r="D5601" s="7">
        <v>11.37</v>
      </c>
      <c r="E5601" s="85">
        <f>C5601*D5601</f>
        <v>62.455410000000001</v>
      </c>
    </row>
    <row r="5602" spans="1:5" ht="18" x14ac:dyDescent="0.35">
      <c r="A5602" s="5" t="s">
        <v>56</v>
      </c>
      <c r="B5602" s="50" t="s">
        <v>33</v>
      </c>
      <c r="C5602" s="7">
        <v>68.207999999999998</v>
      </c>
      <c r="D5602" s="7">
        <v>15.25</v>
      </c>
      <c r="E5602" s="85">
        <f>C5602*D5602</f>
        <v>1040.172</v>
      </c>
    </row>
    <row r="5603" spans="1:5" ht="18" x14ac:dyDescent="0.35">
      <c r="A5603" s="5" t="s">
        <v>1525</v>
      </c>
      <c r="B5603" s="50" t="s">
        <v>137</v>
      </c>
      <c r="C5603" s="7">
        <v>3.2</v>
      </c>
      <c r="D5603" s="7">
        <v>15.25</v>
      </c>
      <c r="E5603" s="85">
        <f>C5603*D5603</f>
        <v>48.800000000000004</v>
      </c>
    </row>
    <row r="5604" spans="1:5" ht="18" x14ac:dyDescent="0.35">
      <c r="A5604" s="5"/>
      <c r="B5604" s="50" t="s">
        <v>35</v>
      </c>
      <c r="C5604" s="7">
        <v>4</v>
      </c>
      <c r="D5604" s="7">
        <v>2.91</v>
      </c>
      <c r="E5604" s="85">
        <f>C5604*D5604</f>
        <v>11.64</v>
      </c>
    </row>
    <row r="5605" spans="1:5" ht="18" x14ac:dyDescent="0.35">
      <c r="A5605" s="5"/>
      <c r="B5605" s="50" t="s">
        <v>36</v>
      </c>
      <c r="C5605" s="7">
        <v>4</v>
      </c>
      <c r="D5605" s="7">
        <v>0.61</v>
      </c>
      <c r="E5605" s="85">
        <f>C5605*D5605</f>
        <v>2.44</v>
      </c>
    </row>
    <row r="5606" spans="1:5" ht="18" x14ac:dyDescent="0.35">
      <c r="A5606" s="5"/>
      <c r="B5606" s="50"/>
      <c r="C5606" s="87"/>
      <c r="D5606" s="88"/>
      <c r="E5606" s="85">
        <f>SUM(E5601:E5605)</f>
        <v>1165.5074100000002</v>
      </c>
    </row>
    <row r="5607" spans="1:5" ht="18" x14ac:dyDescent="0.35">
      <c r="A5607" s="5"/>
      <c r="B5607" s="50"/>
      <c r="C5607" s="87"/>
      <c r="D5607" s="88" t="s">
        <v>1266</v>
      </c>
      <c r="E5607" s="85">
        <f>E5606+E5606*40%</f>
        <v>1631.7103740000002</v>
      </c>
    </row>
    <row r="5608" spans="1:5" ht="18" x14ac:dyDescent="0.35">
      <c r="A5608" s="5"/>
      <c r="B5608" s="50" t="s">
        <v>37</v>
      </c>
      <c r="C5608" s="54">
        <v>2</v>
      </c>
      <c r="D5608" s="86">
        <v>200</v>
      </c>
      <c r="E5608" s="85">
        <f>C5608*D5608</f>
        <v>400</v>
      </c>
    </row>
    <row r="5609" spans="1:5" ht="18" x14ac:dyDescent="0.35">
      <c r="A5609" s="5"/>
      <c r="B5609" s="5"/>
      <c r="C5609" s="54"/>
      <c r="D5609" s="54"/>
      <c r="E5609" s="85">
        <f>SUM(E5607:E5608)</f>
        <v>2031.7103740000002</v>
      </c>
    </row>
    <row r="5611" spans="1:5" ht="21" x14ac:dyDescent="0.4">
      <c r="A5611" s="40" t="s">
        <v>1526</v>
      </c>
      <c r="B5611" s="40"/>
      <c r="C5611" s="40"/>
      <c r="D5611" s="12"/>
      <c r="E5611" s="12"/>
    </row>
    <row r="5612" spans="1:5" ht="18" x14ac:dyDescent="0.35">
      <c r="A5612" s="5" t="s">
        <v>1512</v>
      </c>
      <c r="B5612" s="5"/>
      <c r="C5612" s="7" t="s">
        <v>28</v>
      </c>
      <c r="D5612" s="7" t="s">
        <v>29</v>
      </c>
      <c r="E5612" s="7" t="s">
        <v>30</v>
      </c>
    </row>
    <row r="5613" spans="1:5" ht="18" x14ac:dyDescent="0.35">
      <c r="A5613" s="5" t="s">
        <v>1517</v>
      </c>
      <c r="B5613" s="50" t="s">
        <v>32</v>
      </c>
      <c r="C5613" s="7">
        <v>6.0179999999999998</v>
      </c>
      <c r="D5613" s="7">
        <v>11.37</v>
      </c>
      <c r="E5613" s="85">
        <f>C5613*D5613</f>
        <v>68.424659999999989</v>
      </c>
    </row>
    <row r="5614" spans="1:5" ht="18" x14ac:dyDescent="0.35">
      <c r="A5614" s="5" t="s">
        <v>56</v>
      </c>
      <c r="B5614" s="50" t="s">
        <v>33</v>
      </c>
      <c r="C5614" s="7">
        <v>75.819999999999993</v>
      </c>
      <c r="D5614" s="7">
        <v>15.25</v>
      </c>
      <c r="E5614" s="85">
        <f>C5614*D5614</f>
        <v>1156.2549999999999</v>
      </c>
    </row>
    <row r="5615" spans="1:5" ht="18" x14ac:dyDescent="0.35">
      <c r="A5615" s="5" t="s">
        <v>1520</v>
      </c>
      <c r="B5615" s="50" t="s">
        <v>137</v>
      </c>
      <c r="C5615" s="7">
        <v>3.2</v>
      </c>
      <c r="D5615" s="7">
        <v>15.25</v>
      </c>
      <c r="E5615" s="85">
        <f>C5615*D5615</f>
        <v>48.800000000000004</v>
      </c>
    </row>
    <row r="5616" spans="1:5" ht="18" x14ac:dyDescent="0.35">
      <c r="A5616" s="5"/>
      <c r="B5616" s="50" t="s">
        <v>35</v>
      </c>
      <c r="C5616" s="7">
        <v>4</v>
      </c>
      <c r="D5616" s="7">
        <v>2.91</v>
      </c>
      <c r="E5616" s="85">
        <f>C5616*D5616</f>
        <v>11.64</v>
      </c>
    </row>
    <row r="5617" spans="1:5" ht="18" x14ac:dyDescent="0.35">
      <c r="A5617" s="5"/>
      <c r="B5617" s="50" t="s">
        <v>36</v>
      </c>
      <c r="C5617" s="7">
        <v>4</v>
      </c>
      <c r="D5617" s="7">
        <v>0.61</v>
      </c>
      <c r="E5617" s="85">
        <f>C5617*D5617</f>
        <v>2.44</v>
      </c>
    </row>
    <row r="5618" spans="1:5" ht="18" x14ac:dyDescent="0.35">
      <c r="A5618" s="5"/>
      <c r="B5618" s="50"/>
      <c r="C5618" s="87"/>
      <c r="D5618" s="88"/>
      <c r="E5618" s="85">
        <f>SUM(E5613:E5617)</f>
        <v>1287.5596599999999</v>
      </c>
    </row>
    <row r="5619" spans="1:5" ht="18" x14ac:dyDescent="0.35">
      <c r="A5619" s="5"/>
      <c r="B5619" s="50"/>
      <c r="C5619" s="87"/>
      <c r="D5619" s="88" t="s">
        <v>1266</v>
      </c>
      <c r="E5619" s="85">
        <f>E5618+E5618*40%</f>
        <v>1802.5835239999999</v>
      </c>
    </row>
    <row r="5620" spans="1:5" ht="18" x14ac:dyDescent="0.35">
      <c r="A5620" s="5"/>
      <c r="B5620" s="50" t="s">
        <v>37</v>
      </c>
      <c r="C5620" s="54">
        <v>2</v>
      </c>
      <c r="D5620" s="86">
        <v>200</v>
      </c>
      <c r="E5620" s="85">
        <f>C5620*D5620</f>
        <v>400</v>
      </c>
    </row>
    <row r="5621" spans="1:5" ht="18" x14ac:dyDescent="0.35">
      <c r="A5621" s="5"/>
      <c r="B5621" s="5"/>
      <c r="C5621" s="54"/>
      <c r="D5621" s="54"/>
      <c r="E5621" s="85">
        <f>SUM(E5619:E5620)</f>
        <v>2202.5835239999997</v>
      </c>
    </row>
    <row r="5623" spans="1:5" ht="21" x14ac:dyDescent="0.4">
      <c r="A5623" s="40" t="s">
        <v>1530</v>
      </c>
      <c r="B5623" s="40"/>
      <c r="C5623" s="84"/>
    </row>
    <row r="5624" spans="1:5" ht="18" x14ac:dyDescent="0.35">
      <c r="A5624" s="5" t="s">
        <v>1365</v>
      </c>
      <c r="B5624" s="5"/>
      <c r="C5624" s="7" t="s">
        <v>28</v>
      </c>
      <c r="D5624" s="7" t="s">
        <v>29</v>
      </c>
      <c r="E5624" s="7" t="s">
        <v>30</v>
      </c>
    </row>
    <row r="5625" spans="1:5" ht="18" x14ac:dyDescent="0.35">
      <c r="A5625" s="5" t="s">
        <v>1531</v>
      </c>
      <c r="B5625" s="50" t="s">
        <v>32</v>
      </c>
      <c r="C5625" s="7">
        <v>2.4950000000000001</v>
      </c>
      <c r="D5625" s="7">
        <v>10.34</v>
      </c>
      <c r="E5625" s="85">
        <f t="shared" ref="E5625:E5630" si="379">C5625*D5625</f>
        <v>25.798300000000001</v>
      </c>
    </row>
    <row r="5626" spans="1:5" ht="18" x14ac:dyDescent="0.35">
      <c r="A5626" s="5" t="s">
        <v>1532</v>
      </c>
      <c r="B5626" s="50" t="s">
        <v>33</v>
      </c>
      <c r="C5626" s="7">
        <v>15.233000000000001</v>
      </c>
      <c r="D5626" s="7">
        <v>16.170000000000002</v>
      </c>
      <c r="E5626" s="85">
        <f t="shared" si="379"/>
        <v>246.31761000000003</v>
      </c>
    </row>
    <row r="5627" spans="1:5" ht="18" x14ac:dyDescent="0.35">
      <c r="A5627" s="5" t="s">
        <v>1151</v>
      </c>
      <c r="B5627" s="50" t="s">
        <v>86</v>
      </c>
      <c r="C5627" s="7">
        <v>4</v>
      </c>
      <c r="D5627" s="7">
        <v>1.7</v>
      </c>
      <c r="E5627" s="85">
        <f t="shared" si="379"/>
        <v>6.8</v>
      </c>
    </row>
    <row r="5628" spans="1:5" ht="18" x14ac:dyDescent="0.35">
      <c r="A5628" s="5" t="s">
        <v>1377</v>
      </c>
      <c r="B5628" s="50" t="s">
        <v>34</v>
      </c>
      <c r="C5628" s="7"/>
      <c r="D5628" s="7">
        <v>14.61</v>
      </c>
      <c r="E5628" s="85">
        <f t="shared" si="379"/>
        <v>0</v>
      </c>
    </row>
    <row r="5629" spans="1:5" ht="18" x14ac:dyDescent="0.35">
      <c r="A5629" s="5"/>
      <c r="B5629" s="50" t="s">
        <v>35</v>
      </c>
      <c r="C5629" s="7">
        <v>4</v>
      </c>
      <c r="D5629" s="7">
        <v>2.91</v>
      </c>
      <c r="E5629" s="85">
        <f t="shared" si="379"/>
        <v>11.64</v>
      </c>
    </row>
    <row r="5630" spans="1:5" ht="18" x14ac:dyDescent="0.35">
      <c r="A5630" s="5"/>
      <c r="B5630" s="50" t="s">
        <v>36</v>
      </c>
      <c r="C5630" s="7">
        <v>4</v>
      </c>
      <c r="D5630" s="7">
        <v>0.61</v>
      </c>
      <c r="E5630" s="85">
        <f t="shared" si="379"/>
        <v>2.44</v>
      </c>
    </row>
    <row r="5631" spans="1:5" ht="18" x14ac:dyDescent="0.35">
      <c r="A5631" s="5"/>
      <c r="B5631" s="5"/>
      <c r="C5631" s="54"/>
      <c r="D5631" s="54"/>
      <c r="E5631" s="89">
        <f>SUM(E5625:E5630)</f>
        <v>292.99591000000004</v>
      </c>
    </row>
    <row r="5632" spans="1:5" ht="18" x14ac:dyDescent="0.35">
      <c r="A5632" s="5"/>
      <c r="B5632" s="5"/>
      <c r="C5632" s="54"/>
      <c r="D5632" s="54" t="s">
        <v>1063</v>
      </c>
      <c r="E5632" s="89">
        <f>E5631+E5631*40%</f>
        <v>410.19427400000006</v>
      </c>
    </row>
    <row r="5633" spans="1:5" ht="18" x14ac:dyDescent="0.35">
      <c r="A5633" s="5"/>
      <c r="B5633" s="50" t="s">
        <v>37</v>
      </c>
      <c r="C5633" s="54">
        <v>0.75</v>
      </c>
      <c r="D5633" s="54">
        <v>200</v>
      </c>
      <c r="E5633" s="85">
        <f>C5633*D5633</f>
        <v>150</v>
      </c>
    </row>
    <row r="5634" spans="1:5" ht="18" x14ac:dyDescent="0.35">
      <c r="A5634" s="5"/>
      <c r="B5634" s="5"/>
      <c r="C5634" s="54"/>
      <c r="D5634" s="54"/>
      <c r="E5634" s="85">
        <f>SUM(E5632:E5633)</f>
        <v>560.19427400000006</v>
      </c>
    </row>
    <row r="5636" spans="1:5" ht="21" x14ac:dyDescent="0.4">
      <c r="A5636" s="40" t="s">
        <v>1530</v>
      </c>
      <c r="B5636" s="40"/>
      <c r="C5636" s="84"/>
    </row>
    <row r="5637" spans="1:5" ht="18" x14ac:dyDescent="0.35">
      <c r="A5637" s="5" t="s">
        <v>1365</v>
      </c>
      <c r="B5637" s="5"/>
      <c r="C5637" s="7" t="s">
        <v>28</v>
      </c>
      <c r="D5637" s="7" t="s">
        <v>29</v>
      </c>
      <c r="E5637" s="7" t="s">
        <v>30</v>
      </c>
    </row>
    <row r="5638" spans="1:5" ht="18" x14ac:dyDescent="0.35">
      <c r="A5638" s="5" t="s">
        <v>1533</v>
      </c>
      <c r="B5638" s="50" t="s">
        <v>32</v>
      </c>
      <c r="C5638" s="7">
        <v>2.226</v>
      </c>
      <c r="D5638" s="7">
        <v>10.34</v>
      </c>
      <c r="E5638" s="85">
        <f t="shared" ref="E5638:E5643" si="380">C5638*D5638</f>
        <v>23.016839999999998</v>
      </c>
    </row>
    <row r="5639" spans="1:5" ht="18" x14ac:dyDescent="0.35">
      <c r="A5639" s="5" t="s">
        <v>1534</v>
      </c>
      <c r="B5639" s="50" t="s">
        <v>33</v>
      </c>
      <c r="C5639" s="7">
        <v>12.474</v>
      </c>
      <c r="D5639" s="7">
        <v>16.170000000000002</v>
      </c>
      <c r="E5639" s="85">
        <f t="shared" si="380"/>
        <v>201.70458000000002</v>
      </c>
    </row>
    <row r="5640" spans="1:5" ht="18" x14ac:dyDescent="0.35">
      <c r="A5640" s="5" t="s">
        <v>446</v>
      </c>
      <c r="B5640" s="50" t="s">
        <v>86</v>
      </c>
      <c r="C5640" s="7">
        <v>4</v>
      </c>
      <c r="D5640" s="7">
        <v>1.7</v>
      </c>
      <c r="E5640" s="85">
        <f t="shared" si="380"/>
        <v>6.8</v>
      </c>
    </row>
    <row r="5641" spans="1:5" ht="18" x14ac:dyDescent="0.35">
      <c r="A5641" s="5" t="s">
        <v>1377</v>
      </c>
      <c r="B5641" s="50" t="s">
        <v>34</v>
      </c>
      <c r="C5641" s="7"/>
      <c r="D5641" s="7">
        <v>14.61</v>
      </c>
      <c r="E5641" s="85">
        <f t="shared" si="380"/>
        <v>0</v>
      </c>
    </row>
    <row r="5642" spans="1:5" ht="18" x14ac:dyDescent="0.35">
      <c r="A5642" s="5"/>
      <c r="B5642" s="50" t="s">
        <v>35</v>
      </c>
      <c r="C5642" s="7">
        <v>4</v>
      </c>
      <c r="D5642" s="7">
        <v>2.91</v>
      </c>
      <c r="E5642" s="85">
        <f t="shared" si="380"/>
        <v>11.64</v>
      </c>
    </row>
    <row r="5643" spans="1:5" ht="18" x14ac:dyDescent="0.35">
      <c r="A5643" s="5"/>
      <c r="B5643" s="50" t="s">
        <v>36</v>
      </c>
      <c r="C5643" s="7">
        <v>4</v>
      </c>
      <c r="D5643" s="7">
        <v>0.61</v>
      </c>
      <c r="E5643" s="85">
        <f t="shared" si="380"/>
        <v>2.44</v>
      </c>
    </row>
    <row r="5644" spans="1:5" ht="18" x14ac:dyDescent="0.35">
      <c r="A5644" s="5"/>
      <c r="B5644" s="5"/>
      <c r="C5644" s="54"/>
      <c r="D5644" s="54"/>
      <c r="E5644" s="89">
        <f>SUM(E5638:E5643)</f>
        <v>245.60142000000002</v>
      </c>
    </row>
    <row r="5645" spans="1:5" ht="18" x14ac:dyDescent="0.35">
      <c r="A5645" s="5"/>
      <c r="B5645" s="5"/>
      <c r="C5645" s="54"/>
      <c r="D5645" s="54" t="s">
        <v>1063</v>
      </c>
      <c r="E5645" s="89">
        <f>E5644+E5644*40%</f>
        <v>343.84198800000001</v>
      </c>
    </row>
    <row r="5646" spans="1:5" ht="18" x14ac:dyDescent="0.35">
      <c r="A5646" s="5"/>
      <c r="B5646" s="50" t="s">
        <v>37</v>
      </c>
      <c r="C5646" s="54">
        <v>0.75</v>
      </c>
      <c r="D5646" s="54">
        <v>200</v>
      </c>
      <c r="E5646" s="85">
        <f>C5646*D5646</f>
        <v>150</v>
      </c>
    </row>
    <row r="5647" spans="1:5" ht="18" x14ac:dyDescent="0.35">
      <c r="A5647" s="5"/>
      <c r="B5647" s="5"/>
      <c r="C5647" s="54"/>
      <c r="D5647" s="54"/>
      <c r="E5647" s="85">
        <f>SUM(E5645:E5646)</f>
        <v>493.84198800000001</v>
      </c>
    </row>
    <row r="5649" spans="1:5" ht="21" x14ac:dyDescent="0.4">
      <c r="A5649" s="40" t="s">
        <v>1538</v>
      </c>
      <c r="B5649" s="40"/>
      <c r="C5649" s="84"/>
    </row>
    <row r="5650" spans="1:5" ht="18" x14ac:dyDescent="0.35">
      <c r="A5650" s="5" t="s">
        <v>1537</v>
      </c>
      <c r="B5650" s="5"/>
      <c r="C5650" s="7" t="s">
        <v>28</v>
      </c>
      <c r="D5650" s="7" t="s">
        <v>29</v>
      </c>
      <c r="E5650" s="7" t="s">
        <v>30</v>
      </c>
    </row>
    <row r="5651" spans="1:5" ht="18" x14ac:dyDescent="0.35">
      <c r="A5651" s="5" t="s">
        <v>246</v>
      </c>
      <c r="B5651" s="50" t="s">
        <v>32</v>
      </c>
      <c r="C5651" s="7">
        <v>2.4660000000000002</v>
      </c>
      <c r="D5651" s="7">
        <v>10.34</v>
      </c>
      <c r="E5651" s="85">
        <f t="shared" ref="E5651:E5656" si="381">C5651*D5651</f>
        <v>25.498440000000002</v>
      </c>
    </row>
    <row r="5652" spans="1:5" ht="18" x14ac:dyDescent="0.35">
      <c r="A5652" s="5" t="s">
        <v>952</v>
      </c>
      <c r="B5652" s="50" t="s">
        <v>33</v>
      </c>
      <c r="C5652" s="7"/>
      <c r="D5652" s="7">
        <v>16.170000000000002</v>
      </c>
      <c r="E5652" s="85">
        <f t="shared" si="381"/>
        <v>0</v>
      </c>
    </row>
    <row r="5653" spans="1:5" ht="18" x14ac:dyDescent="0.35">
      <c r="A5653" s="102" t="s">
        <v>1222</v>
      </c>
      <c r="B5653" s="50" t="s">
        <v>43</v>
      </c>
      <c r="C5653" s="7"/>
      <c r="D5653" s="7">
        <v>1.1499999999999999</v>
      </c>
      <c r="E5653" s="85">
        <f t="shared" si="381"/>
        <v>0</v>
      </c>
    </row>
    <row r="5654" spans="1:5" ht="18" x14ac:dyDescent="0.35">
      <c r="A5654" s="5"/>
      <c r="B5654" s="50" t="s">
        <v>34</v>
      </c>
      <c r="C5654" s="7"/>
      <c r="D5654" s="7">
        <v>14.61</v>
      </c>
      <c r="E5654" s="85">
        <f t="shared" si="381"/>
        <v>0</v>
      </c>
    </row>
    <row r="5655" spans="1:5" ht="18" x14ac:dyDescent="0.35">
      <c r="A5655" s="5"/>
      <c r="B5655" s="50" t="s">
        <v>35</v>
      </c>
      <c r="C5655" s="7">
        <v>4</v>
      </c>
      <c r="D5655" s="7">
        <v>2.91</v>
      </c>
      <c r="E5655" s="85">
        <f t="shared" si="381"/>
        <v>11.64</v>
      </c>
    </row>
    <row r="5656" spans="1:5" ht="18" x14ac:dyDescent="0.35">
      <c r="A5656" s="5"/>
      <c r="B5656" s="50" t="s">
        <v>36</v>
      </c>
      <c r="C5656" s="7">
        <v>4</v>
      </c>
      <c r="D5656" s="7">
        <v>0.61</v>
      </c>
      <c r="E5656" s="85">
        <f t="shared" si="381"/>
        <v>2.44</v>
      </c>
    </row>
    <row r="5657" spans="1:5" ht="18" x14ac:dyDescent="0.35">
      <c r="A5657" s="5"/>
      <c r="B5657" s="5"/>
      <c r="C5657" s="54"/>
      <c r="D5657" s="54"/>
      <c r="E5657" s="89">
        <f>SUM(E5651:E5656)</f>
        <v>39.578440000000001</v>
      </c>
    </row>
    <row r="5658" spans="1:5" ht="18" x14ac:dyDescent="0.35">
      <c r="A5658" s="5"/>
      <c r="B5658" s="5"/>
      <c r="C5658" s="54"/>
      <c r="D5658" s="54" t="s">
        <v>1066</v>
      </c>
      <c r="E5658" s="89">
        <f>E5657+E5657*40%</f>
        <v>55.409815999999999</v>
      </c>
    </row>
    <row r="5659" spans="1:5" ht="18" x14ac:dyDescent="0.35">
      <c r="A5659" s="5"/>
      <c r="B5659" s="50" t="s">
        <v>37</v>
      </c>
      <c r="C5659" s="54">
        <v>10</v>
      </c>
      <c r="D5659" s="54">
        <v>1.42</v>
      </c>
      <c r="E5659" s="85">
        <f>C5659*D5659</f>
        <v>14.2</v>
      </c>
    </row>
    <row r="5660" spans="1:5" ht="18" x14ac:dyDescent="0.35">
      <c r="A5660" s="5"/>
      <c r="B5660" s="5"/>
      <c r="C5660" s="54"/>
      <c r="D5660" s="54"/>
      <c r="E5660" s="85">
        <f>SUM(E5658:E5659)</f>
        <v>69.609815999999995</v>
      </c>
    </row>
    <row r="5663" spans="1:5" ht="21" x14ac:dyDescent="0.4">
      <c r="A5663" s="40" t="s">
        <v>1539</v>
      </c>
      <c r="B5663" s="40"/>
      <c r="C5663" s="40"/>
      <c r="D5663" s="12"/>
      <c r="E5663" s="12"/>
    </row>
    <row r="5664" spans="1:5" ht="18" x14ac:dyDescent="0.35">
      <c r="A5664" s="5"/>
      <c r="B5664" s="5"/>
      <c r="C5664" s="7" t="s">
        <v>28</v>
      </c>
      <c r="D5664" s="7" t="s">
        <v>29</v>
      </c>
      <c r="E5664" s="7" t="s">
        <v>30</v>
      </c>
    </row>
    <row r="5665" spans="1:5" ht="18" x14ac:dyDescent="0.35">
      <c r="A5665" s="5" t="s">
        <v>236</v>
      </c>
      <c r="B5665" s="50" t="s">
        <v>32</v>
      </c>
      <c r="C5665" s="7"/>
      <c r="D5665" s="7">
        <v>10.34</v>
      </c>
      <c r="E5665" s="85">
        <f>C5665*D5665</f>
        <v>0</v>
      </c>
    </row>
    <row r="5666" spans="1:5" ht="18" x14ac:dyDescent="0.35">
      <c r="A5666" s="5" t="s">
        <v>214</v>
      </c>
      <c r="B5666" s="50" t="s">
        <v>33</v>
      </c>
      <c r="C5666" s="7">
        <v>3.1190000000000002</v>
      </c>
      <c r="D5666" s="7">
        <v>17.059999999999999</v>
      </c>
      <c r="E5666" s="85">
        <f>C5666*D5666</f>
        <v>53.210140000000003</v>
      </c>
    </row>
    <row r="5667" spans="1:5" ht="18" x14ac:dyDescent="0.35">
      <c r="A5667" s="5" t="s">
        <v>616</v>
      </c>
      <c r="B5667" s="50" t="s">
        <v>137</v>
      </c>
      <c r="C5667" s="7">
        <v>0.26</v>
      </c>
      <c r="D5667" s="7">
        <v>15.25</v>
      </c>
      <c r="E5667" s="85">
        <f>C5667*D5667</f>
        <v>3.9650000000000003</v>
      </c>
    </row>
    <row r="5668" spans="1:5" ht="18" x14ac:dyDescent="0.35">
      <c r="A5668" s="5"/>
      <c r="B5668" s="50" t="s">
        <v>35</v>
      </c>
      <c r="C5668" s="7"/>
      <c r="D5668" s="7">
        <v>2.91</v>
      </c>
      <c r="E5668" s="85">
        <f>C5668*D5668</f>
        <v>0</v>
      </c>
    </row>
    <row r="5669" spans="1:5" ht="18" x14ac:dyDescent="0.35">
      <c r="A5669" s="5"/>
      <c r="B5669" s="50" t="s">
        <v>36</v>
      </c>
      <c r="C5669" s="7"/>
      <c r="D5669" s="7">
        <v>0.61</v>
      </c>
      <c r="E5669" s="85">
        <f>C5669*D5669</f>
        <v>0</v>
      </c>
    </row>
    <row r="5670" spans="1:5" ht="18" x14ac:dyDescent="0.35">
      <c r="A5670" s="5"/>
      <c r="B5670" s="50"/>
      <c r="C5670" s="87"/>
      <c r="D5670" s="88"/>
      <c r="E5670" s="85">
        <f>SUM(E5665:E5669)</f>
        <v>57.175140000000006</v>
      </c>
    </row>
    <row r="5671" spans="1:5" ht="18" x14ac:dyDescent="0.35">
      <c r="A5671" s="5"/>
      <c r="B5671" s="50"/>
      <c r="C5671" s="87"/>
      <c r="D5671" s="88" t="s">
        <v>1266</v>
      </c>
      <c r="E5671" s="85">
        <f>E5670+E5670*40%</f>
        <v>80.045196000000004</v>
      </c>
    </row>
    <row r="5672" spans="1:5" ht="18" x14ac:dyDescent="0.35">
      <c r="A5672" s="5"/>
      <c r="B5672" s="50" t="s">
        <v>37</v>
      </c>
      <c r="C5672" s="54">
        <v>0.15</v>
      </c>
      <c r="D5672" s="86">
        <v>200</v>
      </c>
      <c r="E5672" s="85">
        <f>C5672*D5672</f>
        <v>30</v>
      </c>
    </row>
    <row r="5673" spans="1:5" ht="18" x14ac:dyDescent="0.35">
      <c r="A5673" s="5"/>
      <c r="B5673" s="5"/>
      <c r="C5673" s="54"/>
      <c r="D5673" s="54"/>
      <c r="E5673" s="85">
        <f>SUM(E5671:E5672)</f>
        <v>110.045196</v>
      </c>
    </row>
    <row r="5675" spans="1:5" ht="21" x14ac:dyDescent="0.4">
      <c r="A5675" s="40" t="s">
        <v>1540</v>
      </c>
      <c r="B5675" s="40"/>
      <c r="C5675" s="84"/>
    </row>
    <row r="5676" spans="1:5" ht="18" x14ac:dyDescent="0.35">
      <c r="A5676" s="5" t="s">
        <v>1328</v>
      </c>
      <c r="B5676" s="5"/>
      <c r="C5676" s="7" t="s">
        <v>28</v>
      </c>
      <c r="D5676" s="7" t="s">
        <v>29</v>
      </c>
      <c r="E5676" s="7" t="s">
        <v>30</v>
      </c>
    </row>
    <row r="5677" spans="1:5" ht="18" x14ac:dyDescent="0.35">
      <c r="A5677" s="5" t="s">
        <v>1517</v>
      </c>
      <c r="B5677" s="50" t="s">
        <v>32</v>
      </c>
      <c r="C5677" s="7">
        <v>6.0179999999999998</v>
      </c>
      <c r="D5677" s="7">
        <v>11.37</v>
      </c>
      <c r="E5677" s="85">
        <f t="shared" ref="E5677:E5682" si="382">C5677*D5677</f>
        <v>68.424659999999989</v>
      </c>
    </row>
    <row r="5678" spans="1:5" ht="18" x14ac:dyDescent="0.35">
      <c r="A5678" s="5" t="s">
        <v>1356</v>
      </c>
      <c r="B5678" s="50" t="s">
        <v>33</v>
      </c>
      <c r="C5678" s="7">
        <v>36.603000000000002</v>
      </c>
      <c r="D5678" s="7">
        <v>14.94</v>
      </c>
      <c r="E5678" s="85">
        <f t="shared" si="382"/>
        <v>546.84882000000005</v>
      </c>
    </row>
    <row r="5679" spans="1:5" ht="18" x14ac:dyDescent="0.35">
      <c r="A5679" s="5" t="s">
        <v>1520</v>
      </c>
      <c r="B5679" s="50" t="s">
        <v>86</v>
      </c>
      <c r="C5679" s="7">
        <v>2</v>
      </c>
      <c r="D5679" s="7">
        <v>1.71</v>
      </c>
      <c r="E5679" s="85">
        <f t="shared" si="382"/>
        <v>3.42</v>
      </c>
    </row>
    <row r="5680" spans="1:5" ht="18" x14ac:dyDescent="0.35">
      <c r="A5680" s="5"/>
      <c r="B5680" s="50" t="s">
        <v>34</v>
      </c>
      <c r="C5680" s="7">
        <v>1.8</v>
      </c>
      <c r="D5680" s="7">
        <v>14.61</v>
      </c>
      <c r="E5680" s="85">
        <f t="shared" si="382"/>
        <v>26.297999999999998</v>
      </c>
    </row>
    <row r="5681" spans="1:5" ht="18" x14ac:dyDescent="0.35">
      <c r="A5681" s="5"/>
      <c r="B5681" s="50" t="s">
        <v>35</v>
      </c>
      <c r="C5681" s="7">
        <v>4</v>
      </c>
      <c r="D5681" s="7">
        <v>2.91</v>
      </c>
      <c r="E5681" s="85">
        <f t="shared" si="382"/>
        <v>11.64</v>
      </c>
    </row>
    <row r="5682" spans="1:5" ht="18" x14ac:dyDescent="0.35">
      <c r="A5682" s="5"/>
      <c r="B5682" s="50" t="s">
        <v>36</v>
      </c>
      <c r="C5682" s="7">
        <v>4</v>
      </c>
      <c r="D5682" s="7">
        <v>0.61</v>
      </c>
      <c r="E5682" s="85">
        <f t="shared" si="382"/>
        <v>2.44</v>
      </c>
    </row>
    <row r="5683" spans="1:5" ht="18" x14ac:dyDescent="0.35">
      <c r="A5683" s="5"/>
      <c r="B5683" s="5"/>
      <c r="C5683" s="54"/>
      <c r="D5683" s="54"/>
      <c r="E5683" s="89">
        <f>SUM(E5677:E5682)</f>
        <v>659.07148000000007</v>
      </c>
    </row>
    <row r="5684" spans="1:5" ht="18" x14ac:dyDescent="0.35">
      <c r="A5684" s="5"/>
      <c r="B5684" s="5"/>
      <c r="C5684" s="54"/>
      <c r="D5684" s="54" t="s">
        <v>1063</v>
      </c>
      <c r="E5684" s="89">
        <f>E5683+E5683*40%</f>
        <v>922.70007200000009</v>
      </c>
    </row>
    <row r="5685" spans="1:5" ht="18" x14ac:dyDescent="0.35">
      <c r="A5685" s="5"/>
      <c r="B5685" s="50" t="s">
        <v>37</v>
      </c>
      <c r="C5685" s="54">
        <v>2</v>
      </c>
      <c r="D5685" s="54">
        <v>200</v>
      </c>
      <c r="E5685" s="85">
        <f>C5685*D5685</f>
        <v>400</v>
      </c>
    </row>
    <row r="5686" spans="1:5" ht="18" x14ac:dyDescent="0.35">
      <c r="A5686" s="5"/>
      <c r="B5686" s="5"/>
      <c r="C5686" s="54"/>
      <c r="D5686" s="54"/>
      <c r="E5686" s="85">
        <f>SUM(E5684:E5685)</f>
        <v>1322.7000720000001</v>
      </c>
    </row>
    <row r="5688" spans="1:5" ht="21" x14ac:dyDescent="0.4">
      <c r="A5688" s="40" t="s">
        <v>1336</v>
      </c>
      <c r="B5688" s="40"/>
      <c r="C5688" s="84"/>
      <c r="D5688" t="s">
        <v>1328</v>
      </c>
    </row>
    <row r="5689" spans="1:5" ht="18" x14ac:dyDescent="0.35">
      <c r="A5689" s="5"/>
      <c r="B5689" s="5"/>
      <c r="C5689" s="7" t="s">
        <v>28</v>
      </c>
      <c r="D5689" s="7" t="s">
        <v>29</v>
      </c>
      <c r="E5689" s="7" t="s">
        <v>30</v>
      </c>
    </row>
    <row r="5690" spans="1:5" ht="18" x14ac:dyDescent="0.35">
      <c r="A5690" s="5" t="s">
        <v>234</v>
      </c>
      <c r="B5690" s="50" t="s">
        <v>32</v>
      </c>
      <c r="C5690" s="7">
        <v>2.3220000000000001</v>
      </c>
      <c r="D5690" s="7">
        <v>10.34</v>
      </c>
      <c r="E5690" s="85">
        <f t="shared" ref="E5690:E5695" si="383">C5690*D5690</f>
        <v>24.00948</v>
      </c>
    </row>
    <row r="5691" spans="1:5" ht="18" x14ac:dyDescent="0.35">
      <c r="A5691" s="5" t="s">
        <v>219</v>
      </c>
      <c r="B5691" s="50" t="s">
        <v>33</v>
      </c>
      <c r="C5691" s="7">
        <v>1.04</v>
      </c>
      <c r="D5691" s="7">
        <v>16.170000000000002</v>
      </c>
      <c r="E5691" s="85">
        <f t="shared" si="383"/>
        <v>16.816800000000001</v>
      </c>
    </row>
    <row r="5692" spans="1:5" ht="18" x14ac:dyDescent="0.35">
      <c r="A5692" s="5" t="s">
        <v>677</v>
      </c>
      <c r="B5692" s="50" t="s">
        <v>42</v>
      </c>
      <c r="C5692" s="7">
        <v>2</v>
      </c>
      <c r="D5692" s="7">
        <v>1.1499999999999999</v>
      </c>
      <c r="E5692" s="85">
        <f t="shared" si="383"/>
        <v>2.2999999999999998</v>
      </c>
    </row>
    <row r="5693" spans="1:5" ht="18" x14ac:dyDescent="0.35">
      <c r="A5693" s="5"/>
      <c r="B5693" s="50" t="s">
        <v>34</v>
      </c>
      <c r="C5693" s="7">
        <v>0.16</v>
      </c>
      <c r="D5693" s="7">
        <v>14.61</v>
      </c>
      <c r="E5693" s="85">
        <f t="shared" si="383"/>
        <v>2.3376000000000001</v>
      </c>
    </row>
    <row r="5694" spans="1:5" ht="18" x14ac:dyDescent="0.35">
      <c r="A5694" s="5"/>
      <c r="B5694" s="50" t="s">
        <v>35</v>
      </c>
      <c r="C5694" s="7">
        <v>4</v>
      </c>
      <c r="D5694" s="7">
        <v>2.91</v>
      </c>
      <c r="E5694" s="85">
        <f t="shared" si="383"/>
        <v>11.64</v>
      </c>
    </row>
    <row r="5695" spans="1:5" ht="18" x14ac:dyDescent="0.35">
      <c r="A5695" s="5"/>
      <c r="B5695" s="50" t="s">
        <v>36</v>
      </c>
      <c r="C5695" s="7">
        <v>4</v>
      </c>
      <c r="D5695" s="7">
        <v>0.61</v>
      </c>
      <c r="E5695" s="85">
        <f t="shared" si="383"/>
        <v>2.44</v>
      </c>
    </row>
    <row r="5696" spans="1:5" ht="18" x14ac:dyDescent="0.35">
      <c r="A5696" s="5"/>
      <c r="B5696" s="5"/>
      <c r="C5696" s="54"/>
      <c r="D5696" s="54"/>
      <c r="E5696" s="89">
        <f>SUM(E5690:E5695)</f>
        <v>59.543879999999994</v>
      </c>
    </row>
    <row r="5697" spans="1:5" ht="18" x14ac:dyDescent="0.35">
      <c r="A5697" s="5"/>
      <c r="B5697" s="5"/>
      <c r="C5697" s="54"/>
      <c r="D5697" s="54" t="s">
        <v>1063</v>
      </c>
      <c r="E5697" s="89">
        <f>E5696+E5696*40%</f>
        <v>83.361431999999994</v>
      </c>
    </row>
    <row r="5698" spans="1:5" ht="18" x14ac:dyDescent="0.35">
      <c r="A5698" s="5"/>
      <c r="B5698" s="50" t="s">
        <v>37</v>
      </c>
      <c r="C5698" s="54">
        <v>0.5</v>
      </c>
      <c r="D5698" s="54">
        <v>200</v>
      </c>
      <c r="E5698" s="85">
        <f>C5698*D5698</f>
        <v>100</v>
      </c>
    </row>
    <row r="5699" spans="1:5" ht="18" x14ac:dyDescent="0.35">
      <c r="A5699" s="5"/>
      <c r="B5699" s="5"/>
      <c r="C5699" s="54"/>
      <c r="D5699" s="54"/>
      <c r="E5699" s="85">
        <f>SUM(E5697:E5698)</f>
        <v>183.36143199999998</v>
      </c>
    </row>
    <row r="5701" spans="1:5" ht="21" x14ac:dyDescent="0.4">
      <c r="A5701" s="40" t="s">
        <v>1550</v>
      </c>
      <c r="B5701" s="40"/>
      <c r="C5701" s="84"/>
      <c r="D5701" t="s">
        <v>1328</v>
      </c>
    </row>
    <row r="5702" spans="1:5" ht="18" x14ac:dyDescent="0.35">
      <c r="A5702" s="5"/>
      <c r="B5702" s="5"/>
      <c r="C5702" s="7" t="s">
        <v>28</v>
      </c>
      <c r="D5702" s="7" t="s">
        <v>29</v>
      </c>
      <c r="E5702" s="7" t="s">
        <v>30</v>
      </c>
    </row>
    <row r="5703" spans="1:5" ht="18" x14ac:dyDescent="0.35">
      <c r="A5703" s="5" t="s">
        <v>116</v>
      </c>
      <c r="B5703" s="50" t="s">
        <v>32</v>
      </c>
      <c r="C5703" s="7">
        <v>1.8180000000000001</v>
      </c>
      <c r="D5703" s="7">
        <v>10.34</v>
      </c>
      <c r="E5703" s="85">
        <f t="shared" ref="E5703:E5708" si="384">C5703*D5703</f>
        <v>18.798120000000001</v>
      </c>
    </row>
    <row r="5704" spans="1:5" ht="18" x14ac:dyDescent="0.35">
      <c r="A5704" s="5" t="s">
        <v>54</v>
      </c>
      <c r="B5704" s="50" t="s">
        <v>33</v>
      </c>
      <c r="C5704" s="7">
        <v>7.78</v>
      </c>
      <c r="D5704" s="7">
        <v>16.170000000000002</v>
      </c>
      <c r="E5704" s="85">
        <f t="shared" si="384"/>
        <v>125.80260000000001</v>
      </c>
    </row>
    <row r="5705" spans="1:5" ht="18" x14ac:dyDescent="0.35">
      <c r="A5705" s="5" t="s">
        <v>677</v>
      </c>
      <c r="B5705" s="50" t="s">
        <v>87</v>
      </c>
      <c r="C5705" s="7">
        <v>2</v>
      </c>
      <c r="D5705" s="7">
        <v>1.81</v>
      </c>
      <c r="E5705" s="85">
        <f t="shared" si="384"/>
        <v>3.62</v>
      </c>
    </row>
    <row r="5706" spans="1:5" ht="18" x14ac:dyDescent="0.35">
      <c r="A5706" s="5"/>
      <c r="B5706" s="50" t="s">
        <v>34</v>
      </c>
      <c r="C5706" s="7"/>
      <c r="D5706" s="7">
        <v>14.61</v>
      </c>
      <c r="E5706" s="85">
        <f t="shared" si="384"/>
        <v>0</v>
      </c>
    </row>
    <row r="5707" spans="1:5" ht="18" x14ac:dyDescent="0.35">
      <c r="A5707" s="5"/>
      <c r="B5707" s="50" t="s">
        <v>35</v>
      </c>
      <c r="C5707" s="7">
        <v>4</v>
      </c>
      <c r="D5707" s="7">
        <v>2.91</v>
      </c>
      <c r="E5707" s="85">
        <f t="shared" si="384"/>
        <v>11.64</v>
      </c>
    </row>
    <row r="5708" spans="1:5" ht="18" x14ac:dyDescent="0.35">
      <c r="A5708" s="5"/>
      <c r="B5708" s="50" t="s">
        <v>36</v>
      </c>
      <c r="C5708" s="7">
        <v>4</v>
      </c>
      <c r="D5708" s="7">
        <v>0.61</v>
      </c>
      <c r="E5708" s="85">
        <f t="shared" si="384"/>
        <v>2.44</v>
      </c>
    </row>
    <row r="5709" spans="1:5" ht="18" x14ac:dyDescent="0.35">
      <c r="A5709" s="5"/>
      <c r="B5709" s="5"/>
      <c r="C5709" s="54"/>
      <c r="D5709" s="54"/>
      <c r="E5709" s="89">
        <f>SUM(E5703:E5708)</f>
        <v>162.30072000000001</v>
      </c>
    </row>
    <row r="5710" spans="1:5" ht="18" x14ac:dyDescent="0.35">
      <c r="A5710" s="5"/>
      <c r="B5710" s="5"/>
      <c r="C5710" s="54"/>
      <c r="D5710" s="54" t="s">
        <v>1116</v>
      </c>
      <c r="E5710" s="89">
        <f>E5709+E5709*30%</f>
        <v>210.990936</v>
      </c>
    </row>
    <row r="5711" spans="1:5" ht="18" x14ac:dyDescent="0.35">
      <c r="A5711" s="5"/>
      <c r="B5711" s="50" t="s">
        <v>37</v>
      </c>
      <c r="C5711" s="54">
        <v>0.4</v>
      </c>
      <c r="D5711" s="54">
        <v>200</v>
      </c>
      <c r="E5711" s="85">
        <f>C5711*D5711</f>
        <v>80</v>
      </c>
    </row>
    <row r="5712" spans="1:5" ht="18" x14ac:dyDescent="0.35">
      <c r="A5712" s="5"/>
      <c r="B5712" s="5"/>
      <c r="C5712" s="54"/>
      <c r="D5712" s="54"/>
      <c r="E5712" s="85">
        <f>SUM(E5710:E5711)</f>
        <v>290.99093600000003</v>
      </c>
    </row>
    <row r="5715" spans="1:7" ht="21" x14ac:dyDescent="0.4">
      <c r="A5715" s="40" t="s">
        <v>1551</v>
      </c>
      <c r="B5715" s="40"/>
      <c r="C5715" s="84"/>
      <c r="G5715" s="133">
        <v>350</v>
      </c>
    </row>
    <row r="5716" spans="1:7" ht="18" x14ac:dyDescent="0.35">
      <c r="A5716" s="5"/>
      <c r="B5716" s="5"/>
      <c r="C5716" s="7" t="s">
        <v>28</v>
      </c>
      <c r="D5716" s="7" t="s">
        <v>29</v>
      </c>
      <c r="E5716" s="7" t="s">
        <v>30</v>
      </c>
      <c r="G5716" s="4"/>
    </row>
    <row r="5717" spans="1:7" ht="18" x14ac:dyDescent="0.35">
      <c r="A5717" s="5" t="s">
        <v>1552</v>
      </c>
      <c r="B5717" s="50" t="s">
        <v>32</v>
      </c>
      <c r="C5717" s="7">
        <v>2.3220000000000001</v>
      </c>
      <c r="D5717" s="7">
        <v>11.37</v>
      </c>
      <c r="E5717" s="85">
        <f t="shared" ref="E5717:E5722" si="385">C5717*D5717</f>
        <v>26.401139999999998</v>
      </c>
      <c r="G5717" s="4"/>
    </row>
    <row r="5718" spans="1:7" ht="18" x14ac:dyDescent="0.35">
      <c r="A5718" s="5" t="s">
        <v>57</v>
      </c>
      <c r="B5718" s="50" t="s">
        <v>33</v>
      </c>
      <c r="C5718" s="7">
        <v>12.138</v>
      </c>
      <c r="D5718" s="7">
        <v>14.94</v>
      </c>
      <c r="E5718" s="85">
        <f t="shared" si="385"/>
        <v>181.34171999999998</v>
      </c>
      <c r="F5718" s="132">
        <v>690</v>
      </c>
      <c r="G5718" s="4"/>
    </row>
    <row r="5719" spans="1:7" ht="18" x14ac:dyDescent="0.35">
      <c r="A5719" s="5" t="s">
        <v>1553</v>
      </c>
      <c r="B5719" s="50" t="s">
        <v>1554</v>
      </c>
      <c r="C5719" s="7">
        <v>2</v>
      </c>
      <c r="D5719" s="7">
        <v>3.51</v>
      </c>
      <c r="E5719" s="85">
        <f t="shared" si="385"/>
        <v>7.02</v>
      </c>
      <c r="G5719" s="4"/>
    </row>
    <row r="5720" spans="1:7" ht="18" x14ac:dyDescent="0.35">
      <c r="A5720" s="5"/>
      <c r="B5720" s="50" t="s">
        <v>34</v>
      </c>
      <c r="C5720" s="7">
        <v>0.7</v>
      </c>
      <c r="D5720" s="7">
        <v>14.61</v>
      </c>
      <c r="E5720" s="85">
        <f t="shared" si="385"/>
        <v>10.226999999999999</v>
      </c>
      <c r="G5720" s="4"/>
    </row>
    <row r="5721" spans="1:7" ht="18" x14ac:dyDescent="0.35">
      <c r="A5721" s="5"/>
      <c r="B5721" s="50" t="s">
        <v>35</v>
      </c>
      <c r="C5721" s="7">
        <v>4</v>
      </c>
      <c r="D5721" s="7">
        <v>2.91</v>
      </c>
      <c r="E5721" s="85">
        <f t="shared" si="385"/>
        <v>11.64</v>
      </c>
      <c r="G5721" s="4"/>
    </row>
    <row r="5722" spans="1:7" ht="18" x14ac:dyDescent="0.35">
      <c r="A5722" s="5"/>
      <c r="B5722" s="50" t="s">
        <v>36</v>
      </c>
      <c r="C5722" s="7">
        <v>4</v>
      </c>
      <c r="D5722" s="7">
        <v>0.61</v>
      </c>
      <c r="E5722" s="85">
        <f t="shared" si="385"/>
        <v>2.44</v>
      </c>
      <c r="G5722" s="4"/>
    </row>
    <row r="5723" spans="1:7" ht="18" x14ac:dyDescent="0.35">
      <c r="A5723" s="5"/>
      <c r="B5723" s="5"/>
      <c r="C5723" s="54"/>
      <c r="D5723" s="54"/>
      <c r="E5723" s="89">
        <f>SUM(E5717:E5722)</f>
        <v>239.06986000000001</v>
      </c>
    </row>
    <row r="5724" spans="1:7" ht="18" x14ac:dyDescent="0.35">
      <c r="A5724" s="5"/>
      <c r="B5724" s="5"/>
      <c r="C5724" s="54"/>
      <c r="D5724" s="54" t="s">
        <v>1063</v>
      </c>
      <c r="E5724" s="89">
        <f>E5723+E5723*40%</f>
        <v>334.69780400000002</v>
      </c>
    </row>
    <row r="5725" spans="1:7" ht="18" x14ac:dyDescent="0.35">
      <c r="A5725" s="5"/>
      <c r="B5725" s="50" t="s">
        <v>37</v>
      </c>
      <c r="C5725" s="54">
        <v>0.5</v>
      </c>
      <c r="D5725" s="54">
        <v>200</v>
      </c>
      <c r="E5725" s="85">
        <f>C5725*D5725</f>
        <v>100</v>
      </c>
    </row>
    <row r="5726" spans="1:7" ht="18" x14ac:dyDescent="0.35">
      <c r="A5726" s="5"/>
      <c r="B5726" s="5"/>
      <c r="C5726" s="54"/>
      <c r="D5726" s="54"/>
      <c r="E5726" s="85">
        <f>SUM(E5724:E5725)</f>
        <v>434.69780400000002</v>
      </c>
    </row>
    <row r="5728" spans="1:7" ht="21" x14ac:dyDescent="0.4">
      <c r="A5728" s="40" t="s">
        <v>1555</v>
      </c>
      <c r="B5728" s="40"/>
      <c r="C5728" s="84"/>
    </row>
    <row r="5729" spans="1:5" ht="18" x14ac:dyDescent="0.35">
      <c r="A5729" s="5" t="s">
        <v>1701</v>
      </c>
      <c r="B5729" s="5"/>
      <c r="C5729" s="7" t="s">
        <v>28</v>
      </c>
      <c r="D5729" s="7" t="s">
        <v>29</v>
      </c>
      <c r="E5729" s="7" t="s">
        <v>30</v>
      </c>
    </row>
    <row r="5730" spans="1:5" ht="18" x14ac:dyDescent="0.35">
      <c r="A5730" s="5" t="s">
        <v>1556</v>
      </c>
      <c r="B5730" s="50" t="s">
        <v>32</v>
      </c>
      <c r="C5730" s="7">
        <v>1.333</v>
      </c>
      <c r="D5730" s="7">
        <v>10.34</v>
      </c>
      <c r="E5730" s="85">
        <f t="shared" ref="E5730:E5735" si="386">C5730*D5730</f>
        <v>13.78322</v>
      </c>
    </row>
    <row r="5731" spans="1:5" ht="18" x14ac:dyDescent="0.35">
      <c r="A5731" s="5" t="s">
        <v>56</v>
      </c>
      <c r="B5731" s="50" t="s">
        <v>33</v>
      </c>
      <c r="C5731" s="7">
        <v>42.325000000000003</v>
      </c>
      <c r="D5731" s="7">
        <v>16.170000000000002</v>
      </c>
      <c r="E5731" s="85">
        <f t="shared" si="386"/>
        <v>684.39525000000015</v>
      </c>
    </row>
    <row r="5732" spans="1:5" ht="18" x14ac:dyDescent="0.35">
      <c r="A5732" s="5" t="s">
        <v>1557</v>
      </c>
      <c r="B5732" s="50" t="s">
        <v>98</v>
      </c>
      <c r="C5732" s="7">
        <v>2</v>
      </c>
      <c r="D5732" s="7">
        <v>3.29</v>
      </c>
      <c r="E5732" s="85">
        <f t="shared" si="386"/>
        <v>6.58</v>
      </c>
    </row>
    <row r="5733" spans="1:5" ht="18" x14ac:dyDescent="0.35">
      <c r="A5733" s="5"/>
      <c r="B5733" s="50" t="s">
        <v>34</v>
      </c>
      <c r="C5733" s="7">
        <v>2.52</v>
      </c>
      <c r="D5733" s="7">
        <v>14.61</v>
      </c>
      <c r="E5733" s="85">
        <f t="shared" si="386"/>
        <v>36.8172</v>
      </c>
    </row>
    <row r="5734" spans="1:5" ht="18" x14ac:dyDescent="0.35">
      <c r="A5734" s="5"/>
      <c r="B5734" s="50" t="s">
        <v>35</v>
      </c>
      <c r="C5734" s="7">
        <v>4</v>
      </c>
      <c r="D5734" s="7">
        <v>2.91</v>
      </c>
      <c r="E5734" s="85">
        <f t="shared" si="386"/>
        <v>11.64</v>
      </c>
    </row>
    <row r="5735" spans="1:5" ht="18" x14ac:dyDescent="0.35">
      <c r="A5735" s="5"/>
      <c r="B5735" s="50" t="s">
        <v>36</v>
      </c>
      <c r="C5735" s="7">
        <v>4</v>
      </c>
      <c r="D5735" s="7">
        <v>0.61</v>
      </c>
      <c r="E5735" s="85">
        <f t="shared" si="386"/>
        <v>2.44</v>
      </c>
    </row>
    <row r="5736" spans="1:5" ht="18" x14ac:dyDescent="0.35">
      <c r="A5736" s="5"/>
      <c r="B5736" s="5"/>
      <c r="C5736" s="54"/>
      <c r="D5736" s="54"/>
      <c r="E5736" s="89">
        <f>SUM(E5730:E5735)</f>
        <v>755.65567000000021</v>
      </c>
    </row>
    <row r="5737" spans="1:5" ht="18" x14ac:dyDescent="0.35">
      <c r="A5737" s="5"/>
      <c r="B5737" s="5"/>
      <c r="C5737" s="54"/>
      <c r="D5737" s="54" t="s">
        <v>1063</v>
      </c>
      <c r="E5737" s="89">
        <f>E5736+E5736*40%</f>
        <v>1057.9179380000003</v>
      </c>
    </row>
    <row r="5738" spans="1:5" ht="18" x14ac:dyDescent="0.35">
      <c r="A5738" s="5"/>
      <c r="B5738" s="50" t="s">
        <v>37</v>
      </c>
      <c r="C5738" s="54">
        <v>1.5</v>
      </c>
      <c r="D5738" s="54">
        <v>200</v>
      </c>
      <c r="E5738" s="85">
        <f>C5738*D5738</f>
        <v>300</v>
      </c>
    </row>
    <row r="5739" spans="1:5" ht="18" x14ac:dyDescent="0.35">
      <c r="A5739" s="5"/>
      <c r="B5739" s="5"/>
      <c r="C5739" s="54"/>
      <c r="D5739" s="54"/>
      <c r="E5739" s="85">
        <f>SUM(E5737:E5738)</f>
        <v>1357.9179380000003</v>
      </c>
    </row>
    <row r="5741" spans="1:5" ht="21" x14ac:dyDescent="0.4">
      <c r="A5741" s="40" t="s">
        <v>1558</v>
      </c>
      <c r="B5741" s="40"/>
      <c r="C5741" s="84"/>
    </row>
    <row r="5742" spans="1:5" ht="18" x14ac:dyDescent="0.35">
      <c r="A5742" s="5" t="s">
        <v>1559</v>
      </c>
      <c r="B5742" s="5"/>
      <c r="C5742" s="7" t="s">
        <v>28</v>
      </c>
      <c r="D5742" s="7" t="s">
        <v>29</v>
      </c>
      <c r="E5742" s="7" t="s">
        <v>30</v>
      </c>
    </row>
    <row r="5743" spans="1:5" ht="18" x14ac:dyDescent="0.35">
      <c r="A5743" s="5" t="s">
        <v>1560</v>
      </c>
      <c r="B5743" s="50" t="s">
        <v>32</v>
      </c>
      <c r="C5743" s="7">
        <v>3.1840000000000002</v>
      </c>
      <c r="D5743" s="7">
        <v>10.34</v>
      </c>
      <c r="E5743" s="85">
        <f t="shared" ref="E5743:E5748" si="387">C5743*D5743</f>
        <v>32.922560000000004</v>
      </c>
    </row>
    <row r="5744" spans="1:5" ht="18" x14ac:dyDescent="0.35">
      <c r="A5744" s="5" t="s">
        <v>714</v>
      </c>
      <c r="B5744" s="50" t="s">
        <v>33</v>
      </c>
      <c r="C5744" s="7">
        <v>22.869</v>
      </c>
      <c r="D5744" s="7">
        <v>16.170000000000002</v>
      </c>
      <c r="E5744" s="85">
        <f t="shared" si="387"/>
        <v>369.79173000000003</v>
      </c>
    </row>
    <row r="5745" spans="1:5" ht="18" x14ac:dyDescent="0.35">
      <c r="A5745" s="5" t="s">
        <v>1561</v>
      </c>
      <c r="B5745" s="50" t="s">
        <v>1004</v>
      </c>
      <c r="C5745" s="7">
        <v>2</v>
      </c>
      <c r="D5745" s="7">
        <v>2.2400000000000002</v>
      </c>
      <c r="E5745" s="85">
        <f t="shared" si="387"/>
        <v>4.4800000000000004</v>
      </c>
    </row>
    <row r="5746" spans="1:5" ht="18" x14ac:dyDescent="0.35">
      <c r="A5746" s="5"/>
      <c r="B5746" s="50" t="s">
        <v>34</v>
      </c>
      <c r="C5746" s="7">
        <v>1.4</v>
      </c>
      <c r="D5746" s="7">
        <v>14.61</v>
      </c>
      <c r="E5746" s="85">
        <f t="shared" si="387"/>
        <v>20.453999999999997</v>
      </c>
    </row>
    <row r="5747" spans="1:5" ht="18" x14ac:dyDescent="0.35">
      <c r="A5747" s="5"/>
      <c r="B5747" s="50" t="s">
        <v>35</v>
      </c>
      <c r="C5747" s="7">
        <v>4</v>
      </c>
      <c r="D5747" s="7">
        <v>2.91</v>
      </c>
      <c r="E5747" s="85">
        <f t="shared" si="387"/>
        <v>11.64</v>
      </c>
    </row>
    <row r="5748" spans="1:5" ht="18" x14ac:dyDescent="0.35">
      <c r="A5748" s="5"/>
      <c r="B5748" s="50" t="s">
        <v>36</v>
      </c>
      <c r="C5748" s="7">
        <v>4</v>
      </c>
      <c r="D5748" s="7">
        <v>0.61</v>
      </c>
      <c r="E5748" s="85">
        <f t="shared" si="387"/>
        <v>2.44</v>
      </c>
    </row>
    <row r="5749" spans="1:5" ht="18" x14ac:dyDescent="0.35">
      <c r="A5749" s="5"/>
      <c r="B5749" s="5"/>
      <c r="C5749" s="54"/>
      <c r="D5749" s="54"/>
      <c r="E5749" s="89">
        <f>SUM(E5743:E5748)</f>
        <v>441.72829000000002</v>
      </c>
    </row>
    <row r="5750" spans="1:5" ht="18" x14ac:dyDescent="0.35">
      <c r="A5750" s="5"/>
      <c r="B5750" s="5"/>
      <c r="C5750" s="54"/>
      <c r="D5750" s="54" t="s">
        <v>1063</v>
      </c>
      <c r="E5750" s="89">
        <f>E5749+E5749*40%</f>
        <v>618.41960600000004</v>
      </c>
    </row>
    <row r="5751" spans="1:5" ht="18" x14ac:dyDescent="0.35">
      <c r="A5751" s="5"/>
      <c r="B5751" s="50" t="s">
        <v>37</v>
      </c>
      <c r="C5751" s="54">
        <v>1</v>
      </c>
      <c r="D5751" s="54">
        <v>200</v>
      </c>
      <c r="E5751" s="85">
        <f>C5751*D5751</f>
        <v>200</v>
      </c>
    </row>
    <row r="5752" spans="1:5" ht="18" x14ac:dyDescent="0.35">
      <c r="A5752" s="5"/>
      <c r="B5752" s="5"/>
      <c r="C5752" s="54"/>
      <c r="D5752" s="54"/>
      <c r="E5752" s="85">
        <f>SUM(E5750:E5751)</f>
        <v>818.41960600000004</v>
      </c>
    </row>
    <row r="5754" spans="1:5" ht="21" x14ac:dyDescent="0.4">
      <c r="A5754" s="40" t="s">
        <v>1563</v>
      </c>
      <c r="B5754" s="40"/>
      <c r="C5754" s="84"/>
    </row>
    <row r="5755" spans="1:5" ht="18" x14ac:dyDescent="0.35">
      <c r="A5755" s="5" t="s">
        <v>1562</v>
      </c>
      <c r="B5755" s="5"/>
      <c r="C5755" s="7" t="s">
        <v>28</v>
      </c>
      <c r="D5755" s="7" t="s">
        <v>29</v>
      </c>
      <c r="E5755" s="7" t="s">
        <v>30</v>
      </c>
    </row>
    <row r="5756" spans="1:5" ht="18" x14ac:dyDescent="0.35">
      <c r="A5756" s="5" t="s">
        <v>107</v>
      </c>
      <c r="B5756" s="50" t="s">
        <v>32</v>
      </c>
      <c r="C5756" s="7">
        <v>2.448</v>
      </c>
      <c r="D5756" s="7">
        <v>10.34</v>
      </c>
      <c r="E5756" s="85">
        <f t="shared" ref="E5756:E5761" si="388">C5756*D5756</f>
        <v>25.31232</v>
      </c>
    </row>
    <row r="5757" spans="1:5" ht="18" x14ac:dyDescent="0.35">
      <c r="A5757" s="5" t="s">
        <v>217</v>
      </c>
      <c r="B5757" s="50" t="s">
        <v>33</v>
      </c>
      <c r="C5757" s="7">
        <v>11.613</v>
      </c>
      <c r="D5757" s="7">
        <v>16.170000000000002</v>
      </c>
      <c r="E5757" s="85">
        <f t="shared" si="388"/>
        <v>187.78221000000002</v>
      </c>
    </row>
    <row r="5758" spans="1:5" ht="18" x14ac:dyDescent="0.35">
      <c r="A5758" s="5" t="s">
        <v>1564</v>
      </c>
      <c r="B5758" s="50" t="s">
        <v>86</v>
      </c>
      <c r="C5758" s="7">
        <v>2</v>
      </c>
      <c r="D5758" s="7">
        <v>1.7</v>
      </c>
      <c r="E5758" s="85">
        <f t="shared" si="388"/>
        <v>3.4</v>
      </c>
    </row>
    <row r="5759" spans="1:5" ht="18" x14ac:dyDescent="0.35">
      <c r="A5759" s="5"/>
      <c r="B5759" s="50" t="s">
        <v>34</v>
      </c>
      <c r="C5759" s="7">
        <v>0.315</v>
      </c>
      <c r="D5759" s="7">
        <v>14.61</v>
      </c>
      <c r="E5759" s="85">
        <f t="shared" si="388"/>
        <v>4.60215</v>
      </c>
    </row>
    <row r="5760" spans="1:5" ht="18" x14ac:dyDescent="0.35">
      <c r="A5760" s="5"/>
      <c r="B5760" s="50" t="s">
        <v>35</v>
      </c>
      <c r="C5760" s="7">
        <v>4</v>
      </c>
      <c r="D5760" s="7">
        <v>2.91</v>
      </c>
      <c r="E5760" s="85">
        <f t="shared" si="388"/>
        <v>11.64</v>
      </c>
    </row>
    <row r="5761" spans="1:5" ht="18" x14ac:dyDescent="0.35">
      <c r="A5761" s="5"/>
      <c r="B5761" s="50" t="s">
        <v>36</v>
      </c>
      <c r="C5761" s="7">
        <v>4</v>
      </c>
      <c r="D5761" s="7">
        <v>0.61</v>
      </c>
      <c r="E5761" s="85">
        <f t="shared" si="388"/>
        <v>2.44</v>
      </c>
    </row>
    <row r="5762" spans="1:5" ht="18" x14ac:dyDescent="0.35">
      <c r="A5762" s="5"/>
      <c r="B5762" s="5"/>
      <c r="C5762" s="54"/>
      <c r="D5762" s="54"/>
      <c r="E5762" s="89">
        <f>SUM(E5756:E5761)</f>
        <v>235.17668000000003</v>
      </c>
    </row>
    <row r="5763" spans="1:5" ht="18" x14ac:dyDescent="0.35">
      <c r="A5763" s="5"/>
      <c r="B5763" s="5"/>
      <c r="C5763" s="54"/>
      <c r="D5763" s="54" t="s">
        <v>1063</v>
      </c>
      <c r="E5763" s="89">
        <f>E5762+E5762*40%</f>
        <v>329.24735200000003</v>
      </c>
    </row>
    <row r="5764" spans="1:5" ht="18" x14ac:dyDescent="0.35">
      <c r="A5764" s="5"/>
      <c r="B5764" s="50" t="s">
        <v>37</v>
      </c>
      <c r="C5764" s="54">
        <v>0.7</v>
      </c>
      <c r="D5764" s="54">
        <v>200</v>
      </c>
      <c r="E5764" s="85">
        <f>C5764*D5764</f>
        <v>140</v>
      </c>
    </row>
    <row r="5765" spans="1:5" ht="18" x14ac:dyDescent="0.35">
      <c r="A5765" s="5"/>
      <c r="B5765" s="5"/>
      <c r="C5765" s="54"/>
      <c r="D5765" s="54"/>
      <c r="E5765" s="85">
        <f>SUM(E5763:E5764)</f>
        <v>469.24735200000003</v>
      </c>
    </row>
    <row r="5767" spans="1:5" ht="21" x14ac:dyDescent="0.4">
      <c r="A5767" s="40" t="s">
        <v>805</v>
      </c>
      <c r="B5767" s="40"/>
      <c r="C5767" s="40"/>
      <c r="D5767" s="12"/>
      <c r="E5767" s="12"/>
    </row>
    <row r="5768" spans="1:5" ht="18" x14ac:dyDescent="0.35">
      <c r="A5768" s="5"/>
      <c r="B5768" s="5"/>
      <c r="C5768" s="7" t="s">
        <v>28</v>
      </c>
      <c r="D5768" s="7" t="s">
        <v>29</v>
      </c>
      <c r="E5768" s="7" t="s">
        <v>30</v>
      </c>
    </row>
    <row r="5769" spans="1:5" ht="18" x14ac:dyDescent="0.35">
      <c r="A5769" s="5" t="s">
        <v>107</v>
      </c>
      <c r="B5769" s="50" t="s">
        <v>32</v>
      </c>
      <c r="C5769" s="7">
        <v>2.448</v>
      </c>
      <c r="D5769" s="7">
        <v>10.34</v>
      </c>
      <c r="E5769" s="85">
        <f>C5769*D5769</f>
        <v>25.31232</v>
      </c>
    </row>
    <row r="5770" spans="1:5" ht="18" x14ac:dyDescent="0.35">
      <c r="A5770" s="5" t="s">
        <v>1565</v>
      </c>
      <c r="B5770" s="50" t="s">
        <v>33</v>
      </c>
      <c r="C5770" s="7">
        <v>17.419</v>
      </c>
      <c r="D5770" s="7">
        <v>17.059999999999999</v>
      </c>
      <c r="E5770" s="85">
        <f>C5770*D5770</f>
        <v>297.16813999999999</v>
      </c>
    </row>
    <row r="5771" spans="1:5" ht="18" x14ac:dyDescent="0.35">
      <c r="A5771" s="5" t="s">
        <v>431</v>
      </c>
      <c r="B5771" s="50" t="s">
        <v>137</v>
      </c>
      <c r="C5771" s="7">
        <v>0.63</v>
      </c>
      <c r="D5771" s="7">
        <v>15.25</v>
      </c>
      <c r="E5771" s="85">
        <f>C5771*D5771</f>
        <v>9.6074999999999999</v>
      </c>
    </row>
    <row r="5772" spans="1:5" ht="18" x14ac:dyDescent="0.35">
      <c r="A5772" s="5"/>
      <c r="B5772" s="50" t="s">
        <v>35</v>
      </c>
      <c r="C5772" s="7">
        <v>4</v>
      </c>
      <c r="D5772" s="7">
        <v>2.91</v>
      </c>
      <c r="E5772" s="85">
        <f>C5772*D5772</f>
        <v>11.64</v>
      </c>
    </row>
    <row r="5773" spans="1:5" ht="18" x14ac:dyDescent="0.35">
      <c r="A5773" s="5"/>
      <c r="B5773" s="50" t="s">
        <v>36</v>
      </c>
      <c r="C5773" s="7">
        <v>4</v>
      </c>
      <c r="D5773" s="7">
        <v>0.61</v>
      </c>
      <c r="E5773" s="85">
        <f>C5773*D5773</f>
        <v>2.44</v>
      </c>
    </row>
    <row r="5774" spans="1:5" ht="18" x14ac:dyDescent="0.35">
      <c r="A5774" s="5"/>
      <c r="B5774" s="50"/>
      <c r="C5774" s="87"/>
      <c r="D5774" s="88"/>
      <c r="E5774" s="85">
        <f>SUM(E5769:E5773)</f>
        <v>346.16795999999999</v>
      </c>
    </row>
    <row r="5775" spans="1:5" ht="18" x14ac:dyDescent="0.35">
      <c r="A5775" s="5"/>
      <c r="B5775" s="50"/>
      <c r="C5775" s="87"/>
      <c r="D5775" s="88" t="s">
        <v>1266</v>
      </c>
      <c r="E5775" s="85">
        <f>E5774+E5774*40%</f>
        <v>484.63514399999997</v>
      </c>
    </row>
    <row r="5776" spans="1:5" ht="18" x14ac:dyDescent="0.35">
      <c r="A5776" s="5"/>
      <c r="B5776" s="50" t="s">
        <v>37</v>
      </c>
      <c r="C5776" s="54">
        <v>0.7</v>
      </c>
      <c r="D5776" s="86">
        <v>200</v>
      </c>
      <c r="E5776" s="85">
        <f>C5776*D5776</f>
        <v>140</v>
      </c>
    </row>
    <row r="5777" spans="1:5" ht="18" x14ac:dyDescent="0.35">
      <c r="A5777" s="5"/>
      <c r="B5777" s="5"/>
      <c r="C5777" s="54"/>
      <c r="D5777" s="54"/>
      <c r="E5777" s="85">
        <f>SUM(E5775:E5776)</f>
        <v>624.63514399999997</v>
      </c>
    </row>
    <row r="5779" spans="1:5" ht="21" x14ac:dyDescent="0.4">
      <c r="A5779" s="40" t="s">
        <v>1563</v>
      </c>
      <c r="B5779" s="40"/>
      <c r="C5779" s="84"/>
    </row>
    <row r="5780" spans="1:5" ht="18" x14ac:dyDescent="0.35">
      <c r="A5780" s="5" t="s">
        <v>1562</v>
      </c>
      <c r="B5780" s="5"/>
      <c r="C5780" s="7" t="s">
        <v>28</v>
      </c>
      <c r="D5780" s="7" t="s">
        <v>29</v>
      </c>
      <c r="E5780" s="7" t="s">
        <v>30</v>
      </c>
    </row>
    <row r="5781" spans="1:5" ht="18" x14ac:dyDescent="0.35">
      <c r="A5781" s="5" t="s">
        <v>107</v>
      </c>
      <c r="B5781" s="50" t="s">
        <v>32</v>
      </c>
      <c r="C5781" s="7">
        <v>2.448</v>
      </c>
      <c r="D5781" s="7">
        <v>10.34</v>
      </c>
      <c r="E5781" s="85">
        <f t="shared" ref="E5781:E5786" si="389">C5781*D5781</f>
        <v>25.31232</v>
      </c>
    </row>
    <row r="5782" spans="1:5" ht="18" x14ac:dyDescent="0.35">
      <c r="A5782" s="5" t="s">
        <v>217</v>
      </c>
      <c r="B5782" s="50" t="s">
        <v>33</v>
      </c>
      <c r="C5782" s="7">
        <v>11.613</v>
      </c>
      <c r="D5782" s="7">
        <v>16.170000000000002</v>
      </c>
      <c r="E5782" s="85">
        <f t="shared" si="389"/>
        <v>187.78221000000002</v>
      </c>
    </row>
    <row r="5783" spans="1:5" ht="18" x14ac:dyDescent="0.35">
      <c r="A5783" s="5" t="s">
        <v>1564</v>
      </c>
      <c r="B5783" s="50" t="s">
        <v>86</v>
      </c>
      <c r="C5783" s="7">
        <v>2</v>
      </c>
      <c r="D5783" s="7">
        <v>1.7</v>
      </c>
      <c r="E5783" s="85">
        <f t="shared" si="389"/>
        <v>3.4</v>
      </c>
    </row>
    <row r="5784" spans="1:5" ht="18" x14ac:dyDescent="0.35">
      <c r="A5784" s="5"/>
      <c r="B5784" s="50" t="s">
        <v>34</v>
      </c>
      <c r="C5784" s="7">
        <v>0.315</v>
      </c>
      <c r="D5784" s="7">
        <v>14.61</v>
      </c>
      <c r="E5784" s="85">
        <f t="shared" si="389"/>
        <v>4.60215</v>
      </c>
    </row>
    <row r="5785" spans="1:5" ht="18" x14ac:dyDescent="0.35">
      <c r="A5785" s="5"/>
      <c r="B5785" s="50" t="s">
        <v>35</v>
      </c>
      <c r="C5785" s="7">
        <v>4</v>
      </c>
      <c r="D5785" s="7">
        <v>2.91</v>
      </c>
      <c r="E5785" s="85">
        <f t="shared" si="389"/>
        <v>11.64</v>
      </c>
    </row>
    <row r="5786" spans="1:5" ht="18" x14ac:dyDescent="0.35">
      <c r="A5786" s="5"/>
      <c r="B5786" s="50" t="s">
        <v>36</v>
      </c>
      <c r="C5786" s="7">
        <v>4</v>
      </c>
      <c r="D5786" s="7">
        <v>0.61</v>
      </c>
      <c r="E5786" s="85">
        <f t="shared" si="389"/>
        <v>2.44</v>
      </c>
    </row>
    <row r="5787" spans="1:5" ht="18" x14ac:dyDescent="0.35">
      <c r="A5787" s="5"/>
      <c r="B5787" s="5"/>
      <c r="C5787" s="54"/>
      <c r="D5787" s="54"/>
      <c r="E5787" s="89">
        <f>SUM(E5781:E5786)</f>
        <v>235.17668000000003</v>
      </c>
    </row>
    <row r="5788" spans="1:5" ht="18" x14ac:dyDescent="0.35">
      <c r="A5788" s="5"/>
      <c r="B5788" s="5"/>
      <c r="C5788" s="54"/>
      <c r="D5788" s="54" t="s">
        <v>1063</v>
      </c>
      <c r="E5788" s="89">
        <f>E5787+E5787*40%</f>
        <v>329.24735200000003</v>
      </c>
    </row>
    <row r="5789" spans="1:5" ht="18" x14ac:dyDescent="0.35">
      <c r="A5789" s="5"/>
      <c r="B5789" s="50" t="s">
        <v>37</v>
      </c>
      <c r="C5789" s="54">
        <v>0.7</v>
      </c>
      <c r="D5789" s="54">
        <v>200</v>
      </c>
      <c r="E5789" s="85">
        <f>C5789*D5789</f>
        <v>140</v>
      </c>
    </row>
    <row r="5790" spans="1:5" ht="18" x14ac:dyDescent="0.35">
      <c r="A5790" s="5"/>
      <c r="B5790" s="5"/>
      <c r="C5790" s="54"/>
      <c r="D5790" s="54"/>
      <c r="E5790" s="85">
        <f>SUM(E5788:E5789)</f>
        <v>469.24735200000003</v>
      </c>
    </row>
    <row r="5792" spans="1:5" ht="21" x14ac:dyDescent="0.4">
      <c r="A5792" s="40" t="s">
        <v>1566</v>
      </c>
      <c r="B5792" s="40"/>
      <c r="C5792" s="84"/>
    </row>
    <row r="5793" spans="1:5" ht="18" x14ac:dyDescent="0.35">
      <c r="A5793" s="5" t="s">
        <v>1562</v>
      </c>
      <c r="B5793" s="5"/>
      <c r="C5793" s="7" t="s">
        <v>28</v>
      </c>
      <c r="D5793" s="7" t="s">
        <v>29</v>
      </c>
      <c r="E5793" s="7" t="s">
        <v>30</v>
      </c>
    </row>
    <row r="5794" spans="1:5" ht="18" x14ac:dyDescent="0.35">
      <c r="A5794" s="5" t="s">
        <v>1567</v>
      </c>
      <c r="B5794" s="50" t="s">
        <v>32</v>
      </c>
      <c r="C5794" s="7">
        <v>2.448</v>
      </c>
      <c r="D5794" s="7">
        <v>11.37</v>
      </c>
      <c r="E5794" s="85">
        <f t="shared" ref="E5794:E5799" si="390">C5794*D5794</f>
        <v>27.833759999999998</v>
      </c>
    </row>
    <row r="5795" spans="1:5" ht="18" x14ac:dyDescent="0.35">
      <c r="A5795" s="5" t="s">
        <v>538</v>
      </c>
      <c r="B5795" s="50" t="s">
        <v>33</v>
      </c>
      <c r="C5795" s="7">
        <v>11.613</v>
      </c>
      <c r="D5795" s="7">
        <v>14.94</v>
      </c>
      <c r="E5795" s="85">
        <f t="shared" si="390"/>
        <v>173.49821999999998</v>
      </c>
    </row>
    <row r="5796" spans="1:5" ht="18" x14ac:dyDescent="0.35">
      <c r="A5796" s="5" t="s">
        <v>1564</v>
      </c>
      <c r="B5796" s="50" t="s">
        <v>1554</v>
      </c>
      <c r="C5796" s="7">
        <v>2</v>
      </c>
      <c r="D5796" s="7">
        <v>3.51</v>
      </c>
      <c r="E5796" s="85">
        <f t="shared" si="390"/>
        <v>7.02</v>
      </c>
    </row>
    <row r="5797" spans="1:5" ht="18" x14ac:dyDescent="0.35">
      <c r="A5797" s="5"/>
      <c r="B5797" s="50" t="s">
        <v>34</v>
      </c>
      <c r="C5797" s="7">
        <v>2.1800000000000002</v>
      </c>
      <c r="D5797" s="7">
        <v>14.61</v>
      </c>
      <c r="E5797" s="85">
        <f t="shared" si="390"/>
        <v>31.849800000000002</v>
      </c>
    </row>
    <row r="5798" spans="1:5" ht="18" x14ac:dyDescent="0.35">
      <c r="A5798" s="5"/>
      <c r="B5798" s="50" t="s">
        <v>35</v>
      </c>
      <c r="C5798" s="7">
        <v>4</v>
      </c>
      <c r="D5798" s="7">
        <v>2.91</v>
      </c>
      <c r="E5798" s="85">
        <f t="shared" si="390"/>
        <v>11.64</v>
      </c>
    </row>
    <row r="5799" spans="1:5" ht="18" x14ac:dyDescent="0.35">
      <c r="A5799" s="5"/>
      <c r="B5799" s="50" t="s">
        <v>36</v>
      </c>
      <c r="C5799" s="7">
        <v>4</v>
      </c>
      <c r="D5799" s="7">
        <v>0.61</v>
      </c>
      <c r="E5799" s="85">
        <f t="shared" si="390"/>
        <v>2.44</v>
      </c>
    </row>
    <row r="5800" spans="1:5" ht="18" x14ac:dyDescent="0.35">
      <c r="A5800" s="5"/>
      <c r="B5800" s="5"/>
      <c r="C5800" s="54"/>
      <c r="D5800" s="54"/>
      <c r="E5800" s="89">
        <f>SUM(E5794:E5799)</f>
        <v>254.28177999999997</v>
      </c>
    </row>
    <row r="5801" spans="1:5" ht="18" x14ac:dyDescent="0.35">
      <c r="A5801" s="5"/>
      <c r="B5801" s="5"/>
      <c r="C5801" s="54"/>
      <c r="D5801" s="54" t="s">
        <v>1063</v>
      </c>
      <c r="E5801" s="89">
        <f>E5800+E5800*40%</f>
        <v>355.99449199999998</v>
      </c>
    </row>
    <row r="5802" spans="1:5" ht="18" x14ac:dyDescent="0.35">
      <c r="A5802" s="5"/>
      <c r="B5802" s="50" t="s">
        <v>37</v>
      </c>
      <c r="C5802" s="54">
        <v>1.5</v>
      </c>
      <c r="D5802" s="54">
        <v>200</v>
      </c>
      <c r="E5802" s="85">
        <f>C5802*D5802</f>
        <v>300</v>
      </c>
    </row>
    <row r="5803" spans="1:5" ht="18" x14ac:dyDescent="0.35">
      <c r="A5803" s="5"/>
      <c r="B5803" s="5"/>
      <c r="C5803" s="54"/>
      <c r="D5803" s="54"/>
      <c r="E5803" s="85">
        <f>SUM(E5801:E5802)</f>
        <v>655.99449200000004</v>
      </c>
    </row>
    <row r="5805" spans="1:5" ht="21" x14ac:dyDescent="0.4">
      <c r="A5805" s="40" t="s">
        <v>1568</v>
      </c>
      <c r="B5805" s="40"/>
      <c r="C5805" s="40"/>
      <c r="D5805" s="12"/>
      <c r="E5805" s="12"/>
    </row>
    <row r="5806" spans="1:5" ht="18" x14ac:dyDescent="0.35">
      <c r="A5806" s="5"/>
      <c r="B5806" s="5"/>
      <c r="C5806" s="7" t="s">
        <v>28</v>
      </c>
      <c r="D5806" s="7" t="s">
        <v>29</v>
      </c>
      <c r="E5806" s="7" t="s">
        <v>30</v>
      </c>
    </row>
    <row r="5807" spans="1:5" ht="18" x14ac:dyDescent="0.35">
      <c r="A5807" s="5" t="s">
        <v>31</v>
      </c>
      <c r="B5807" s="50" t="s">
        <v>32</v>
      </c>
      <c r="C5807" s="7"/>
      <c r="D5807" s="7">
        <v>10.34</v>
      </c>
      <c r="E5807" s="85">
        <f>C5807*D5807</f>
        <v>0</v>
      </c>
    </row>
    <row r="5808" spans="1:5" ht="18" x14ac:dyDescent="0.35">
      <c r="A5808" s="5" t="s">
        <v>143</v>
      </c>
      <c r="B5808" s="50" t="s">
        <v>33</v>
      </c>
      <c r="C5808" s="7">
        <v>1.1970000000000001</v>
      </c>
      <c r="D5808" s="7">
        <v>17.059999999999999</v>
      </c>
      <c r="E5808" s="85">
        <f>C5808*D5808</f>
        <v>20.420819999999999</v>
      </c>
    </row>
    <row r="5809" spans="1:5" ht="18" x14ac:dyDescent="0.35">
      <c r="A5809" s="5" t="s">
        <v>1048</v>
      </c>
      <c r="B5809" s="50" t="s">
        <v>137</v>
      </c>
      <c r="C5809" s="7">
        <v>0.21</v>
      </c>
      <c r="D5809" s="7">
        <v>15.25</v>
      </c>
      <c r="E5809" s="85">
        <f>C5809*D5809</f>
        <v>3.2024999999999997</v>
      </c>
    </row>
    <row r="5810" spans="1:5" ht="18" x14ac:dyDescent="0.35">
      <c r="A5810" s="5"/>
      <c r="B5810" s="50" t="s">
        <v>35</v>
      </c>
      <c r="C5810" s="7">
        <v>4</v>
      </c>
      <c r="D5810" s="7">
        <v>2.91</v>
      </c>
      <c r="E5810" s="85">
        <f>C5810*D5810</f>
        <v>11.64</v>
      </c>
    </row>
    <row r="5811" spans="1:5" ht="18" x14ac:dyDescent="0.35">
      <c r="A5811" s="5"/>
      <c r="B5811" s="50" t="s">
        <v>36</v>
      </c>
      <c r="C5811" s="7"/>
      <c r="D5811" s="7">
        <v>0.61</v>
      </c>
      <c r="E5811" s="85">
        <f>C5811*D5811</f>
        <v>0</v>
      </c>
    </row>
    <row r="5812" spans="1:5" ht="18" x14ac:dyDescent="0.35">
      <c r="A5812" s="5"/>
      <c r="B5812" s="50"/>
      <c r="C5812" s="87"/>
      <c r="D5812" s="88"/>
      <c r="E5812" s="85">
        <f>SUM(E5807:E5811)</f>
        <v>35.26332</v>
      </c>
    </row>
    <row r="5813" spans="1:5" ht="18" x14ac:dyDescent="0.35">
      <c r="A5813" s="5"/>
      <c r="B5813" s="50"/>
      <c r="C5813" s="87"/>
      <c r="D5813" s="88" t="s">
        <v>1266</v>
      </c>
      <c r="E5813" s="85">
        <f>E5812+E5812*40%</f>
        <v>49.368648</v>
      </c>
    </row>
    <row r="5814" spans="1:5" ht="18" x14ac:dyDescent="0.35">
      <c r="A5814" s="5"/>
      <c r="B5814" s="50" t="s">
        <v>37</v>
      </c>
      <c r="C5814" s="54">
        <v>0.1</v>
      </c>
      <c r="D5814" s="86">
        <v>200</v>
      </c>
      <c r="E5814" s="85">
        <f>C5814*D5814</f>
        <v>20</v>
      </c>
    </row>
    <row r="5815" spans="1:5" ht="18" x14ac:dyDescent="0.35">
      <c r="A5815" s="5"/>
      <c r="B5815" s="5"/>
      <c r="C5815" s="54"/>
      <c r="D5815" s="54"/>
      <c r="E5815" s="85">
        <f>SUM(E5813:E5814)</f>
        <v>69.368648000000007</v>
      </c>
    </row>
    <row r="5818" spans="1:5" ht="21" x14ac:dyDescent="0.4">
      <c r="A5818" s="40" t="s">
        <v>1571</v>
      </c>
      <c r="B5818" s="40"/>
      <c r="C5818" s="84"/>
    </row>
    <row r="5819" spans="1:5" ht="18" x14ac:dyDescent="0.35">
      <c r="A5819" t="s">
        <v>1572</v>
      </c>
      <c r="B5819" s="5"/>
      <c r="C5819" s="7" t="s">
        <v>28</v>
      </c>
      <c r="D5819" s="7" t="s">
        <v>29</v>
      </c>
      <c r="E5819" s="7" t="s">
        <v>30</v>
      </c>
    </row>
    <row r="5820" spans="1:5" ht="18" x14ac:dyDescent="0.35">
      <c r="A5820" s="5" t="s">
        <v>1573</v>
      </c>
      <c r="B5820" s="50" t="s">
        <v>32</v>
      </c>
      <c r="C5820" s="7">
        <v>6.4390000000000001</v>
      </c>
      <c r="D5820" s="7">
        <v>14.93</v>
      </c>
      <c r="E5820" s="85">
        <f t="shared" ref="E5820:E5827" si="391">C5820*D5820</f>
        <v>96.134270000000001</v>
      </c>
    </row>
    <row r="5821" spans="1:5" ht="18" x14ac:dyDescent="0.35">
      <c r="A5821" s="5" t="s">
        <v>1574</v>
      </c>
      <c r="B5821" s="50" t="s">
        <v>33</v>
      </c>
      <c r="C5821" s="7">
        <v>104.47499999999999</v>
      </c>
      <c r="D5821" s="7">
        <v>16.170000000000002</v>
      </c>
      <c r="E5821" s="85">
        <f t="shared" si="391"/>
        <v>1689.3607500000001</v>
      </c>
    </row>
    <row r="5822" spans="1:5" ht="18" x14ac:dyDescent="0.35">
      <c r="A5822" s="5" t="s">
        <v>613</v>
      </c>
      <c r="B5822" s="50" t="s">
        <v>33</v>
      </c>
      <c r="C5822" s="7">
        <v>101.87</v>
      </c>
      <c r="D5822" s="7">
        <v>16.170000000000002</v>
      </c>
      <c r="E5822" s="85">
        <f t="shared" si="391"/>
        <v>1647.2379000000003</v>
      </c>
    </row>
    <row r="5823" spans="1:5" ht="18" x14ac:dyDescent="0.35">
      <c r="A5823" s="5" t="s">
        <v>427</v>
      </c>
      <c r="B5823" s="50" t="s">
        <v>86</v>
      </c>
      <c r="C5823" s="7">
        <v>2</v>
      </c>
      <c r="D5823" s="7">
        <v>1.7</v>
      </c>
      <c r="E5823" s="85">
        <f t="shared" si="391"/>
        <v>3.4</v>
      </c>
    </row>
    <row r="5824" spans="1:5" ht="18" x14ac:dyDescent="0.35">
      <c r="A5824" s="5"/>
      <c r="B5824" s="50" t="s">
        <v>98</v>
      </c>
      <c r="C5824" s="7">
        <v>2</v>
      </c>
      <c r="D5824" s="7">
        <v>3.4</v>
      </c>
      <c r="E5824" s="85">
        <f t="shared" si="391"/>
        <v>6.8</v>
      </c>
    </row>
    <row r="5825" spans="1:5" ht="18" x14ac:dyDescent="0.35">
      <c r="A5825" s="5"/>
      <c r="B5825" s="50" t="s">
        <v>34</v>
      </c>
      <c r="C5825" s="7">
        <v>0.32</v>
      </c>
      <c r="D5825" s="7">
        <v>14.61</v>
      </c>
      <c r="E5825" s="85">
        <f t="shared" si="391"/>
        <v>4.6752000000000002</v>
      </c>
    </row>
    <row r="5826" spans="1:5" ht="18" x14ac:dyDescent="0.35">
      <c r="A5826" s="5"/>
      <c r="B5826" s="50" t="s">
        <v>35</v>
      </c>
      <c r="C5826" s="7">
        <v>4</v>
      </c>
      <c r="D5826" s="7">
        <v>2.91</v>
      </c>
      <c r="E5826" s="85">
        <f t="shared" si="391"/>
        <v>11.64</v>
      </c>
    </row>
    <row r="5827" spans="1:5" ht="18" x14ac:dyDescent="0.35">
      <c r="A5827" s="5"/>
      <c r="B5827" s="50" t="s">
        <v>36</v>
      </c>
      <c r="C5827" s="7">
        <v>4</v>
      </c>
      <c r="D5827" s="7">
        <v>0.61</v>
      </c>
      <c r="E5827" s="85">
        <f t="shared" si="391"/>
        <v>2.44</v>
      </c>
    </row>
    <row r="5828" spans="1:5" ht="18" x14ac:dyDescent="0.35">
      <c r="A5828" s="5"/>
      <c r="B5828" s="5"/>
      <c r="C5828" s="54"/>
      <c r="D5828" s="54"/>
      <c r="E5828" s="89">
        <f>SUM(E5820:E5827)</f>
        <v>3461.6881200000007</v>
      </c>
    </row>
    <row r="5829" spans="1:5" ht="18" x14ac:dyDescent="0.35">
      <c r="A5829" s="5"/>
      <c r="B5829" s="5"/>
      <c r="C5829" s="54"/>
      <c r="D5829" s="54" t="s">
        <v>1063</v>
      </c>
      <c r="E5829" s="89">
        <f>E5828+E5828*40%</f>
        <v>4846.3633680000012</v>
      </c>
    </row>
    <row r="5830" spans="1:5" ht="18" x14ac:dyDescent="0.35">
      <c r="A5830" s="5"/>
      <c r="B5830" s="50" t="s">
        <v>37</v>
      </c>
      <c r="C5830" s="54">
        <v>4</v>
      </c>
      <c r="D5830" s="54">
        <v>200</v>
      </c>
      <c r="E5830" s="85">
        <f>C5830*D5830</f>
        <v>800</v>
      </c>
    </row>
    <row r="5831" spans="1:5" ht="18" x14ac:dyDescent="0.35">
      <c r="A5831" s="5"/>
      <c r="B5831" s="5"/>
      <c r="C5831" s="54"/>
      <c r="D5831" s="54"/>
      <c r="E5831" s="85">
        <f>SUM(E5829:E5830)</f>
        <v>5646.3633680000012</v>
      </c>
    </row>
    <row r="5833" spans="1:5" ht="21" x14ac:dyDescent="0.4">
      <c r="A5833" s="40" t="s">
        <v>1578</v>
      </c>
      <c r="B5833" s="40"/>
      <c r="C5833" s="84"/>
    </row>
    <row r="5834" spans="1:5" ht="18" x14ac:dyDescent="0.35">
      <c r="A5834" t="s">
        <v>1572</v>
      </c>
      <c r="B5834" s="5"/>
      <c r="C5834" s="7" t="s">
        <v>28</v>
      </c>
      <c r="D5834" s="7" t="s">
        <v>29</v>
      </c>
      <c r="E5834" s="7" t="s">
        <v>30</v>
      </c>
    </row>
    <row r="5835" spans="1:5" ht="18" x14ac:dyDescent="0.35">
      <c r="A5835" s="5" t="s">
        <v>81</v>
      </c>
      <c r="B5835" s="50" t="s">
        <v>32</v>
      </c>
      <c r="C5835" s="7">
        <v>2.6579999999999999</v>
      </c>
      <c r="D5835" s="7">
        <v>14.93</v>
      </c>
      <c r="E5835" s="85">
        <f t="shared" ref="E5835:E5842" si="392">C5835*D5835</f>
        <v>39.68394</v>
      </c>
    </row>
    <row r="5836" spans="1:5" ht="18" x14ac:dyDescent="0.35">
      <c r="A5836" s="5" t="s">
        <v>828</v>
      </c>
      <c r="B5836" s="50" t="s">
        <v>33</v>
      </c>
      <c r="C5836" s="7">
        <v>9.3550000000000004</v>
      </c>
      <c r="D5836" s="7">
        <v>16.170000000000002</v>
      </c>
      <c r="E5836" s="85">
        <f t="shared" si="392"/>
        <v>151.27035000000004</v>
      </c>
    </row>
    <row r="5837" spans="1:5" ht="18" x14ac:dyDescent="0.35">
      <c r="A5837" s="5" t="s">
        <v>377</v>
      </c>
      <c r="B5837" s="50" t="s">
        <v>33</v>
      </c>
      <c r="C5837" s="7">
        <v>9.9749999999999996</v>
      </c>
      <c r="D5837" s="7">
        <v>16.170000000000002</v>
      </c>
      <c r="E5837" s="85">
        <f t="shared" si="392"/>
        <v>161.29575</v>
      </c>
    </row>
    <row r="5838" spans="1:5" ht="18" x14ac:dyDescent="0.35">
      <c r="A5838" s="5" t="s">
        <v>659</v>
      </c>
      <c r="B5838" s="50" t="s">
        <v>85</v>
      </c>
      <c r="C5838" s="7">
        <v>2</v>
      </c>
      <c r="D5838" s="7">
        <v>1.48</v>
      </c>
      <c r="E5838" s="85">
        <f t="shared" si="392"/>
        <v>2.96</v>
      </c>
    </row>
    <row r="5839" spans="1:5" ht="18" x14ac:dyDescent="0.35">
      <c r="A5839" s="5"/>
      <c r="B5839" s="50" t="s">
        <v>100</v>
      </c>
      <c r="C5839" s="7">
        <v>2</v>
      </c>
      <c r="D5839" s="7">
        <v>4.4800000000000004</v>
      </c>
      <c r="E5839" s="85">
        <f t="shared" si="392"/>
        <v>8.9600000000000009</v>
      </c>
    </row>
    <row r="5840" spans="1:5" ht="18" x14ac:dyDescent="0.35">
      <c r="A5840" s="5"/>
      <c r="B5840" s="50" t="s">
        <v>34</v>
      </c>
      <c r="C5840" s="7">
        <v>0.84</v>
      </c>
      <c r="D5840" s="7">
        <v>14.61</v>
      </c>
      <c r="E5840" s="85">
        <f t="shared" si="392"/>
        <v>12.272399999999999</v>
      </c>
    </row>
    <row r="5841" spans="1:5" ht="18" x14ac:dyDescent="0.35">
      <c r="A5841" s="5"/>
      <c r="B5841" s="50" t="s">
        <v>35</v>
      </c>
      <c r="C5841" s="7">
        <v>4</v>
      </c>
      <c r="D5841" s="7">
        <v>2.91</v>
      </c>
      <c r="E5841" s="85">
        <f t="shared" si="392"/>
        <v>11.64</v>
      </c>
    </row>
    <row r="5842" spans="1:5" ht="18" x14ac:dyDescent="0.35">
      <c r="A5842" s="5"/>
      <c r="B5842" s="50" t="s">
        <v>36</v>
      </c>
      <c r="C5842" s="7">
        <v>4</v>
      </c>
      <c r="D5842" s="7">
        <v>0.61</v>
      </c>
      <c r="E5842" s="85">
        <f t="shared" si="392"/>
        <v>2.44</v>
      </c>
    </row>
    <row r="5843" spans="1:5" ht="18" x14ac:dyDescent="0.35">
      <c r="A5843" s="5"/>
      <c r="B5843" s="5"/>
      <c r="C5843" s="54"/>
      <c r="D5843" s="54"/>
      <c r="E5843" s="89">
        <f>SUM(E5835:E5842)</f>
        <v>390.52243999999996</v>
      </c>
    </row>
    <row r="5844" spans="1:5" ht="18" x14ac:dyDescent="0.35">
      <c r="A5844" s="5"/>
      <c r="B5844" s="5"/>
      <c r="C5844" s="54"/>
      <c r="D5844" s="54" t="s">
        <v>1063</v>
      </c>
      <c r="E5844" s="89">
        <f>E5843+E5843*40%</f>
        <v>546.73141599999997</v>
      </c>
    </row>
    <row r="5845" spans="1:5" ht="18" x14ac:dyDescent="0.35">
      <c r="A5845" s="5"/>
      <c r="B5845" s="50" t="s">
        <v>37</v>
      </c>
      <c r="C5845" s="54">
        <v>1.5</v>
      </c>
      <c r="D5845" s="54">
        <v>200</v>
      </c>
      <c r="E5845" s="85">
        <f>C5845*D5845</f>
        <v>300</v>
      </c>
    </row>
    <row r="5846" spans="1:5" ht="18" x14ac:dyDescent="0.35">
      <c r="A5846" s="5"/>
      <c r="B5846" s="5"/>
      <c r="C5846" s="54"/>
      <c r="D5846" s="54"/>
      <c r="E5846" s="85">
        <f>SUM(E5844:E5845)</f>
        <v>846.73141599999997</v>
      </c>
    </row>
    <row r="5848" spans="1:5" ht="21" x14ac:dyDescent="0.4">
      <c r="A5848" s="40" t="s">
        <v>957</v>
      </c>
      <c r="B5848" s="40"/>
      <c r="C5848" s="40"/>
      <c r="D5848" s="12"/>
      <c r="E5848" s="12"/>
    </row>
    <row r="5849" spans="1:5" ht="18" x14ac:dyDescent="0.35">
      <c r="A5849" s="5"/>
      <c r="B5849" s="5"/>
      <c r="C5849" s="7" t="s">
        <v>28</v>
      </c>
      <c r="D5849" s="7" t="s">
        <v>29</v>
      </c>
      <c r="E5849" s="7" t="s">
        <v>30</v>
      </c>
    </row>
    <row r="5850" spans="1:5" ht="18" x14ac:dyDescent="0.35">
      <c r="A5850" s="5" t="s">
        <v>204</v>
      </c>
      <c r="B5850" s="50" t="s">
        <v>32</v>
      </c>
      <c r="C5850" s="7">
        <v>1.976</v>
      </c>
      <c r="D5850" s="7">
        <v>10.34</v>
      </c>
      <c r="E5850" s="85">
        <f>C5850*D5850</f>
        <v>20.431840000000001</v>
      </c>
    </row>
    <row r="5851" spans="1:5" ht="18" x14ac:dyDescent="0.35">
      <c r="A5851" s="5" t="s">
        <v>238</v>
      </c>
      <c r="B5851" s="50" t="s">
        <v>33</v>
      </c>
      <c r="C5851" s="7">
        <v>3.3180000000000001</v>
      </c>
      <c r="D5851" s="7">
        <v>17.059999999999999</v>
      </c>
      <c r="E5851" s="85">
        <f>C5851*D5851</f>
        <v>56.605079999999994</v>
      </c>
    </row>
    <row r="5852" spans="1:5" ht="18" x14ac:dyDescent="0.35">
      <c r="A5852" s="5" t="s">
        <v>431</v>
      </c>
      <c r="B5852" s="50" t="s">
        <v>137</v>
      </c>
      <c r="C5852" s="7">
        <v>0.15</v>
      </c>
      <c r="D5852" s="7">
        <v>15.25</v>
      </c>
      <c r="E5852" s="85">
        <f>C5852*D5852</f>
        <v>2.2875000000000001</v>
      </c>
    </row>
    <row r="5853" spans="1:5" ht="18" x14ac:dyDescent="0.35">
      <c r="A5853" s="5"/>
      <c r="B5853" s="50" t="s">
        <v>35</v>
      </c>
      <c r="C5853" s="7">
        <v>4</v>
      </c>
      <c r="D5853" s="7">
        <v>2.91</v>
      </c>
      <c r="E5853" s="85">
        <f>C5853*D5853</f>
        <v>11.64</v>
      </c>
    </row>
    <row r="5854" spans="1:5" ht="18" x14ac:dyDescent="0.35">
      <c r="A5854" s="5"/>
      <c r="B5854" s="50" t="s">
        <v>36</v>
      </c>
      <c r="C5854" s="7">
        <v>4</v>
      </c>
      <c r="D5854" s="7">
        <v>0.61</v>
      </c>
      <c r="E5854" s="85">
        <f>C5854*D5854</f>
        <v>2.44</v>
      </c>
    </row>
    <row r="5855" spans="1:5" ht="18" x14ac:dyDescent="0.35">
      <c r="A5855" s="5"/>
      <c r="B5855" s="50"/>
      <c r="C5855" s="87"/>
      <c r="D5855" s="88"/>
      <c r="E5855" s="85">
        <f>SUM(E5850:E5854)</f>
        <v>93.404419999999988</v>
      </c>
    </row>
    <row r="5856" spans="1:5" ht="18" x14ac:dyDescent="0.35">
      <c r="A5856" s="5"/>
      <c r="B5856" s="50"/>
      <c r="C5856" s="87"/>
      <c r="D5856" s="88" t="s">
        <v>1266</v>
      </c>
      <c r="E5856" s="85">
        <f>E5855+E5855*40%</f>
        <v>130.766188</v>
      </c>
    </row>
    <row r="5857" spans="1:7" ht="18" x14ac:dyDescent="0.35">
      <c r="A5857" s="5"/>
      <c r="B5857" s="50" t="s">
        <v>37</v>
      </c>
      <c r="C5857" s="54">
        <v>0.5</v>
      </c>
      <c r="D5857" s="86">
        <v>200</v>
      </c>
      <c r="E5857" s="85">
        <f>C5857*D5857</f>
        <v>100</v>
      </c>
    </row>
    <row r="5858" spans="1:7" ht="18" x14ac:dyDescent="0.35">
      <c r="A5858" s="5"/>
      <c r="B5858" s="5"/>
      <c r="C5858" s="54"/>
      <c r="D5858" s="54"/>
      <c r="E5858" s="85">
        <f>SUM(E5856:E5857)</f>
        <v>230.766188</v>
      </c>
    </row>
    <row r="5861" spans="1:7" ht="21" x14ac:dyDescent="0.4">
      <c r="A5861" s="40" t="s">
        <v>1580</v>
      </c>
      <c r="B5861" s="40"/>
      <c r="C5861" s="84"/>
    </row>
    <row r="5862" spans="1:7" ht="18" x14ac:dyDescent="0.35">
      <c r="A5862" s="5" t="s">
        <v>1581</v>
      </c>
      <c r="B5862" s="5"/>
      <c r="C5862" s="7" t="s">
        <v>28</v>
      </c>
      <c r="D5862" s="7" t="s">
        <v>29</v>
      </c>
      <c r="E5862" s="7" t="s">
        <v>30</v>
      </c>
    </row>
    <row r="5863" spans="1:7" ht="18" x14ac:dyDescent="0.35">
      <c r="A5863" s="5" t="s">
        <v>1582</v>
      </c>
      <c r="B5863" s="50" t="s">
        <v>32</v>
      </c>
      <c r="C5863" s="7">
        <v>2.4169999999999998</v>
      </c>
      <c r="D5863" s="7">
        <v>10.34</v>
      </c>
      <c r="E5863" s="85">
        <f t="shared" ref="E5863:E5868" si="393">C5863*D5863</f>
        <v>24.991779999999999</v>
      </c>
    </row>
    <row r="5864" spans="1:7" ht="18" x14ac:dyDescent="0.35">
      <c r="A5864" s="5" t="s">
        <v>962</v>
      </c>
      <c r="B5864" s="50" t="s">
        <v>33</v>
      </c>
      <c r="C5864" s="7">
        <v>9.6440000000000001</v>
      </c>
      <c r="D5864" s="7">
        <v>16.170000000000002</v>
      </c>
      <c r="E5864" s="85">
        <f t="shared" si="393"/>
        <v>155.94348000000002</v>
      </c>
    </row>
    <row r="5865" spans="1:7" ht="18" x14ac:dyDescent="0.35">
      <c r="A5865" s="5" t="s">
        <v>1583</v>
      </c>
      <c r="B5865" s="50" t="s">
        <v>1584</v>
      </c>
      <c r="C5865" s="7">
        <v>2</v>
      </c>
      <c r="D5865" s="7">
        <v>1.08</v>
      </c>
      <c r="E5865" s="85">
        <f t="shared" si="393"/>
        <v>2.16</v>
      </c>
    </row>
    <row r="5866" spans="1:7" ht="18" x14ac:dyDescent="0.35">
      <c r="A5866" s="5"/>
      <c r="B5866" s="50" t="s">
        <v>34</v>
      </c>
      <c r="C5866" s="7"/>
      <c r="D5866" s="7">
        <v>14.61</v>
      </c>
      <c r="E5866" s="85">
        <f t="shared" si="393"/>
        <v>0</v>
      </c>
    </row>
    <row r="5867" spans="1:7" ht="18" x14ac:dyDescent="0.35">
      <c r="A5867" s="5"/>
      <c r="B5867" s="50" t="s">
        <v>35</v>
      </c>
      <c r="C5867" s="7">
        <v>4</v>
      </c>
      <c r="D5867" s="7">
        <v>2.91</v>
      </c>
      <c r="E5867" s="85">
        <f t="shared" si="393"/>
        <v>11.64</v>
      </c>
    </row>
    <row r="5868" spans="1:7" ht="18" x14ac:dyDescent="0.35">
      <c r="A5868" s="5"/>
      <c r="B5868" s="50" t="s">
        <v>36</v>
      </c>
      <c r="C5868" s="7">
        <v>4</v>
      </c>
      <c r="D5868" s="7">
        <v>0.61</v>
      </c>
      <c r="E5868" s="85">
        <f t="shared" si="393"/>
        <v>2.44</v>
      </c>
    </row>
    <row r="5869" spans="1:7" ht="18" x14ac:dyDescent="0.35">
      <c r="A5869" s="5"/>
      <c r="B5869" s="5"/>
      <c r="C5869" s="54"/>
      <c r="D5869" s="54"/>
      <c r="E5869" s="89">
        <f>SUM(E5863:E5868)</f>
        <v>197.17526000000004</v>
      </c>
    </row>
    <row r="5870" spans="1:7" ht="18" x14ac:dyDescent="0.35">
      <c r="A5870" s="5"/>
      <c r="B5870" s="5"/>
      <c r="C5870" s="54"/>
      <c r="D5870" s="54" t="s">
        <v>1063</v>
      </c>
      <c r="E5870" s="89">
        <f>E5869+E5869*40%</f>
        <v>276.04536400000006</v>
      </c>
    </row>
    <row r="5871" spans="1:7" ht="18" x14ac:dyDescent="0.35">
      <c r="A5871" s="5"/>
      <c r="B5871" s="50" t="s">
        <v>37</v>
      </c>
      <c r="C5871" s="54">
        <v>0.5</v>
      </c>
      <c r="D5871" s="54">
        <v>200</v>
      </c>
      <c r="E5871" s="85">
        <f>C5871*D5871</f>
        <v>100</v>
      </c>
      <c r="F5871" s="12" t="s">
        <v>607</v>
      </c>
      <c r="G5871" s="12" t="s">
        <v>1589</v>
      </c>
    </row>
    <row r="5872" spans="1:7" ht="18" x14ac:dyDescent="0.35">
      <c r="A5872" s="5"/>
      <c r="B5872" s="5"/>
      <c r="C5872" s="54"/>
      <c r="D5872" s="54"/>
      <c r="E5872" s="85">
        <f>SUM(E5870:E5871)</f>
        <v>376.04536400000006</v>
      </c>
      <c r="F5872" s="12">
        <v>375</v>
      </c>
      <c r="G5872" s="12">
        <v>450</v>
      </c>
    </row>
    <row r="5874" spans="1:7" ht="21" x14ac:dyDescent="0.4">
      <c r="A5874" s="40" t="s">
        <v>1585</v>
      </c>
      <c r="B5874" s="40"/>
      <c r="C5874" s="84"/>
    </row>
    <row r="5875" spans="1:7" ht="18" x14ac:dyDescent="0.35">
      <c r="A5875" s="5" t="s">
        <v>1581</v>
      </c>
      <c r="B5875" s="5"/>
      <c r="C5875" s="7" t="s">
        <v>28</v>
      </c>
      <c r="D5875" s="7" t="s">
        <v>29</v>
      </c>
      <c r="E5875" s="7" t="s">
        <v>30</v>
      </c>
    </row>
    <row r="5876" spans="1:7" ht="18" x14ac:dyDescent="0.35">
      <c r="A5876" s="5" t="s">
        <v>1586</v>
      </c>
      <c r="B5876" s="50" t="s">
        <v>32</v>
      </c>
      <c r="C5876" s="7">
        <v>2.9630000000000001</v>
      </c>
      <c r="D5876" s="7">
        <v>10.34</v>
      </c>
      <c r="E5876" s="85">
        <f t="shared" ref="E5876:E5881" si="394">C5876*D5876</f>
        <v>30.637419999999999</v>
      </c>
    </row>
    <row r="5877" spans="1:7" ht="18" x14ac:dyDescent="0.35">
      <c r="A5877" s="5" t="s">
        <v>962</v>
      </c>
      <c r="B5877" s="50" t="s">
        <v>33</v>
      </c>
      <c r="C5877" s="7">
        <v>12.705</v>
      </c>
      <c r="D5877" s="7">
        <v>16.170000000000002</v>
      </c>
      <c r="E5877" s="85">
        <f t="shared" si="394"/>
        <v>205.43985000000004</v>
      </c>
    </row>
    <row r="5878" spans="1:7" ht="18" x14ac:dyDescent="0.35">
      <c r="A5878" s="5" t="s">
        <v>1587</v>
      </c>
      <c r="B5878" s="50" t="s">
        <v>1588</v>
      </c>
      <c r="C5878" s="7">
        <v>2</v>
      </c>
      <c r="D5878" s="7">
        <v>1.08</v>
      </c>
      <c r="E5878" s="85">
        <f t="shared" si="394"/>
        <v>2.16</v>
      </c>
    </row>
    <row r="5879" spans="1:7" ht="18" x14ac:dyDescent="0.35">
      <c r="A5879" s="5"/>
      <c r="B5879" s="50" t="s">
        <v>34</v>
      </c>
      <c r="C5879" s="7">
        <v>0.74</v>
      </c>
      <c r="D5879" s="7">
        <v>14.61</v>
      </c>
      <c r="E5879" s="85">
        <f t="shared" si="394"/>
        <v>10.811399999999999</v>
      </c>
    </row>
    <row r="5880" spans="1:7" ht="18" x14ac:dyDescent="0.35">
      <c r="A5880" s="5"/>
      <c r="B5880" s="50" t="s">
        <v>35</v>
      </c>
      <c r="C5880" s="7">
        <v>4</v>
      </c>
      <c r="D5880" s="7">
        <v>2.91</v>
      </c>
      <c r="E5880" s="85">
        <f t="shared" si="394"/>
        <v>11.64</v>
      </c>
    </row>
    <row r="5881" spans="1:7" ht="18" x14ac:dyDescent="0.35">
      <c r="A5881" s="5"/>
      <c r="B5881" s="50" t="s">
        <v>36</v>
      </c>
      <c r="C5881" s="7">
        <v>4</v>
      </c>
      <c r="D5881" s="7">
        <v>0.61</v>
      </c>
      <c r="E5881" s="85">
        <f t="shared" si="394"/>
        <v>2.44</v>
      </c>
    </row>
    <row r="5882" spans="1:7" ht="18" x14ac:dyDescent="0.35">
      <c r="A5882" s="5"/>
      <c r="B5882" s="5"/>
      <c r="C5882" s="54"/>
      <c r="D5882" s="54"/>
      <c r="E5882" s="89">
        <f>SUM(E5876:E5881)</f>
        <v>263.12867</v>
      </c>
    </row>
    <row r="5883" spans="1:7" ht="18" x14ac:dyDescent="0.35">
      <c r="A5883" s="5"/>
      <c r="B5883" s="5"/>
      <c r="C5883" s="54"/>
      <c r="D5883" s="54" t="s">
        <v>1063</v>
      </c>
      <c r="E5883" s="89">
        <f>E5882+E5882*40%</f>
        <v>368.38013799999999</v>
      </c>
    </row>
    <row r="5884" spans="1:7" ht="18" x14ac:dyDescent="0.35">
      <c r="A5884" s="5"/>
      <c r="B5884" s="50" t="s">
        <v>37</v>
      </c>
      <c r="C5884" s="54">
        <v>0.5</v>
      </c>
      <c r="D5884" s="54">
        <v>200</v>
      </c>
      <c r="E5884" s="85">
        <f>C5884*D5884</f>
        <v>100</v>
      </c>
      <c r="F5884" s="12" t="s">
        <v>607</v>
      </c>
      <c r="G5884" s="12" t="s">
        <v>1589</v>
      </c>
    </row>
    <row r="5885" spans="1:7" ht="18" x14ac:dyDescent="0.35">
      <c r="A5885" s="5"/>
      <c r="B5885" s="5"/>
      <c r="C5885" s="54"/>
      <c r="D5885" s="54"/>
      <c r="E5885" s="85">
        <f>SUM(E5883:E5884)</f>
        <v>468.38013799999999</v>
      </c>
      <c r="F5885" s="12">
        <v>468</v>
      </c>
      <c r="G5885" s="12">
        <v>560</v>
      </c>
    </row>
    <row r="5887" spans="1:7" ht="21" x14ac:dyDescent="0.4">
      <c r="A5887" s="40" t="s">
        <v>1579</v>
      </c>
      <c r="B5887" s="40"/>
      <c r="C5887" s="40"/>
      <c r="D5887" s="12"/>
      <c r="E5887" s="12"/>
    </row>
    <row r="5888" spans="1:7" ht="18" x14ac:dyDescent="0.35">
      <c r="A5888" s="5" t="s">
        <v>1590</v>
      </c>
      <c r="B5888" s="5"/>
      <c r="C5888" s="7" t="s">
        <v>28</v>
      </c>
      <c r="D5888" s="7" t="s">
        <v>29</v>
      </c>
      <c r="E5888" s="7" t="s">
        <v>30</v>
      </c>
    </row>
    <row r="5889" spans="1:5" ht="18" x14ac:dyDescent="0.35">
      <c r="A5889" s="5" t="s">
        <v>376</v>
      </c>
      <c r="B5889" s="50" t="s">
        <v>32</v>
      </c>
      <c r="C5889" s="7">
        <v>3.4980000000000002</v>
      </c>
      <c r="D5889" s="7">
        <v>10.34</v>
      </c>
      <c r="E5889" s="85">
        <f>C5889*D5889</f>
        <v>36.169319999999999</v>
      </c>
    </row>
    <row r="5890" spans="1:5" ht="18" x14ac:dyDescent="0.35">
      <c r="A5890" s="5" t="s">
        <v>1591</v>
      </c>
      <c r="B5890" s="50" t="s">
        <v>33</v>
      </c>
      <c r="C5890" s="7">
        <v>46.777000000000001</v>
      </c>
      <c r="D5890" s="7">
        <v>17.059999999999999</v>
      </c>
      <c r="E5890" s="85">
        <f>C5890*D5890</f>
        <v>798.01562000000001</v>
      </c>
    </row>
    <row r="5891" spans="1:5" ht="18" x14ac:dyDescent="0.35">
      <c r="A5891" s="5" t="s">
        <v>536</v>
      </c>
      <c r="B5891" s="50" t="s">
        <v>137</v>
      </c>
      <c r="C5891" s="7">
        <v>1.26</v>
      </c>
      <c r="D5891" s="7">
        <v>15.25</v>
      </c>
      <c r="E5891" s="85">
        <f>C5891*D5891</f>
        <v>19.215</v>
      </c>
    </row>
    <row r="5892" spans="1:5" ht="18" x14ac:dyDescent="0.35">
      <c r="A5892" s="5"/>
      <c r="B5892" s="50" t="s">
        <v>35</v>
      </c>
      <c r="C5892" s="7">
        <v>4</v>
      </c>
      <c r="D5892" s="7">
        <v>2.91</v>
      </c>
      <c r="E5892" s="85">
        <f>C5892*D5892</f>
        <v>11.64</v>
      </c>
    </row>
    <row r="5893" spans="1:5" ht="18" x14ac:dyDescent="0.35">
      <c r="A5893" s="5"/>
      <c r="B5893" s="50" t="s">
        <v>36</v>
      </c>
      <c r="C5893" s="7">
        <v>4</v>
      </c>
      <c r="D5893" s="7">
        <v>0.61</v>
      </c>
      <c r="E5893" s="85">
        <f>C5893*D5893</f>
        <v>2.44</v>
      </c>
    </row>
    <row r="5894" spans="1:5" ht="18" x14ac:dyDescent="0.35">
      <c r="A5894" s="5"/>
      <c r="B5894" s="50"/>
      <c r="C5894" s="87"/>
      <c r="D5894" s="88"/>
      <c r="E5894" s="85">
        <f>SUM(E5889:E5893)</f>
        <v>867.47994000000006</v>
      </c>
    </row>
    <row r="5895" spans="1:5" ht="18" x14ac:dyDescent="0.35">
      <c r="A5895" s="5"/>
      <c r="B5895" s="50"/>
      <c r="C5895" s="87"/>
      <c r="D5895" s="88" t="s">
        <v>1266</v>
      </c>
      <c r="E5895" s="85">
        <f>E5894+E5894*40%</f>
        <v>1214.471916</v>
      </c>
    </row>
    <row r="5896" spans="1:5" ht="18" x14ac:dyDescent="0.35">
      <c r="A5896" s="5"/>
      <c r="B5896" s="50" t="s">
        <v>37</v>
      </c>
      <c r="C5896" s="54">
        <v>2</v>
      </c>
      <c r="D5896" s="86">
        <v>200</v>
      </c>
      <c r="E5896" s="85">
        <f>C5896*D5896</f>
        <v>400</v>
      </c>
    </row>
    <row r="5897" spans="1:5" ht="18" x14ac:dyDescent="0.35">
      <c r="A5897" s="5"/>
      <c r="B5897" s="5"/>
      <c r="C5897" s="54"/>
      <c r="D5897" s="54"/>
      <c r="E5897" s="85">
        <f>SUM(E5895:E5896)</f>
        <v>1614.471916</v>
      </c>
    </row>
    <row r="5899" spans="1:5" ht="21" x14ac:dyDescent="0.4">
      <c r="A5899" s="40" t="s">
        <v>1596</v>
      </c>
      <c r="B5899" s="40"/>
      <c r="C5899" s="84"/>
    </row>
    <row r="5900" spans="1:5" ht="18" x14ac:dyDescent="0.35">
      <c r="A5900" s="5" t="s">
        <v>1597</v>
      </c>
      <c r="B5900" s="5"/>
      <c r="C5900" s="7" t="s">
        <v>28</v>
      </c>
      <c r="D5900" s="7" t="s">
        <v>29</v>
      </c>
      <c r="E5900" s="7" t="s">
        <v>30</v>
      </c>
    </row>
    <row r="5901" spans="1:5" ht="18" x14ac:dyDescent="0.35">
      <c r="A5901" s="5" t="s">
        <v>1598</v>
      </c>
      <c r="B5901" s="50" t="s">
        <v>32</v>
      </c>
      <c r="C5901" s="7">
        <v>1.377</v>
      </c>
      <c r="D5901" s="7">
        <v>10.34</v>
      </c>
      <c r="E5901" s="85">
        <f t="shared" ref="E5901:E5906" si="395">C5901*D5901</f>
        <v>14.23818</v>
      </c>
    </row>
    <row r="5902" spans="1:5" ht="18" x14ac:dyDescent="0.35">
      <c r="A5902" s="5" t="s">
        <v>962</v>
      </c>
      <c r="B5902" s="50" t="s">
        <v>33</v>
      </c>
      <c r="C5902" s="7">
        <v>3.927</v>
      </c>
      <c r="D5902" s="7">
        <v>16.170000000000002</v>
      </c>
      <c r="E5902" s="85">
        <f t="shared" si="395"/>
        <v>63.499590000000005</v>
      </c>
    </row>
    <row r="5903" spans="1:5" ht="18" x14ac:dyDescent="0.35">
      <c r="A5903" s="5" t="s">
        <v>1599</v>
      </c>
      <c r="B5903" s="50" t="s">
        <v>1584</v>
      </c>
      <c r="C5903" s="7">
        <v>2</v>
      </c>
      <c r="D5903" s="7">
        <v>1.08</v>
      </c>
      <c r="E5903" s="85">
        <f t="shared" si="395"/>
        <v>2.16</v>
      </c>
    </row>
    <row r="5904" spans="1:5" ht="18" x14ac:dyDescent="0.35">
      <c r="A5904" s="5"/>
      <c r="B5904" s="50" t="s">
        <v>34</v>
      </c>
      <c r="C5904" s="7"/>
      <c r="D5904" s="7">
        <v>14.61</v>
      </c>
      <c r="E5904" s="85">
        <f t="shared" si="395"/>
        <v>0</v>
      </c>
    </row>
    <row r="5905" spans="1:5" ht="18" x14ac:dyDescent="0.35">
      <c r="A5905" s="5"/>
      <c r="B5905" s="50" t="s">
        <v>35</v>
      </c>
      <c r="C5905" s="7">
        <v>4</v>
      </c>
      <c r="D5905" s="7">
        <v>2.91</v>
      </c>
      <c r="E5905" s="85">
        <f t="shared" si="395"/>
        <v>11.64</v>
      </c>
    </row>
    <row r="5906" spans="1:5" ht="18" x14ac:dyDescent="0.35">
      <c r="A5906" s="5"/>
      <c r="B5906" s="50" t="s">
        <v>36</v>
      </c>
      <c r="C5906" s="7">
        <v>4</v>
      </c>
      <c r="D5906" s="7">
        <v>0.61</v>
      </c>
      <c r="E5906" s="85">
        <f t="shared" si="395"/>
        <v>2.44</v>
      </c>
    </row>
    <row r="5907" spans="1:5" ht="18" x14ac:dyDescent="0.35">
      <c r="A5907" s="5"/>
      <c r="B5907" s="5"/>
      <c r="C5907" s="54"/>
      <c r="D5907" s="54"/>
      <c r="E5907" s="89">
        <f>SUM(E5901:E5906)</f>
        <v>93.977770000000007</v>
      </c>
    </row>
    <row r="5908" spans="1:5" ht="18" x14ac:dyDescent="0.35">
      <c r="A5908" s="5"/>
      <c r="B5908" s="5"/>
      <c r="C5908" s="54"/>
      <c r="D5908" s="54" t="s">
        <v>1063</v>
      </c>
      <c r="E5908" s="89">
        <f>E5907+E5907*40%</f>
        <v>131.56887800000001</v>
      </c>
    </row>
    <row r="5909" spans="1:5" ht="18" x14ac:dyDescent="0.35">
      <c r="A5909" s="5"/>
      <c r="B5909" s="50" t="s">
        <v>37</v>
      </c>
      <c r="C5909" s="54">
        <v>0.4</v>
      </c>
      <c r="D5909" s="54">
        <v>200</v>
      </c>
      <c r="E5909" s="85">
        <f>C5909*D5909</f>
        <v>80</v>
      </c>
    </row>
    <row r="5910" spans="1:5" ht="18" x14ac:dyDescent="0.35">
      <c r="A5910" s="5"/>
      <c r="B5910" s="5"/>
      <c r="C5910" s="54"/>
      <c r="D5910" s="54"/>
      <c r="E5910" s="85">
        <f>SUM(E5908:E5909)</f>
        <v>211.56887800000001</v>
      </c>
    </row>
    <row r="5912" spans="1:5" ht="21" x14ac:dyDescent="0.4">
      <c r="A5912" s="40" t="s">
        <v>1600</v>
      </c>
      <c r="B5912" s="40"/>
      <c r="C5912" s="84"/>
    </row>
    <row r="5913" spans="1:5" ht="18" x14ac:dyDescent="0.35">
      <c r="A5913" s="5" t="s">
        <v>1597</v>
      </c>
      <c r="B5913" s="5"/>
      <c r="C5913" s="7" t="s">
        <v>28</v>
      </c>
      <c r="D5913" s="7" t="s">
        <v>29</v>
      </c>
      <c r="E5913" s="7" t="s">
        <v>30</v>
      </c>
    </row>
    <row r="5914" spans="1:5" ht="18" x14ac:dyDescent="0.35">
      <c r="A5914" s="5" t="s">
        <v>1601</v>
      </c>
      <c r="B5914" s="50" t="s">
        <v>32</v>
      </c>
      <c r="C5914" s="7">
        <v>1.2090000000000001</v>
      </c>
      <c r="D5914" s="7">
        <v>10.34</v>
      </c>
      <c r="E5914" s="85">
        <f t="shared" ref="E5914:E5919" si="396">C5914*D5914</f>
        <v>12.501060000000001</v>
      </c>
    </row>
    <row r="5915" spans="1:5" ht="18" x14ac:dyDescent="0.35">
      <c r="A5915" s="5" t="s">
        <v>178</v>
      </c>
      <c r="B5915" s="50" t="s">
        <v>33</v>
      </c>
      <c r="C5915" s="7">
        <v>2.835</v>
      </c>
      <c r="D5915" s="7">
        <v>16.170000000000002</v>
      </c>
      <c r="E5915" s="85">
        <f t="shared" si="396"/>
        <v>45.841950000000004</v>
      </c>
    </row>
    <row r="5916" spans="1:5" ht="18" x14ac:dyDescent="0.35">
      <c r="A5916" s="5" t="s">
        <v>1602</v>
      </c>
      <c r="B5916" s="50" t="s">
        <v>85</v>
      </c>
      <c r="C5916" s="7">
        <v>2</v>
      </c>
      <c r="D5916" s="7">
        <v>1.48</v>
      </c>
      <c r="E5916" s="85">
        <f t="shared" si="396"/>
        <v>2.96</v>
      </c>
    </row>
    <row r="5917" spans="1:5" ht="18" x14ac:dyDescent="0.35">
      <c r="A5917" s="5"/>
      <c r="B5917" s="50" t="s">
        <v>34</v>
      </c>
      <c r="C5917" s="7"/>
      <c r="D5917" s="7">
        <v>14.61</v>
      </c>
      <c r="E5917" s="85">
        <f t="shared" si="396"/>
        <v>0</v>
      </c>
    </row>
    <row r="5918" spans="1:5" ht="18" x14ac:dyDescent="0.35">
      <c r="A5918" s="5"/>
      <c r="B5918" s="50" t="s">
        <v>35</v>
      </c>
      <c r="C5918" s="7">
        <v>4</v>
      </c>
      <c r="D5918" s="7">
        <v>2.91</v>
      </c>
      <c r="E5918" s="85">
        <f t="shared" si="396"/>
        <v>11.64</v>
      </c>
    </row>
    <row r="5919" spans="1:5" ht="18" x14ac:dyDescent="0.35">
      <c r="A5919" s="5"/>
      <c r="B5919" s="50" t="s">
        <v>36</v>
      </c>
      <c r="C5919" s="7">
        <v>4</v>
      </c>
      <c r="D5919" s="7">
        <v>0.61</v>
      </c>
      <c r="E5919" s="85">
        <f t="shared" si="396"/>
        <v>2.44</v>
      </c>
    </row>
    <row r="5920" spans="1:5" ht="18" x14ac:dyDescent="0.35">
      <c r="A5920" s="5"/>
      <c r="B5920" s="5"/>
      <c r="C5920" s="54"/>
      <c r="D5920" s="54"/>
      <c r="E5920" s="89">
        <f>SUM(E5914:E5919)</f>
        <v>75.383010000000013</v>
      </c>
    </row>
    <row r="5921" spans="1:5" ht="18" x14ac:dyDescent="0.35">
      <c r="A5921" s="5"/>
      <c r="B5921" s="5"/>
      <c r="C5921" s="54"/>
      <c r="D5921" s="54" t="s">
        <v>1063</v>
      </c>
      <c r="E5921" s="89">
        <f>E5920+E5920*40%</f>
        <v>105.53621400000002</v>
      </c>
    </row>
    <row r="5922" spans="1:5" ht="18" x14ac:dyDescent="0.35">
      <c r="A5922" s="5"/>
      <c r="B5922" s="50" t="s">
        <v>37</v>
      </c>
      <c r="C5922" s="54">
        <v>0.4</v>
      </c>
      <c r="D5922" s="54">
        <v>200</v>
      </c>
      <c r="E5922" s="85">
        <f>C5922*D5922</f>
        <v>80</v>
      </c>
    </row>
    <row r="5923" spans="1:5" ht="18" x14ac:dyDescent="0.35">
      <c r="A5923" s="5"/>
      <c r="B5923" s="5"/>
      <c r="C5923" s="54"/>
      <c r="D5923" s="54"/>
      <c r="E5923" s="85">
        <f>SUM(E5921:E5922)</f>
        <v>185.53621400000003</v>
      </c>
    </row>
    <row r="5926" spans="1:5" ht="21" x14ac:dyDescent="0.4">
      <c r="A5926" s="40" t="s">
        <v>1603</v>
      </c>
      <c r="B5926" s="40"/>
      <c r="C5926" s="84"/>
    </row>
    <row r="5927" spans="1:5" ht="18" x14ac:dyDescent="0.35">
      <c r="B5927" s="5"/>
      <c r="C5927" s="7" t="s">
        <v>28</v>
      </c>
      <c r="D5927" s="7" t="s">
        <v>29</v>
      </c>
      <c r="E5927" s="7" t="s">
        <v>30</v>
      </c>
    </row>
    <row r="5928" spans="1:5" ht="18" x14ac:dyDescent="0.35">
      <c r="A5928" s="5" t="s">
        <v>40</v>
      </c>
      <c r="B5928" s="50" t="s">
        <v>32</v>
      </c>
      <c r="C5928" s="7">
        <v>1.1879999999999999</v>
      </c>
      <c r="D5928" s="7">
        <v>14.93</v>
      </c>
      <c r="E5928" s="85">
        <f t="shared" ref="E5928:E5935" si="397">C5928*D5928</f>
        <v>17.736839999999997</v>
      </c>
    </row>
    <row r="5929" spans="1:5" ht="18" x14ac:dyDescent="0.35">
      <c r="A5929" s="5" t="s">
        <v>829</v>
      </c>
      <c r="B5929" s="50" t="s">
        <v>33</v>
      </c>
      <c r="C5929" s="7">
        <v>0.378</v>
      </c>
      <c r="D5929" s="7">
        <v>16.170000000000002</v>
      </c>
      <c r="E5929" s="85">
        <f t="shared" si="397"/>
        <v>6.1122600000000009</v>
      </c>
    </row>
    <row r="5930" spans="1:5" ht="18" x14ac:dyDescent="0.35">
      <c r="A5930" s="5" t="s">
        <v>54</v>
      </c>
      <c r="B5930" s="50" t="s">
        <v>33</v>
      </c>
      <c r="C5930" s="7">
        <v>1.7949999999999999</v>
      </c>
      <c r="D5930" s="7">
        <v>16.170000000000002</v>
      </c>
      <c r="E5930" s="85">
        <f t="shared" si="397"/>
        <v>29.025150000000004</v>
      </c>
    </row>
    <row r="5931" spans="1:5" ht="18" x14ac:dyDescent="0.35">
      <c r="A5931" s="5" t="s">
        <v>659</v>
      </c>
      <c r="B5931" s="50" t="s">
        <v>42</v>
      </c>
      <c r="C5931" s="7">
        <v>2</v>
      </c>
      <c r="D5931" s="7">
        <v>1.1499999999999999</v>
      </c>
      <c r="E5931" s="85">
        <f t="shared" si="397"/>
        <v>2.2999999999999998</v>
      </c>
    </row>
    <row r="5932" spans="1:5" ht="18" x14ac:dyDescent="0.35">
      <c r="A5932" s="5"/>
      <c r="B5932" s="50" t="s">
        <v>87</v>
      </c>
      <c r="C5932" s="7">
        <v>2</v>
      </c>
      <c r="D5932" s="7">
        <v>1.81</v>
      </c>
      <c r="E5932" s="85">
        <f t="shared" si="397"/>
        <v>3.62</v>
      </c>
    </row>
    <row r="5933" spans="1:5" ht="18" x14ac:dyDescent="0.35">
      <c r="A5933" s="5"/>
      <c r="B5933" s="50" t="s">
        <v>34</v>
      </c>
      <c r="C5933" s="7"/>
      <c r="D5933" s="7">
        <v>14.61</v>
      </c>
      <c r="E5933" s="85">
        <f t="shared" si="397"/>
        <v>0</v>
      </c>
    </row>
    <row r="5934" spans="1:5" ht="18" x14ac:dyDescent="0.35">
      <c r="A5934" s="5"/>
      <c r="B5934" s="50" t="s">
        <v>35</v>
      </c>
      <c r="C5934" s="7">
        <v>4</v>
      </c>
      <c r="D5934" s="7">
        <v>2.91</v>
      </c>
      <c r="E5934" s="85">
        <f t="shared" si="397"/>
        <v>11.64</v>
      </c>
    </row>
    <row r="5935" spans="1:5" ht="18" x14ac:dyDescent="0.35">
      <c r="A5935" s="5"/>
      <c r="B5935" s="50" t="s">
        <v>36</v>
      </c>
      <c r="C5935" s="7">
        <v>4</v>
      </c>
      <c r="D5935" s="7">
        <v>0.61</v>
      </c>
      <c r="E5935" s="85">
        <f t="shared" si="397"/>
        <v>2.44</v>
      </c>
    </row>
    <row r="5936" spans="1:5" ht="18" x14ac:dyDescent="0.35">
      <c r="A5936" s="5"/>
      <c r="B5936" s="5"/>
      <c r="C5936" s="54"/>
      <c r="D5936" s="54"/>
      <c r="E5936" s="89">
        <f>SUM(E5928:E5935)</f>
        <v>72.874249999999989</v>
      </c>
    </row>
    <row r="5937" spans="1:6" ht="18" x14ac:dyDescent="0.35">
      <c r="A5937" s="5"/>
      <c r="B5937" s="5"/>
      <c r="C5937" s="54"/>
      <c r="D5937" s="54" t="s">
        <v>1063</v>
      </c>
      <c r="E5937" s="89">
        <f>E5936+E5936*40%</f>
        <v>102.02394999999999</v>
      </c>
      <c r="F5937">
        <v>72.87</v>
      </c>
    </row>
    <row r="5938" spans="1:6" ht="18" x14ac:dyDescent="0.35">
      <c r="A5938" s="5"/>
      <c r="B5938" s="50" t="s">
        <v>37</v>
      </c>
      <c r="C5938" s="54">
        <v>0.4</v>
      </c>
      <c r="D5938" s="54">
        <v>200</v>
      </c>
      <c r="E5938" s="85">
        <f>C5938*D5938</f>
        <v>80</v>
      </c>
      <c r="F5938">
        <v>42.5</v>
      </c>
    </row>
    <row r="5939" spans="1:6" ht="18" x14ac:dyDescent="0.35">
      <c r="A5939" s="5"/>
      <c r="B5939" s="5"/>
      <c r="C5939" s="54"/>
      <c r="D5939" s="54"/>
      <c r="E5939" s="85">
        <f>SUM(E5937:E5938)</f>
        <v>182.02394999999999</v>
      </c>
      <c r="F5939">
        <f>SUM(F5937:F5938)</f>
        <v>115.37</v>
      </c>
    </row>
    <row r="5941" spans="1:6" ht="21" x14ac:dyDescent="0.4">
      <c r="A5941" s="40" t="s">
        <v>1052</v>
      </c>
      <c r="B5941" s="40"/>
      <c r="C5941" s="84"/>
    </row>
    <row r="5942" spans="1:6" ht="18" x14ac:dyDescent="0.35">
      <c r="A5942" s="5" t="s">
        <v>1451</v>
      </c>
      <c r="B5942" s="5"/>
      <c r="C5942" s="7" t="s">
        <v>28</v>
      </c>
      <c r="D5942" s="7" t="s">
        <v>29</v>
      </c>
      <c r="E5942" s="7" t="s">
        <v>30</v>
      </c>
    </row>
    <row r="5943" spans="1:6" ht="18" x14ac:dyDescent="0.35">
      <c r="A5943" s="5" t="s">
        <v>41</v>
      </c>
      <c r="B5943" s="50" t="s">
        <v>32</v>
      </c>
      <c r="C5943" s="7">
        <v>1.3979999999999999</v>
      </c>
      <c r="D5943" s="7">
        <v>10.34</v>
      </c>
      <c r="E5943" s="85">
        <f t="shared" ref="E5943:E5948" si="398">C5943*D5943</f>
        <v>14.455319999999999</v>
      </c>
    </row>
    <row r="5944" spans="1:6" ht="18" x14ac:dyDescent="0.35">
      <c r="A5944" s="5" t="s">
        <v>238</v>
      </c>
      <c r="B5944" s="50" t="s">
        <v>33</v>
      </c>
      <c r="C5944" s="7">
        <v>2.0579999999999998</v>
      </c>
      <c r="D5944" s="7">
        <v>16.170000000000002</v>
      </c>
      <c r="E5944" s="85">
        <f t="shared" si="398"/>
        <v>33.277860000000004</v>
      </c>
    </row>
    <row r="5945" spans="1:6" ht="18" x14ac:dyDescent="0.35">
      <c r="A5945" s="5" t="s">
        <v>623</v>
      </c>
      <c r="B5945" s="50" t="s">
        <v>42</v>
      </c>
      <c r="C5945" s="7">
        <v>2</v>
      </c>
      <c r="D5945" s="7">
        <v>1.1499999999999999</v>
      </c>
      <c r="E5945" s="85">
        <f t="shared" si="398"/>
        <v>2.2999999999999998</v>
      </c>
    </row>
    <row r="5946" spans="1:6" ht="18" x14ac:dyDescent="0.35">
      <c r="A5946" s="5"/>
      <c r="B5946" s="50" t="s">
        <v>34</v>
      </c>
      <c r="C5946" s="7"/>
      <c r="D5946" s="7">
        <v>14.61</v>
      </c>
      <c r="E5946" s="85">
        <f t="shared" si="398"/>
        <v>0</v>
      </c>
    </row>
    <row r="5947" spans="1:6" ht="18" x14ac:dyDescent="0.35">
      <c r="A5947" s="5"/>
      <c r="B5947" s="50" t="s">
        <v>35</v>
      </c>
      <c r="C5947" s="7">
        <v>4</v>
      </c>
      <c r="D5947" s="7">
        <v>2.91</v>
      </c>
      <c r="E5947" s="85">
        <f t="shared" si="398"/>
        <v>11.64</v>
      </c>
    </row>
    <row r="5948" spans="1:6" ht="18" x14ac:dyDescent="0.35">
      <c r="A5948" s="5"/>
      <c r="B5948" s="50" t="s">
        <v>36</v>
      </c>
      <c r="C5948" s="7">
        <v>4</v>
      </c>
      <c r="D5948" s="7">
        <v>0.61</v>
      </c>
      <c r="E5948" s="85">
        <f t="shared" si="398"/>
        <v>2.44</v>
      </c>
    </row>
    <row r="5949" spans="1:6" ht="18" x14ac:dyDescent="0.35">
      <c r="A5949" s="5"/>
      <c r="B5949" s="5"/>
      <c r="C5949" s="54"/>
      <c r="D5949" s="54"/>
      <c r="E5949" s="89">
        <f>SUM(E5943:E5948)</f>
        <v>64.11318</v>
      </c>
    </row>
    <row r="5950" spans="1:6" ht="18" x14ac:dyDescent="0.35">
      <c r="A5950" s="5"/>
      <c r="B5950" s="5"/>
      <c r="C5950" s="54"/>
      <c r="D5950" s="54" t="s">
        <v>1063</v>
      </c>
      <c r="E5950" s="89">
        <f>E5949+E5949*40%</f>
        <v>89.758452000000005</v>
      </c>
    </row>
    <row r="5951" spans="1:6" ht="18" x14ac:dyDescent="0.35">
      <c r="A5951" s="5"/>
      <c r="B5951" s="50" t="s">
        <v>37</v>
      </c>
      <c r="C5951" s="54">
        <v>0.3</v>
      </c>
      <c r="D5951" s="54">
        <v>200</v>
      </c>
      <c r="E5951" s="85">
        <f>C5951*D5951</f>
        <v>60</v>
      </c>
    </row>
    <row r="5952" spans="1:6" ht="18" x14ac:dyDescent="0.35">
      <c r="A5952" s="5"/>
      <c r="B5952" s="5"/>
      <c r="C5952" s="54"/>
      <c r="D5952" s="54"/>
      <c r="E5952" s="85">
        <f>SUM(E5950:E5951)</f>
        <v>149.75845200000001</v>
      </c>
    </row>
    <row r="5955" spans="1:5" ht="21" x14ac:dyDescent="0.4">
      <c r="A5955" s="40" t="s">
        <v>1052</v>
      </c>
      <c r="B5955" s="40"/>
      <c r="C5955" s="84"/>
    </row>
    <row r="5956" spans="1:5" ht="18" x14ac:dyDescent="0.35">
      <c r="A5956" s="5" t="s">
        <v>1451</v>
      </c>
      <c r="B5956" s="5"/>
      <c r="C5956" s="7" t="s">
        <v>28</v>
      </c>
      <c r="D5956" s="7" t="s">
        <v>29</v>
      </c>
      <c r="E5956" s="7" t="s">
        <v>30</v>
      </c>
    </row>
    <row r="5957" spans="1:5" ht="18" x14ac:dyDescent="0.35">
      <c r="A5957" s="5" t="s">
        <v>46</v>
      </c>
      <c r="B5957" s="50" t="s">
        <v>32</v>
      </c>
      <c r="C5957" s="7">
        <v>2.028</v>
      </c>
      <c r="D5957" s="7">
        <v>10.34</v>
      </c>
      <c r="E5957" s="85">
        <f t="shared" ref="E5957:E5962" si="399">C5957*D5957</f>
        <v>20.969519999999999</v>
      </c>
    </row>
    <row r="5958" spans="1:5" ht="18" x14ac:dyDescent="0.35">
      <c r="A5958" s="5" t="s">
        <v>238</v>
      </c>
      <c r="B5958" s="50" t="s">
        <v>33</v>
      </c>
      <c r="C5958" s="7">
        <v>3.3180000000000001</v>
      </c>
      <c r="D5958" s="7">
        <v>16.170000000000002</v>
      </c>
      <c r="E5958" s="85">
        <f t="shared" si="399"/>
        <v>53.652060000000006</v>
      </c>
    </row>
    <row r="5959" spans="1:5" ht="18" x14ac:dyDescent="0.35">
      <c r="A5959" s="5" t="s">
        <v>674</v>
      </c>
      <c r="B5959" s="50" t="s">
        <v>42</v>
      </c>
      <c r="C5959" s="7">
        <v>2</v>
      </c>
      <c r="D5959" s="7">
        <v>1.1499999999999999</v>
      </c>
      <c r="E5959" s="85">
        <f t="shared" si="399"/>
        <v>2.2999999999999998</v>
      </c>
    </row>
    <row r="5960" spans="1:5" ht="18" x14ac:dyDescent="0.35">
      <c r="A5960" s="5"/>
      <c r="B5960" s="50" t="s">
        <v>34</v>
      </c>
      <c r="C5960" s="7">
        <v>0.1</v>
      </c>
      <c r="D5960" s="7">
        <v>14.61</v>
      </c>
      <c r="E5960" s="85">
        <f t="shared" si="399"/>
        <v>1.4610000000000001</v>
      </c>
    </row>
    <row r="5961" spans="1:5" ht="18" x14ac:dyDescent="0.35">
      <c r="A5961" s="5"/>
      <c r="B5961" s="50" t="s">
        <v>35</v>
      </c>
      <c r="C5961" s="7">
        <v>4</v>
      </c>
      <c r="D5961" s="7">
        <v>2.91</v>
      </c>
      <c r="E5961" s="85">
        <f t="shared" si="399"/>
        <v>11.64</v>
      </c>
    </row>
    <row r="5962" spans="1:5" ht="18" x14ac:dyDescent="0.35">
      <c r="A5962" s="5"/>
      <c r="B5962" s="50" t="s">
        <v>36</v>
      </c>
      <c r="C5962" s="7">
        <v>4</v>
      </c>
      <c r="D5962" s="7">
        <v>0.61</v>
      </c>
      <c r="E5962" s="85">
        <f t="shared" si="399"/>
        <v>2.44</v>
      </c>
    </row>
    <row r="5963" spans="1:5" ht="18" x14ac:dyDescent="0.35">
      <c r="A5963" s="5"/>
      <c r="B5963" s="5"/>
      <c r="C5963" s="54"/>
      <c r="D5963" s="54"/>
      <c r="E5963" s="89">
        <f>SUM(E5957:E5962)</f>
        <v>92.462580000000003</v>
      </c>
    </row>
    <row r="5964" spans="1:5" ht="18" x14ac:dyDescent="0.35">
      <c r="A5964" s="5"/>
      <c r="B5964" s="5"/>
      <c r="C5964" s="54"/>
      <c r="D5964" s="54" t="s">
        <v>1116</v>
      </c>
      <c r="E5964" s="89">
        <f>E5963+E5963*40%</f>
        <v>129.44761199999999</v>
      </c>
    </row>
    <row r="5965" spans="1:5" ht="18" x14ac:dyDescent="0.35">
      <c r="A5965" s="5"/>
      <c r="B5965" s="50" t="s">
        <v>37</v>
      </c>
      <c r="C5965" s="54">
        <v>0.4</v>
      </c>
      <c r="D5965" s="54">
        <v>200</v>
      </c>
      <c r="E5965" s="85">
        <f>C5965*D5965</f>
        <v>80</v>
      </c>
    </row>
    <row r="5966" spans="1:5" ht="18" x14ac:dyDescent="0.35">
      <c r="A5966" s="5"/>
      <c r="B5966" s="5"/>
      <c r="C5966" s="54"/>
      <c r="D5966" s="54"/>
      <c r="E5966" s="85">
        <f>SUM(E5964:E5965)</f>
        <v>209.44761199999999</v>
      </c>
    </row>
    <row r="5969" spans="1:5" ht="21" x14ac:dyDescent="0.4">
      <c r="A5969" s="40" t="s">
        <v>1052</v>
      </c>
      <c r="B5969" s="40"/>
      <c r="C5969" s="84"/>
    </row>
    <row r="5970" spans="1:5" ht="18" x14ac:dyDescent="0.35">
      <c r="A5970" s="5" t="s">
        <v>1383</v>
      </c>
      <c r="B5970" s="5"/>
      <c r="C5970" s="7" t="s">
        <v>28</v>
      </c>
      <c r="D5970" s="7" t="s">
        <v>29</v>
      </c>
      <c r="E5970" s="7" t="s">
        <v>30</v>
      </c>
    </row>
    <row r="5971" spans="1:5" ht="18" x14ac:dyDescent="0.35">
      <c r="A5971" s="5" t="s">
        <v>79</v>
      </c>
      <c r="B5971" s="50" t="s">
        <v>32</v>
      </c>
      <c r="C5971" s="7">
        <v>2.238</v>
      </c>
      <c r="D5971" s="7">
        <v>10.34</v>
      </c>
      <c r="E5971" s="85">
        <f t="shared" ref="E5971:E5976" si="400">C5971*D5971</f>
        <v>23.140920000000001</v>
      </c>
    </row>
    <row r="5972" spans="1:5" ht="18" x14ac:dyDescent="0.35">
      <c r="A5972" s="5" t="s">
        <v>178</v>
      </c>
      <c r="B5972" s="50" t="s">
        <v>33</v>
      </c>
      <c r="C5972" s="7">
        <v>7.4649999999999999</v>
      </c>
      <c r="D5972" s="7">
        <v>16.170000000000002</v>
      </c>
      <c r="E5972" s="85">
        <f t="shared" si="400"/>
        <v>120.70905</v>
      </c>
    </row>
    <row r="5973" spans="1:5" ht="18" x14ac:dyDescent="0.35">
      <c r="A5973" s="5" t="s">
        <v>842</v>
      </c>
      <c r="B5973" s="50" t="s">
        <v>85</v>
      </c>
      <c r="C5973" s="7">
        <v>2</v>
      </c>
      <c r="D5973" s="7">
        <v>1.48</v>
      </c>
      <c r="E5973" s="85">
        <f t="shared" si="400"/>
        <v>2.96</v>
      </c>
    </row>
    <row r="5974" spans="1:5" ht="18" x14ac:dyDescent="0.35">
      <c r="A5974" s="5"/>
      <c r="B5974" s="50" t="s">
        <v>34</v>
      </c>
      <c r="C5974" s="7">
        <v>0.42</v>
      </c>
      <c r="D5974" s="7">
        <v>14.61</v>
      </c>
      <c r="E5974" s="85">
        <f t="shared" si="400"/>
        <v>6.1361999999999997</v>
      </c>
    </row>
    <row r="5975" spans="1:5" ht="18" x14ac:dyDescent="0.35">
      <c r="A5975" s="5"/>
      <c r="B5975" s="50" t="s">
        <v>35</v>
      </c>
      <c r="C5975" s="7">
        <v>4</v>
      </c>
      <c r="D5975" s="7">
        <v>2.91</v>
      </c>
      <c r="E5975" s="85">
        <f t="shared" si="400"/>
        <v>11.64</v>
      </c>
    </row>
    <row r="5976" spans="1:5" ht="18" x14ac:dyDescent="0.35">
      <c r="A5976" s="5"/>
      <c r="B5976" s="50" t="s">
        <v>36</v>
      </c>
      <c r="C5976" s="7">
        <v>4</v>
      </c>
      <c r="D5976" s="7">
        <v>0.61</v>
      </c>
      <c r="E5976" s="85">
        <f t="shared" si="400"/>
        <v>2.44</v>
      </c>
    </row>
    <row r="5977" spans="1:5" ht="18" x14ac:dyDescent="0.35">
      <c r="A5977" s="5"/>
      <c r="B5977" s="5"/>
      <c r="C5977" s="54"/>
      <c r="D5977" s="54"/>
      <c r="E5977" s="89">
        <f>SUM(E5971:E5976)</f>
        <v>167.02617000000004</v>
      </c>
    </row>
    <row r="5978" spans="1:5" ht="18" x14ac:dyDescent="0.35">
      <c r="A5978" s="5"/>
      <c r="B5978" s="5"/>
      <c r="C5978" s="54"/>
      <c r="D5978" s="54" t="s">
        <v>1116</v>
      </c>
      <c r="E5978" s="89">
        <f>E5977+E5977*30%</f>
        <v>217.13402100000005</v>
      </c>
    </row>
    <row r="5979" spans="1:5" ht="18" x14ac:dyDescent="0.35">
      <c r="A5979" s="5"/>
      <c r="B5979" s="50" t="s">
        <v>37</v>
      </c>
      <c r="C5979" s="54">
        <v>0.4</v>
      </c>
      <c r="D5979" s="54">
        <v>200</v>
      </c>
      <c r="E5979" s="85">
        <f>C5979*D5979</f>
        <v>80</v>
      </c>
    </row>
    <row r="5980" spans="1:5" ht="18" x14ac:dyDescent="0.35">
      <c r="A5980" s="5"/>
      <c r="B5980" s="5"/>
      <c r="C5980" s="54"/>
      <c r="D5980" s="54"/>
      <c r="E5980" s="85">
        <f>SUM(E5978:E5979)</f>
        <v>297.13402100000008</v>
      </c>
    </row>
    <row r="5982" spans="1:5" ht="21" x14ac:dyDescent="0.4">
      <c r="A5982" s="40" t="s">
        <v>1615</v>
      </c>
      <c r="B5982" s="40"/>
      <c r="C5982" s="84"/>
    </row>
    <row r="5983" spans="1:5" ht="18" x14ac:dyDescent="0.35">
      <c r="B5983" s="5"/>
      <c r="C5983" s="7" t="s">
        <v>28</v>
      </c>
      <c r="D5983" s="7" t="s">
        <v>29</v>
      </c>
      <c r="E5983" s="7" t="s">
        <v>30</v>
      </c>
    </row>
    <row r="5984" spans="1:5" ht="18" x14ac:dyDescent="0.35">
      <c r="A5984" s="5" t="s">
        <v>79</v>
      </c>
      <c r="B5984" s="50" t="s">
        <v>32</v>
      </c>
      <c r="C5984" s="7">
        <v>2.238</v>
      </c>
      <c r="D5984" s="7">
        <v>14.93</v>
      </c>
      <c r="E5984" s="85">
        <f t="shared" ref="E5984:E5991" si="401">C5984*D5984</f>
        <v>33.413339999999998</v>
      </c>
    </row>
    <row r="5985" spans="1:5" ht="18" x14ac:dyDescent="0.35">
      <c r="A5985" s="5" t="s">
        <v>828</v>
      </c>
      <c r="B5985" s="50" t="s">
        <v>33</v>
      </c>
      <c r="C5985" s="7">
        <v>7.4649999999999999</v>
      </c>
      <c r="D5985" s="7">
        <v>16.170000000000002</v>
      </c>
      <c r="E5985" s="85">
        <f t="shared" si="401"/>
        <v>120.70905</v>
      </c>
    </row>
    <row r="5986" spans="1:5" ht="18" x14ac:dyDescent="0.35">
      <c r="A5986" s="5" t="s">
        <v>397</v>
      </c>
      <c r="B5986" s="50" t="s">
        <v>33</v>
      </c>
      <c r="C5986" s="7">
        <v>7.98</v>
      </c>
      <c r="D5986" s="7">
        <v>16.170000000000002</v>
      </c>
      <c r="E5986" s="85">
        <f t="shared" si="401"/>
        <v>129.03660000000002</v>
      </c>
    </row>
    <row r="5987" spans="1:5" ht="18" x14ac:dyDescent="0.35">
      <c r="A5987" s="5" t="s">
        <v>842</v>
      </c>
      <c r="B5987" s="50" t="s">
        <v>85</v>
      </c>
      <c r="C5987" s="7">
        <v>2</v>
      </c>
      <c r="D5987" s="7">
        <v>1.48</v>
      </c>
      <c r="E5987" s="85">
        <f t="shared" si="401"/>
        <v>2.96</v>
      </c>
    </row>
    <row r="5988" spans="1:5" ht="18" x14ac:dyDescent="0.35">
      <c r="A5988" s="5"/>
      <c r="B5988" s="50" t="s">
        <v>87</v>
      </c>
      <c r="C5988" s="7">
        <v>2</v>
      </c>
      <c r="D5988" s="7">
        <v>3.62</v>
      </c>
      <c r="E5988" s="85">
        <f t="shared" si="401"/>
        <v>7.24</v>
      </c>
    </row>
    <row r="5989" spans="1:5" ht="18" x14ac:dyDescent="0.35">
      <c r="A5989" s="5"/>
      <c r="B5989" s="50" t="s">
        <v>34</v>
      </c>
      <c r="C5989" s="7">
        <v>0.21</v>
      </c>
      <c r="D5989" s="7">
        <v>14.61</v>
      </c>
      <c r="E5989" s="85">
        <f t="shared" si="401"/>
        <v>3.0680999999999998</v>
      </c>
    </row>
    <row r="5990" spans="1:5" ht="18" x14ac:dyDescent="0.35">
      <c r="A5990" s="5"/>
      <c r="B5990" s="50" t="s">
        <v>35</v>
      </c>
      <c r="C5990" s="7">
        <v>4</v>
      </c>
      <c r="D5990" s="7">
        <v>2.91</v>
      </c>
      <c r="E5990" s="85">
        <f t="shared" si="401"/>
        <v>11.64</v>
      </c>
    </row>
    <row r="5991" spans="1:5" ht="18" x14ac:dyDescent="0.35">
      <c r="A5991" s="5"/>
      <c r="B5991" s="50" t="s">
        <v>36</v>
      </c>
      <c r="C5991" s="7">
        <v>4</v>
      </c>
      <c r="D5991" s="7">
        <v>0.61</v>
      </c>
      <c r="E5991" s="85">
        <f t="shared" si="401"/>
        <v>2.44</v>
      </c>
    </row>
    <row r="5992" spans="1:5" ht="18" x14ac:dyDescent="0.35">
      <c r="A5992" s="5"/>
      <c r="B5992" s="5"/>
      <c r="C5992" s="54"/>
      <c r="D5992" s="54"/>
      <c r="E5992" s="89">
        <f>SUM(E5984:E5991)</f>
        <v>310.50709000000001</v>
      </c>
    </row>
    <row r="5993" spans="1:5" ht="18" x14ac:dyDescent="0.35">
      <c r="A5993" s="5"/>
      <c r="B5993" s="5"/>
      <c r="C5993" s="54"/>
      <c r="D5993" s="54" t="s">
        <v>1116</v>
      </c>
      <c r="E5993" s="89">
        <f>E5992+E5992*30%</f>
        <v>403.65921700000001</v>
      </c>
    </row>
    <row r="5994" spans="1:5" ht="18" x14ac:dyDescent="0.35">
      <c r="A5994" s="5"/>
      <c r="B5994" s="50" t="s">
        <v>37</v>
      </c>
      <c r="C5994" s="54">
        <v>0.5</v>
      </c>
      <c r="D5994" s="54">
        <v>200</v>
      </c>
      <c r="E5994" s="85">
        <f>C5994*D5994</f>
        <v>100</v>
      </c>
    </row>
    <row r="5995" spans="1:5" ht="18" x14ac:dyDescent="0.35">
      <c r="A5995" s="5"/>
      <c r="B5995" s="5"/>
      <c r="C5995" s="54"/>
      <c r="D5995" s="54"/>
      <c r="E5995" s="85">
        <f>SUM(E5993:E5994)</f>
        <v>503.65921700000001</v>
      </c>
    </row>
    <row r="5997" spans="1:5" ht="21" x14ac:dyDescent="0.4">
      <c r="A5997" s="40" t="s">
        <v>1614</v>
      </c>
      <c r="B5997" s="40"/>
      <c r="C5997" s="84"/>
    </row>
    <row r="5998" spans="1:5" ht="18" x14ac:dyDescent="0.35">
      <c r="A5998" s="5" t="s">
        <v>1383</v>
      </c>
      <c r="B5998" s="5"/>
      <c r="C5998" s="7" t="s">
        <v>28</v>
      </c>
      <c r="D5998" s="7" t="s">
        <v>29</v>
      </c>
      <c r="E5998" s="7" t="s">
        <v>30</v>
      </c>
    </row>
    <row r="5999" spans="1:5" ht="18" x14ac:dyDescent="0.35">
      <c r="A5999" s="5" t="s">
        <v>116</v>
      </c>
      <c r="B5999" s="50" t="s">
        <v>32</v>
      </c>
      <c r="C5999" s="7">
        <v>1.8180000000000001</v>
      </c>
      <c r="D5999" s="7">
        <v>10.34</v>
      </c>
      <c r="E5999" s="85">
        <f t="shared" ref="E5999:E6004" si="402">C5999*D5999</f>
        <v>18.798120000000001</v>
      </c>
    </row>
    <row r="6000" spans="1:5" ht="18" x14ac:dyDescent="0.35">
      <c r="A6000" s="5" t="s">
        <v>54</v>
      </c>
      <c r="B6000" s="50" t="s">
        <v>33</v>
      </c>
      <c r="C6000" s="7">
        <v>7.78</v>
      </c>
      <c r="D6000" s="7">
        <v>16.170000000000002</v>
      </c>
      <c r="E6000" s="85">
        <f t="shared" si="402"/>
        <v>125.80260000000001</v>
      </c>
    </row>
    <row r="6001" spans="1:5" ht="18" x14ac:dyDescent="0.35">
      <c r="A6001" s="5" t="s">
        <v>842</v>
      </c>
      <c r="B6001" s="50" t="s">
        <v>85</v>
      </c>
      <c r="C6001" s="7">
        <v>2</v>
      </c>
      <c r="D6001" s="7">
        <v>1.48</v>
      </c>
      <c r="E6001" s="85">
        <f t="shared" si="402"/>
        <v>2.96</v>
      </c>
    </row>
    <row r="6002" spans="1:5" ht="18" x14ac:dyDescent="0.35">
      <c r="A6002" s="5"/>
      <c r="B6002" s="50" t="s">
        <v>34</v>
      </c>
      <c r="C6002" s="7"/>
      <c r="D6002" s="7">
        <v>14.61</v>
      </c>
      <c r="E6002" s="85">
        <f t="shared" si="402"/>
        <v>0</v>
      </c>
    </row>
    <row r="6003" spans="1:5" ht="18" x14ac:dyDescent="0.35">
      <c r="A6003" s="5"/>
      <c r="B6003" s="50" t="s">
        <v>35</v>
      </c>
      <c r="C6003" s="7">
        <v>4</v>
      </c>
      <c r="D6003" s="7">
        <v>2.91</v>
      </c>
      <c r="E6003" s="85">
        <f t="shared" si="402"/>
        <v>11.64</v>
      </c>
    </row>
    <row r="6004" spans="1:5" ht="18" x14ac:dyDescent="0.35">
      <c r="A6004" s="5"/>
      <c r="B6004" s="50" t="s">
        <v>36</v>
      </c>
      <c r="C6004" s="7">
        <v>4</v>
      </c>
      <c r="D6004" s="7">
        <v>0.61</v>
      </c>
      <c r="E6004" s="85">
        <f t="shared" si="402"/>
        <v>2.44</v>
      </c>
    </row>
    <row r="6005" spans="1:5" ht="18" x14ac:dyDescent="0.35">
      <c r="A6005" s="5"/>
      <c r="B6005" s="5"/>
      <c r="C6005" s="54"/>
      <c r="D6005" s="54"/>
      <c r="E6005" s="89">
        <f>SUM(E5999:E6004)</f>
        <v>161.64072000000004</v>
      </c>
    </row>
    <row r="6006" spans="1:5" ht="18" x14ac:dyDescent="0.35">
      <c r="A6006" s="5"/>
      <c r="B6006" s="5"/>
      <c r="C6006" s="54"/>
      <c r="D6006" s="54" t="s">
        <v>1116</v>
      </c>
      <c r="E6006" s="89">
        <f>E6005+E6005*30%</f>
        <v>210.13293600000006</v>
      </c>
    </row>
    <row r="6007" spans="1:5" ht="18" x14ac:dyDescent="0.35">
      <c r="A6007" s="5"/>
      <c r="B6007" s="50" t="s">
        <v>37</v>
      </c>
      <c r="C6007" s="54">
        <v>0.3</v>
      </c>
      <c r="D6007" s="54">
        <v>200</v>
      </c>
      <c r="E6007" s="85">
        <f>C6007*D6007</f>
        <v>60</v>
      </c>
    </row>
    <row r="6008" spans="1:5" ht="18" x14ac:dyDescent="0.35">
      <c r="A6008" s="5"/>
      <c r="B6008" s="5"/>
      <c r="C6008" s="54"/>
      <c r="D6008" s="54"/>
      <c r="E6008" s="85">
        <f>SUM(E6006:E6007)</f>
        <v>270.13293600000009</v>
      </c>
    </row>
    <row r="6011" spans="1:5" ht="21" x14ac:dyDescent="0.4">
      <c r="A6011" s="40" t="s">
        <v>1616</v>
      </c>
      <c r="B6011" s="40"/>
      <c r="C6011" s="84"/>
    </row>
    <row r="6012" spans="1:5" ht="18" x14ac:dyDescent="0.35">
      <c r="A6012" s="5" t="s">
        <v>1617</v>
      </c>
      <c r="B6012" s="5"/>
      <c r="C6012" s="7" t="s">
        <v>28</v>
      </c>
      <c r="D6012" s="7" t="s">
        <v>29</v>
      </c>
      <c r="E6012" s="7" t="s">
        <v>30</v>
      </c>
    </row>
    <row r="6013" spans="1:5" ht="18" x14ac:dyDescent="0.35">
      <c r="A6013" s="5" t="s">
        <v>1618</v>
      </c>
      <c r="B6013" s="50" t="s">
        <v>32</v>
      </c>
      <c r="C6013" s="7">
        <v>2.343</v>
      </c>
      <c r="D6013" s="7">
        <v>10.34</v>
      </c>
      <c r="E6013" s="85">
        <f t="shared" ref="E6013:E6018" si="403">C6013*D6013</f>
        <v>24.22662</v>
      </c>
    </row>
    <row r="6014" spans="1:5" ht="18" x14ac:dyDescent="0.35">
      <c r="A6014" s="5" t="s">
        <v>217</v>
      </c>
      <c r="B6014" s="50" t="s">
        <v>33</v>
      </c>
      <c r="C6014" s="7">
        <v>10.878</v>
      </c>
      <c r="D6014" s="7">
        <v>16.170000000000002</v>
      </c>
      <c r="E6014" s="85">
        <f t="shared" si="403"/>
        <v>175.89726000000002</v>
      </c>
    </row>
    <row r="6015" spans="1:5" ht="18" x14ac:dyDescent="0.35">
      <c r="A6015" s="5" t="s">
        <v>1619</v>
      </c>
      <c r="B6015" s="50" t="s">
        <v>86</v>
      </c>
      <c r="C6015" s="7">
        <v>2</v>
      </c>
      <c r="D6015" s="7">
        <v>1.7</v>
      </c>
      <c r="E6015" s="85">
        <f t="shared" si="403"/>
        <v>3.4</v>
      </c>
    </row>
    <row r="6016" spans="1:5" ht="18" x14ac:dyDescent="0.35">
      <c r="A6016" s="5"/>
      <c r="B6016" s="50" t="s">
        <v>34</v>
      </c>
      <c r="C6016" s="7">
        <v>0.3</v>
      </c>
      <c r="D6016" s="7">
        <v>14.61</v>
      </c>
      <c r="E6016" s="85">
        <f t="shared" si="403"/>
        <v>4.383</v>
      </c>
    </row>
    <row r="6017" spans="1:5" ht="18" x14ac:dyDescent="0.35">
      <c r="A6017" s="5"/>
      <c r="B6017" s="50" t="s">
        <v>35</v>
      </c>
      <c r="C6017" s="7">
        <v>4</v>
      </c>
      <c r="D6017" s="7">
        <v>2.91</v>
      </c>
      <c r="E6017" s="85">
        <f t="shared" si="403"/>
        <v>11.64</v>
      </c>
    </row>
    <row r="6018" spans="1:5" ht="18" x14ac:dyDescent="0.35">
      <c r="A6018" s="5"/>
      <c r="B6018" s="50" t="s">
        <v>36</v>
      </c>
      <c r="C6018" s="7">
        <v>4</v>
      </c>
      <c r="D6018" s="7">
        <v>0.61</v>
      </c>
      <c r="E6018" s="85">
        <f t="shared" si="403"/>
        <v>2.44</v>
      </c>
    </row>
    <row r="6019" spans="1:5" ht="18" x14ac:dyDescent="0.35">
      <c r="A6019" s="5"/>
      <c r="B6019" s="5"/>
      <c r="C6019" s="54"/>
      <c r="D6019" s="54"/>
      <c r="E6019" s="89">
        <f>SUM(E6013:E6018)</f>
        <v>221.98688000000004</v>
      </c>
    </row>
    <row r="6020" spans="1:5" ht="18" x14ac:dyDescent="0.35">
      <c r="A6020" s="5"/>
      <c r="B6020" s="5"/>
      <c r="C6020" s="54"/>
      <c r="D6020" s="54" t="s">
        <v>1063</v>
      </c>
      <c r="E6020" s="89">
        <f>E6019+E6019*40%</f>
        <v>310.78163200000006</v>
      </c>
    </row>
    <row r="6021" spans="1:5" ht="18" x14ac:dyDescent="0.35">
      <c r="A6021" s="5"/>
      <c r="B6021" s="50" t="s">
        <v>37</v>
      </c>
      <c r="C6021" s="54">
        <v>0.5</v>
      </c>
      <c r="D6021" s="54">
        <v>200</v>
      </c>
      <c r="E6021" s="85">
        <f>C6021*D6021</f>
        <v>100</v>
      </c>
    </row>
    <row r="6022" spans="1:5" ht="18" x14ac:dyDescent="0.35">
      <c r="A6022" s="5"/>
      <c r="B6022" s="5"/>
      <c r="C6022" s="54"/>
      <c r="D6022" s="54"/>
      <c r="E6022" s="85">
        <f>SUM(E6020:E6021)</f>
        <v>410.78163200000006</v>
      </c>
    </row>
    <row r="6024" spans="1:5" ht="21" x14ac:dyDescent="0.4">
      <c r="A6024" s="40" t="s">
        <v>1620</v>
      </c>
      <c r="B6024" s="40"/>
      <c r="C6024" s="40"/>
      <c r="D6024" s="12"/>
      <c r="E6024" s="12"/>
    </row>
    <row r="6025" spans="1:5" ht="18" x14ac:dyDescent="0.35">
      <c r="A6025" s="5" t="s">
        <v>1621</v>
      </c>
      <c r="B6025" s="5"/>
      <c r="C6025" s="7" t="s">
        <v>28</v>
      </c>
      <c r="D6025" s="7" t="s">
        <v>29</v>
      </c>
      <c r="E6025" s="7" t="s">
        <v>30</v>
      </c>
    </row>
    <row r="6026" spans="1:5" ht="18" x14ac:dyDescent="0.35">
      <c r="A6026" s="5" t="s">
        <v>1618</v>
      </c>
      <c r="B6026" s="50" t="s">
        <v>32</v>
      </c>
      <c r="C6026" s="7">
        <v>2.343</v>
      </c>
      <c r="D6026" s="7">
        <v>10.34</v>
      </c>
      <c r="E6026" s="85">
        <f>C6026*D6026</f>
        <v>24.22662</v>
      </c>
    </row>
    <row r="6027" spans="1:5" ht="18" x14ac:dyDescent="0.35">
      <c r="A6027" s="5" t="s">
        <v>213</v>
      </c>
      <c r="B6027" s="50" t="s">
        <v>33</v>
      </c>
      <c r="C6027" s="7">
        <v>16.317</v>
      </c>
      <c r="D6027" s="7">
        <v>17.059999999999999</v>
      </c>
      <c r="E6027" s="85">
        <f>C6027*D6027</f>
        <v>278.36802</v>
      </c>
    </row>
    <row r="6028" spans="1:5" ht="18" x14ac:dyDescent="0.35">
      <c r="A6028" s="5" t="s">
        <v>1619</v>
      </c>
      <c r="B6028" s="50" t="s">
        <v>137</v>
      </c>
      <c r="C6028" s="7">
        <v>0.6</v>
      </c>
      <c r="D6028" s="7">
        <v>15.25</v>
      </c>
      <c r="E6028" s="85">
        <f>C6028*D6028</f>
        <v>9.15</v>
      </c>
    </row>
    <row r="6029" spans="1:5" ht="18" x14ac:dyDescent="0.35">
      <c r="A6029" s="5"/>
      <c r="B6029" s="50" t="s">
        <v>35</v>
      </c>
      <c r="C6029" s="7">
        <v>4</v>
      </c>
      <c r="D6029" s="7">
        <v>2.91</v>
      </c>
      <c r="E6029" s="85">
        <f>C6029*D6029</f>
        <v>11.64</v>
      </c>
    </row>
    <row r="6030" spans="1:5" ht="18" x14ac:dyDescent="0.35">
      <c r="A6030" s="5"/>
      <c r="B6030" s="50" t="s">
        <v>36</v>
      </c>
      <c r="C6030" s="7">
        <v>4</v>
      </c>
      <c r="D6030" s="7">
        <v>0.61</v>
      </c>
      <c r="E6030" s="85">
        <f>C6030*D6030</f>
        <v>2.44</v>
      </c>
    </row>
    <row r="6031" spans="1:5" ht="18" x14ac:dyDescent="0.35">
      <c r="A6031" s="5"/>
      <c r="B6031" s="50"/>
      <c r="C6031" s="87"/>
      <c r="D6031" s="88"/>
      <c r="E6031" s="85">
        <f>SUM(E6026:E6030)</f>
        <v>325.82463999999999</v>
      </c>
    </row>
    <row r="6032" spans="1:5" ht="18" x14ac:dyDescent="0.35">
      <c r="A6032" s="5"/>
      <c r="B6032" s="50"/>
      <c r="C6032" s="87"/>
      <c r="D6032" s="88" t="s">
        <v>1266</v>
      </c>
      <c r="E6032" s="85">
        <f>E6031+E6031*40%</f>
        <v>456.15449599999999</v>
      </c>
    </row>
    <row r="6033" spans="1:5" ht="18" x14ac:dyDescent="0.35">
      <c r="A6033" s="5"/>
      <c r="B6033" s="50" t="s">
        <v>37</v>
      </c>
      <c r="C6033" s="54">
        <v>1</v>
      </c>
      <c r="D6033" s="86">
        <v>200</v>
      </c>
      <c r="E6033" s="85">
        <f>C6033*D6033</f>
        <v>200</v>
      </c>
    </row>
    <row r="6034" spans="1:5" ht="18" x14ac:dyDescent="0.35">
      <c r="A6034" s="5"/>
      <c r="B6034" s="5"/>
      <c r="C6034" s="54"/>
      <c r="D6034" s="54"/>
      <c r="E6034" s="85">
        <f>SUM(E6032:E6033)</f>
        <v>656.15449599999999</v>
      </c>
    </row>
    <row r="6036" spans="1:5" ht="21" x14ac:dyDescent="0.4">
      <c r="A6036" s="40" t="s">
        <v>1622</v>
      </c>
      <c r="B6036" s="40"/>
      <c r="C6036" s="84"/>
    </row>
    <row r="6037" spans="1:5" ht="18" x14ac:dyDescent="0.35">
      <c r="A6037" s="5" t="s">
        <v>1623</v>
      </c>
      <c r="B6037" s="5"/>
      <c r="C6037" s="7" t="s">
        <v>28</v>
      </c>
      <c r="D6037" s="7" t="s">
        <v>29</v>
      </c>
      <c r="E6037" s="7" t="s">
        <v>30</v>
      </c>
    </row>
    <row r="6038" spans="1:5" ht="18" x14ac:dyDescent="0.35">
      <c r="A6038" s="5" t="s">
        <v>252</v>
      </c>
      <c r="B6038" s="50" t="s">
        <v>32</v>
      </c>
      <c r="C6038" s="7">
        <v>2.91</v>
      </c>
      <c r="D6038" s="7">
        <v>10.34</v>
      </c>
      <c r="E6038" s="85">
        <f t="shared" ref="E6038:E6043" si="404">C6038*D6038</f>
        <v>30.089400000000001</v>
      </c>
    </row>
    <row r="6039" spans="1:5" ht="18" x14ac:dyDescent="0.35">
      <c r="A6039" s="5" t="s">
        <v>143</v>
      </c>
      <c r="B6039" s="50" t="s">
        <v>33</v>
      </c>
      <c r="C6039" s="7">
        <v>7.4969999999999999</v>
      </c>
      <c r="D6039" s="7">
        <v>16.170000000000002</v>
      </c>
      <c r="E6039" s="85">
        <f t="shared" si="404"/>
        <v>121.22649000000001</v>
      </c>
    </row>
    <row r="6040" spans="1:5" ht="18" x14ac:dyDescent="0.35">
      <c r="A6040" s="5" t="s">
        <v>1624</v>
      </c>
      <c r="B6040" s="50" t="s">
        <v>1625</v>
      </c>
      <c r="C6040" s="7">
        <v>2</v>
      </c>
      <c r="D6040" s="7">
        <v>1.1499999999999999</v>
      </c>
      <c r="E6040" s="85">
        <f t="shared" si="404"/>
        <v>2.2999999999999998</v>
      </c>
    </row>
    <row r="6041" spans="1:5" ht="18" x14ac:dyDescent="0.35">
      <c r="A6041" s="5"/>
      <c r="B6041" s="50" t="s">
        <v>34</v>
      </c>
      <c r="C6041" s="7">
        <v>0.48</v>
      </c>
      <c r="D6041" s="7">
        <v>14.61</v>
      </c>
      <c r="E6041" s="85">
        <f t="shared" si="404"/>
        <v>7.0127999999999995</v>
      </c>
    </row>
    <row r="6042" spans="1:5" ht="18" x14ac:dyDescent="0.35">
      <c r="A6042" s="5"/>
      <c r="B6042" s="50" t="s">
        <v>35</v>
      </c>
      <c r="C6042" s="7">
        <v>4</v>
      </c>
      <c r="D6042" s="7">
        <v>2.91</v>
      </c>
      <c r="E6042" s="85">
        <f t="shared" si="404"/>
        <v>11.64</v>
      </c>
    </row>
    <row r="6043" spans="1:5" ht="18" x14ac:dyDescent="0.35">
      <c r="A6043" s="5"/>
      <c r="B6043" s="50" t="s">
        <v>36</v>
      </c>
      <c r="C6043" s="7">
        <v>4</v>
      </c>
      <c r="D6043" s="7">
        <v>0.61</v>
      </c>
      <c r="E6043" s="85">
        <f t="shared" si="404"/>
        <v>2.44</v>
      </c>
    </row>
    <row r="6044" spans="1:5" ht="18" x14ac:dyDescent="0.35">
      <c r="A6044" s="5"/>
      <c r="B6044" s="5"/>
      <c r="C6044" s="54"/>
      <c r="D6044" s="54"/>
      <c r="E6044" s="89">
        <f>SUM(E6038:E6043)</f>
        <v>174.70869000000005</v>
      </c>
    </row>
    <row r="6045" spans="1:5" ht="18" x14ac:dyDescent="0.35">
      <c r="A6045" s="5"/>
      <c r="B6045" s="5"/>
      <c r="C6045" s="54"/>
      <c r="D6045" s="54" t="s">
        <v>1063</v>
      </c>
      <c r="E6045" s="89">
        <f>E6044+E6044*40%</f>
        <v>244.59216600000008</v>
      </c>
    </row>
    <row r="6046" spans="1:5" ht="18" x14ac:dyDescent="0.35">
      <c r="A6046" s="5"/>
      <c r="B6046" s="50" t="s">
        <v>37</v>
      </c>
      <c r="C6046" s="54">
        <v>0.5</v>
      </c>
      <c r="D6046" s="54">
        <v>200</v>
      </c>
      <c r="E6046" s="85">
        <f>C6046*D6046</f>
        <v>100</v>
      </c>
    </row>
    <row r="6047" spans="1:5" ht="18" x14ac:dyDescent="0.35">
      <c r="A6047" s="5"/>
      <c r="B6047" s="5"/>
      <c r="C6047" s="54"/>
      <c r="D6047" s="54"/>
      <c r="E6047" s="85">
        <f>SUM(E6045:E6046)</f>
        <v>344.59216600000008</v>
      </c>
    </row>
    <row r="6049" spans="1:5" ht="21" x14ac:dyDescent="0.4">
      <c r="A6049" s="40" t="s">
        <v>1615</v>
      </c>
      <c r="B6049" s="40"/>
      <c r="C6049" s="84"/>
    </row>
    <row r="6050" spans="1:5" ht="18" x14ac:dyDescent="0.35">
      <c r="B6050" s="5"/>
      <c r="C6050" s="7" t="s">
        <v>28</v>
      </c>
      <c r="D6050" s="7" t="s">
        <v>29</v>
      </c>
      <c r="E6050" s="7" t="s">
        <v>30</v>
      </c>
    </row>
    <row r="6051" spans="1:5" ht="18" x14ac:dyDescent="0.35">
      <c r="A6051" s="5" t="s">
        <v>252</v>
      </c>
      <c r="B6051" s="50" t="s">
        <v>32</v>
      </c>
      <c r="C6051" s="7">
        <v>2.91</v>
      </c>
      <c r="D6051" s="7">
        <v>14.93</v>
      </c>
      <c r="E6051" s="85">
        <f t="shared" ref="E6051:E6058" si="405">C6051*D6051</f>
        <v>43.446300000000001</v>
      </c>
    </row>
    <row r="6052" spans="1:5" ht="18" x14ac:dyDescent="0.35">
      <c r="A6052" s="5" t="s">
        <v>791</v>
      </c>
      <c r="B6052" s="50" t="s">
        <v>33</v>
      </c>
      <c r="C6052" s="7">
        <v>7.4969999999999999</v>
      </c>
      <c r="D6052" s="7">
        <v>16.170000000000002</v>
      </c>
      <c r="E6052" s="85">
        <f t="shared" si="405"/>
        <v>121.22649000000001</v>
      </c>
    </row>
    <row r="6053" spans="1:5" ht="18" x14ac:dyDescent="0.35">
      <c r="A6053" s="5" t="s">
        <v>519</v>
      </c>
      <c r="B6053" s="50" t="s">
        <v>33</v>
      </c>
      <c r="C6053" s="7">
        <v>6.93</v>
      </c>
      <c r="D6053" s="7">
        <v>16.170000000000002</v>
      </c>
      <c r="E6053" s="85">
        <f t="shared" si="405"/>
        <v>112.05810000000001</v>
      </c>
    </row>
    <row r="6054" spans="1:5" ht="18" x14ac:dyDescent="0.35">
      <c r="A6054" s="5" t="s">
        <v>842</v>
      </c>
      <c r="B6054" s="50" t="s">
        <v>1625</v>
      </c>
      <c r="C6054" s="7">
        <v>2</v>
      </c>
      <c r="D6054" s="7">
        <v>1.1499999999999999</v>
      </c>
      <c r="E6054" s="85">
        <f t="shared" si="405"/>
        <v>2.2999999999999998</v>
      </c>
    </row>
    <row r="6055" spans="1:5" ht="18" x14ac:dyDescent="0.35">
      <c r="A6055" s="5"/>
      <c r="B6055" s="50" t="s">
        <v>101</v>
      </c>
      <c r="C6055" s="7">
        <v>2</v>
      </c>
      <c r="D6055" s="7">
        <v>3.4</v>
      </c>
      <c r="E6055" s="85">
        <f t="shared" si="405"/>
        <v>6.8</v>
      </c>
    </row>
    <row r="6056" spans="1:5" ht="18" x14ac:dyDescent="0.35">
      <c r="A6056" s="5"/>
      <c r="B6056" s="50" t="s">
        <v>34</v>
      </c>
      <c r="C6056" s="7">
        <v>0.21</v>
      </c>
      <c r="D6056" s="7">
        <v>14.61</v>
      </c>
      <c r="E6056" s="85">
        <f t="shared" si="405"/>
        <v>3.0680999999999998</v>
      </c>
    </row>
    <row r="6057" spans="1:5" ht="18" x14ac:dyDescent="0.35">
      <c r="A6057" s="5"/>
      <c r="B6057" s="50" t="s">
        <v>35</v>
      </c>
      <c r="C6057" s="7">
        <v>4</v>
      </c>
      <c r="D6057" s="7">
        <v>2.91</v>
      </c>
      <c r="E6057" s="85">
        <f t="shared" si="405"/>
        <v>11.64</v>
      </c>
    </row>
    <row r="6058" spans="1:5" ht="18" x14ac:dyDescent="0.35">
      <c r="A6058" s="5"/>
      <c r="B6058" s="50" t="s">
        <v>36</v>
      </c>
      <c r="C6058" s="7">
        <v>4</v>
      </c>
      <c r="D6058" s="7">
        <v>0.61</v>
      </c>
      <c r="E6058" s="85">
        <f t="shared" si="405"/>
        <v>2.44</v>
      </c>
    </row>
    <row r="6059" spans="1:5" ht="18" x14ac:dyDescent="0.35">
      <c r="A6059" s="5"/>
      <c r="B6059" s="5"/>
      <c r="C6059" s="54"/>
      <c r="D6059" s="54"/>
      <c r="E6059" s="89">
        <f>SUM(E6051:E6058)</f>
        <v>302.97899000000007</v>
      </c>
    </row>
    <row r="6060" spans="1:5" ht="18" x14ac:dyDescent="0.35">
      <c r="A6060" s="5"/>
      <c r="B6060" s="5"/>
      <c r="C6060" s="54"/>
      <c r="D6060" s="54" t="s">
        <v>1063</v>
      </c>
      <c r="E6060" s="89">
        <f>E6059+E6059*40%</f>
        <v>424.17058600000007</v>
      </c>
    </row>
    <row r="6061" spans="1:5" ht="18" x14ac:dyDescent="0.35">
      <c r="A6061" s="5"/>
      <c r="B6061" s="50" t="s">
        <v>37</v>
      </c>
      <c r="C6061" s="54">
        <v>1</v>
      </c>
      <c r="D6061" s="54">
        <v>200</v>
      </c>
      <c r="E6061" s="85">
        <f>C6061*D6061</f>
        <v>200</v>
      </c>
    </row>
    <row r="6062" spans="1:5" ht="18" x14ac:dyDescent="0.35">
      <c r="E6062" s="85">
        <f>SUM(E6060:E6061)</f>
        <v>624.17058600000007</v>
      </c>
    </row>
    <row r="6064" spans="1:5" ht="21" x14ac:dyDescent="0.4">
      <c r="A6064" s="40" t="s">
        <v>1626</v>
      </c>
      <c r="B6064" s="40"/>
      <c r="C6064" s="84"/>
    </row>
    <row r="6065" spans="1:5" ht="18" x14ac:dyDescent="0.35">
      <c r="A6065" s="5" t="s">
        <v>1383</v>
      </c>
      <c r="B6065" s="5"/>
      <c r="C6065" s="7" t="s">
        <v>28</v>
      </c>
      <c r="D6065" s="7" t="s">
        <v>29</v>
      </c>
      <c r="E6065" s="7" t="s">
        <v>30</v>
      </c>
    </row>
    <row r="6066" spans="1:5" ht="18" x14ac:dyDescent="0.35">
      <c r="A6066" s="5" t="s">
        <v>1627</v>
      </c>
      <c r="B6066" s="50" t="s">
        <v>32</v>
      </c>
      <c r="C6066" s="7">
        <v>1.3149999999999999</v>
      </c>
      <c r="D6066" s="7">
        <v>11.37</v>
      </c>
      <c r="E6066" s="85">
        <f t="shared" ref="E6066:E6071" si="406">C6066*D6066</f>
        <v>14.951549999999999</v>
      </c>
    </row>
    <row r="6067" spans="1:5" ht="18" x14ac:dyDescent="0.35">
      <c r="A6067" s="5" t="s">
        <v>214</v>
      </c>
      <c r="B6067" s="50" t="s">
        <v>33</v>
      </c>
      <c r="C6067" s="7">
        <v>1.48</v>
      </c>
      <c r="D6067" s="7">
        <v>14.94</v>
      </c>
      <c r="E6067" s="85">
        <f t="shared" si="406"/>
        <v>22.1112</v>
      </c>
    </row>
    <row r="6068" spans="1:5" ht="18" x14ac:dyDescent="0.35">
      <c r="A6068" s="5" t="s">
        <v>842</v>
      </c>
      <c r="B6068" s="50" t="s">
        <v>1402</v>
      </c>
      <c r="C6068" s="7">
        <v>2</v>
      </c>
      <c r="D6068" s="7">
        <v>1.1499999999999999</v>
      </c>
      <c r="E6068" s="85">
        <f t="shared" si="406"/>
        <v>2.2999999999999998</v>
      </c>
    </row>
    <row r="6069" spans="1:5" ht="18" x14ac:dyDescent="0.35">
      <c r="A6069" s="5"/>
      <c r="B6069" s="50" t="s">
        <v>34</v>
      </c>
      <c r="C6069" s="7"/>
      <c r="D6069" s="7">
        <v>14.61</v>
      </c>
      <c r="E6069" s="85">
        <f t="shared" si="406"/>
        <v>0</v>
      </c>
    </row>
    <row r="6070" spans="1:5" ht="18" x14ac:dyDescent="0.35">
      <c r="A6070" s="5"/>
      <c r="B6070" s="50" t="s">
        <v>35</v>
      </c>
      <c r="C6070" s="7">
        <v>4</v>
      </c>
      <c r="D6070" s="7">
        <v>2.91</v>
      </c>
      <c r="E6070" s="85">
        <f t="shared" si="406"/>
        <v>11.64</v>
      </c>
    </row>
    <row r="6071" spans="1:5" ht="18" x14ac:dyDescent="0.35">
      <c r="A6071" s="5"/>
      <c r="B6071" s="50" t="s">
        <v>36</v>
      </c>
      <c r="C6071" s="7">
        <v>4</v>
      </c>
      <c r="D6071" s="7">
        <v>0.61</v>
      </c>
      <c r="E6071" s="85">
        <f t="shared" si="406"/>
        <v>2.44</v>
      </c>
    </row>
    <row r="6072" spans="1:5" ht="18" x14ac:dyDescent="0.35">
      <c r="A6072" s="5"/>
      <c r="B6072" s="5"/>
      <c r="C6072" s="54"/>
      <c r="D6072" s="54"/>
      <c r="E6072" s="89">
        <f>SUM(E6066:E6071)</f>
        <v>53.442749999999997</v>
      </c>
    </row>
    <row r="6073" spans="1:5" ht="18" x14ac:dyDescent="0.35">
      <c r="A6073" s="5"/>
      <c r="B6073" s="5"/>
      <c r="C6073" s="54"/>
      <c r="D6073" s="54" t="s">
        <v>1116</v>
      </c>
      <c r="E6073" s="89">
        <f>E6072+E6072*30%</f>
        <v>69.475574999999992</v>
      </c>
    </row>
    <row r="6074" spans="1:5" ht="18" x14ac:dyDescent="0.35">
      <c r="A6074" s="5"/>
      <c r="B6074" s="50" t="s">
        <v>37</v>
      </c>
      <c r="C6074" s="54">
        <v>0.35</v>
      </c>
      <c r="D6074" s="54">
        <v>200</v>
      </c>
      <c r="E6074" s="85">
        <f>C6074*D6074</f>
        <v>70</v>
      </c>
    </row>
    <row r="6075" spans="1:5" ht="18" x14ac:dyDescent="0.35">
      <c r="A6075" s="5"/>
      <c r="B6075" s="5"/>
      <c r="C6075" s="54"/>
      <c r="D6075" s="54"/>
      <c r="E6075" s="85">
        <f>SUM(E6073:E6074)</f>
        <v>139.47557499999999</v>
      </c>
    </row>
    <row r="6077" spans="1:5" ht="21" x14ac:dyDescent="0.4">
      <c r="A6077" s="40" t="s">
        <v>1626</v>
      </c>
      <c r="B6077" s="40"/>
      <c r="C6077" s="84"/>
    </row>
    <row r="6078" spans="1:5" ht="18" x14ac:dyDescent="0.35">
      <c r="A6078" s="5" t="s">
        <v>1383</v>
      </c>
      <c r="B6078" s="5"/>
      <c r="C6078" s="7" t="s">
        <v>28</v>
      </c>
      <c r="D6078" s="7" t="s">
        <v>29</v>
      </c>
      <c r="E6078" s="7" t="s">
        <v>30</v>
      </c>
    </row>
    <row r="6079" spans="1:5" ht="18" x14ac:dyDescent="0.35">
      <c r="A6079" s="5" t="s">
        <v>1628</v>
      </c>
      <c r="B6079" s="50" t="s">
        <v>32</v>
      </c>
      <c r="C6079" s="7">
        <v>1.1459999999999999</v>
      </c>
      <c r="D6079" s="7">
        <v>11.37</v>
      </c>
      <c r="E6079" s="85">
        <f t="shared" ref="E6079:E6084" si="407">C6079*D6079</f>
        <v>13.030019999999999</v>
      </c>
    </row>
    <row r="6080" spans="1:5" ht="18" x14ac:dyDescent="0.35">
      <c r="A6080" s="5" t="s">
        <v>214</v>
      </c>
      <c r="B6080" s="50" t="s">
        <v>33</v>
      </c>
      <c r="C6080" s="7">
        <v>1.228</v>
      </c>
      <c r="D6080" s="7">
        <v>14.94</v>
      </c>
      <c r="E6080" s="85">
        <f t="shared" si="407"/>
        <v>18.346319999999999</v>
      </c>
    </row>
    <row r="6081" spans="1:5" ht="18" x14ac:dyDescent="0.35">
      <c r="A6081" s="5" t="s">
        <v>842</v>
      </c>
      <c r="B6081" s="50" t="s">
        <v>1402</v>
      </c>
      <c r="C6081" s="7">
        <v>2</v>
      </c>
      <c r="D6081" s="7">
        <v>1.1499999999999999</v>
      </c>
      <c r="E6081" s="85">
        <f t="shared" si="407"/>
        <v>2.2999999999999998</v>
      </c>
    </row>
    <row r="6082" spans="1:5" ht="18" x14ac:dyDescent="0.35">
      <c r="A6082" s="5"/>
      <c r="B6082" s="50" t="s">
        <v>34</v>
      </c>
      <c r="C6082" s="7"/>
      <c r="D6082" s="7">
        <v>14.61</v>
      </c>
      <c r="E6082" s="85">
        <f t="shared" si="407"/>
        <v>0</v>
      </c>
    </row>
    <row r="6083" spans="1:5" ht="18" x14ac:dyDescent="0.35">
      <c r="A6083" s="5"/>
      <c r="B6083" s="50" t="s">
        <v>35</v>
      </c>
      <c r="C6083" s="7">
        <v>4</v>
      </c>
      <c r="D6083" s="7">
        <v>2.91</v>
      </c>
      <c r="E6083" s="85">
        <f t="shared" si="407"/>
        <v>11.64</v>
      </c>
    </row>
    <row r="6084" spans="1:5" ht="18" x14ac:dyDescent="0.35">
      <c r="A6084" s="5"/>
      <c r="B6084" s="50" t="s">
        <v>36</v>
      </c>
      <c r="C6084" s="7">
        <v>4</v>
      </c>
      <c r="D6084" s="7">
        <v>0.61</v>
      </c>
      <c r="E6084" s="85">
        <f t="shared" si="407"/>
        <v>2.44</v>
      </c>
    </row>
    <row r="6085" spans="1:5" ht="18" x14ac:dyDescent="0.35">
      <c r="A6085" s="5"/>
      <c r="B6085" s="5"/>
      <c r="C6085" s="54"/>
      <c r="D6085" s="54"/>
      <c r="E6085" s="89">
        <f>SUM(E6079:E6084)</f>
        <v>47.756339999999994</v>
      </c>
    </row>
    <row r="6086" spans="1:5" ht="18" x14ac:dyDescent="0.35">
      <c r="A6086" s="5"/>
      <c r="B6086" s="5"/>
      <c r="C6086" s="54"/>
      <c r="D6086" s="54" t="s">
        <v>1116</v>
      </c>
      <c r="E6086" s="89">
        <f>E6085+E6085*30%</f>
        <v>62.083241999999991</v>
      </c>
    </row>
    <row r="6087" spans="1:5" ht="18" x14ac:dyDescent="0.35">
      <c r="A6087" s="5"/>
      <c r="B6087" s="50" t="s">
        <v>37</v>
      </c>
      <c r="C6087" s="54">
        <v>0.3</v>
      </c>
      <c r="D6087" s="54">
        <v>200</v>
      </c>
      <c r="E6087" s="85">
        <f>C6087*D6087</f>
        <v>60</v>
      </c>
    </row>
    <row r="6088" spans="1:5" ht="18" x14ac:dyDescent="0.35">
      <c r="A6088" s="5"/>
      <c r="B6088" s="5"/>
      <c r="C6088" s="54"/>
      <c r="D6088" s="54"/>
      <c r="E6088" s="85">
        <f>SUM(E6086:E6087)</f>
        <v>122.08324199999998</v>
      </c>
    </row>
    <row r="6090" spans="1:5" ht="21" x14ac:dyDescent="0.4">
      <c r="A6090" s="40" t="s">
        <v>1630</v>
      </c>
      <c r="B6090" s="40"/>
      <c r="C6090" s="84"/>
    </row>
    <row r="6091" spans="1:5" ht="18" x14ac:dyDescent="0.35">
      <c r="A6091" s="5" t="s">
        <v>1631</v>
      </c>
      <c r="B6091" s="5"/>
      <c r="C6091" s="7" t="s">
        <v>28</v>
      </c>
      <c r="D6091" s="7" t="s">
        <v>29</v>
      </c>
      <c r="E6091" s="7" t="s">
        <v>30</v>
      </c>
    </row>
    <row r="6092" spans="1:5" ht="18" x14ac:dyDescent="0.35">
      <c r="A6092" s="5" t="s">
        <v>1632</v>
      </c>
      <c r="B6092" s="50" t="s">
        <v>32</v>
      </c>
      <c r="C6092" s="7">
        <v>2.218</v>
      </c>
      <c r="D6092" s="7">
        <v>11.37</v>
      </c>
      <c r="E6092" s="85">
        <f t="shared" ref="E6092:E6097" si="408">C6092*D6092</f>
        <v>25.218659999999996</v>
      </c>
    </row>
    <row r="6093" spans="1:5" ht="18" x14ac:dyDescent="0.35">
      <c r="A6093" s="5" t="s">
        <v>1633</v>
      </c>
      <c r="B6093" s="50" t="s">
        <v>33</v>
      </c>
      <c r="C6093" s="7">
        <v>10.752000000000001</v>
      </c>
      <c r="D6093" s="7">
        <v>14.94</v>
      </c>
      <c r="E6093" s="85">
        <f t="shared" si="408"/>
        <v>160.63488000000001</v>
      </c>
    </row>
    <row r="6094" spans="1:5" ht="18" x14ac:dyDescent="0.35">
      <c r="A6094" s="5" t="s">
        <v>1634</v>
      </c>
      <c r="B6094" s="50" t="s">
        <v>1402</v>
      </c>
      <c r="C6094" s="7">
        <v>2</v>
      </c>
      <c r="D6094" s="7">
        <v>1.1499999999999999</v>
      </c>
      <c r="E6094" s="85">
        <f t="shared" si="408"/>
        <v>2.2999999999999998</v>
      </c>
    </row>
    <row r="6095" spans="1:5" ht="18" x14ac:dyDescent="0.35">
      <c r="A6095" s="5"/>
      <c r="B6095" s="50" t="s">
        <v>34</v>
      </c>
      <c r="C6095" s="7">
        <v>0.36</v>
      </c>
      <c r="D6095" s="7">
        <v>14.61</v>
      </c>
      <c r="E6095" s="85">
        <f t="shared" si="408"/>
        <v>5.2595999999999998</v>
      </c>
    </row>
    <row r="6096" spans="1:5" ht="18" x14ac:dyDescent="0.35">
      <c r="A6096" s="5"/>
      <c r="B6096" s="50" t="s">
        <v>35</v>
      </c>
      <c r="C6096" s="7">
        <v>4</v>
      </c>
      <c r="D6096" s="7">
        <v>2.91</v>
      </c>
      <c r="E6096" s="85">
        <f t="shared" si="408"/>
        <v>11.64</v>
      </c>
    </row>
    <row r="6097" spans="1:5" ht="18" x14ac:dyDescent="0.35">
      <c r="A6097" s="5"/>
      <c r="B6097" s="50" t="s">
        <v>36</v>
      </c>
      <c r="C6097" s="7">
        <v>4</v>
      </c>
      <c r="D6097" s="7">
        <v>0.61</v>
      </c>
      <c r="E6097" s="85">
        <f t="shared" si="408"/>
        <v>2.44</v>
      </c>
    </row>
    <row r="6098" spans="1:5" ht="18" x14ac:dyDescent="0.35">
      <c r="A6098" s="5"/>
      <c r="B6098" s="5"/>
      <c r="C6098" s="54"/>
      <c r="D6098" s="54"/>
      <c r="E6098" s="89">
        <f>SUM(E6092:E6097)</f>
        <v>207.49314000000004</v>
      </c>
    </row>
    <row r="6099" spans="1:5" ht="18" x14ac:dyDescent="0.35">
      <c r="A6099" s="5"/>
      <c r="B6099" s="5"/>
      <c r="C6099" s="54"/>
      <c r="D6099" s="54" t="s">
        <v>1063</v>
      </c>
      <c r="E6099" s="89">
        <f>E6098+E6098*40%</f>
        <v>290.49039600000003</v>
      </c>
    </row>
    <row r="6100" spans="1:5" ht="18" x14ac:dyDescent="0.35">
      <c r="A6100" s="5"/>
      <c r="B6100" s="50" t="s">
        <v>37</v>
      </c>
      <c r="C6100" s="54">
        <v>0.4</v>
      </c>
      <c r="D6100" s="54">
        <v>200</v>
      </c>
      <c r="E6100" s="85">
        <f>C6100*D6100</f>
        <v>80</v>
      </c>
    </row>
    <row r="6101" spans="1:5" ht="18" x14ac:dyDescent="0.35">
      <c r="A6101" s="5"/>
      <c r="B6101" s="5"/>
      <c r="C6101" s="54"/>
      <c r="D6101" s="54"/>
      <c r="E6101" s="85">
        <f>SUM(E6099:E6100)</f>
        <v>370.49039600000003</v>
      </c>
    </row>
    <row r="6104" spans="1:5" ht="21" x14ac:dyDescent="0.4">
      <c r="A6104" s="40" t="s">
        <v>1635</v>
      </c>
      <c r="B6104" s="40"/>
      <c r="C6104" s="40"/>
      <c r="D6104" s="12"/>
      <c r="E6104" s="12"/>
    </row>
    <row r="6105" spans="1:5" ht="18" x14ac:dyDescent="0.35">
      <c r="A6105" s="5" t="s">
        <v>1636</v>
      </c>
      <c r="B6105" s="5"/>
      <c r="C6105" s="7" t="s">
        <v>28</v>
      </c>
      <c r="D6105" s="7" t="s">
        <v>29</v>
      </c>
      <c r="E6105" s="7" t="s">
        <v>30</v>
      </c>
    </row>
    <row r="6106" spans="1:5" ht="18" x14ac:dyDescent="0.35">
      <c r="A6106" s="5" t="s">
        <v>1637</v>
      </c>
      <c r="B6106" s="50" t="s">
        <v>32</v>
      </c>
      <c r="C6106" s="7">
        <v>2.4060000000000001</v>
      </c>
      <c r="D6106" s="7">
        <v>10.34</v>
      </c>
      <c r="E6106" s="85">
        <f>C6106*D6106</f>
        <v>24.878040000000002</v>
      </c>
    </row>
    <row r="6107" spans="1:5" ht="18" x14ac:dyDescent="0.35">
      <c r="A6107" s="5" t="s">
        <v>398</v>
      </c>
      <c r="B6107" s="50" t="s">
        <v>33</v>
      </c>
      <c r="C6107" s="7">
        <v>20.16</v>
      </c>
      <c r="D6107" s="7">
        <v>17.059999999999999</v>
      </c>
      <c r="E6107" s="85">
        <f>C6107*D6107</f>
        <v>343.92959999999999</v>
      </c>
    </row>
    <row r="6108" spans="1:5" ht="18" x14ac:dyDescent="0.35">
      <c r="A6108" s="5" t="s">
        <v>1619</v>
      </c>
      <c r="B6108" s="50" t="s">
        <v>137</v>
      </c>
      <c r="C6108" s="7">
        <v>0.90300000000000002</v>
      </c>
      <c r="D6108" s="7">
        <v>15.25</v>
      </c>
      <c r="E6108" s="85">
        <f>C6108*D6108</f>
        <v>13.77075</v>
      </c>
    </row>
    <row r="6109" spans="1:5" ht="18" x14ac:dyDescent="0.35">
      <c r="A6109" s="5"/>
      <c r="B6109" s="50" t="s">
        <v>35</v>
      </c>
      <c r="C6109" s="7">
        <v>4</v>
      </c>
      <c r="D6109" s="7">
        <v>2.91</v>
      </c>
      <c r="E6109" s="85">
        <f>C6109*D6109</f>
        <v>11.64</v>
      </c>
    </row>
    <row r="6110" spans="1:5" ht="18" x14ac:dyDescent="0.35">
      <c r="A6110" s="5"/>
      <c r="B6110" s="50" t="s">
        <v>36</v>
      </c>
      <c r="C6110" s="7">
        <v>4</v>
      </c>
      <c r="D6110" s="7">
        <v>0.61</v>
      </c>
      <c r="E6110" s="85">
        <f>C6110*D6110</f>
        <v>2.44</v>
      </c>
    </row>
    <row r="6111" spans="1:5" ht="18" x14ac:dyDescent="0.35">
      <c r="A6111" s="5"/>
      <c r="B6111" s="50"/>
      <c r="C6111" s="87"/>
      <c r="D6111" s="88"/>
      <c r="E6111" s="85">
        <f>SUM(E6106:E6110)</f>
        <v>396.65839</v>
      </c>
    </row>
    <row r="6112" spans="1:5" ht="18" x14ac:dyDescent="0.35">
      <c r="A6112" s="5"/>
      <c r="B6112" s="50"/>
      <c r="C6112" s="87"/>
      <c r="D6112" s="88" t="s">
        <v>1266</v>
      </c>
      <c r="E6112" s="85">
        <f>E6111+E6111*40%</f>
        <v>555.32174600000008</v>
      </c>
    </row>
    <row r="6113" spans="1:5" ht="18" x14ac:dyDescent="0.35">
      <c r="A6113" s="5"/>
      <c r="B6113" s="50" t="s">
        <v>37</v>
      </c>
      <c r="C6113" s="54">
        <v>0.5</v>
      </c>
      <c r="D6113" s="86">
        <v>200</v>
      </c>
      <c r="E6113" s="85">
        <f>C6113*D6113</f>
        <v>100</v>
      </c>
    </row>
    <row r="6114" spans="1:5" ht="18" x14ac:dyDescent="0.35">
      <c r="A6114" s="5"/>
      <c r="B6114" s="5"/>
      <c r="C6114" s="54"/>
      <c r="D6114" s="54"/>
      <c r="E6114" s="85">
        <f>SUM(E6112:E6113)</f>
        <v>655.32174600000008</v>
      </c>
    </row>
    <row r="6116" spans="1:5" ht="21" x14ac:dyDescent="0.4">
      <c r="A6116" s="40" t="s">
        <v>1626</v>
      </c>
      <c r="B6116" s="40"/>
      <c r="C6116" s="84"/>
    </row>
    <row r="6117" spans="1:5" ht="18" x14ac:dyDescent="0.35">
      <c r="A6117" s="5" t="s">
        <v>1638</v>
      </c>
      <c r="B6117" s="5"/>
      <c r="C6117" s="7" t="s">
        <v>28</v>
      </c>
      <c r="D6117" s="7" t="s">
        <v>29</v>
      </c>
      <c r="E6117" s="7" t="s">
        <v>30</v>
      </c>
    </row>
    <row r="6118" spans="1:5" ht="18" x14ac:dyDescent="0.35">
      <c r="A6118" s="5" t="s">
        <v>180</v>
      </c>
      <c r="B6118" s="50" t="s">
        <v>32</v>
      </c>
      <c r="C6118" s="7">
        <v>1.524</v>
      </c>
      <c r="D6118" s="7">
        <v>11.37</v>
      </c>
      <c r="E6118" s="85">
        <f t="shared" ref="E6118:E6123" si="409">C6118*D6118</f>
        <v>17.32788</v>
      </c>
    </row>
    <row r="6119" spans="1:5" ht="18" x14ac:dyDescent="0.35">
      <c r="A6119" s="5" t="s">
        <v>171</v>
      </c>
      <c r="B6119" s="50" t="s">
        <v>33</v>
      </c>
      <c r="C6119" s="7">
        <v>1.2390000000000001</v>
      </c>
      <c r="D6119" s="7">
        <v>14.94</v>
      </c>
      <c r="E6119" s="85">
        <f t="shared" si="409"/>
        <v>18.510660000000001</v>
      </c>
    </row>
    <row r="6120" spans="1:5" ht="18" x14ac:dyDescent="0.35">
      <c r="A6120" s="5" t="s">
        <v>842</v>
      </c>
      <c r="B6120" s="50" t="s">
        <v>1639</v>
      </c>
      <c r="C6120" s="7">
        <v>2</v>
      </c>
      <c r="D6120" s="7">
        <v>1.1499999999999999</v>
      </c>
      <c r="E6120" s="85">
        <f t="shared" si="409"/>
        <v>2.2999999999999998</v>
      </c>
    </row>
    <row r="6121" spans="1:5" ht="18" x14ac:dyDescent="0.35">
      <c r="A6121" s="5"/>
      <c r="B6121" s="50" t="s">
        <v>34</v>
      </c>
      <c r="C6121" s="7">
        <v>0.12</v>
      </c>
      <c r="D6121" s="7">
        <v>14.61</v>
      </c>
      <c r="E6121" s="85">
        <f t="shared" si="409"/>
        <v>1.7531999999999999</v>
      </c>
    </row>
    <row r="6122" spans="1:5" ht="18" x14ac:dyDescent="0.35">
      <c r="A6122" s="5"/>
      <c r="B6122" s="50" t="s">
        <v>35</v>
      </c>
      <c r="C6122" s="7">
        <v>4</v>
      </c>
      <c r="D6122" s="7">
        <v>2.91</v>
      </c>
      <c r="E6122" s="85">
        <f t="shared" si="409"/>
        <v>11.64</v>
      </c>
    </row>
    <row r="6123" spans="1:5" ht="18" x14ac:dyDescent="0.35">
      <c r="A6123" s="5"/>
      <c r="B6123" s="50" t="s">
        <v>36</v>
      </c>
      <c r="C6123" s="7">
        <v>4</v>
      </c>
      <c r="D6123" s="7">
        <v>0.61</v>
      </c>
      <c r="E6123" s="85">
        <f t="shared" si="409"/>
        <v>2.44</v>
      </c>
    </row>
    <row r="6124" spans="1:5" ht="18" x14ac:dyDescent="0.35">
      <c r="A6124" s="5"/>
      <c r="B6124" s="5"/>
      <c r="C6124" s="54"/>
      <c r="D6124" s="54"/>
      <c r="E6124" s="89">
        <f>SUM(E6118:E6123)</f>
        <v>53.971739999999997</v>
      </c>
    </row>
    <row r="6125" spans="1:5" ht="18" x14ac:dyDescent="0.35">
      <c r="A6125" s="5"/>
      <c r="B6125" s="5"/>
      <c r="C6125" s="54"/>
      <c r="D6125" s="54" t="s">
        <v>1063</v>
      </c>
      <c r="E6125" s="89">
        <f>E6124+E6124*40%</f>
        <v>75.560435999999996</v>
      </c>
    </row>
    <row r="6126" spans="1:5" ht="18" x14ac:dyDescent="0.35">
      <c r="A6126" s="5"/>
      <c r="B6126" s="50" t="s">
        <v>37</v>
      </c>
      <c r="C6126" s="54">
        <v>0.25</v>
      </c>
      <c r="D6126" s="54">
        <v>200</v>
      </c>
      <c r="E6126" s="85">
        <f>C6126*D6126</f>
        <v>50</v>
      </c>
    </row>
    <row r="6127" spans="1:5" ht="18" x14ac:dyDescent="0.35">
      <c r="A6127" s="5"/>
      <c r="B6127" s="5"/>
      <c r="C6127" s="54"/>
      <c r="D6127" s="54"/>
      <c r="E6127" s="85">
        <f>SUM(E6125:E6126)</f>
        <v>125.560436</v>
      </c>
    </row>
    <row r="6129" spans="1:5" ht="21" x14ac:dyDescent="0.4">
      <c r="A6129" s="40" t="s">
        <v>1640</v>
      </c>
      <c r="B6129" s="40"/>
      <c r="C6129" s="40"/>
      <c r="D6129" s="12"/>
      <c r="E6129" s="12"/>
    </row>
    <row r="6130" spans="1:5" ht="18" x14ac:dyDescent="0.35">
      <c r="A6130" s="5" t="s">
        <v>1636</v>
      </c>
      <c r="B6130" s="5"/>
      <c r="C6130" s="7" t="s">
        <v>28</v>
      </c>
      <c r="D6130" s="7" t="s">
        <v>29</v>
      </c>
      <c r="E6130" s="7" t="s">
        <v>30</v>
      </c>
    </row>
    <row r="6131" spans="1:5" ht="18" x14ac:dyDescent="0.35">
      <c r="A6131" s="5" t="s">
        <v>1632</v>
      </c>
      <c r="B6131" s="50" t="s">
        <v>32</v>
      </c>
      <c r="C6131" s="7">
        <v>2.2170000000000001</v>
      </c>
      <c r="D6131" s="7">
        <v>10.34</v>
      </c>
      <c r="E6131" s="85">
        <f>C6131*D6131</f>
        <v>22.923780000000001</v>
      </c>
    </row>
    <row r="6132" spans="1:5" ht="18" x14ac:dyDescent="0.35">
      <c r="A6132" s="5" t="s">
        <v>1633</v>
      </c>
      <c r="B6132" s="50" t="s">
        <v>33</v>
      </c>
      <c r="C6132" s="7">
        <v>10.752000000000001</v>
      </c>
      <c r="D6132" s="7">
        <v>17.059999999999999</v>
      </c>
      <c r="E6132" s="85">
        <f>C6132*D6132</f>
        <v>183.42912000000001</v>
      </c>
    </row>
    <row r="6133" spans="1:5" ht="18" x14ac:dyDescent="0.35">
      <c r="A6133" s="5" t="s">
        <v>1634</v>
      </c>
      <c r="B6133" s="50" t="s">
        <v>137</v>
      </c>
      <c r="C6133" s="7">
        <v>0.71399999999999997</v>
      </c>
      <c r="D6133" s="7">
        <v>15.25</v>
      </c>
      <c r="E6133" s="85">
        <f>C6133*D6133</f>
        <v>10.888499999999999</v>
      </c>
    </row>
    <row r="6134" spans="1:5" ht="18" x14ac:dyDescent="0.35">
      <c r="A6134" s="5"/>
      <c r="B6134" s="50" t="s">
        <v>35</v>
      </c>
      <c r="C6134" s="7">
        <v>4</v>
      </c>
      <c r="D6134" s="7">
        <v>2.91</v>
      </c>
      <c r="E6134" s="85">
        <f>C6134*D6134</f>
        <v>11.64</v>
      </c>
    </row>
    <row r="6135" spans="1:5" ht="18" x14ac:dyDescent="0.35">
      <c r="A6135" s="5"/>
      <c r="B6135" s="50" t="s">
        <v>36</v>
      </c>
      <c r="C6135" s="7">
        <v>4</v>
      </c>
      <c r="D6135" s="7">
        <v>0.61</v>
      </c>
      <c r="E6135" s="85">
        <f>C6135*D6135</f>
        <v>2.44</v>
      </c>
    </row>
    <row r="6136" spans="1:5" ht="18" x14ac:dyDescent="0.35">
      <c r="A6136" s="5"/>
      <c r="B6136" s="50"/>
      <c r="C6136" s="87"/>
      <c r="D6136" s="88"/>
      <c r="E6136" s="85">
        <f>SUM(E6131:E6135)</f>
        <v>231.32139999999998</v>
      </c>
    </row>
    <row r="6137" spans="1:5" ht="18" x14ac:dyDescent="0.35">
      <c r="A6137" s="5"/>
      <c r="B6137" s="50"/>
      <c r="C6137" s="87"/>
      <c r="D6137" s="88" t="s">
        <v>1266</v>
      </c>
      <c r="E6137" s="85">
        <f>E6136+E6136*40%</f>
        <v>323.84996000000001</v>
      </c>
    </row>
    <row r="6138" spans="1:5" ht="18" x14ac:dyDescent="0.35">
      <c r="A6138" s="5"/>
      <c r="B6138" s="50" t="s">
        <v>37</v>
      </c>
      <c r="C6138" s="54">
        <v>0.5</v>
      </c>
      <c r="D6138" s="86">
        <v>200</v>
      </c>
      <c r="E6138" s="85">
        <f>C6138*D6138</f>
        <v>100</v>
      </c>
    </row>
    <row r="6139" spans="1:5" ht="18" x14ac:dyDescent="0.35">
      <c r="A6139" s="5"/>
      <c r="B6139" s="5"/>
      <c r="C6139" s="54"/>
      <c r="D6139" s="54"/>
      <c r="E6139" s="85">
        <f>SUM(E6137:E6138)</f>
        <v>423.84996000000001</v>
      </c>
    </row>
    <row r="6141" spans="1:5" ht="21" x14ac:dyDescent="0.4">
      <c r="A6141" s="40" t="s">
        <v>1626</v>
      </c>
      <c r="B6141" s="40"/>
      <c r="C6141" s="84"/>
    </row>
    <row r="6142" spans="1:5" ht="18" x14ac:dyDescent="0.35">
      <c r="A6142" s="5" t="s">
        <v>1641</v>
      </c>
      <c r="B6142" s="5"/>
      <c r="C6142" s="7" t="s">
        <v>28</v>
      </c>
      <c r="D6142" s="7" t="s">
        <v>29</v>
      </c>
      <c r="E6142" s="7" t="s">
        <v>30</v>
      </c>
    </row>
    <row r="6143" spans="1:5" ht="18" x14ac:dyDescent="0.35">
      <c r="A6143" s="5" t="s">
        <v>158</v>
      </c>
      <c r="B6143" s="50" t="s">
        <v>32</v>
      </c>
      <c r="C6143" s="7">
        <v>1.0620000000000001</v>
      </c>
      <c r="D6143" s="7">
        <v>11.37</v>
      </c>
      <c r="E6143" s="85">
        <f t="shared" ref="E6143:E6148" si="410">C6143*D6143</f>
        <v>12.07494</v>
      </c>
    </row>
    <row r="6144" spans="1:5" ht="18" x14ac:dyDescent="0.35">
      <c r="A6144" s="5" t="s">
        <v>219</v>
      </c>
      <c r="B6144" s="50" t="s">
        <v>33</v>
      </c>
      <c r="C6144" s="7">
        <v>0.40899999999999997</v>
      </c>
      <c r="D6144" s="7">
        <v>14.94</v>
      </c>
      <c r="E6144" s="85">
        <f t="shared" si="410"/>
        <v>6.1104599999999998</v>
      </c>
    </row>
    <row r="6145" spans="1:5" ht="18" x14ac:dyDescent="0.35">
      <c r="A6145" s="5" t="s">
        <v>1642</v>
      </c>
      <c r="B6145" s="50" t="s">
        <v>911</v>
      </c>
      <c r="C6145" s="7">
        <v>2</v>
      </c>
      <c r="D6145" s="7">
        <v>1.1499999999999999</v>
      </c>
      <c r="E6145" s="85">
        <f t="shared" si="410"/>
        <v>2.2999999999999998</v>
      </c>
    </row>
    <row r="6146" spans="1:5" ht="18" x14ac:dyDescent="0.35">
      <c r="A6146" s="5"/>
      <c r="B6146" s="50" t="s">
        <v>34</v>
      </c>
      <c r="C6146" s="7"/>
      <c r="D6146" s="7">
        <v>14.61</v>
      </c>
      <c r="E6146" s="85">
        <f t="shared" si="410"/>
        <v>0</v>
      </c>
    </row>
    <row r="6147" spans="1:5" ht="18" x14ac:dyDescent="0.35">
      <c r="A6147" s="5"/>
      <c r="B6147" s="50" t="s">
        <v>35</v>
      </c>
      <c r="C6147" s="7">
        <v>4</v>
      </c>
      <c r="D6147" s="7">
        <v>2.91</v>
      </c>
      <c r="E6147" s="85">
        <f t="shared" si="410"/>
        <v>11.64</v>
      </c>
    </row>
    <row r="6148" spans="1:5" ht="18" x14ac:dyDescent="0.35">
      <c r="A6148" s="5"/>
      <c r="B6148" s="50" t="s">
        <v>36</v>
      </c>
      <c r="C6148" s="7">
        <v>4</v>
      </c>
      <c r="D6148" s="7">
        <v>0.61</v>
      </c>
      <c r="E6148" s="85">
        <f t="shared" si="410"/>
        <v>2.44</v>
      </c>
    </row>
    <row r="6149" spans="1:5" ht="18" x14ac:dyDescent="0.35">
      <c r="A6149" s="5"/>
      <c r="B6149" s="5"/>
      <c r="C6149" s="54"/>
      <c r="D6149" s="54"/>
      <c r="E6149" s="89">
        <f>SUM(E6143:E6148)</f>
        <v>34.565399999999997</v>
      </c>
    </row>
    <row r="6150" spans="1:5" ht="18" x14ac:dyDescent="0.35">
      <c r="A6150" s="5"/>
      <c r="B6150" s="5"/>
      <c r="C6150" s="54"/>
      <c r="D6150" s="54" t="s">
        <v>1116</v>
      </c>
      <c r="E6150" s="89">
        <f>E6149+E6149*30%</f>
        <v>44.935019999999994</v>
      </c>
    </row>
    <row r="6151" spans="1:5" ht="18" x14ac:dyDescent="0.35">
      <c r="A6151" s="5"/>
      <c r="B6151" s="50" t="s">
        <v>37</v>
      </c>
      <c r="C6151" s="54">
        <v>0.2</v>
      </c>
      <c r="D6151" s="54">
        <v>200</v>
      </c>
      <c r="E6151" s="85">
        <f>C6151*D6151</f>
        <v>40</v>
      </c>
    </row>
    <row r="6152" spans="1:5" ht="18" x14ac:dyDescent="0.35">
      <c r="A6152" s="5"/>
      <c r="B6152" s="5"/>
      <c r="C6152" s="54"/>
      <c r="D6152" s="54"/>
      <c r="E6152" s="85">
        <f>SUM(E6150:E6151)</f>
        <v>84.935019999999994</v>
      </c>
    </row>
    <row r="6154" spans="1:5" ht="21" x14ac:dyDescent="0.4">
      <c r="A6154" s="40" t="s">
        <v>1643</v>
      </c>
      <c r="B6154" s="40"/>
      <c r="C6154" s="84"/>
    </row>
    <row r="6155" spans="1:5" ht="18" x14ac:dyDescent="0.35">
      <c r="A6155" s="5" t="s">
        <v>1383</v>
      </c>
      <c r="B6155" s="5"/>
      <c r="C6155" s="7" t="s">
        <v>28</v>
      </c>
      <c r="D6155" s="7" t="s">
        <v>29</v>
      </c>
      <c r="E6155" s="7" t="s">
        <v>30</v>
      </c>
    </row>
    <row r="6156" spans="1:5" ht="18" x14ac:dyDescent="0.35">
      <c r="A6156" s="5" t="s">
        <v>291</v>
      </c>
      <c r="B6156" s="50" t="s">
        <v>32</v>
      </c>
      <c r="C6156" s="7">
        <v>2.6579999999999999</v>
      </c>
      <c r="D6156" s="7">
        <v>11.37</v>
      </c>
      <c r="E6156" s="85">
        <f t="shared" ref="E6156:E6161" si="411">C6156*D6156</f>
        <v>30.221459999999997</v>
      </c>
    </row>
    <row r="6157" spans="1:5" ht="18" x14ac:dyDescent="0.35">
      <c r="A6157" s="5" t="s">
        <v>56</v>
      </c>
      <c r="B6157" s="50" t="s">
        <v>33</v>
      </c>
      <c r="C6157" s="7">
        <v>17.965</v>
      </c>
      <c r="D6157" s="7">
        <v>14.94</v>
      </c>
      <c r="E6157" s="85">
        <f t="shared" si="411"/>
        <v>268.39709999999997</v>
      </c>
    </row>
    <row r="6158" spans="1:5" ht="18" x14ac:dyDescent="0.35">
      <c r="A6158" s="5" t="s">
        <v>1642</v>
      </c>
      <c r="B6158" s="50" t="s">
        <v>98</v>
      </c>
      <c r="C6158" s="7">
        <v>2</v>
      </c>
      <c r="D6158" s="7">
        <v>3.3</v>
      </c>
      <c r="E6158" s="85">
        <f t="shared" si="411"/>
        <v>6.6</v>
      </c>
    </row>
    <row r="6159" spans="1:5" ht="18" x14ac:dyDescent="0.35">
      <c r="A6159" s="5"/>
      <c r="B6159" s="50" t="s">
        <v>34</v>
      </c>
      <c r="C6159" s="7">
        <v>0.6</v>
      </c>
      <c r="D6159" s="7">
        <v>14.61</v>
      </c>
      <c r="E6159" s="85">
        <f t="shared" si="411"/>
        <v>8.766</v>
      </c>
    </row>
    <row r="6160" spans="1:5" ht="18" x14ac:dyDescent="0.35">
      <c r="A6160" s="5"/>
      <c r="B6160" s="50" t="s">
        <v>35</v>
      </c>
      <c r="C6160" s="7">
        <v>4</v>
      </c>
      <c r="D6160" s="7">
        <v>2.91</v>
      </c>
      <c r="E6160" s="85">
        <f t="shared" si="411"/>
        <v>11.64</v>
      </c>
    </row>
    <row r="6161" spans="1:5" ht="18" x14ac:dyDescent="0.35">
      <c r="A6161" s="5"/>
      <c r="B6161" s="50" t="s">
        <v>36</v>
      </c>
      <c r="C6161" s="7">
        <v>4</v>
      </c>
      <c r="D6161" s="7">
        <v>0.61</v>
      </c>
      <c r="E6161" s="85">
        <f t="shared" si="411"/>
        <v>2.44</v>
      </c>
    </row>
    <row r="6162" spans="1:5" ht="18" x14ac:dyDescent="0.35">
      <c r="A6162" s="5"/>
      <c r="B6162" s="5"/>
      <c r="C6162" s="54"/>
      <c r="D6162" s="54"/>
      <c r="E6162" s="89">
        <f>SUM(E6156:E6161)</f>
        <v>328.06455999999997</v>
      </c>
    </row>
    <row r="6163" spans="1:5" ht="18" x14ac:dyDescent="0.35">
      <c r="A6163" s="5"/>
      <c r="B6163" s="5"/>
      <c r="C6163" s="54"/>
      <c r="D6163" s="54" t="s">
        <v>1116</v>
      </c>
      <c r="E6163" s="89">
        <f>E6162+E6162*30%</f>
        <v>426.48392799999999</v>
      </c>
    </row>
    <row r="6164" spans="1:5" ht="18" x14ac:dyDescent="0.35">
      <c r="A6164" s="5"/>
      <c r="B6164" s="50" t="s">
        <v>37</v>
      </c>
      <c r="C6164" s="54">
        <v>1</v>
      </c>
      <c r="D6164" s="54">
        <v>85</v>
      </c>
      <c r="E6164" s="85">
        <f>C6164*D6164</f>
        <v>85</v>
      </c>
    </row>
    <row r="6165" spans="1:5" ht="18" x14ac:dyDescent="0.35">
      <c r="A6165" s="5"/>
      <c r="B6165" s="5"/>
      <c r="C6165" s="54"/>
      <c r="D6165" s="54"/>
      <c r="E6165" s="85">
        <f>SUM(E6163:E6164)</f>
        <v>511.48392799999999</v>
      </c>
    </row>
    <row r="6167" spans="1:5" ht="21" x14ac:dyDescent="0.4">
      <c r="A6167" s="40" t="s">
        <v>1644</v>
      </c>
      <c r="B6167" s="40"/>
      <c r="C6167" s="84"/>
    </row>
    <row r="6168" spans="1:5" ht="18" x14ac:dyDescent="0.35">
      <c r="A6168" t="s">
        <v>1383</v>
      </c>
      <c r="B6168" s="5"/>
      <c r="C6168" s="7" t="s">
        <v>28</v>
      </c>
      <c r="D6168" s="7" t="s">
        <v>29</v>
      </c>
      <c r="E6168" s="7" t="s">
        <v>30</v>
      </c>
    </row>
    <row r="6169" spans="1:5" ht="18" x14ac:dyDescent="0.35">
      <c r="A6169" s="5" t="s">
        <v>291</v>
      </c>
      <c r="B6169" s="50" t="s">
        <v>32</v>
      </c>
      <c r="C6169" s="7">
        <v>2.6579999999999999</v>
      </c>
      <c r="D6169" s="7">
        <v>14.93</v>
      </c>
      <c r="E6169" s="85">
        <f t="shared" ref="E6169:E6176" si="412">C6169*D6169</f>
        <v>39.68394</v>
      </c>
    </row>
    <row r="6170" spans="1:5" ht="18" x14ac:dyDescent="0.35">
      <c r="A6170" s="5" t="s">
        <v>1645</v>
      </c>
      <c r="B6170" s="50" t="s">
        <v>33</v>
      </c>
      <c r="C6170" s="7">
        <v>17.965</v>
      </c>
      <c r="D6170" s="7">
        <v>16.170000000000002</v>
      </c>
      <c r="E6170" s="85">
        <f t="shared" si="412"/>
        <v>290.49405000000002</v>
      </c>
    </row>
    <row r="6171" spans="1:5" ht="18" x14ac:dyDescent="0.35">
      <c r="A6171" s="5" t="s">
        <v>56</v>
      </c>
      <c r="B6171" s="50" t="s">
        <v>33</v>
      </c>
      <c r="C6171" s="7">
        <v>17.965</v>
      </c>
      <c r="D6171" s="7">
        <v>16.170000000000002</v>
      </c>
      <c r="E6171" s="85">
        <f t="shared" si="412"/>
        <v>290.49405000000002</v>
      </c>
    </row>
    <row r="6172" spans="1:5" ht="18" x14ac:dyDescent="0.35">
      <c r="A6172" s="5" t="s">
        <v>540</v>
      </c>
      <c r="B6172" s="50" t="s">
        <v>98</v>
      </c>
      <c r="C6172" s="7">
        <v>2</v>
      </c>
      <c r="D6172" s="7">
        <v>3.3</v>
      </c>
      <c r="E6172" s="85">
        <f t="shared" si="412"/>
        <v>6.6</v>
      </c>
    </row>
    <row r="6173" spans="1:5" ht="18" x14ac:dyDescent="0.35">
      <c r="A6173" s="5"/>
      <c r="B6173" s="50" t="s">
        <v>98</v>
      </c>
      <c r="C6173" s="7">
        <v>2</v>
      </c>
      <c r="D6173" s="7">
        <v>3.3</v>
      </c>
      <c r="E6173" s="85">
        <f t="shared" si="412"/>
        <v>6.6</v>
      </c>
    </row>
    <row r="6174" spans="1:5" ht="18" x14ac:dyDescent="0.35">
      <c r="A6174" s="5"/>
      <c r="B6174" s="50" t="s">
        <v>34</v>
      </c>
      <c r="C6174" s="7">
        <v>0.6</v>
      </c>
      <c r="D6174" s="7">
        <v>14.61</v>
      </c>
      <c r="E6174" s="85">
        <f t="shared" si="412"/>
        <v>8.766</v>
      </c>
    </row>
    <row r="6175" spans="1:5" ht="18" x14ac:dyDescent="0.35">
      <c r="A6175" s="5"/>
      <c r="B6175" s="50" t="s">
        <v>35</v>
      </c>
      <c r="C6175" s="7">
        <v>4</v>
      </c>
      <c r="D6175" s="7">
        <v>2.91</v>
      </c>
      <c r="E6175" s="85">
        <f t="shared" si="412"/>
        <v>11.64</v>
      </c>
    </row>
    <row r="6176" spans="1:5" ht="18" x14ac:dyDescent="0.35">
      <c r="A6176" s="5"/>
      <c r="B6176" s="50" t="s">
        <v>36</v>
      </c>
      <c r="C6176" s="7">
        <v>4</v>
      </c>
      <c r="D6176" s="7">
        <v>0.61</v>
      </c>
      <c r="E6176" s="85">
        <f t="shared" si="412"/>
        <v>2.44</v>
      </c>
    </row>
    <row r="6177" spans="1:5" ht="18" x14ac:dyDescent="0.35">
      <c r="A6177" s="5"/>
      <c r="B6177" s="5"/>
      <c r="C6177" s="54"/>
      <c r="D6177" s="54"/>
      <c r="E6177" s="89">
        <f>SUM(E6169:E6176)</f>
        <v>656.71804000000009</v>
      </c>
    </row>
    <row r="6178" spans="1:5" ht="18" x14ac:dyDescent="0.35">
      <c r="A6178" s="5"/>
      <c r="B6178" s="5"/>
      <c r="C6178" s="54"/>
      <c r="D6178" s="54" t="s">
        <v>1116</v>
      </c>
      <c r="E6178" s="89">
        <f>E6177+E6177*30%</f>
        <v>853.73345200000017</v>
      </c>
    </row>
    <row r="6179" spans="1:5" ht="18" x14ac:dyDescent="0.35">
      <c r="A6179" s="5"/>
      <c r="B6179" s="50" t="s">
        <v>37</v>
      </c>
      <c r="C6179" s="54">
        <v>2</v>
      </c>
      <c r="D6179" s="54">
        <v>85</v>
      </c>
      <c r="E6179" s="85">
        <f>C6179*D6179</f>
        <v>170</v>
      </c>
    </row>
    <row r="6180" spans="1:5" ht="18" x14ac:dyDescent="0.35">
      <c r="E6180" s="85">
        <f>SUM(E6178:E6179)</f>
        <v>1023.7334520000002</v>
      </c>
    </row>
    <row r="6182" spans="1:5" ht="21" x14ac:dyDescent="0.4">
      <c r="A6182" s="40" t="s">
        <v>1646</v>
      </c>
      <c r="B6182" s="40"/>
      <c r="C6182" s="84"/>
    </row>
    <row r="6183" spans="1:5" ht="18" x14ac:dyDescent="0.35">
      <c r="A6183" s="5" t="s">
        <v>1647</v>
      </c>
      <c r="B6183" s="5"/>
      <c r="C6183" s="7" t="s">
        <v>28</v>
      </c>
      <c r="D6183" s="7" t="s">
        <v>29</v>
      </c>
      <c r="E6183" s="7" t="s">
        <v>30</v>
      </c>
    </row>
    <row r="6184" spans="1:5" ht="18" x14ac:dyDescent="0.35">
      <c r="A6184" s="5" t="s">
        <v>203</v>
      </c>
      <c r="B6184" s="50" t="s">
        <v>32</v>
      </c>
      <c r="C6184" s="7">
        <v>1.923</v>
      </c>
      <c r="D6184" s="7">
        <v>11.37</v>
      </c>
      <c r="E6184" s="85">
        <f t="shared" ref="E6184:E6189" si="413">C6184*D6184</f>
        <v>21.864509999999999</v>
      </c>
    </row>
    <row r="6185" spans="1:5" ht="18" x14ac:dyDescent="0.35">
      <c r="A6185" s="5" t="s">
        <v>514</v>
      </c>
      <c r="B6185" s="50" t="s">
        <v>33</v>
      </c>
      <c r="C6185" s="7">
        <v>1.659</v>
      </c>
      <c r="D6185" s="7">
        <v>14.94</v>
      </c>
      <c r="E6185" s="85">
        <f t="shared" si="413"/>
        <v>24.78546</v>
      </c>
    </row>
    <row r="6186" spans="1:5" ht="18" x14ac:dyDescent="0.35">
      <c r="A6186" s="5" t="s">
        <v>677</v>
      </c>
      <c r="B6186" s="50" t="s">
        <v>991</v>
      </c>
      <c r="C6186" s="7">
        <v>2</v>
      </c>
      <c r="D6186" s="7">
        <v>1.1499999999999999</v>
      </c>
      <c r="E6186" s="85">
        <f t="shared" si="413"/>
        <v>2.2999999999999998</v>
      </c>
    </row>
    <row r="6187" spans="1:5" ht="18" x14ac:dyDescent="0.35">
      <c r="A6187" s="5"/>
      <c r="B6187" s="50" t="s">
        <v>34</v>
      </c>
      <c r="C6187" s="7">
        <v>0.5</v>
      </c>
      <c r="D6187" s="7">
        <v>14.61</v>
      </c>
      <c r="E6187" s="85">
        <f t="shared" si="413"/>
        <v>7.3049999999999997</v>
      </c>
    </row>
    <row r="6188" spans="1:5" ht="18" x14ac:dyDescent="0.35">
      <c r="A6188" s="5"/>
      <c r="B6188" s="50" t="s">
        <v>35</v>
      </c>
      <c r="C6188" s="7">
        <v>4</v>
      </c>
      <c r="D6188" s="7">
        <v>2.91</v>
      </c>
      <c r="E6188" s="85">
        <f t="shared" si="413"/>
        <v>11.64</v>
      </c>
    </row>
    <row r="6189" spans="1:5" ht="18" x14ac:dyDescent="0.35">
      <c r="A6189" s="5"/>
      <c r="B6189" s="50" t="s">
        <v>36</v>
      </c>
      <c r="C6189" s="7">
        <v>4</v>
      </c>
      <c r="D6189" s="7">
        <v>0.61</v>
      </c>
      <c r="E6189" s="85">
        <f t="shared" si="413"/>
        <v>2.44</v>
      </c>
    </row>
    <row r="6190" spans="1:5" ht="18" x14ac:dyDescent="0.35">
      <c r="A6190" s="5"/>
      <c r="B6190" s="5"/>
      <c r="C6190" s="54"/>
      <c r="D6190" s="54"/>
      <c r="E6190" s="89">
        <f>SUM(E6184:E6189)</f>
        <v>70.334969999999998</v>
      </c>
    </row>
    <row r="6191" spans="1:5" ht="18" x14ac:dyDescent="0.35">
      <c r="A6191" s="5"/>
      <c r="B6191" s="5"/>
      <c r="C6191" s="54"/>
      <c r="D6191" s="54" t="s">
        <v>1063</v>
      </c>
      <c r="E6191" s="89">
        <f>E6190+E6190*40%</f>
        <v>98.468958000000001</v>
      </c>
    </row>
    <row r="6192" spans="1:5" ht="18" x14ac:dyDescent="0.35">
      <c r="A6192" s="5"/>
      <c r="B6192" s="50" t="s">
        <v>37</v>
      </c>
      <c r="C6192" s="54">
        <v>0.25</v>
      </c>
      <c r="D6192" s="54">
        <v>200</v>
      </c>
      <c r="E6192" s="85">
        <f>C6192*D6192</f>
        <v>50</v>
      </c>
    </row>
    <row r="6193" spans="1:5" ht="18" x14ac:dyDescent="0.35">
      <c r="A6193" s="5"/>
      <c r="B6193" s="5"/>
      <c r="C6193" s="54"/>
      <c r="D6193" s="54"/>
      <c r="E6193" s="85">
        <f>SUM(E6191:E6192)</f>
        <v>148.46895799999999</v>
      </c>
    </row>
    <row r="6195" spans="1:5" ht="21" x14ac:dyDescent="0.4">
      <c r="A6195" s="40" t="s">
        <v>1648</v>
      </c>
      <c r="B6195" s="40"/>
      <c r="C6195" s="84"/>
    </row>
    <row r="6196" spans="1:5" ht="18" x14ac:dyDescent="0.35">
      <c r="A6196" s="5" t="s">
        <v>1647</v>
      </c>
      <c r="B6196" s="5"/>
      <c r="C6196" s="7" t="s">
        <v>28</v>
      </c>
      <c r="D6196" s="7" t="s">
        <v>29</v>
      </c>
      <c r="E6196" s="7" t="s">
        <v>30</v>
      </c>
    </row>
    <row r="6197" spans="1:5" ht="18" x14ac:dyDescent="0.35">
      <c r="A6197" s="5" t="s">
        <v>182</v>
      </c>
      <c r="B6197" s="50" t="s">
        <v>32</v>
      </c>
      <c r="C6197" s="7">
        <v>1.5029999999999999</v>
      </c>
      <c r="D6197" s="7">
        <v>11.37</v>
      </c>
      <c r="E6197" s="85">
        <f t="shared" ref="E6197:E6202" si="414">C6197*D6197</f>
        <v>17.089109999999998</v>
      </c>
    </row>
    <row r="6198" spans="1:5" ht="18" x14ac:dyDescent="0.35">
      <c r="A6198" s="5" t="s">
        <v>514</v>
      </c>
      <c r="B6198" s="50" t="s">
        <v>33</v>
      </c>
      <c r="C6198" s="7">
        <v>1.2390000000000001</v>
      </c>
      <c r="D6198" s="7">
        <v>14.94</v>
      </c>
      <c r="E6198" s="85">
        <f t="shared" si="414"/>
        <v>18.510660000000001</v>
      </c>
    </row>
    <row r="6199" spans="1:5" ht="18" x14ac:dyDescent="0.35">
      <c r="A6199" s="5" t="s">
        <v>619</v>
      </c>
      <c r="B6199" s="50" t="s">
        <v>991</v>
      </c>
      <c r="C6199" s="7">
        <v>2</v>
      </c>
      <c r="D6199" s="7">
        <v>1.1499999999999999</v>
      </c>
      <c r="E6199" s="85">
        <f t="shared" si="414"/>
        <v>2.2999999999999998</v>
      </c>
    </row>
    <row r="6200" spans="1:5" ht="18" x14ac:dyDescent="0.35">
      <c r="A6200" s="5"/>
      <c r="B6200" s="50" t="s">
        <v>34</v>
      </c>
      <c r="C6200" s="7">
        <v>0.05</v>
      </c>
      <c r="D6200" s="7">
        <v>14.61</v>
      </c>
      <c r="E6200" s="85">
        <f t="shared" si="414"/>
        <v>0.73050000000000004</v>
      </c>
    </row>
    <row r="6201" spans="1:5" ht="18" x14ac:dyDescent="0.35">
      <c r="A6201" s="5"/>
      <c r="B6201" s="50" t="s">
        <v>35</v>
      </c>
      <c r="C6201" s="7">
        <v>4</v>
      </c>
      <c r="D6201" s="7">
        <v>2.91</v>
      </c>
      <c r="E6201" s="85">
        <f t="shared" si="414"/>
        <v>11.64</v>
      </c>
    </row>
    <row r="6202" spans="1:5" ht="18" x14ac:dyDescent="0.35">
      <c r="A6202" s="5"/>
      <c r="B6202" s="50" t="s">
        <v>36</v>
      </c>
      <c r="C6202" s="7">
        <v>4</v>
      </c>
      <c r="D6202" s="7">
        <v>0.61</v>
      </c>
      <c r="E6202" s="85">
        <f t="shared" si="414"/>
        <v>2.44</v>
      </c>
    </row>
    <row r="6203" spans="1:5" ht="18" x14ac:dyDescent="0.35">
      <c r="A6203" s="5"/>
      <c r="B6203" s="5"/>
      <c r="C6203" s="54"/>
      <c r="D6203" s="54"/>
      <c r="E6203" s="89">
        <f>SUM(E6197:E6202)</f>
        <v>52.710269999999994</v>
      </c>
    </row>
    <row r="6204" spans="1:5" ht="18" x14ac:dyDescent="0.35">
      <c r="A6204" s="5"/>
      <c r="B6204" s="5"/>
      <c r="C6204" s="54"/>
      <c r="D6204" s="54" t="s">
        <v>1063</v>
      </c>
      <c r="E6204" s="89">
        <f>E6203+E6203*40%</f>
        <v>73.794377999999995</v>
      </c>
    </row>
    <row r="6205" spans="1:5" ht="18" x14ac:dyDescent="0.35">
      <c r="A6205" s="5"/>
      <c r="B6205" s="50" t="s">
        <v>37</v>
      </c>
      <c r="C6205" s="54">
        <v>0.25</v>
      </c>
      <c r="D6205" s="54">
        <v>200</v>
      </c>
      <c r="E6205" s="85">
        <f>C6205*D6205</f>
        <v>50</v>
      </c>
    </row>
    <row r="6206" spans="1:5" ht="18" x14ac:dyDescent="0.35">
      <c r="A6206" s="5"/>
      <c r="B6206" s="5"/>
      <c r="C6206" s="54"/>
      <c r="D6206" s="54"/>
      <c r="E6206" s="85">
        <f>SUM(E6204:E6205)</f>
        <v>123.79437799999999</v>
      </c>
    </row>
    <row r="6208" spans="1:5" ht="21" x14ac:dyDescent="0.4">
      <c r="A6208" s="40" t="s">
        <v>1649</v>
      </c>
      <c r="B6208" s="40"/>
      <c r="C6208" s="84"/>
    </row>
    <row r="6209" spans="1:5" ht="18" x14ac:dyDescent="0.35">
      <c r="A6209" t="s">
        <v>1647</v>
      </c>
      <c r="B6209" s="5"/>
      <c r="C6209" s="7" t="s">
        <v>28</v>
      </c>
      <c r="D6209" s="7" t="s">
        <v>29</v>
      </c>
      <c r="E6209" s="7" t="s">
        <v>30</v>
      </c>
    </row>
    <row r="6210" spans="1:5" ht="18" x14ac:dyDescent="0.35">
      <c r="A6210" s="5" t="s">
        <v>203</v>
      </c>
      <c r="B6210" s="50" t="s">
        <v>32</v>
      </c>
      <c r="C6210" s="7">
        <v>1.923</v>
      </c>
      <c r="D6210" s="7">
        <v>14.93</v>
      </c>
      <c r="E6210" s="85">
        <f t="shared" ref="E6210:E6217" si="415">C6210*D6210</f>
        <v>28.71039</v>
      </c>
    </row>
    <row r="6211" spans="1:5" ht="18" x14ac:dyDescent="0.35">
      <c r="A6211" s="5" t="s">
        <v>171</v>
      </c>
      <c r="B6211" s="50" t="s">
        <v>33</v>
      </c>
      <c r="C6211" s="7">
        <v>1.659</v>
      </c>
      <c r="D6211" s="7">
        <v>16.170000000000002</v>
      </c>
      <c r="E6211" s="85">
        <f t="shared" si="415"/>
        <v>26.826030000000003</v>
      </c>
    </row>
    <row r="6212" spans="1:5" ht="18" x14ac:dyDescent="0.35">
      <c r="A6212" s="5" t="s">
        <v>397</v>
      </c>
      <c r="B6212" s="50" t="s">
        <v>33</v>
      </c>
      <c r="C6212" s="7">
        <v>1.68</v>
      </c>
      <c r="D6212" s="7">
        <v>16.170000000000002</v>
      </c>
      <c r="E6212" s="85">
        <f t="shared" si="415"/>
        <v>27.165600000000001</v>
      </c>
    </row>
    <row r="6213" spans="1:5" ht="18" x14ac:dyDescent="0.35">
      <c r="A6213" s="5" t="s">
        <v>677</v>
      </c>
      <c r="B6213" s="50" t="s">
        <v>991</v>
      </c>
      <c r="C6213" s="7">
        <v>2</v>
      </c>
      <c r="D6213" s="7">
        <v>1.1499999999999999</v>
      </c>
      <c r="E6213" s="85">
        <f t="shared" si="415"/>
        <v>2.2999999999999998</v>
      </c>
    </row>
    <row r="6214" spans="1:5" ht="18" x14ac:dyDescent="0.35">
      <c r="A6214" s="5"/>
      <c r="B6214" s="50" t="s">
        <v>92</v>
      </c>
      <c r="C6214" s="7">
        <v>2</v>
      </c>
      <c r="D6214" s="7">
        <v>3.62</v>
      </c>
      <c r="E6214" s="85">
        <f t="shared" si="415"/>
        <v>7.24</v>
      </c>
    </row>
    <row r="6215" spans="1:5" ht="18" x14ac:dyDescent="0.35">
      <c r="A6215" s="5"/>
      <c r="B6215" s="50" t="s">
        <v>34</v>
      </c>
      <c r="C6215" s="7">
        <v>5.1999999999999998E-2</v>
      </c>
      <c r="D6215" s="7">
        <v>14.61</v>
      </c>
      <c r="E6215" s="85">
        <f t="shared" si="415"/>
        <v>0.75971999999999995</v>
      </c>
    </row>
    <row r="6216" spans="1:5" ht="18" x14ac:dyDescent="0.35">
      <c r="A6216" s="5"/>
      <c r="B6216" s="50" t="s">
        <v>35</v>
      </c>
      <c r="C6216" s="7">
        <v>4</v>
      </c>
      <c r="D6216" s="7">
        <v>2.91</v>
      </c>
      <c r="E6216" s="85">
        <f t="shared" si="415"/>
        <v>11.64</v>
      </c>
    </row>
    <row r="6217" spans="1:5" ht="18" x14ac:dyDescent="0.35">
      <c r="A6217" s="5"/>
      <c r="B6217" s="50" t="s">
        <v>36</v>
      </c>
      <c r="C6217" s="7">
        <v>4</v>
      </c>
      <c r="D6217" s="7">
        <v>0.61</v>
      </c>
      <c r="E6217" s="85">
        <f t="shared" si="415"/>
        <v>2.44</v>
      </c>
    </row>
    <row r="6218" spans="1:5" ht="18" x14ac:dyDescent="0.35">
      <c r="A6218" s="5"/>
      <c r="B6218" s="5"/>
      <c r="C6218" s="54"/>
      <c r="D6218" s="54"/>
      <c r="E6218" s="89">
        <f>SUM(E6210:E6217)</f>
        <v>107.08174</v>
      </c>
    </row>
    <row r="6219" spans="1:5" ht="18" x14ac:dyDescent="0.35">
      <c r="A6219" s="5"/>
      <c r="B6219" s="5"/>
      <c r="C6219" s="54"/>
      <c r="D6219" s="54" t="s">
        <v>1063</v>
      </c>
      <c r="E6219" s="89">
        <f>E6218+E6218*40%</f>
        <v>149.91443599999999</v>
      </c>
    </row>
    <row r="6220" spans="1:5" ht="18" x14ac:dyDescent="0.35">
      <c r="A6220" s="5"/>
      <c r="B6220" s="50" t="s">
        <v>37</v>
      </c>
      <c r="C6220" s="54">
        <v>0.4</v>
      </c>
      <c r="D6220" s="54">
        <v>200</v>
      </c>
      <c r="E6220" s="85">
        <f>C6220*D6220</f>
        <v>80</v>
      </c>
    </row>
    <row r="6221" spans="1:5" ht="18" x14ac:dyDescent="0.35">
      <c r="E6221" s="85">
        <f>SUM(E6219:E6220)</f>
        <v>229.91443599999999</v>
      </c>
    </row>
    <row r="6224" spans="1:5" ht="21" x14ac:dyDescent="0.4">
      <c r="A6224" s="40" t="s">
        <v>1650</v>
      </c>
      <c r="B6224" s="40"/>
      <c r="C6224" s="84"/>
    </row>
    <row r="6225" spans="1:5" ht="18" x14ac:dyDescent="0.35">
      <c r="A6225" t="s">
        <v>1647</v>
      </c>
      <c r="B6225" s="5"/>
      <c r="C6225" s="7" t="s">
        <v>28</v>
      </c>
      <c r="D6225" s="7" t="s">
        <v>29</v>
      </c>
      <c r="E6225" s="7" t="s">
        <v>30</v>
      </c>
    </row>
    <row r="6226" spans="1:5" ht="18" x14ac:dyDescent="0.35">
      <c r="A6226" s="5" t="s">
        <v>182</v>
      </c>
      <c r="B6226" s="50" t="s">
        <v>32</v>
      </c>
      <c r="C6226" s="7">
        <v>1.5029999999999999</v>
      </c>
      <c r="D6226" s="7">
        <v>14.93</v>
      </c>
      <c r="E6226" s="85">
        <f t="shared" ref="E6226:E6233" si="416">C6226*D6226</f>
        <v>22.439789999999999</v>
      </c>
    </row>
    <row r="6227" spans="1:5" ht="18" x14ac:dyDescent="0.35">
      <c r="A6227" s="5" t="s">
        <v>171</v>
      </c>
      <c r="B6227" s="50" t="s">
        <v>33</v>
      </c>
      <c r="C6227" s="7">
        <v>1.2390000000000001</v>
      </c>
      <c r="D6227" s="7">
        <v>16.170000000000002</v>
      </c>
      <c r="E6227" s="85">
        <f t="shared" si="416"/>
        <v>20.034630000000003</v>
      </c>
    </row>
    <row r="6228" spans="1:5" ht="18" x14ac:dyDescent="0.35">
      <c r="A6228" s="5" t="s">
        <v>1651</v>
      </c>
      <c r="B6228" s="50" t="s">
        <v>33</v>
      </c>
      <c r="C6228" s="7">
        <v>1.218</v>
      </c>
      <c r="D6228" s="7">
        <v>16.170000000000002</v>
      </c>
      <c r="E6228" s="85">
        <f t="shared" si="416"/>
        <v>19.695060000000002</v>
      </c>
    </row>
    <row r="6229" spans="1:5" ht="18" x14ac:dyDescent="0.35">
      <c r="A6229" s="5" t="s">
        <v>677</v>
      </c>
      <c r="B6229" s="50" t="s">
        <v>991</v>
      </c>
      <c r="C6229" s="7">
        <v>2</v>
      </c>
      <c r="D6229" s="7">
        <v>1.1499999999999999</v>
      </c>
      <c r="E6229" s="85">
        <f t="shared" si="416"/>
        <v>2.2999999999999998</v>
      </c>
    </row>
    <row r="6230" spans="1:5" ht="18" x14ac:dyDescent="0.35">
      <c r="A6230" s="5"/>
      <c r="B6230" s="50" t="s">
        <v>98</v>
      </c>
      <c r="C6230" s="7">
        <v>2</v>
      </c>
      <c r="D6230" s="7">
        <v>3.39</v>
      </c>
      <c r="E6230" s="85">
        <f t="shared" si="416"/>
        <v>6.78</v>
      </c>
    </row>
    <row r="6231" spans="1:5" ht="18" x14ac:dyDescent="0.35">
      <c r="A6231" s="5"/>
      <c r="B6231" s="50" t="s">
        <v>34</v>
      </c>
      <c r="C6231" s="7">
        <v>0.1</v>
      </c>
      <c r="D6231" s="7">
        <v>14.61</v>
      </c>
      <c r="E6231" s="85">
        <f t="shared" si="416"/>
        <v>1.4610000000000001</v>
      </c>
    </row>
    <row r="6232" spans="1:5" ht="18" x14ac:dyDescent="0.35">
      <c r="A6232" s="5"/>
      <c r="B6232" s="50" t="s">
        <v>35</v>
      </c>
      <c r="C6232" s="7">
        <v>4</v>
      </c>
      <c r="D6232" s="7">
        <v>2.91</v>
      </c>
      <c r="E6232" s="85">
        <f t="shared" si="416"/>
        <v>11.64</v>
      </c>
    </row>
    <row r="6233" spans="1:5" ht="18" x14ac:dyDescent="0.35">
      <c r="A6233" s="5"/>
      <c r="B6233" s="50" t="s">
        <v>36</v>
      </c>
      <c r="C6233" s="7">
        <v>4</v>
      </c>
      <c r="D6233" s="7">
        <v>0.61</v>
      </c>
      <c r="E6233" s="85">
        <f t="shared" si="416"/>
        <v>2.44</v>
      </c>
    </row>
    <row r="6234" spans="1:5" ht="18" x14ac:dyDescent="0.35">
      <c r="A6234" s="5"/>
      <c r="B6234" s="5"/>
      <c r="C6234" s="54"/>
      <c r="D6234" s="54"/>
      <c r="E6234" s="89">
        <f>SUM(E6226:E6233)</f>
        <v>86.790480000000002</v>
      </c>
    </row>
    <row r="6235" spans="1:5" ht="18" x14ac:dyDescent="0.35">
      <c r="A6235" s="5"/>
      <c r="B6235" s="5"/>
      <c r="C6235" s="54"/>
      <c r="D6235" s="54" t="s">
        <v>1063</v>
      </c>
      <c r="E6235" s="89">
        <f>E6234+E6234*40%</f>
        <v>121.50667200000001</v>
      </c>
    </row>
    <row r="6236" spans="1:5" ht="18" x14ac:dyDescent="0.35">
      <c r="A6236" s="5"/>
      <c r="B6236" s="50" t="s">
        <v>37</v>
      </c>
      <c r="C6236" s="54">
        <v>0.3</v>
      </c>
      <c r="D6236" s="54">
        <v>200</v>
      </c>
      <c r="E6236" s="85">
        <f>C6236*D6236</f>
        <v>60</v>
      </c>
    </row>
    <row r="6237" spans="1:5" ht="18" x14ac:dyDescent="0.35">
      <c r="E6237" s="85">
        <f>SUM(E6235:E6236)</f>
        <v>181.50667200000001</v>
      </c>
    </row>
    <row r="6240" spans="1:5" ht="21" x14ac:dyDescent="0.4">
      <c r="A6240" s="40" t="s">
        <v>1652</v>
      </c>
      <c r="B6240" s="40"/>
      <c r="C6240" s="84"/>
    </row>
    <row r="6241" spans="1:5" ht="18" x14ac:dyDescent="0.35">
      <c r="A6241" t="s">
        <v>1647</v>
      </c>
      <c r="B6241" s="5"/>
      <c r="C6241" s="7" t="s">
        <v>28</v>
      </c>
      <c r="D6241" s="7" t="s">
        <v>29</v>
      </c>
      <c r="E6241" s="7" t="s">
        <v>30</v>
      </c>
    </row>
    <row r="6242" spans="1:5" ht="18" x14ac:dyDescent="0.35">
      <c r="A6242" s="5" t="s">
        <v>41</v>
      </c>
      <c r="B6242" s="50" t="s">
        <v>32</v>
      </c>
      <c r="C6242" s="7">
        <v>1.3979999999999999</v>
      </c>
      <c r="D6242" s="7">
        <v>14.93</v>
      </c>
      <c r="E6242" s="85">
        <f t="shared" ref="E6242:E6249" si="417">C6242*D6242</f>
        <v>20.872139999999998</v>
      </c>
    </row>
    <row r="6243" spans="1:5" ht="18" x14ac:dyDescent="0.35">
      <c r="A6243" s="5" t="s">
        <v>238</v>
      </c>
      <c r="B6243" s="50" t="s">
        <v>33</v>
      </c>
      <c r="C6243" s="7">
        <v>2.0579999999999998</v>
      </c>
      <c r="D6243" s="7">
        <v>16.170000000000002</v>
      </c>
      <c r="E6243" s="85">
        <f t="shared" si="417"/>
        <v>33.277860000000004</v>
      </c>
    </row>
    <row r="6244" spans="1:5" ht="18" x14ac:dyDescent="0.35">
      <c r="A6244" s="5" t="s">
        <v>1653</v>
      </c>
      <c r="B6244" s="50" t="s">
        <v>33</v>
      </c>
      <c r="C6244" s="7">
        <v>2.2679999999999998</v>
      </c>
      <c r="D6244" s="7">
        <v>16.170000000000002</v>
      </c>
      <c r="E6244" s="85">
        <f t="shared" si="417"/>
        <v>36.673560000000002</v>
      </c>
    </row>
    <row r="6245" spans="1:5" ht="18" x14ac:dyDescent="0.35">
      <c r="A6245" s="5" t="s">
        <v>677</v>
      </c>
      <c r="B6245" s="50" t="s">
        <v>42</v>
      </c>
      <c r="C6245" s="7">
        <v>2</v>
      </c>
      <c r="D6245" s="7">
        <v>1.1499999999999999</v>
      </c>
      <c r="E6245" s="85">
        <f t="shared" si="417"/>
        <v>2.2999999999999998</v>
      </c>
    </row>
    <row r="6246" spans="1:5" ht="18" x14ac:dyDescent="0.35">
      <c r="A6246" s="5"/>
      <c r="B6246" s="50" t="s">
        <v>113</v>
      </c>
      <c r="C6246" s="7">
        <v>2</v>
      </c>
      <c r="D6246" s="7">
        <v>2.2400000000000002</v>
      </c>
      <c r="E6246" s="85">
        <f t="shared" si="417"/>
        <v>4.4800000000000004</v>
      </c>
    </row>
    <row r="6247" spans="1:5" ht="18" x14ac:dyDescent="0.35">
      <c r="A6247" s="5"/>
      <c r="B6247" s="50" t="s">
        <v>34</v>
      </c>
      <c r="C6247" s="7"/>
      <c r="D6247" s="7">
        <v>14.61</v>
      </c>
      <c r="E6247" s="85">
        <f t="shared" si="417"/>
        <v>0</v>
      </c>
    </row>
    <row r="6248" spans="1:5" ht="18" x14ac:dyDescent="0.35">
      <c r="A6248" s="5"/>
      <c r="B6248" s="50" t="s">
        <v>35</v>
      </c>
      <c r="C6248" s="7">
        <v>4</v>
      </c>
      <c r="D6248" s="7">
        <v>2.91</v>
      </c>
      <c r="E6248" s="85">
        <f t="shared" si="417"/>
        <v>11.64</v>
      </c>
    </row>
    <row r="6249" spans="1:5" ht="18" x14ac:dyDescent="0.35">
      <c r="A6249" s="5"/>
      <c r="B6249" s="50" t="s">
        <v>36</v>
      </c>
      <c r="C6249" s="7">
        <v>4</v>
      </c>
      <c r="D6249" s="7">
        <v>0.61</v>
      </c>
      <c r="E6249" s="85">
        <f t="shared" si="417"/>
        <v>2.44</v>
      </c>
    </row>
    <row r="6250" spans="1:5" ht="18" x14ac:dyDescent="0.35">
      <c r="A6250" s="5"/>
      <c r="B6250" s="5"/>
      <c r="C6250" s="54"/>
      <c r="D6250" s="54"/>
      <c r="E6250" s="89">
        <f>SUM(E6242:E6249)</f>
        <v>111.68356000000001</v>
      </c>
    </row>
    <row r="6251" spans="1:5" ht="18" x14ac:dyDescent="0.35">
      <c r="A6251" s="5"/>
      <c r="B6251" s="5"/>
      <c r="C6251" s="54"/>
      <c r="D6251" s="54" t="s">
        <v>1063</v>
      </c>
      <c r="E6251" s="89">
        <f>E6250+E6250*40%</f>
        <v>156.35698400000001</v>
      </c>
    </row>
    <row r="6252" spans="1:5" ht="18" x14ac:dyDescent="0.35">
      <c r="A6252" s="5"/>
      <c r="B6252" s="50" t="s">
        <v>37</v>
      </c>
      <c r="C6252" s="54">
        <v>0.4</v>
      </c>
      <c r="D6252" s="54">
        <v>200</v>
      </c>
      <c r="E6252" s="85">
        <f>C6252*D6252</f>
        <v>80</v>
      </c>
    </row>
    <row r="6253" spans="1:5" ht="18" x14ac:dyDescent="0.35">
      <c r="E6253" s="85">
        <f>SUM(E6251:E6252)</f>
        <v>236.35698400000001</v>
      </c>
    </row>
    <row r="6255" spans="1:5" ht="21" x14ac:dyDescent="0.4">
      <c r="A6255" s="40" t="s">
        <v>1114</v>
      </c>
      <c r="B6255" s="40"/>
      <c r="C6255" s="84"/>
    </row>
    <row r="6256" spans="1:5" ht="18" x14ac:dyDescent="0.35">
      <c r="A6256" s="5" t="s">
        <v>1365</v>
      </c>
      <c r="B6256" s="5"/>
      <c r="C6256" s="7" t="s">
        <v>28</v>
      </c>
      <c r="D6256" s="7" t="s">
        <v>29</v>
      </c>
      <c r="E6256" s="7" t="s">
        <v>30</v>
      </c>
    </row>
    <row r="6257" spans="1:5" ht="18" x14ac:dyDescent="0.35">
      <c r="A6257" s="5" t="s">
        <v>67</v>
      </c>
      <c r="B6257" s="50" t="s">
        <v>32</v>
      </c>
      <c r="C6257" s="7">
        <v>1.7130000000000001</v>
      </c>
      <c r="D6257" s="7">
        <v>11.37</v>
      </c>
      <c r="E6257" s="85">
        <f t="shared" ref="E6257:E6262" si="418">C6257*D6257</f>
        <v>19.47681</v>
      </c>
    </row>
    <row r="6258" spans="1:5" ht="18" x14ac:dyDescent="0.35">
      <c r="A6258" s="5" t="s">
        <v>526</v>
      </c>
      <c r="B6258" s="50" t="s">
        <v>33</v>
      </c>
      <c r="C6258" s="7">
        <v>3.7170000000000001</v>
      </c>
      <c r="D6258" s="7">
        <v>14.94</v>
      </c>
      <c r="E6258" s="85">
        <f t="shared" si="418"/>
        <v>55.531979999999997</v>
      </c>
    </row>
    <row r="6259" spans="1:5" ht="18" x14ac:dyDescent="0.35">
      <c r="A6259" s="5" t="s">
        <v>1124</v>
      </c>
      <c r="B6259" s="50" t="s">
        <v>84</v>
      </c>
      <c r="C6259" s="7">
        <v>2</v>
      </c>
      <c r="D6259" s="7">
        <v>1.6</v>
      </c>
      <c r="E6259" s="85">
        <f t="shared" si="418"/>
        <v>3.2</v>
      </c>
    </row>
    <row r="6260" spans="1:5" ht="18" x14ac:dyDescent="0.35">
      <c r="A6260" s="5"/>
      <c r="B6260" s="50" t="s">
        <v>34</v>
      </c>
      <c r="C6260" s="7">
        <v>0.157</v>
      </c>
      <c r="D6260" s="7">
        <v>14.61</v>
      </c>
      <c r="E6260" s="85">
        <f t="shared" si="418"/>
        <v>2.2937699999999999</v>
      </c>
    </row>
    <row r="6261" spans="1:5" ht="18" x14ac:dyDescent="0.35">
      <c r="A6261" s="5"/>
      <c r="B6261" s="50" t="s">
        <v>35</v>
      </c>
      <c r="C6261" s="7">
        <v>4</v>
      </c>
      <c r="D6261" s="7">
        <v>2.91</v>
      </c>
      <c r="E6261" s="85">
        <f t="shared" si="418"/>
        <v>11.64</v>
      </c>
    </row>
    <row r="6262" spans="1:5" ht="18" x14ac:dyDescent="0.35">
      <c r="A6262" s="5"/>
      <c r="B6262" s="50" t="s">
        <v>36</v>
      </c>
      <c r="C6262" s="7">
        <v>4</v>
      </c>
      <c r="D6262" s="7">
        <v>0.61</v>
      </c>
      <c r="E6262" s="85">
        <f t="shared" si="418"/>
        <v>2.44</v>
      </c>
    </row>
    <row r="6263" spans="1:5" ht="18" x14ac:dyDescent="0.35">
      <c r="A6263" s="5"/>
      <c r="B6263" s="5"/>
      <c r="C6263" s="54"/>
      <c r="D6263" s="54"/>
      <c r="E6263" s="89">
        <f>SUM(E6257:E6262)</f>
        <v>94.582560000000001</v>
      </c>
    </row>
    <row r="6264" spans="1:5" ht="18" x14ac:dyDescent="0.35">
      <c r="A6264" s="5"/>
      <c r="B6264" s="5"/>
      <c r="C6264" s="54"/>
      <c r="D6264" s="54" t="s">
        <v>1063</v>
      </c>
      <c r="E6264" s="89">
        <f>E6263+E6263*40%</f>
        <v>132.415584</v>
      </c>
    </row>
    <row r="6265" spans="1:5" ht="18" x14ac:dyDescent="0.35">
      <c r="A6265" s="5"/>
      <c r="B6265" s="50" t="s">
        <v>37</v>
      </c>
      <c r="C6265" s="54">
        <v>0.25</v>
      </c>
      <c r="D6265" s="54">
        <v>200</v>
      </c>
      <c r="E6265" s="85">
        <f>C6265*D6265</f>
        <v>50</v>
      </c>
    </row>
    <row r="6266" spans="1:5" ht="18" x14ac:dyDescent="0.35">
      <c r="A6266" s="5"/>
      <c r="B6266" s="5"/>
      <c r="C6266" s="54"/>
      <c r="D6266" s="54"/>
      <c r="E6266" s="85">
        <f>SUM(E6264:E6265)</f>
        <v>182.415584</v>
      </c>
    </row>
    <row r="6268" spans="1:5" ht="21" x14ac:dyDescent="0.4">
      <c r="A6268" s="40" t="s">
        <v>1667</v>
      </c>
      <c r="B6268" s="40"/>
      <c r="C6268" s="84"/>
    </row>
    <row r="6269" spans="1:5" ht="18" x14ac:dyDescent="0.35">
      <c r="A6269" t="s">
        <v>1647</v>
      </c>
      <c r="B6269" s="5"/>
      <c r="C6269" s="7" t="s">
        <v>28</v>
      </c>
      <c r="D6269" s="7" t="s">
        <v>29</v>
      </c>
      <c r="E6269" s="7" t="s">
        <v>30</v>
      </c>
    </row>
    <row r="6270" spans="1:5" ht="18" x14ac:dyDescent="0.35">
      <c r="A6270" s="5" t="s">
        <v>1668</v>
      </c>
      <c r="B6270" s="50" t="s">
        <v>32</v>
      </c>
      <c r="C6270" s="7">
        <v>2.448</v>
      </c>
      <c r="D6270" s="7">
        <v>14.93</v>
      </c>
      <c r="E6270" s="85">
        <f t="shared" ref="E6270:E6277" si="419">C6270*D6270</f>
        <v>36.548639999999999</v>
      </c>
    </row>
    <row r="6271" spans="1:5" ht="18" x14ac:dyDescent="0.35">
      <c r="A6271" s="5" t="s">
        <v>54</v>
      </c>
      <c r="B6271" s="50" t="s">
        <v>33</v>
      </c>
      <c r="C6271" s="7">
        <v>14.364000000000001</v>
      </c>
      <c r="D6271" s="7">
        <v>16.170000000000002</v>
      </c>
      <c r="E6271" s="85">
        <f t="shared" si="419"/>
        <v>232.26588000000004</v>
      </c>
    </row>
    <row r="6272" spans="1:5" ht="18" x14ac:dyDescent="0.35">
      <c r="A6272" s="5" t="s">
        <v>397</v>
      </c>
      <c r="B6272" s="50" t="s">
        <v>33</v>
      </c>
      <c r="C6272" s="7">
        <v>15.12</v>
      </c>
      <c r="D6272" s="7">
        <v>16.170000000000002</v>
      </c>
      <c r="E6272" s="85">
        <f t="shared" si="419"/>
        <v>244.49040000000002</v>
      </c>
    </row>
    <row r="6273" spans="1:5" ht="18" x14ac:dyDescent="0.35">
      <c r="A6273" s="5" t="s">
        <v>677</v>
      </c>
      <c r="B6273" s="50" t="s">
        <v>1670</v>
      </c>
      <c r="C6273" s="7">
        <v>2</v>
      </c>
      <c r="D6273" s="7">
        <v>3.94</v>
      </c>
      <c r="E6273" s="85">
        <f t="shared" si="419"/>
        <v>7.88</v>
      </c>
    </row>
    <row r="6274" spans="1:5" ht="18" x14ac:dyDescent="0.35">
      <c r="A6274" s="5"/>
      <c r="B6274" s="50" t="s">
        <v>1669</v>
      </c>
      <c r="C6274" s="7">
        <v>2</v>
      </c>
      <c r="D6274" s="7">
        <v>1.81</v>
      </c>
      <c r="E6274" s="85">
        <f t="shared" si="419"/>
        <v>3.62</v>
      </c>
    </row>
    <row r="6275" spans="1:5" ht="18" x14ac:dyDescent="0.35">
      <c r="A6275" s="5"/>
      <c r="B6275" s="50" t="s">
        <v>34</v>
      </c>
      <c r="C6275" s="7">
        <v>0.4</v>
      </c>
      <c r="D6275" s="7">
        <v>14.61</v>
      </c>
      <c r="E6275" s="85">
        <f t="shared" si="419"/>
        <v>5.8440000000000003</v>
      </c>
    </row>
    <row r="6276" spans="1:5" ht="18" x14ac:dyDescent="0.35">
      <c r="A6276" s="5"/>
      <c r="B6276" s="50" t="s">
        <v>35</v>
      </c>
      <c r="C6276" s="7">
        <v>4</v>
      </c>
      <c r="D6276" s="7">
        <v>2.91</v>
      </c>
      <c r="E6276" s="85">
        <f t="shared" si="419"/>
        <v>11.64</v>
      </c>
    </row>
    <row r="6277" spans="1:5" ht="18" x14ac:dyDescent="0.35">
      <c r="A6277" s="5"/>
      <c r="B6277" s="50" t="s">
        <v>36</v>
      </c>
      <c r="C6277" s="7">
        <v>4</v>
      </c>
      <c r="D6277" s="7">
        <v>0.61</v>
      </c>
      <c r="E6277" s="85">
        <f t="shared" si="419"/>
        <v>2.44</v>
      </c>
    </row>
    <row r="6278" spans="1:5" ht="18" x14ac:dyDescent="0.35">
      <c r="A6278" s="5"/>
      <c r="B6278" s="5"/>
      <c r="C6278" s="54"/>
      <c r="D6278" s="54"/>
      <c r="E6278" s="89">
        <f>SUM(E6270:E6277)</f>
        <v>544.72892000000013</v>
      </c>
    </row>
    <row r="6279" spans="1:5" ht="18" x14ac:dyDescent="0.35">
      <c r="A6279" s="5"/>
      <c r="B6279" s="5"/>
      <c r="C6279" s="54"/>
      <c r="D6279" s="54" t="s">
        <v>1116</v>
      </c>
      <c r="E6279" s="89">
        <f>E6278+E6278*30%</f>
        <v>708.14759600000014</v>
      </c>
    </row>
    <row r="6280" spans="1:5" ht="18" x14ac:dyDescent="0.35">
      <c r="A6280" s="5"/>
      <c r="B6280" s="50" t="s">
        <v>37</v>
      </c>
      <c r="C6280" s="54">
        <v>1</v>
      </c>
      <c r="D6280" s="54">
        <v>85</v>
      </c>
      <c r="E6280" s="85">
        <f>C6280*D6280</f>
        <v>85</v>
      </c>
    </row>
    <row r="6281" spans="1:5" ht="18" x14ac:dyDescent="0.35">
      <c r="E6281" s="85">
        <f>SUM(E6279:E6280)</f>
        <v>793.14759600000014</v>
      </c>
    </row>
    <row r="6283" spans="1:5" ht="21" x14ac:dyDescent="0.4">
      <c r="A6283" s="40" t="s">
        <v>599</v>
      </c>
      <c r="B6283" s="40"/>
      <c r="C6283" s="84"/>
    </row>
    <row r="6284" spans="1:5" ht="18" x14ac:dyDescent="0.35">
      <c r="A6284" s="5" t="s">
        <v>1673</v>
      </c>
      <c r="B6284" s="5"/>
      <c r="C6284" s="7" t="s">
        <v>28</v>
      </c>
      <c r="D6284" s="7" t="s">
        <v>29</v>
      </c>
      <c r="E6284" s="7" t="s">
        <v>30</v>
      </c>
    </row>
    <row r="6285" spans="1:5" ht="18" x14ac:dyDescent="0.35">
      <c r="A6285" s="5" t="s">
        <v>1674</v>
      </c>
      <c r="B6285" s="50" t="s">
        <v>32</v>
      </c>
      <c r="C6285" s="7">
        <v>0.72599999999999998</v>
      </c>
      <c r="D6285" s="7">
        <v>10.34</v>
      </c>
      <c r="E6285" s="85">
        <f t="shared" ref="E6285:E6290" si="420">C6285*D6285</f>
        <v>7.5068399999999995</v>
      </c>
    </row>
    <row r="6286" spans="1:5" ht="18" x14ac:dyDescent="0.35">
      <c r="A6286" s="5" t="s">
        <v>846</v>
      </c>
      <c r="B6286" s="50" t="s">
        <v>33</v>
      </c>
      <c r="C6286" s="7">
        <v>0.72399999999999998</v>
      </c>
      <c r="D6286" s="7">
        <v>16.170000000000002</v>
      </c>
      <c r="E6286" s="85">
        <f t="shared" si="420"/>
        <v>11.707080000000001</v>
      </c>
    </row>
    <row r="6287" spans="1:5" ht="18" x14ac:dyDescent="0.35">
      <c r="A6287" s="102" t="s">
        <v>1222</v>
      </c>
      <c r="B6287" s="50" t="s">
        <v>646</v>
      </c>
      <c r="C6287" s="7">
        <v>2</v>
      </c>
      <c r="D6287" s="7">
        <v>1.1499999999999999</v>
      </c>
      <c r="E6287" s="85">
        <f t="shared" si="420"/>
        <v>2.2999999999999998</v>
      </c>
    </row>
    <row r="6288" spans="1:5" ht="18" x14ac:dyDescent="0.35">
      <c r="A6288" s="5"/>
      <c r="B6288" s="50" t="s">
        <v>34</v>
      </c>
      <c r="C6288" s="7"/>
      <c r="D6288" s="7">
        <v>14.61</v>
      </c>
      <c r="E6288" s="85">
        <f t="shared" si="420"/>
        <v>0</v>
      </c>
    </row>
    <row r="6289" spans="1:5" ht="18" x14ac:dyDescent="0.35">
      <c r="A6289" s="5"/>
      <c r="B6289" s="50" t="s">
        <v>35</v>
      </c>
      <c r="C6289" s="7">
        <v>4</v>
      </c>
      <c r="D6289" s="7">
        <v>2.91</v>
      </c>
      <c r="E6289" s="85">
        <f t="shared" si="420"/>
        <v>11.64</v>
      </c>
    </row>
    <row r="6290" spans="1:5" ht="18" x14ac:dyDescent="0.35">
      <c r="A6290" s="5"/>
      <c r="B6290" s="50" t="s">
        <v>36</v>
      </c>
      <c r="C6290" s="7">
        <v>4</v>
      </c>
      <c r="D6290" s="7">
        <v>0.61</v>
      </c>
      <c r="E6290" s="85">
        <f t="shared" si="420"/>
        <v>2.44</v>
      </c>
    </row>
    <row r="6291" spans="1:5" ht="18" x14ac:dyDescent="0.35">
      <c r="A6291" s="5"/>
      <c r="B6291" s="5"/>
      <c r="C6291" s="54"/>
      <c r="D6291" s="54"/>
      <c r="E6291" s="89">
        <f>SUM(E6285:E6290)</f>
        <v>35.593919999999997</v>
      </c>
    </row>
    <row r="6292" spans="1:5" ht="18" x14ac:dyDescent="0.35">
      <c r="A6292" s="5"/>
      <c r="B6292" s="5"/>
      <c r="C6292" s="54"/>
      <c r="D6292" s="54" t="s">
        <v>1161</v>
      </c>
      <c r="E6292" s="89">
        <f>E6291+E6291*30%</f>
        <v>46.272095999999998</v>
      </c>
    </row>
    <row r="6293" spans="1:5" ht="18" x14ac:dyDescent="0.35">
      <c r="A6293" s="5"/>
      <c r="B6293" s="50" t="s">
        <v>37</v>
      </c>
      <c r="C6293" s="54">
        <v>20</v>
      </c>
      <c r="D6293" s="54">
        <v>1.42</v>
      </c>
      <c r="E6293" s="85">
        <f>C6293*D6293</f>
        <v>28.4</v>
      </c>
    </row>
    <row r="6294" spans="1:5" ht="18" x14ac:dyDescent="0.35">
      <c r="A6294" s="5"/>
      <c r="B6294" s="5"/>
      <c r="C6294" s="54"/>
      <c r="D6294" s="54"/>
      <c r="E6294" s="85">
        <f>SUM(E6292:E6293)</f>
        <v>74.672095999999996</v>
      </c>
    </row>
    <row r="6296" spans="1:5" ht="21" x14ac:dyDescent="0.4">
      <c r="A6296" s="40" t="s">
        <v>599</v>
      </c>
      <c r="B6296" s="40"/>
      <c r="C6296" s="84"/>
    </row>
    <row r="6297" spans="1:5" x14ac:dyDescent="0.3">
      <c r="A6297" t="s">
        <v>1156</v>
      </c>
    </row>
    <row r="6298" spans="1:5" ht="18" x14ac:dyDescent="0.35">
      <c r="A6298" s="5" t="s">
        <v>378</v>
      </c>
      <c r="B6298" s="5"/>
      <c r="C6298" s="7" t="s">
        <v>28</v>
      </c>
      <c r="D6298" s="7" t="s">
        <v>29</v>
      </c>
      <c r="E6298" s="7" t="s">
        <v>30</v>
      </c>
    </row>
    <row r="6299" spans="1:5" ht="18" x14ac:dyDescent="0.35">
      <c r="A6299" s="5" t="s">
        <v>633</v>
      </c>
      <c r="B6299" s="50" t="s">
        <v>32</v>
      </c>
      <c r="C6299" s="7">
        <v>3.4980000000000002</v>
      </c>
      <c r="D6299" s="7">
        <v>10.34</v>
      </c>
      <c r="E6299" s="85">
        <f t="shared" ref="E6299:E6304" si="421">C6299*D6299</f>
        <v>36.169319999999999</v>
      </c>
    </row>
    <row r="6300" spans="1:5" ht="18" x14ac:dyDescent="0.35">
      <c r="A6300" s="5" t="s">
        <v>846</v>
      </c>
      <c r="B6300" s="50" t="s">
        <v>33</v>
      </c>
      <c r="C6300" s="7">
        <v>13.135</v>
      </c>
      <c r="D6300" s="7">
        <v>16.170000000000002</v>
      </c>
      <c r="E6300" s="85">
        <f t="shared" si="421"/>
        <v>212.39295000000001</v>
      </c>
    </row>
    <row r="6301" spans="1:5" ht="18" x14ac:dyDescent="0.35">
      <c r="A6301" s="102" t="s">
        <v>1222</v>
      </c>
      <c r="B6301" s="50" t="s">
        <v>97</v>
      </c>
      <c r="C6301" s="7">
        <v>2</v>
      </c>
      <c r="D6301" s="7">
        <v>1.48</v>
      </c>
      <c r="E6301" s="85">
        <f t="shared" si="421"/>
        <v>2.96</v>
      </c>
    </row>
    <row r="6302" spans="1:5" ht="18" x14ac:dyDescent="0.35">
      <c r="A6302" s="5"/>
      <c r="B6302" s="50" t="s">
        <v>34</v>
      </c>
      <c r="C6302" s="7">
        <v>0.84</v>
      </c>
      <c r="D6302" s="7">
        <v>14.61</v>
      </c>
      <c r="E6302" s="85">
        <f t="shared" si="421"/>
        <v>12.272399999999999</v>
      </c>
    </row>
    <row r="6303" spans="1:5" ht="18" x14ac:dyDescent="0.35">
      <c r="A6303" s="5"/>
      <c r="B6303" s="50" t="s">
        <v>35</v>
      </c>
      <c r="C6303" s="7">
        <v>4</v>
      </c>
      <c r="D6303" s="7">
        <v>2.91</v>
      </c>
      <c r="E6303" s="85">
        <f t="shared" si="421"/>
        <v>11.64</v>
      </c>
    </row>
    <row r="6304" spans="1:5" ht="18" x14ac:dyDescent="0.35">
      <c r="A6304" s="5"/>
      <c r="B6304" s="50" t="s">
        <v>36</v>
      </c>
      <c r="C6304" s="7">
        <v>4</v>
      </c>
      <c r="D6304" s="7">
        <v>0.61</v>
      </c>
      <c r="E6304" s="85">
        <f t="shared" si="421"/>
        <v>2.44</v>
      </c>
    </row>
    <row r="6305" spans="1:5" ht="18" x14ac:dyDescent="0.35">
      <c r="A6305" s="5"/>
      <c r="B6305" s="5"/>
      <c r="C6305" s="54"/>
      <c r="D6305" s="54"/>
      <c r="E6305" s="89">
        <f>SUM(E6299:E6304)</f>
        <v>277.87466999999998</v>
      </c>
    </row>
    <row r="6306" spans="1:5" ht="18" x14ac:dyDescent="0.35">
      <c r="A6306" s="5"/>
      <c r="B6306" s="5"/>
      <c r="C6306" s="54"/>
      <c r="D6306" s="54" t="s">
        <v>1161</v>
      </c>
      <c r="E6306" s="89">
        <f>E6305+E6305*30%</f>
        <v>361.23707099999996</v>
      </c>
    </row>
    <row r="6307" spans="1:5" ht="18" x14ac:dyDescent="0.35">
      <c r="A6307" s="5"/>
      <c r="B6307" s="50" t="s">
        <v>37</v>
      </c>
      <c r="C6307" s="54">
        <v>1</v>
      </c>
      <c r="D6307" s="54">
        <v>200</v>
      </c>
      <c r="E6307" s="85">
        <f>C6307*D6307</f>
        <v>200</v>
      </c>
    </row>
    <row r="6308" spans="1:5" ht="18" x14ac:dyDescent="0.35">
      <c r="A6308" s="5"/>
      <c r="B6308" s="5"/>
      <c r="C6308" s="54"/>
      <c r="D6308" s="54"/>
      <c r="E6308" s="85">
        <f>SUM(E6306:E6307)</f>
        <v>561.23707100000001</v>
      </c>
    </row>
    <row r="6309" spans="1:5" ht="21" x14ac:dyDescent="0.4">
      <c r="A6309" s="40" t="s">
        <v>1675</v>
      </c>
      <c r="B6309" s="40"/>
      <c r="C6309" s="84"/>
    </row>
    <row r="6310" spans="1:5" ht="18" x14ac:dyDescent="0.35">
      <c r="A6310" t="s">
        <v>1156</v>
      </c>
      <c r="B6310" s="5"/>
      <c r="C6310" s="7" t="s">
        <v>28</v>
      </c>
      <c r="D6310" s="7" t="s">
        <v>29</v>
      </c>
      <c r="E6310" s="7" t="s">
        <v>30</v>
      </c>
    </row>
    <row r="6311" spans="1:5" ht="18" x14ac:dyDescent="0.35">
      <c r="A6311" s="5" t="s">
        <v>378</v>
      </c>
      <c r="B6311" s="50" t="s">
        <v>32</v>
      </c>
      <c r="C6311" s="7">
        <v>3.4980000000000002</v>
      </c>
      <c r="D6311" s="7">
        <v>14.93</v>
      </c>
      <c r="E6311" s="85">
        <f t="shared" ref="E6311:E6318" si="422">C6311*D6311</f>
        <v>52.225140000000003</v>
      </c>
    </row>
    <row r="6312" spans="1:5" ht="18" x14ac:dyDescent="0.35">
      <c r="A6312" s="5" t="s">
        <v>1108</v>
      </c>
      <c r="B6312" s="50" t="s">
        <v>33</v>
      </c>
      <c r="C6312" s="7">
        <v>13.135</v>
      </c>
      <c r="D6312" s="7">
        <v>16.170000000000002</v>
      </c>
      <c r="E6312" s="85">
        <f t="shared" si="422"/>
        <v>212.39295000000001</v>
      </c>
    </row>
    <row r="6313" spans="1:5" ht="18" x14ac:dyDescent="0.35">
      <c r="A6313" s="5" t="s">
        <v>1676</v>
      </c>
      <c r="B6313" s="50" t="s">
        <v>33</v>
      </c>
      <c r="C6313" s="7">
        <v>13.765000000000001</v>
      </c>
      <c r="D6313" s="7">
        <v>16.170000000000002</v>
      </c>
      <c r="E6313" s="85">
        <f t="shared" si="422"/>
        <v>222.58005000000003</v>
      </c>
    </row>
    <row r="6314" spans="1:5" ht="18" x14ac:dyDescent="0.35">
      <c r="A6314" s="5" t="s">
        <v>649</v>
      </c>
      <c r="B6314" s="50" t="s">
        <v>85</v>
      </c>
      <c r="C6314" s="7">
        <v>2</v>
      </c>
      <c r="D6314" s="7">
        <v>3.94</v>
      </c>
      <c r="E6314" s="85">
        <f t="shared" si="422"/>
        <v>7.88</v>
      </c>
    </row>
    <row r="6315" spans="1:5" ht="18" x14ac:dyDescent="0.35">
      <c r="A6315" s="5"/>
      <c r="B6315" s="50" t="s">
        <v>1677</v>
      </c>
      <c r="C6315" s="7">
        <v>2</v>
      </c>
      <c r="D6315" s="7">
        <v>6.72</v>
      </c>
      <c r="E6315" s="85">
        <f t="shared" si="422"/>
        <v>13.44</v>
      </c>
    </row>
    <row r="6316" spans="1:5" ht="18" x14ac:dyDescent="0.35">
      <c r="A6316" s="5"/>
      <c r="B6316" s="50" t="s">
        <v>34</v>
      </c>
      <c r="C6316" s="7">
        <v>0.84</v>
      </c>
      <c r="D6316" s="7">
        <v>14.61</v>
      </c>
      <c r="E6316" s="85">
        <f t="shared" si="422"/>
        <v>12.272399999999999</v>
      </c>
    </row>
    <row r="6317" spans="1:5" ht="18" x14ac:dyDescent="0.35">
      <c r="A6317" s="5"/>
      <c r="B6317" s="50" t="s">
        <v>35</v>
      </c>
      <c r="C6317" s="7">
        <v>4</v>
      </c>
      <c r="D6317" s="7">
        <v>2.91</v>
      </c>
      <c r="E6317" s="85">
        <f t="shared" si="422"/>
        <v>11.64</v>
      </c>
    </row>
    <row r="6318" spans="1:5" ht="18" x14ac:dyDescent="0.35">
      <c r="A6318" s="5"/>
      <c r="B6318" s="50" t="s">
        <v>36</v>
      </c>
      <c r="C6318" s="7">
        <v>4</v>
      </c>
      <c r="D6318" s="7">
        <v>0.61</v>
      </c>
      <c r="E6318" s="85">
        <f t="shared" si="422"/>
        <v>2.44</v>
      </c>
    </row>
    <row r="6319" spans="1:5" ht="18" x14ac:dyDescent="0.35">
      <c r="A6319" s="5"/>
      <c r="B6319" s="5"/>
      <c r="C6319" s="54"/>
      <c r="D6319" s="54"/>
      <c r="E6319" s="89">
        <f>SUM(E6311:E6318)</f>
        <v>534.87054000000001</v>
      </c>
    </row>
    <row r="6320" spans="1:5" ht="18" x14ac:dyDescent="0.35">
      <c r="A6320" s="5"/>
      <c r="B6320" s="5"/>
      <c r="C6320" s="54"/>
      <c r="D6320" s="54" t="s">
        <v>1116</v>
      </c>
      <c r="E6320" s="89">
        <f>E6319+E6319*30%</f>
        <v>695.33170199999995</v>
      </c>
    </row>
    <row r="6321" spans="1:5" ht="18" x14ac:dyDescent="0.35">
      <c r="A6321" s="5"/>
      <c r="B6321" s="50" t="s">
        <v>37</v>
      </c>
      <c r="C6321" s="54">
        <v>1.5</v>
      </c>
      <c r="D6321" s="54">
        <v>200</v>
      </c>
      <c r="E6321" s="85">
        <f>C6321*D6321</f>
        <v>300</v>
      </c>
    </row>
    <row r="6322" spans="1:5" ht="18" x14ac:dyDescent="0.35">
      <c r="E6322" s="85">
        <f>SUM(E6320:E6321)</f>
        <v>995.33170199999995</v>
      </c>
    </row>
    <row r="6324" spans="1:5" ht="21" x14ac:dyDescent="0.4">
      <c r="A6324" s="40" t="s">
        <v>1678</v>
      </c>
      <c r="B6324" s="40"/>
      <c r="C6324" s="40"/>
      <c r="D6324" s="12"/>
      <c r="E6324" s="12"/>
    </row>
    <row r="6325" spans="1:5" ht="18" x14ac:dyDescent="0.35">
      <c r="A6325" s="5" t="s">
        <v>1562</v>
      </c>
      <c r="B6325" s="5"/>
      <c r="C6325" s="7" t="s">
        <v>28</v>
      </c>
      <c r="D6325" s="7" t="s">
        <v>29</v>
      </c>
      <c r="E6325" s="7" t="s">
        <v>30</v>
      </c>
    </row>
    <row r="6326" spans="1:5" ht="18" x14ac:dyDescent="0.35">
      <c r="A6326" s="5" t="s">
        <v>335</v>
      </c>
      <c r="B6326" s="50" t="s">
        <v>32</v>
      </c>
      <c r="C6326" s="7">
        <v>2.343</v>
      </c>
      <c r="D6326" s="7">
        <v>10.34</v>
      </c>
      <c r="E6326" s="85">
        <f>C6326*D6326</f>
        <v>24.22662</v>
      </c>
    </row>
    <row r="6327" spans="1:5" ht="18" x14ac:dyDescent="0.35">
      <c r="A6327" s="5" t="s">
        <v>55</v>
      </c>
      <c r="B6327" s="50" t="s">
        <v>33</v>
      </c>
      <c r="C6327" s="7">
        <v>17.388000000000002</v>
      </c>
      <c r="D6327" s="7">
        <v>17.059999999999999</v>
      </c>
      <c r="E6327" s="85">
        <f>C6327*D6327</f>
        <v>296.63927999999999</v>
      </c>
    </row>
    <row r="6328" spans="1:5" ht="18" x14ac:dyDescent="0.35">
      <c r="A6328" s="5" t="s">
        <v>1634</v>
      </c>
      <c r="B6328" s="50" t="s">
        <v>137</v>
      </c>
      <c r="C6328" s="7">
        <v>1.1000000000000001</v>
      </c>
      <c r="D6328" s="7">
        <v>15.25</v>
      </c>
      <c r="E6328" s="85">
        <f>C6328*D6328</f>
        <v>16.775000000000002</v>
      </c>
    </row>
    <row r="6329" spans="1:5" ht="18" x14ac:dyDescent="0.35">
      <c r="A6329" s="5"/>
      <c r="B6329" s="50" t="s">
        <v>35</v>
      </c>
      <c r="C6329" s="7">
        <v>4</v>
      </c>
      <c r="D6329" s="7">
        <v>2.91</v>
      </c>
      <c r="E6329" s="85">
        <f>C6329*D6329</f>
        <v>11.64</v>
      </c>
    </row>
    <row r="6330" spans="1:5" ht="18" x14ac:dyDescent="0.35">
      <c r="A6330" s="5"/>
      <c r="B6330" s="50" t="s">
        <v>36</v>
      </c>
      <c r="C6330" s="7">
        <v>4</v>
      </c>
      <c r="D6330" s="7">
        <v>0.61</v>
      </c>
      <c r="E6330" s="85">
        <f>C6330*D6330</f>
        <v>2.44</v>
      </c>
    </row>
    <row r="6331" spans="1:5" ht="18" x14ac:dyDescent="0.35">
      <c r="A6331" s="5"/>
      <c r="B6331" s="50"/>
      <c r="C6331" s="87"/>
      <c r="D6331" s="88"/>
      <c r="E6331" s="85">
        <f>SUM(E6326:E6330)</f>
        <v>351.72089999999997</v>
      </c>
    </row>
    <row r="6332" spans="1:5" ht="18" x14ac:dyDescent="0.35">
      <c r="A6332" s="5"/>
      <c r="B6332" s="50"/>
      <c r="C6332" s="87"/>
      <c r="D6332" s="88" t="s">
        <v>1437</v>
      </c>
      <c r="E6332" s="85">
        <f>E6331+E6331*30%</f>
        <v>457.23716999999999</v>
      </c>
    </row>
    <row r="6333" spans="1:5" ht="18" x14ac:dyDescent="0.35">
      <c r="A6333" s="5"/>
      <c r="B6333" s="50" t="s">
        <v>37</v>
      </c>
      <c r="C6333" s="54">
        <v>0.6</v>
      </c>
      <c r="D6333" s="86">
        <v>200</v>
      </c>
      <c r="E6333" s="85">
        <f>C6333*D6333</f>
        <v>120</v>
      </c>
    </row>
    <row r="6334" spans="1:5" ht="18" x14ac:dyDescent="0.35">
      <c r="A6334" s="5"/>
      <c r="B6334" s="5"/>
      <c r="C6334" s="54"/>
      <c r="D6334" s="54"/>
      <c r="E6334" s="85">
        <f>SUM(E6332:E6333)</f>
        <v>577.23716999999999</v>
      </c>
    </row>
    <row r="6336" spans="1:5" ht="21" x14ac:dyDescent="0.4">
      <c r="A6336" s="40" t="s">
        <v>805</v>
      </c>
      <c r="B6336" s="40"/>
      <c r="C6336" s="40"/>
      <c r="D6336" s="12"/>
      <c r="E6336" s="12"/>
    </row>
    <row r="6337" spans="1:6" ht="18" x14ac:dyDescent="0.35">
      <c r="A6337" s="5" t="s">
        <v>1562</v>
      </c>
      <c r="B6337" s="5"/>
      <c r="C6337" s="7" t="s">
        <v>28</v>
      </c>
      <c r="D6337" s="7" t="s">
        <v>29</v>
      </c>
      <c r="E6337" s="7" t="s">
        <v>30</v>
      </c>
    </row>
    <row r="6338" spans="1:6" ht="18" x14ac:dyDescent="0.35">
      <c r="A6338" s="5" t="s">
        <v>107</v>
      </c>
      <c r="B6338" s="50" t="s">
        <v>32</v>
      </c>
      <c r="C6338" s="7">
        <v>2.448</v>
      </c>
      <c r="D6338" s="7">
        <v>10.34</v>
      </c>
      <c r="E6338" s="85">
        <f>C6338*D6338</f>
        <v>25.31232</v>
      </c>
    </row>
    <row r="6339" spans="1:6" ht="18" x14ac:dyDescent="0.35">
      <c r="A6339" s="5" t="s">
        <v>213</v>
      </c>
      <c r="B6339" s="50" t="s">
        <v>33</v>
      </c>
      <c r="C6339" s="7">
        <v>17.419</v>
      </c>
      <c r="D6339" s="7">
        <v>17.059999999999999</v>
      </c>
      <c r="E6339" s="85">
        <f>C6339*D6339</f>
        <v>297.16813999999999</v>
      </c>
    </row>
    <row r="6340" spans="1:6" ht="18" x14ac:dyDescent="0.35">
      <c r="A6340" s="5" t="s">
        <v>1634</v>
      </c>
      <c r="B6340" s="50" t="s">
        <v>137</v>
      </c>
      <c r="C6340" s="7">
        <v>1.1000000000000001</v>
      </c>
      <c r="D6340" s="7">
        <v>15.25</v>
      </c>
      <c r="E6340" s="85">
        <f>C6340*D6340</f>
        <v>16.775000000000002</v>
      </c>
    </row>
    <row r="6341" spans="1:6" ht="18" x14ac:dyDescent="0.35">
      <c r="A6341" s="5"/>
      <c r="B6341" s="50" t="s">
        <v>35</v>
      </c>
      <c r="C6341" s="7">
        <v>4</v>
      </c>
      <c r="D6341" s="7">
        <v>2.91</v>
      </c>
      <c r="E6341" s="85">
        <f>C6341*D6341</f>
        <v>11.64</v>
      </c>
    </row>
    <row r="6342" spans="1:6" ht="18" x14ac:dyDescent="0.35">
      <c r="A6342" s="5"/>
      <c r="B6342" s="50" t="s">
        <v>36</v>
      </c>
      <c r="C6342" s="7">
        <v>4</v>
      </c>
      <c r="D6342" s="7">
        <v>0.61</v>
      </c>
      <c r="E6342" s="85">
        <f>C6342*D6342</f>
        <v>2.44</v>
      </c>
    </row>
    <row r="6343" spans="1:6" ht="18" x14ac:dyDescent="0.35">
      <c r="A6343" s="5"/>
      <c r="B6343" s="50"/>
      <c r="C6343" s="87"/>
      <c r="D6343" s="88"/>
      <c r="E6343" s="85">
        <f>SUM(E6338:E6342)</f>
        <v>353.33545999999996</v>
      </c>
    </row>
    <row r="6344" spans="1:6" ht="18" x14ac:dyDescent="0.35">
      <c r="A6344" s="5"/>
      <c r="B6344" s="50"/>
      <c r="C6344" s="87"/>
      <c r="D6344" s="88" t="s">
        <v>1437</v>
      </c>
      <c r="E6344" s="85">
        <f>E6343+E6343*30%</f>
        <v>459.33609799999994</v>
      </c>
    </row>
    <row r="6345" spans="1:6" ht="18" x14ac:dyDescent="0.35">
      <c r="A6345" s="5"/>
      <c r="B6345" s="50" t="s">
        <v>37</v>
      </c>
      <c r="C6345" s="54">
        <v>0.6</v>
      </c>
      <c r="D6345" s="86">
        <v>200</v>
      </c>
      <c r="E6345" s="85">
        <f>C6345*D6345</f>
        <v>120</v>
      </c>
    </row>
    <row r="6346" spans="1:6" ht="18" x14ac:dyDescent="0.35">
      <c r="A6346" s="5"/>
      <c r="B6346" s="5"/>
      <c r="C6346" s="54"/>
      <c r="D6346" s="54"/>
      <c r="E6346" s="85">
        <f>SUM(E6344:E6345)</f>
        <v>579.33609799999999</v>
      </c>
      <c r="F6346" t="s">
        <v>1739</v>
      </c>
    </row>
    <row r="6348" spans="1:6" ht="21" x14ac:dyDescent="0.4">
      <c r="A6348" s="40" t="s">
        <v>1052</v>
      </c>
      <c r="B6348" s="40"/>
      <c r="C6348" s="84"/>
    </row>
    <row r="6349" spans="1:6" ht="18" x14ac:dyDescent="0.35">
      <c r="A6349" s="5" t="s">
        <v>1679</v>
      </c>
      <c r="B6349" s="5"/>
      <c r="C6349" s="7" t="s">
        <v>28</v>
      </c>
      <c r="D6349" s="7" t="s">
        <v>29</v>
      </c>
      <c r="E6349" s="7" t="s">
        <v>30</v>
      </c>
    </row>
    <row r="6350" spans="1:6" ht="18" x14ac:dyDescent="0.35">
      <c r="A6350" s="5" t="s">
        <v>46</v>
      </c>
      <c r="B6350" s="50" t="s">
        <v>32</v>
      </c>
      <c r="C6350" s="7">
        <v>2.028</v>
      </c>
      <c r="D6350" s="7">
        <v>10.34</v>
      </c>
      <c r="E6350" s="85">
        <f t="shared" ref="E6350:E6355" si="423">C6350*D6350</f>
        <v>20.969519999999999</v>
      </c>
    </row>
    <row r="6351" spans="1:6" ht="18" x14ac:dyDescent="0.35">
      <c r="A6351" s="5" t="s">
        <v>238</v>
      </c>
      <c r="B6351" s="50" t="s">
        <v>33</v>
      </c>
      <c r="C6351" s="7">
        <v>3.3180000000000001</v>
      </c>
      <c r="D6351" s="7">
        <v>16.170000000000002</v>
      </c>
      <c r="E6351" s="85">
        <f t="shared" si="423"/>
        <v>53.652060000000006</v>
      </c>
    </row>
    <row r="6352" spans="1:6" ht="18" x14ac:dyDescent="0.35">
      <c r="A6352" s="5" t="s">
        <v>674</v>
      </c>
      <c r="B6352" s="50" t="s">
        <v>42</v>
      </c>
      <c r="C6352" s="7">
        <v>0.21</v>
      </c>
      <c r="D6352" s="7">
        <v>1.1499999999999999</v>
      </c>
      <c r="E6352" s="85">
        <f t="shared" si="423"/>
        <v>0.24149999999999996</v>
      </c>
    </row>
    <row r="6353" spans="1:7" ht="18" x14ac:dyDescent="0.35">
      <c r="A6353" s="5"/>
      <c r="B6353" s="50" t="s">
        <v>34</v>
      </c>
      <c r="C6353" s="7">
        <v>0.1</v>
      </c>
      <c r="D6353" s="7">
        <v>14.61</v>
      </c>
      <c r="E6353" s="85">
        <f t="shared" si="423"/>
        <v>1.4610000000000001</v>
      </c>
    </row>
    <row r="6354" spans="1:7" ht="18" x14ac:dyDescent="0.35">
      <c r="A6354" s="5"/>
      <c r="B6354" s="50" t="s">
        <v>35</v>
      </c>
      <c r="C6354" s="7">
        <v>4</v>
      </c>
      <c r="D6354" s="7">
        <v>2.91</v>
      </c>
      <c r="E6354" s="85">
        <f t="shared" si="423"/>
        <v>11.64</v>
      </c>
    </row>
    <row r="6355" spans="1:7" ht="18" x14ac:dyDescent="0.35">
      <c r="A6355" s="5"/>
      <c r="B6355" s="50" t="s">
        <v>36</v>
      </c>
      <c r="C6355" s="7">
        <v>4</v>
      </c>
      <c r="D6355" s="7">
        <v>0.61</v>
      </c>
      <c r="E6355" s="85">
        <f t="shared" si="423"/>
        <v>2.44</v>
      </c>
    </row>
    <row r="6356" spans="1:7" ht="18" x14ac:dyDescent="0.35">
      <c r="A6356" s="5"/>
      <c r="B6356" s="5"/>
      <c r="C6356" s="54"/>
      <c r="D6356" s="54"/>
      <c r="E6356" s="89">
        <f>SUM(E6350:E6355)</f>
        <v>90.404080000000008</v>
      </c>
    </row>
    <row r="6357" spans="1:7" ht="18" x14ac:dyDescent="0.35">
      <c r="A6357" s="5"/>
      <c r="B6357" s="5"/>
      <c r="C6357" s="54"/>
      <c r="D6357" s="54" t="s">
        <v>1116</v>
      </c>
      <c r="E6357" s="89">
        <f>E6356+E6356*40%</f>
        <v>126.56571200000002</v>
      </c>
    </row>
    <row r="6358" spans="1:7" ht="18" x14ac:dyDescent="0.35">
      <c r="A6358" s="5"/>
      <c r="B6358" s="50" t="s">
        <v>37</v>
      </c>
      <c r="C6358" s="54">
        <v>0.4</v>
      </c>
      <c r="D6358" s="54">
        <v>200</v>
      </c>
      <c r="E6358" s="85">
        <f>C6358*D6358</f>
        <v>80</v>
      </c>
      <c r="F6358" t="s">
        <v>607</v>
      </c>
      <c r="G6358" t="s">
        <v>1589</v>
      </c>
    </row>
    <row r="6359" spans="1:7" ht="18" x14ac:dyDescent="0.35">
      <c r="A6359" s="5"/>
      <c r="B6359" s="5"/>
      <c r="C6359" s="54"/>
      <c r="D6359" s="54"/>
      <c r="E6359" s="85">
        <f>SUM(E6357:E6358)</f>
        <v>206.56571200000002</v>
      </c>
      <c r="F6359">
        <v>207</v>
      </c>
      <c r="G6359">
        <v>250</v>
      </c>
    </row>
    <row r="6361" spans="1:7" ht="21" x14ac:dyDescent="0.4">
      <c r="A6361" s="40" t="s">
        <v>813</v>
      </c>
      <c r="B6361" s="40"/>
      <c r="C6361" s="40"/>
      <c r="D6361" s="12"/>
      <c r="E6361" s="12"/>
    </row>
    <row r="6362" spans="1:7" ht="18" x14ac:dyDescent="0.35">
      <c r="A6362" s="5" t="s">
        <v>1679</v>
      </c>
      <c r="B6362" s="5"/>
      <c r="C6362" s="7" t="s">
        <v>28</v>
      </c>
      <c r="D6362" s="7" t="s">
        <v>29</v>
      </c>
      <c r="E6362" s="7" t="s">
        <v>30</v>
      </c>
    </row>
    <row r="6363" spans="1:7" ht="18" x14ac:dyDescent="0.35">
      <c r="A6363" s="5" t="s">
        <v>46</v>
      </c>
      <c r="B6363" s="50" t="s">
        <v>32</v>
      </c>
      <c r="C6363" s="7">
        <v>2.028</v>
      </c>
      <c r="D6363" s="7">
        <v>10.34</v>
      </c>
      <c r="E6363" s="85">
        <f>C6363*D6363</f>
        <v>20.969519999999999</v>
      </c>
    </row>
    <row r="6364" spans="1:7" ht="18" x14ac:dyDescent="0.35">
      <c r="A6364" s="5" t="s">
        <v>143</v>
      </c>
      <c r="B6364" s="50" t="s">
        <v>33</v>
      </c>
      <c r="C6364" s="7">
        <v>4.9770000000000003</v>
      </c>
      <c r="D6364" s="7">
        <v>17.059999999999999</v>
      </c>
      <c r="E6364" s="85">
        <f>C6364*D6364</f>
        <v>84.907619999999994</v>
      </c>
    </row>
    <row r="6365" spans="1:7" ht="18" x14ac:dyDescent="0.35">
      <c r="A6365" s="5" t="s">
        <v>1634</v>
      </c>
      <c r="B6365" s="50" t="s">
        <v>137</v>
      </c>
      <c r="C6365" s="7">
        <v>0.21</v>
      </c>
      <c r="D6365" s="7">
        <v>15.25</v>
      </c>
      <c r="E6365" s="85">
        <f>C6365*D6365</f>
        <v>3.2024999999999997</v>
      </c>
    </row>
    <row r="6366" spans="1:7" ht="18" x14ac:dyDescent="0.35">
      <c r="A6366" s="5"/>
      <c r="B6366" s="50" t="s">
        <v>35</v>
      </c>
      <c r="C6366" s="7">
        <v>4</v>
      </c>
      <c r="D6366" s="7">
        <v>2.91</v>
      </c>
      <c r="E6366" s="85">
        <f>C6366*D6366</f>
        <v>11.64</v>
      </c>
    </row>
    <row r="6367" spans="1:7" ht="18" x14ac:dyDescent="0.35">
      <c r="A6367" s="5"/>
      <c r="B6367" s="50" t="s">
        <v>36</v>
      </c>
      <c r="C6367" s="7">
        <v>4</v>
      </c>
      <c r="D6367" s="7">
        <v>0.61</v>
      </c>
      <c r="E6367" s="85">
        <f>C6367*D6367</f>
        <v>2.44</v>
      </c>
    </row>
    <row r="6368" spans="1:7" ht="18" x14ac:dyDescent="0.35">
      <c r="A6368" s="5"/>
      <c r="B6368" s="50"/>
      <c r="C6368" s="87"/>
      <c r="D6368" s="88"/>
      <c r="E6368" s="85">
        <f>SUM(E6363:E6367)</f>
        <v>123.15964</v>
      </c>
    </row>
    <row r="6369" spans="1:7" ht="18" x14ac:dyDescent="0.35">
      <c r="A6369" s="5"/>
      <c r="B6369" s="50"/>
      <c r="C6369" s="87"/>
      <c r="D6369" s="88" t="s">
        <v>1437</v>
      </c>
      <c r="E6369" s="85">
        <f>E6368+E6368*30%</f>
        <v>160.10753199999999</v>
      </c>
    </row>
    <row r="6370" spans="1:7" ht="18" x14ac:dyDescent="0.35">
      <c r="A6370" s="5"/>
      <c r="B6370" s="50" t="s">
        <v>37</v>
      </c>
      <c r="C6370" s="54">
        <v>0.5</v>
      </c>
      <c r="D6370" s="86">
        <v>200</v>
      </c>
      <c r="E6370" s="85">
        <f>C6370*D6370</f>
        <v>100</v>
      </c>
      <c r="F6370" t="s">
        <v>607</v>
      </c>
      <c r="G6370" t="s">
        <v>1589</v>
      </c>
    </row>
    <row r="6371" spans="1:7" ht="18" x14ac:dyDescent="0.35">
      <c r="A6371" s="5"/>
      <c r="B6371" s="5"/>
      <c r="C6371" s="54"/>
      <c r="D6371" s="54"/>
      <c r="E6371" s="85">
        <f>SUM(E6369:E6370)</f>
        <v>260.10753199999999</v>
      </c>
      <c r="F6371">
        <v>261</v>
      </c>
      <c r="G6371">
        <v>314</v>
      </c>
    </row>
    <row r="6373" spans="1:7" ht="21" x14ac:dyDescent="0.4">
      <c r="A6373" s="40" t="s">
        <v>1685</v>
      </c>
      <c r="B6373" s="40"/>
      <c r="C6373" s="84"/>
    </row>
    <row r="6374" spans="1:7" ht="18" x14ac:dyDescent="0.35">
      <c r="A6374" s="5" t="s">
        <v>1686</v>
      </c>
      <c r="B6374" s="5"/>
      <c r="C6374" s="7" t="s">
        <v>28</v>
      </c>
      <c r="D6374" s="7" t="s">
        <v>29</v>
      </c>
      <c r="E6374" s="7" t="s">
        <v>30</v>
      </c>
    </row>
    <row r="6375" spans="1:7" ht="18" x14ac:dyDescent="0.35">
      <c r="A6375" s="5" t="s">
        <v>1687</v>
      </c>
      <c r="B6375" s="50" t="s">
        <v>32</v>
      </c>
      <c r="C6375" s="7">
        <v>2.448</v>
      </c>
      <c r="D6375" s="7">
        <v>10.34</v>
      </c>
      <c r="E6375" s="85">
        <f t="shared" ref="E6375:E6380" si="424">C6375*D6375</f>
        <v>25.31232</v>
      </c>
    </row>
    <row r="6376" spans="1:7" ht="18" x14ac:dyDescent="0.35">
      <c r="A6376" s="5" t="s">
        <v>178</v>
      </c>
      <c r="B6376" s="50" t="s">
        <v>33</v>
      </c>
      <c r="C6376" s="7">
        <v>8.6940000000000008</v>
      </c>
      <c r="D6376" s="7">
        <v>16.170000000000002</v>
      </c>
      <c r="E6376" s="85">
        <f t="shared" si="424"/>
        <v>140.58198000000002</v>
      </c>
    </row>
    <row r="6377" spans="1:7" ht="18" x14ac:dyDescent="0.35">
      <c r="A6377" s="5" t="s">
        <v>1688</v>
      </c>
      <c r="B6377" s="50" t="s">
        <v>1689</v>
      </c>
      <c r="C6377" s="7">
        <v>2</v>
      </c>
      <c r="D6377" s="7">
        <v>1.48</v>
      </c>
      <c r="E6377" s="85">
        <f t="shared" si="424"/>
        <v>2.96</v>
      </c>
    </row>
    <row r="6378" spans="1:7" ht="18" x14ac:dyDescent="0.35">
      <c r="A6378" s="5"/>
      <c r="B6378" s="50" t="s">
        <v>34</v>
      </c>
      <c r="C6378" s="7">
        <v>0.42</v>
      </c>
      <c r="D6378" s="7">
        <v>14.61</v>
      </c>
      <c r="E6378" s="85">
        <f t="shared" si="424"/>
        <v>6.1361999999999997</v>
      </c>
    </row>
    <row r="6379" spans="1:7" ht="18" x14ac:dyDescent="0.35">
      <c r="A6379" s="5"/>
      <c r="B6379" s="50" t="s">
        <v>35</v>
      </c>
      <c r="C6379" s="7">
        <v>4</v>
      </c>
      <c r="D6379" s="7">
        <v>2.91</v>
      </c>
      <c r="E6379" s="85">
        <f t="shared" si="424"/>
        <v>11.64</v>
      </c>
    </row>
    <row r="6380" spans="1:7" ht="18" x14ac:dyDescent="0.35">
      <c r="A6380" s="5"/>
      <c r="B6380" s="50" t="s">
        <v>36</v>
      </c>
      <c r="C6380" s="7">
        <v>4</v>
      </c>
      <c r="D6380" s="7">
        <v>0.61</v>
      </c>
      <c r="E6380" s="85">
        <f t="shared" si="424"/>
        <v>2.44</v>
      </c>
    </row>
    <row r="6381" spans="1:7" ht="18" x14ac:dyDescent="0.35">
      <c r="A6381" s="5"/>
      <c r="B6381" s="5"/>
      <c r="C6381" s="54"/>
      <c r="D6381" s="54"/>
      <c r="E6381" s="89">
        <f>SUM(E6375:E6380)</f>
        <v>189.07050000000004</v>
      </c>
    </row>
    <row r="6382" spans="1:7" ht="18" x14ac:dyDescent="0.35">
      <c r="A6382" s="5"/>
      <c r="B6382" s="5"/>
      <c r="C6382" s="54"/>
      <c r="D6382" s="54" t="s">
        <v>1063</v>
      </c>
      <c r="E6382" s="89">
        <f>E6381+E6381*40%</f>
        <v>264.69870000000003</v>
      </c>
    </row>
    <row r="6383" spans="1:7" ht="18" x14ac:dyDescent="0.35">
      <c r="A6383" s="5"/>
      <c r="B6383" s="50" t="s">
        <v>37</v>
      </c>
      <c r="C6383" s="54">
        <v>0.5</v>
      </c>
      <c r="D6383" s="54">
        <v>200</v>
      </c>
      <c r="E6383" s="85">
        <f>C6383*D6383</f>
        <v>100</v>
      </c>
    </row>
    <row r="6384" spans="1:7" ht="18" x14ac:dyDescent="0.35">
      <c r="A6384" s="5"/>
      <c r="B6384" s="5"/>
      <c r="C6384" s="54"/>
      <c r="D6384" s="54"/>
      <c r="E6384" s="85">
        <f>SUM(E6382:E6383)</f>
        <v>364.69870000000003</v>
      </c>
    </row>
    <row r="6386" spans="1:5" ht="21" x14ac:dyDescent="0.4">
      <c r="A6386" s="40" t="s">
        <v>1690</v>
      </c>
      <c r="B6386" s="40"/>
      <c r="C6386" s="84"/>
    </row>
    <row r="6387" spans="1:5" ht="18" x14ac:dyDescent="0.35">
      <c r="A6387" t="s">
        <v>1692</v>
      </c>
      <c r="B6387" s="5"/>
      <c r="C6387" s="7" t="s">
        <v>28</v>
      </c>
      <c r="D6387" s="7" t="s">
        <v>29</v>
      </c>
      <c r="E6387" s="7" t="s">
        <v>30</v>
      </c>
    </row>
    <row r="6388" spans="1:5" ht="18" x14ac:dyDescent="0.35">
      <c r="A6388" s="5" t="s">
        <v>76</v>
      </c>
      <c r="B6388" s="50" t="s">
        <v>32</v>
      </c>
      <c r="C6388" s="7">
        <v>3.4980000000000002</v>
      </c>
      <c r="D6388" s="7">
        <v>14.93</v>
      </c>
      <c r="E6388" s="85">
        <f t="shared" ref="E6388:E6395" si="425">C6388*D6388</f>
        <v>52.225140000000003</v>
      </c>
    </row>
    <row r="6389" spans="1:5" ht="18" x14ac:dyDescent="0.35">
      <c r="A6389" s="5" t="s">
        <v>1108</v>
      </c>
      <c r="B6389" s="50" t="s">
        <v>33</v>
      </c>
      <c r="C6389" s="7">
        <v>4.63</v>
      </c>
      <c r="D6389" s="7">
        <v>16.170000000000002</v>
      </c>
      <c r="E6389" s="85">
        <f t="shared" si="425"/>
        <v>74.867100000000008</v>
      </c>
    </row>
    <row r="6390" spans="1:5" ht="18" x14ac:dyDescent="0.35">
      <c r="A6390" s="5" t="s">
        <v>55</v>
      </c>
      <c r="B6390" s="50" t="s">
        <v>33</v>
      </c>
      <c r="C6390" s="7">
        <v>4.7880000000000003</v>
      </c>
      <c r="D6390" s="7">
        <v>16.170000000000002</v>
      </c>
      <c r="E6390" s="85">
        <f t="shared" si="425"/>
        <v>77.421960000000013</v>
      </c>
    </row>
    <row r="6391" spans="1:5" ht="18" x14ac:dyDescent="0.35">
      <c r="A6391" s="5" t="s">
        <v>649</v>
      </c>
      <c r="B6391" s="50" t="s">
        <v>85</v>
      </c>
      <c r="C6391" s="7">
        <v>2</v>
      </c>
      <c r="D6391" s="7">
        <v>3.94</v>
      </c>
      <c r="E6391" s="85">
        <f t="shared" si="425"/>
        <v>7.88</v>
      </c>
    </row>
    <row r="6392" spans="1:5" ht="18" x14ac:dyDescent="0.35">
      <c r="A6392" s="5"/>
      <c r="B6392" s="50" t="s">
        <v>113</v>
      </c>
      <c r="C6392" s="7">
        <v>2</v>
      </c>
      <c r="D6392" s="7">
        <v>2.2400000000000002</v>
      </c>
      <c r="E6392" s="85">
        <f t="shared" si="425"/>
        <v>4.4800000000000004</v>
      </c>
    </row>
    <row r="6393" spans="1:5" ht="18" x14ac:dyDescent="0.35">
      <c r="A6393" s="5"/>
      <c r="B6393" s="50" t="s">
        <v>34</v>
      </c>
      <c r="C6393" s="7"/>
      <c r="D6393" s="7">
        <v>14.61</v>
      </c>
      <c r="E6393" s="85">
        <f t="shared" si="425"/>
        <v>0</v>
      </c>
    </row>
    <row r="6394" spans="1:5" ht="18" x14ac:dyDescent="0.35">
      <c r="A6394" s="5"/>
      <c r="B6394" s="50" t="s">
        <v>35</v>
      </c>
      <c r="C6394" s="7">
        <v>4</v>
      </c>
      <c r="D6394" s="7">
        <v>2.91</v>
      </c>
      <c r="E6394" s="85">
        <f t="shared" si="425"/>
        <v>11.64</v>
      </c>
    </row>
    <row r="6395" spans="1:5" ht="18" x14ac:dyDescent="0.35">
      <c r="A6395" s="5"/>
      <c r="B6395" s="50" t="s">
        <v>36</v>
      </c>
      <c r="C6395" s="7">
        <v>4</v>
      </c>
      <c r="D6395" s="7">
        <v>0.61</v>
      </c>
      <c r="E6395" s="85">
        <f t="shared" si="425"/>
        <v>2.44</v>
      </c>
    </row>
    <row r="6396" spans="1:5" ht="18" x14ac:dyDescent="0.35">
      <c r="A6396" s="5"/>
      <c r="B6396" s="5"/>
      <c r="C6396" s="54"/>
      <c r="D6396" s="54"/>
      <c r="E6396" s="89">
        <f>SUM(E6388:E6395)</f>
        <v>230.95420000000001</v>
      </c>
    </row>
    <row r="6397" spans="1:5" ht="18" x14ac:dyDescent="0.35">
      <c r="A6397" s="5"/>
      <c r="B6397" s="5"/>
      <c r="C6397" s="54"/>
      <c r="D6397" s="54" t="s">
        <v>1063</v>
      </c>
      <c r="E6397" s="89">
        <f>E6396+E6396*40%</f>
        <v>323.33588000000003</v>
      </c>
    </row>
    <row r="6398" spans="1:5" ht="18" x14ac:dyDescent="0.35">
      <c r="A6398" s="5"/>
      <c r="B6398" s="50" t="s">
        <v>37</v>
      </c>
      <c r="C6398" s="54">
        <v>0.5</v>
      </c>
      <c r="D6398" s="54">
        <v>200</v>
      </c>
      <c r="E6398" s="85">
        <f>C6398*D6398</f>
        <v>100</v>
      </c>
    </row>
    <row r="6399" spans="1:5" ht="18" x14ac:dyDescent="0.35">
      <c r="E6399" s="85">
        <f>SUM(E6397:E6398)</f>
        <v>423.33588000000003</v>
      </c>
    </row>
    <row r="6401" spans="1:5" ht="21" x14ac:dyDescent="0.4">
      <c r="A6401" s="40" t="s">
        <v>1691</v>
      </c>
      <c r="B6401" s="40"/>
      <c r="C6401" s="84"/>
    </row>
    <row r="6402" spans="1:5" ht="18" x14ac:dyDescent="0.35">
      <c r="A6402" t="s">
        <v>1698</v>
      </c>
      <c r="B6402" s="5"/>
      <c r="C6402" s="7" t="s">
        <v>28</v>
      </c>
      <c r="D6402" s="7" t="s">
        <v>29</v>
      </c>
      <c r="E6402" s="7" t="s">
        <v>30</v>
      </c>
    </row>
    <row r="6403" spans="1:5" ht="18" x14ac:dyDescent="0.35">
      <c r="A6403" s="5" t="s">
        <v>76</v>
      </c>
      <c r="B6403" s="50" t="s">
        <v>32</v>
      </c>
      <c r="C6403" s="7">
        <v>1.6080000000000001</v>
      </c>
      <c r="D6403" s="7">
        <v>14.93</v>
      </c>
      <c r="E6403" s="85">
        <f t="shared" ref="E6403:E6410" si="426">C6403*D6403</f>
        <v>24.007440000000003</v>
      </c>
    </row>
    <row r="6404" spans="1:5" ht="18" x14ac:dyDescent="0.35">
      <c r="A6404" s="5" t="s">
        <v>1108</v>
      </c>
      <c r="B6404" s="50" t="s">
        <v>33</v>
      </c>
      <c r="C6404" s="7">
        <v>4.63</v>
      </c>
      <c r="D6404" s="7">
        <v>16.170000000000002</v>
      </c>
      <c r="E6404" s="85">
        <f t="shared" si="426"/>
        <v>74.867100000000008</v>
      </c>
    </row>
    <row r="6405" spans="1:5" ht="18" x14ac:dyDescent="0.35">
      <c r="A6405" s="5" t="s">
        <v>55</v>
      </c>
      <c r="B6405" s="50" t="s">
        <v>33</v>
      </c>
      <c r="C6405" s="7">
        <v>4.7880000000000003</v>
      </c>
      <c r="D6405" s="7">
        <v>16.170000000000002</v>
      </c>
      <c r="E6405" s="85">
        <f t="shared" si="426"/>
        <v>77.421960000000013</v>
      </c>
    </row>
    <row r="6406" spans="1:5" ht="18" x14ac:dyDescent="0.35">
      <c r="A6406" s="5" t="s">
        <v>777</v>
      </c>
      <c r="B6406" s="50" t="s">
        <v>85</v>
      </c>
      <c r="C6406" s="7">
        <v>2</v>
      </c>
      <c r="D6406" s="7">
        <v>3.94</v>
      </c>
      <c r="E6406" s="85">
        <f t="shared" si="426"/>
        <v>7.88</v>
      </c>
    </row>
    <row r="6407" spans="1:5" ht="18" x14ac:dyDescent="0.35">
      <c r="A6407" s="5"/>
      <c r="B6407" s="50" t="s">
        <v>113</v>
      </c>
      <c r="C6407" s="7">
        <v>2</v>
      </c>
      <c r="D6407" s="7">
        <v>2.2400000000000002</v>
      </c>
      <c r="E6407" s="85">
        <f t="shared" si="426"/>
        <v>4.4800000000000004</v>
      </c>
    </row>
    <row r="6408" spans="1:5" ht="18" x14ac:dyDescent="0.35">
      <c r="A6408" s="5"/>
      <c r="B6408" s="50" t="s">
        <v>34</v>
      </c>
      <c r="C6408" s="7"/>
      <c r="D6408" s="7">
        <v>14.61</v>
      </c>
      <c r="E6408" s="85">
        <f t="shared" si="426"/>
        <v>0</v>
      </c>
    </row>
    <row r="6409" spans="1:5" ht="18" x14ac:dyDescent="0.35">
      <c r="A6409" s="5"/>
      <c r="B6409" s="50" t="s">
        <v>35</v>
      </c>
      <c r="C6409" s="7">
        <v>4</v>
      </c>
      <c r="D6409" s="7">
        <v>2.91</v>
      </c>
      <c r="E6409" s="85">
        <f t="shared" si="426"/>
        <v>11.64</v>
      </c>
    </row>
    <row r="6410" spans="1:5" ht="18" x14ac:dyDescent="0.35">
      <c r="A6410" s="5"/>
      <c r="B6410" s="50" t="s">
        <v>36</v>
      </c>
      <c r="C6410" s="7">
        <v>4</v>
      </c>
      <c r="D6410" s="7">
        <v>0.61</v>
      </c>
      <c r="E6410" s="85">
        <f t="shared" si="426"/>
        <v>2.44</v>
      </c>
    </row>
    <row r="6411" spans="1:5" ht="18" x14ac:dyDescent="0.35">
      <c r="A6411" s="5"/>
      <c r="B6411" s="5"/>
      <c r="C6411" s="54"/>
      <c r="D6411" s="54"/>
      <c r="E6411" s="89">
        <f>SUM(E6403:E6410)</f>
        <v>202.73650000000004</v>
      </c>
    </row>
    <row r="6412" spans="1:5" ht="18" x14ac:dyDescent="0.35">
      <c r="A6412" s="5"/>
      <c r="B6412" s="5"/>
      <c r="C6412" s="54"/>
      <c r="D6412" s="54" t="s">
        <v>1063</v>
      </c>
      <c r="E6412" s="89">
        <f>E6411+E6411*40%</f>
        <v>283.83110000000005</v>
      </c>
    </row>
    <row r="6413" spans="1:5" ht="18" x14ac:dyDescent="0.35">
      <c r="A6413" s="5"/>
      <c r="B6413" s="50" t="s">
        <v>37</v>
      </c>
      <c r="C6413" s="54">
        <v>0.5</v>
      </c>
      <c r="D6413" s="54">
        <v>200</v>
      </c>
      <c r="E6413" s="85">
        <f>C6413*D6413</f>
        <v>100</v>
      </c>
    </row>
    <row r="6414" spans="1:5" ht="18" x14ac:dyDescent="0.35">
      <c r="E6414" s="85">
        <f>SUM(E6412:E6413)</f>
        <v>383.83110000000005</v>
      </c>
    </row>
    <row r="6416" spans="1:5" ht="21" x14ac:dyDescent="0.4">
      <c r="A6416" s="40" t="s">
        <v>1693</v>
      </c>
      <c r="B6416" s="40"/>
      <c r="C6416" s="84"/>
    </row>
    <row r="6417" spans="1:6" ht="18" x14ac:dyDescent="0.35">
      <c r="A6417" s="5" t="s">
        <v>1694</v>
      </c>
      <c r="B6417" s="5"/>
      <c r="C6417" s="7" t="s">
        <v>28</v>
      </c>
      <c r="D6417" s="7" t="s">
        <v>29</v>
      </c>
      <c r="E6417" s="7" t="s">
        <v>30</v>
      </c>
    </row>
    <row r="6418" spans="1:6" ht="18" x14ac:dyDescent="0.35">
      <c r="A6418" s="5" t="s">
        <v>1435</v>
      </c>
      <c r="B6418" s="50" t="s">
        <v>32</v>
      </c>
      <c r="C6418" s="7">
        <v>2.1749999999999998</v>
      </c>
      <c r="D6418" s="7">
        <v>10.34</v>
      </c>
      <c r="E6418" s="85">
        <f t="shared" ref="E6418:E6423" si="427">C6418*D6418</f>
        <v>22.4895</v>
      </c>
    </row>
    <row r="6419" spans="1:6" ht="18" x14ac:dyDescent="0.35">
      <c r="A6419" s="5" t="s">
        <v>214</v>
      </c>
      <c r="B6419" s="50" t="s">
        <v>33</v>
      </c>
      <c r="C6419" s="7">
        <v>2.8029999999999999</v>
      </c>
      <c r="D6419" s="7">
        <v>16.170000000000002</v>
      </c>
      <c r="E6419" s="85">
        <f t="shared" si="427"/>
        <v>45.324510000000004</v>
      </c>
    </row>
    <row r="6420" spans="1:6" ht="18" x14ac:dyDescent="0.35">
      <c r="A6420" s="5" t="s">
        <v>1688</v>
      </c>
      <c r="B6420" s="50" t="s">
        <v>1695</v>
      </c>
      <c r="C6420" s="7">
        <v>2</v>
      </c>
      <c r="D6420" s="7">
        <v>1.1499999999999999</v>
      </c>
      <c r="E6420" s="85">
        <f t="shared" si="427"/>
        <v>2.2999999999999998</v>
      </c>
    </row>
    <row r="6421" spans="1:6" ht="18" x14ac:dyDescent="0.35">
      <c r="A6421" s="5"/>
      <c r="B6421" s="50" t="s">
        <v>34</v>
      </c>
      <c r="C6421" s="7">
        <v>0.21</v>
      </c>
      <c r="D6421" s="7">
        <v>14.61</v>
      </c>
      <c r="E6421" s="85">
        <f t="shared" si="427"/>
        <v>3.0680999999999998</v>
      </c>
    </row>
    <row r="6422" spans="1:6" ht="18" x14ac:dyDescent="0.35">
      <c r="A6422" s="5"/>
      <c r="B6422" s="50" t="s">
        <v>35</v>
      </c>
      <c r="C6422" s="7">
        <v>4</v>
      </c>
      <c r="D6422" s="7">
        <v>2.91</v>
      </c>
      <c r="E6422" s="85">
        <f t="shared" si="427"/>
        <v>11.64</v>
      </c>
    </row>
    <row r="6423" spans="1:6" ht="18" x14ac:dyDescent="0.35">
      <c r="A6423" s="5"/>
      <c r="B6423" s="50" t="s">
        <v>36</v>
      </c>
      <c r="C6423" s="7">
        <v>4</v>
      </c>
      <c r="D6423" s="7">
        <v>0.61</v>
      </c>
      <c r="E6423" s="85">
        <f t="shared" si="427"/>
        <v>2.44</v>
      </c>
    </row>
    <row r="6424" spans="1:6" ht="18" x14ac:dyDescent="0.35">
      <c r="A6424" s="5"/>
      <c r="B6424" s="5"/>
      <c r="C6424" s="54"/>
      <c r="D6424" s="54"/>
      <c r="E6424" s="89">
        <f>SUM(E6418:E6423)</f>
        <v>87.262109999999993</v>
      </c>
    </row>
    <row r="6425" spans="1:6" ht="18" x14ac:dyDescent="0.35">
      <c r="A6425" s="5"/>
      <c r="B6425" s="5"/>
      <c r="C6425" s="54"/>
      <c r="D6425" s="54" t="s">
        <v>1063</v>
      </c>
      <c r="E6425" s="89">
        <f>E6424+E6424*40%</f>
        <v>122.16695399999999</v>
      </c>
    </row>
    <row r="6426" spans="1:6" ht="18" x14ac:dyDescent="0.35">
      <c r="A6426" s="5"/>
      <c r="B6426" s="50" t="s">
        <v>37</v>
      </c>
      <c r="C6426" s="54">
        <v>0.4</v>
      </c>
      <c r="D6426" s="54">
        <v>200</v>
      </c>
      <c r="E6426" s="85">
        <f>C6426*D6426</f>
        <v>80</v>
      </c>
    </row>
    <row r="6427" spans="1:6" ht="18" x14ac:dyDescent="0.35">
      <c r="A6427" s="5"/>
      <c r="B6427" s="5"/>
      <c r="C6427" s="54"/>
      <c r="D6427" s="54"/>
      <c r="E6427" s="85">
        <f>SUM(E6425:E6426)</f>
        <v>202.16695399999998</v>
      </c>
      <c r="F6427">
        <v>144</v>
      </c>
    </row>
    <row r="6429" spans="1:6" ht="21" x14ac:dyDescent="0.4">
      <c r="A6429" s="40" t="s">
        <v>958</v>
      </c>
      <c r="B6429" s="40"/>
      <c r="C6429" s="40"/>
      <c r="D6429" s="12"/>
      <c r="E6429" s="12"/>
    </row>
    <row r="6430" spans="1:6" ht="18" x14ac:dyDescent="0.35">
      <c r="A6430" s="5" t="s">
        <v>1694</v>
      </c>
      <c r="B6430" s="5"/>
      <c r="C6430" s="7" t="s">
        <v>28</v>
      </c>
      <c r="D6430" s="7" t="s">
        <v>29</v>
      </c>
      <c r="E6430" s="7" t="s">
        <v>30</v>
      </c>
    </row>
    <row r="6431" spans="1:6" ht="18" x14ac:dyDescent="0.35">
      <c r="A6431" s="5" t="s">
        <v>224</v>
      </c>
      <c r="B6431" s="50" t="s">
        <v>32</v>
      </c>
      <c r="C6431" s="7">
        <v>2.1859999999999999</v>
      </c>
      <c r="D6431" s="7">
        <v>10.34</v>
      </c>
      <c r="E6431" s="85">
        <f>C6431*D6431</f>
        <v>22.60324</v>
      </c>
    </row>
    <row r="6432" spans="1:6" ht="18" x14ac:dyDescent="0.35">
      <c r="A6432" s="5" t="s">
        <v>1696</v>
      </c>
      <c r="B6432" s="50" t="s">
        <v>33</v>
      </c>
      <c r="C6432" s="7">
        <v>3.738</v>
      </c>
      <c r="D6432" s="7">
        <v>17.059999999999999</v>
      </c>
      <c r="E6432" s="85">
        <f>C6432*D6432</f>
        <v>63.770279999999993</v>
      </c>
    </row>
    <row r="6433" spans="1:7" ht="18" x14ac:dyDescent="0.35">
      <c r="A6433" s="5" t="s">
        <v>1697</v>
      </c>
      <c r="B6433" s="50" t="s">
        <v>137</v>
      </c>
      <c r="C6433" s="7">
        <v>0.2</v>
      </c>
      <c r="D6433" s="7">
        <v>15.25</v>
      </c>
      <c r="E6433" s="85">
        <f>C6433*D6433</f>
        <v>3.0500000000000003</v>
      </c>
    </row>
    <row r="6434" spans="1:7" ht="18" x14ac:dyDescent="0.35">
      <c r="A6434" s="5"/>
      <c r="B6434" s="50" t="s">
        <v>35</v>
      </c>
      <c r="C6434" s="7">
        <v>4</v>
      </c>
      <c r="D6434" s="7">
        <v>2.91</v>
      </c>
      <c r="E6434" s="85">
        <f>C6434*D6434</f>
        <v>11.64</v>
      </c>
    </row>
    <row r="6435" spans="1:7" ht="18" x14ac:dyDescent="0.35">
      <c r="A6435" s="5"/>
      <c r="B6435" s="50" t="s">
        <v>36</v>
      </c>
      <c r="C6435" s="7">
        <v>4</v>
      </c>
      <c r="D6435" s="7">
        <v>0.61</v>
      </c>
      <c r="E6435" s="85">
        <f>C6435*D6435</f>
        <v>2.44</v>
      </c>
    </row>
    <row r="6436" spans="1:7" ht="18" x14ac:dyDescent="0.35">
      <c r="A6436" s="5"/>
      <c r="B6436" s="50"/>
      <c r="C6436" s="87"/>
      <c r="D6436" s="88"/>
      <c r="E6436" s="85">
        <f>SUM(E6431:E6435)</f>
        <v>103.50351999999998</v>
      </c>
    </row>
    <row r="6437" spans="1:7" ht="18" x14ac:dyDescent="0.35">
      <c r="A6437" s="5"/>
      <c r="B6437" s="50"/>
      <c r="C6437" s="87"/>
      <c r="D6437" s="88" t="s">
        <v>1266</v>
      </c>
      <c r="E6437" s="85">
        <f>E6436+E6436*40%</f>
        <v>144.90492799999998</v>
      </c>
    </row>
    <row r="6438" spans="1:7" ht="18" x14ac:dyDescent="0.35">
      <c r="A6438" s="5"/>
      <c r="B6438" s="50" t="s">
        <v>37</v>
      </c>
      <c r="C6438" s="54">
        <v>0.5</v>
      </c>
      <c r="D6438" s="86">
        <v>200</v>
      </c>
      <c r="E6438" s="85">
        <f>C6438*D6438</f>
        <v>100</v>
      </c>
    </row>
    <row r="6439" spans="1:7" ht="18" x14ac:dyDescent="0.35">
      <c r="A6439" s="5"/>
      <c r="B6439" s="5"/>
      <c r="C6439" s="54"/>
      <c r="D6439" s="54"/>
      <c r="E6439" s="85">
        <f>SUM(E6437:E6438)</f>
        <v>244.90492799999998</v>
      </c>
      <c r="F6439" t="s">
        <v>2</v>
      </c>
      <c r="G6439">
        <v>146</v>
      </c>
    </row>
    <row r="6441" spans="1:7" ht="21" x14ac:dyDescent="0.4">
      <c r="A6441" s="40" t="s">
        <v>1691</v>
      </c>
      <c r="B6441" s="40"/>
      <c r="C6441" s="84"/>
    </row>
    <row r="6442" spans="1:7" ht="18" x14ac:dyDescent="0.35">
      <c r="A6442" t="s">
        <v>1698</v>
      </c>
      <c r="B6442" s="5"/>
      <c r="C6442" s="7" t="s">
        <v>28</v>
      </c>
      <c r="D6442" s="7" t="s">
        <v>29</v>
      </c>
      <c r="E6442" s="7" t="s">
        <v>30</v>
      </c>
    </row>
    <row r="6443" spans="1:7" ht="18" x14ac:dyDescent="0.35">
      <c r="A6443" s="5" t="s">
        <v>48</v>
      </c>
      <c r="B6443" s="50" t="s">
        <v>32</v>
      </c>
      <c r="C6443" s="7">
        <v>2.448</v>
      </c>
      <c r="D6443" s="7">
        <v>14.93</v>
      </c>
      <c r="E6443" s="85">
        <f t="shared" ref="E6443:E6450" si="428">C6443*D6443</f>
        <v>36.548639999999999</v>
      </c>
    </row>
    <row r="6444" spans="1:7" ht="18" x14ac:dyDescent="0.35">
      <c r="A6444" s="5" t="s">
        <v>1120</v>
      </c>
      <c r="B6444" s="50" t="s">
        <v>33</v>
      </c>
      <c r="C6444" s="7">
        <v>4.1580000000000004</v>
      </c>
      <c r="D6444" s="7">
        <v>16.170000000000002</v>
      </c>
      <c r="E6444" s="85">
        <f t="shared" si="428"/>
        <v>67.234860000000012</v>
      </c>
    </row>
    <row r="6445" spans="1:7" ht="18" x14ac:dyDescent="0.35">
      <c r="A6445" s="5" t="s">
        <v>1030</v>
      </c>
      <c r="B6445" s="50" t="s">
        <v>33</v>
      </c>
      <c r="C6445" s="7">
        <v>4.5359999999999996</v>
      </c>
      <c r="D6445" s="7">
        <v>16.170000000000002</v>
      </c>
      <c r="E6445" s="85">
        <f t="shared" si="428"/>
        <v>73.347120000000004</v>
      </c>
    </row>
    <row r="6446" spans="1:7" ht="18" x14ac:dyDescent="0.35">
      <c r="A6446" s="5" t="s">
        <v>777</v>
      </c>
      <c r="B6446" s="50" t="s">
        <v>42</v>
      </c>
      <c r="C6446" s="7">
        <v>2</v>
      </c>
      <c r="D6446" s="7">
        <v>1.1499999999999999</v>
      </c>
      <c r="E6446" s="85">
        <f t="shared" si="428"/>
        <v>2.2999999999999998</v>
      </c>
    </row>
    <row r="6447" spans="1:7" ht="18" x14ac:dyDescent="0.35">
      <c r="A6447" s="5"/>
      <c r="B6447" s="50" t="s">
        <v>100</v>
      </c>
      <c r="C6447" s="7">
        <v>4</v>
      </c>
      <c r="D6447" s="7">
        <v>2.2400000000000002</v>
      </c>
      <c r="E6447" s="85">
        <f t="shared" si="428"/>
        <v>8.9600000000000009</v>
      </c>
    </row>
    <row r="6448" spans="1:7" ht="18" x14ac:dyDescent="0.35">
      <c r="A6448" s="5"/>
      <c r="B6448" s="50" t="s">
        <v>34</v>
      </c>
      <c r="C6448" s="7">
        <v>0.21</v>
      </c>
      <c r="D6448" s="7">
        <v>14.61</v>
      </c>
      <c r="E6448" s="85">
        <f t="shared" si="428"/>
        <v>3.0680999999999998</v>
      </c>
    </row>
    <row r="6449" spans="1:5" ht="18" x14ac:dyDescent="0.35">
      <c r="A6449" s="5"/>
      <c r="B6449" s="50" t="s">
        <v>35</v>
      </c>
      <c r="C6449" s="7">
        <v>4</v>
      </c>
      <c r="D6449" s="7">
        <v>2.91</v>
      </c>
      <c r="E6449" s="85">
        <f t="shared" si="428"/>
        <v>11.64</v>
      </c>
    </row>
    <row r="6450" spans="1:5" ht="18" x14ac:dyDescent="0.35">
      <c r="A6450" s="5"/>
      <c r="B6450" s="50" t="s">
        <v>36</v>
      </c>
      <c r="C6450" s="7">
        <v>4</v>
      </c>
      <c r="D6450" s="7">
        <v>0.61</v>
      </c>
      <c r="E6450" s="85">
        <f t="shared" si="428"/>
        <v>2.44</v>
      </c>
    </row>
    <row r="6451" spans="1:5" ht="18" x14ac:dyDescent="0.35">
      <c r="A6451" s="5"/>
      <c r="B6451" s="5"/>
      <c r="C6451" s="54"/>
      <c r="D6451" s="54"/>
      <c r="E6451" s="89">
        <f>SUM(E6443:E6450)</f>
        <v>205.53872000000001</v>
      </c>
    </row>
    <row r="6452" spans="1:5" ht="18" x14ac:dyDescent="0.35">
      <c r="A6452" s="5"/>
      <c r="B6452" s="5"/>
      <c r="C6452" s="54"/>
      <c r="D6452" s="54" t="s">
        <v>1063</v>
      </c>
      <c r="E6452" s="89">
        <f>E6451+E6451*40%</f>
        <v>287.75420800000001</v>
      </c>
    </row>
    <row r="6453" spans="1:5" ht="18" x14ac:dyDescent="0.35">
      <c r="A6453" s="5"/>
      <c r="B6453" s="50" t="s">
        <v>37</v>
      </c>
      <c r="C6453" s="54">
        <v>1</v>
      </c>
      <c r="D6453" s="54">
        <v>200</v>
      </c>
      <c r="E6453" s="85">
        <f>C6453*D6453</f>
        <v>200</v>
      </c>
    </row>
    <row r="6454" spans="1:5" ht="18" x14ac:dyDescent="0.35">
      <c r="E6454" s="85">
        <f>SUM(E6452:E6453)</f>
        <v>487.75420800000001</v>
      </c>
    </row>
    <row r="6456" spans="1:5" ht="21" x14ac:dyDescent="0.4">
      <c r="A6456" s="40" t="s">
        <v>1699</v>
      </c>
      <c r="B6456" s="40"/>
      <c r="C6456" s="84"/>
    </row>
    <row r="6457" spans="1:5" ht="18" x14ac:dyDescent="0.35">
      <c r="A6457" s="5" t="s">
        <v>1694</v>
      </c>
      <c r="B6457" s="5"/>
      <c r="C6457" s="7" t="s">
        <v>28</v>
      </c>
      <c r="D6457" s="7" t="s">
        <v>29</v>
      </c>
      <c r="E6457" s="7" t="s">
        <v>30</v>
      </c>
    </row>
    <row r="6458" spans="1:5" ht="18" x14ac:dyDescent="0.35">
      <c r="A6458" s="5" t="s">
        <v>108</v>
      </c>
      <c r="B6458" s="50" t="s">
        <v>32</v>
      </c>
      <c r="C6458" s="7">
        <v>2.6579999999999999</v>
      </c>
      <c r="D6458" s="7">
        <v>10.34</v>
      </c>
      <c r="E6458" s="85">
        <f t="shared" ref="E6458:E6463" si="429">C6458*D6458</f>
        <v>27.483719999999998</v>
      </c>
    </row>
    <row r="6459" spans="1:5" ht="18" x14ac:dyDescent="0.35">
      <c r="A6459" s="5" t="s">
        <v>217</v>
      </c>
      <c r="B6459" s="50" t="s">
        <v>33</v>
      </c>
      <c r="C6459" s="7">
        <v>13.083</v>
      </c>
      <c r="D6459" s="7">
        <v>16.170000000000002</v>
      </c>
      <c r="E6459" s="85">
        <f t="shared" si="429"/>
        <v>211.55211000000003</v>
      </c>
    </row>
    <row r="6460" spans="1:5" ht="18" x14ac:dyDescent="0.35">
      <c r="A6460" s="5" t="s">
        <v>1700</v>
      </c>
      <c r="B6460" s="50" t="s">
        <v>86</v>
      </c>
      <c r="C6460" s="7">
        <v>2</v>
      </c>
      <c r="D6460" s="7">
        <v>1.7</v>
      </c>
      <c r="E6460" s="85">
        <f t="shared" si="429"/>
        <v>3.4</v>
      </c>
    </row>
    <row r="6461" spans="1:5" ht="18" x14ac:dyDescent="0.35">
      <c r="A6461" s="5"/>
      <c r="B6461" s="50" t="s">
        <v>34</v>
      </c>
      <c r="C6461" s="7">
        <v>0.63</v>
      </c>
      <c r="D6461" s="7">
        <v>14.61</v>
      </c>
      <c r="E6461" s="85">
        <f t="shared" si="429"/>
        <v>9.2042999999999999</v>
      </c>
    </row>
    <row r="6462" spans="1:5" ht="18" x14ac:dyDescent="0.35">
      <c r="A6462" s="5"/>
      <c r="B6462" s="50" t="s">
        <v>35</v>
      </c>
      <c r="C6462" s="7">
        <v>4</v>
      </c>
      <c r="D6462" s="7">
        <v>2.91</v>
      </c>
      <c r="E6462" s="85">
        <f t="shared" si="429"/>
        <v>11.64</v>
      </c>
    </row>
    <row r="6463" spans="1:5" ht="18" x14ac:dyDescent="0.35">
      <c r="A6463" s="5"/>
      <c r="B6463" s="50" t="s">
        <v>36</v>
      </c>
      <c r="C6463" s="7">
        <v>4</v>
      </c>
      <c r="D6463" s="7">
        <v>0.61</v>
      </c>
      <c r="E6463" s="85">
        <f t="shared" si="429"/>
        <v>2.44</v>
      </c>
    </row>
    <row r="6464" spans="1:5" ht="18" x14ac:dyDescent="0.35">
      <c r="A6464" s="5"/>
      <c r="B6464" s="5"/>
      <c r="C6464" s="54"/>
      <c r="D6464" s="54"/>
      <c r="E6464" s="89">
        <f>SUM(E6458:E6463)</f>
        <v>265.72013000000004</v>
      </c>
    </row>
    <row r="6465" spans="1:8" ht="18" x14ac:dyDescent="0.35">
      <c r="A6465" s="5"/>
      <c r="B6465" s="5"/>
      <c r="C6465" s="54"/>
      <c r="D6465" s="54" t="s">
        <v>1063</v>
      </c>
      <c r="E6465" s="89">
        <f>E6464+E6464*40%</f>
        <v>372.00818200000003</v>
      </c>
    </row>
    <row r="6466" spans="1:8" ht="18" x14ac:dyDescent="0.35">
      <c r="A6466" s="5"/>
      <c r="B6466" s="50" t="s">
        <v>37</v>
      </c>
      <c r="C6466" s="54">
        <v>0.6</v>
      </c>
      <c r="D6466" s="54">
        <v>200</v>
      </c>
      <c r="E6466" s="85">
        <f>C6466*D6466</f>
        <v>120</v>
      </c>
    </row>
    <row r="6467" spans="1:8" ht="18" x14ac:dyDescent="0.35">
      <c r="A6467" s="5"/>
      <c r="B6467" s="5"/>
      <c r="C6467" s="54"/>
      <c r="D6467" s="54"/>
      <c r="E6467" s="85">
        <f>SUM(E6465:E6466)</f>
        <v>492.00818200000003</v>
      </c>
    </row>
    <row r="6469" spans="1:8" ht="21" x14ac:dyDescent="0.4">
      <c r="A6469" s="40" t="s">
        <v>1702</v>
      </c>
      <c r="B6469" s="40"/>
      <c r="C6469" s="84"/>
      <c r="G6469" s="12">
        <v>600</v>
      </c>
    </row>
    <row r="6470" spans="1:8" ht="18" x14ac:dyDescent="0.35">
      <c r="A6470" s="5" t="s">
        <v>1701</v>
      </c>
      <c r="B6470" s="5"/>
      <c r="C6470" s="7" t="s">
        <v>28</v>
      </c>
      <c r="D6470" s="7" t="s">
        <v>29</v>
      </c>
      <c r="E6470" s="7" t="s">
        <v>30</v>
      </c>
      <c r="G6470" s="4"/>
    </row>
    <row r="6471" spans="1:8" ht="18" x14ac:dyDescent="0.35">
      <c r="A6471" s="5" t="s">
        <v>1703</v>
      </c>
      <c r="B6471" s="50" t="s">
        <v>32</v>
      </c>
      <c r="C6471" s="7">
        <v>4.3380000000000001</v>
      </c>
      <c r="D6471" s="7">
        <v>10.34</v>
      </c>
      <c r="E6471" s="85">
        <f t="shared" ref="E6471:E6476" si="430">C6471*D6471</f>
        <v>44.85492</v>
      </c>
      <c r="G6471" s="4"/>
    </row>
    <row r="6472" spans="1:8" ht="18" x14ac:dyDescent="0.35">
      <c r="A6472" s="5" t="s">
        <v>1704</v>
      </c>
      <c r="B6472" s="50" t="s">
        <v>33</v>
      </c>
      <c r="C6472" s="7">
        <v>40.119999999999997</v>
      </c>
      <c r="D6472" s="7">
        <v>16.170000000000002</v>
      </c>
      <c r="E6472" s="85">
        <f t="shared" si="430"/>
        <v>648.74040000000002</v>
      </c>
      <c r="G6472" s="4"/>
    </row>
    <row r="6473" spans="1:8" ht="18" x14ac:dyDescent="0.35">
      <c r="A6473" s="5" t="s">
        <v>1557</v>
      </c>
      <c r="B6473" s="50" t="s">
        <v>1677</v>
      </c>
      <c r="C6473" s="7">
        <v>2</v>
      </c>
      <c r="D6473" s="7">
        <v>6.72</v>
      </c>
      <c r="E6473" s="85">
        <f t="shared" si="430"/>
        <v>13.44</v>
      </c>
      <c r="F6473">
        <v>1400</v>
      </c>
      <c r="G6473" s="4"/>
      <c r="H6473" s="12"/>
    </row>
    <row r="6474" spans="1:8" ht="18" x14ac:dyDescent="0.35">
      <c r="A6474" s="5"/>
      <c r="B6474" s="50" t="s">
        <v>34</v>
      </c>
      <c r="C6474" s="7">
        <v>1.4</v>
      </c>
      <c r="D6474" s="7">
        <v>14.61</v>
      </c>
      <c r="E6474" s="85">
        <f t="shared" si="430"/>
        <v>20.453999999999997</v>
      </c>
      <c r="G6474" s="4"/>
    </row>
    <row r="6475" spans="1:8" ht="18" x14ac:dyDescent="0.35">
      <c r="A6475" s="5"/>
      <c r="B6475" s="50" t="s">
        <v>35</v>
      </c>
      <c r="C6475" s="7">
        <v>4</v>
      </c>
      <c r="D6475" s="7">
        <v>2.91</v>
      </c>
      <c r="E6475" s="85">
        <f t="shared" si="430"/>
        <v>11.64</v>
      </c>
      <c r="G6475" s="4"/>
    </row>
    <row r="6476" spans="1:8" ht="18" x14ac:dyDescent="0.35">
      <c r="A6476" s="5"/>
      <c r="B6476" s="50" t="s">
        <v>36</v>
      </c>
      <c r="C6476" s="7">
        <v>4</v>
      </c>
      <c r="D6476" s="7">
        <v>0.61</v>
      </c>
      <c r="E6476" s="85">
        <f t="shared" si="430"/>
        <v>2.44</v>
      </c>
      <c r="G6476" s="4"/>
    </row>
    <row r="6477" spans="1:8" ht="18" x14ac:dyDescent="0.35">
      <c r="A6477" s="5"/>
      <c r="B6477" s="5"/>
      <c r="C6477" s="54"/>
      <c r="D6477" s="54"/>
      <c r="E6477" s="89">
        <f>SUM(E6471:E6476)</f>
        <v>741.56932000000006</v>
      </c>
      <c r="G6477" s="4"/>
    </row>
    <row r="6478" spans="1:8" ht="18" x14ac:dyDescent="0.35">
      <c r="A6478" s="5"/>
      <c r="B6478" s="5"/>
      <c r="C6478" s="54"/>
      <c r="D6478" s="54" t="s">
        <v>1063</v>
      </c>
      <c r="E6478" s="89">
        <f>E6477+E6477*40%</f>
        <v>1038.197048</v>
      </c>
    </row>
    <row r="6479" spans="1:8" ht="18" x14ac:dyDescent="0.35">
      <c r="A6479" s="5"/>
      <c r="B6479" s="50" t="s">
        <v>37</v>
      </c>
      <c r="C6479" s="54">
        <v>1.5</v>
      </c>
      <c r="D6479" s="54">
        <v>200</v>
      </c>
      <c r="E6479" s="85">
        <f>C6479*D6479</f>
        <v>300</v>
      </c>
    </row>
    <row r="6480" spans="1:8" ht="18" x14ac:dyDescent="0.35">
      <c r="A6480" s="5"/>
      <c r="B6480" s="5"/>
      <c r="C6480" s="54"/>
      <c r="D6480" s="54"/>
      <c r="E6480" s="85">
        <f>SUM(E6478:E6479)</f>
        <v>1338.197048</v>
      </c>
    </row>
    <row r="6483" spans="1:8" ht="21" x14ac:dyDescent="0.4">
      <c r="A6483" s="40" t="s">
        <v>1707</v>
      </c>
      <c r="B6483" s="40"/>
      <c r="C6483" s="84"/>
      <c r="G6483" s="12">
        <v>600</v>
      </c>
    </row>
    <row r="6484" spans="1:8" ht="18" x14ac:dyDescent="0.35">
      <c r="A6484" s="5" t="s">
        <v>1701</v>
      </c>
      <c r="B6484" s="5"/>
      <c r="C6484" s="7" t="s">
        <v>28</v>
      </c>
      <c r="D6484" s="7" t="s">
        <v>29</v>
      </c>
      <c r="E6484" s="7" t="s">
        <v>30</v>
      </c>
      <c r="G6484" s="4"/>
    </row>
    <row r="6485" spans="1:8" ht="18" x14ac:dyDescent="0.35">
      <c r="A6485" s="5" t="s">
        <v>1705</v>
      </c>
      <c r="B6485" s="50" t="s">
        <v>32</v>
      </c>
      <c r="C6485" s="7">
        <v>3.4980000000000002</v>
      </c>
      <c r="D6485" s="7">
        <v>10.34</v>
      </c>
      <c r="E6485" s="85">
        <f t="shared" ref="E6485:E6490" si="431">C6485*D6485</f>
        <v>36.169319999999999</v>
      </c>
      <c r="G6485" s="4"/>
    </row>
    <row r="6486" spans="1:8" ht="18" x14ac:dyDescent="0.35">
      <c r="A6486" s="5" t="s">
        <v>1030</v>
      </c>
      <c r="B6486" s="50" t="s">
        <v>33</v>
      </c>
      <c r="C6486" s="7">
        <v>28.32</v>
      </c>
      <c r="D6486" s="7">
        <v>16.170000000000002</v>
      </c>
      <c r="E6486" s="85">
        <f t="shared" si="431"/>
        <v>457.93440000000004</v>
      </c>
      <c r="G6486" s="4"/>
    </row>
    <row r="6487" spans="1:8" ht="18" x14ac:dyDescent="0.35">
      <c r="A6487" s="5" t="s">
        <v>1706</v>
      </c>
      <c r="B6487" s="50" t="s">
        <v>100</v>
      </c>
      <c r="C6487" s="7">
        <v>1.4</v>
      </c>
      <c r="D6487" s="7">
        <v>3.29</v>
      </c>
      <c r="E6487" s="85">
        <f t="shared" si="431"/>
        <v>4.6059999999999999</v>
      </c>
      <c r="F6487">
        <v>1000</v>
      </c>
      <c r="G6487" s="4"/>
      <c r="H6487" s="12"/>
    </row>
    <row r="6488" spans="1:8" ht="18" x14ac:dyDescent="0.35">
      <c r="A6488" s="5"/>
      <c r="B6488" s="50" t="s">
        <v>34</v>
      </c>
      <c r="C6488" s="7">
        <v>1.05</v>
      </c>
      <c r="D6488" s="7">
        <v>14.61</v>
      </c>
      <c r="E6488" s="85">
        <f t="shared" si="431"/>
        <v>15.3405</v>
      </c>
      <c r="G6488" s="4"/>
    </row>
    <row r="6489" spans="1:8" ht="18" x14ac:dyDescent="0.35">
      <c r="A6489" s="5"/>
      <c r="B6489" s="50" t="s">
        <v>35</v>
      </c>
      <c r="C6489" s="7">
        <v>4</v>
      </c>
      <c r="D6489" s="7">
        <v>2.91</v>
      </c>
      <c r="E6489" s="85">
        <f t="shared" si="431"/>
        <v>11.64</v>
      </c>
      <c r="G6489" s="4"/>
    </row>
    <row r="6490" spans="1:8" ht="18" x14ac:dyDescent="0.35">
      <c r="A6490" s="5"/>
      <c r="B6490" s="50" t="s">
        <v>36</v>
      </c>
      <c r="C6490" s="7">
        <v>4</v>
      </c>
      <c r="D6490" s="7">
        <v>0.61</v>
      </c>
      <c r="E6490" s="85">
        <f t="shared" si="431"/>
        <v>2.44</v>
      </c>
      <c r="G6490" s="4"/>
    </row>
    <row r="6491" spans="1:8" ht="18" x14ac:dyDescent="0.35">
      <c r="A6491" s="5"/>
      <c r="B6491" s="5"/>
      <c r="C6491" s="54"/>
      <c r="D6491" s="54"/>
      <c r="E6491" s="89">
        <f>SUM(E6485:E6490)</f>
        <v>528.13022000000012</v>
      </c>
      <c r="G6491" s="4"/>
    </row>
    <row r="6492" spans="1:8" ht="18" x14ac:dyDescent="0.35">
      <c r="A6492" s="5"/>
      <c r="B6492" s="5"/>
      <c r="C6492" s="54"/>
      <c r="D6492" s="54" t="s">
        <v>1063</v>
      </c>
      <c r="E6492" s="89">
        <f>E6491+E6491*40%</f>
        <v>739.38230800000019</v>
      </c>
    </row>
    <row r="6493" spans="1:8" ht="18" x14ac:dyDescent="0.35">
      <c r="A6493" s="5"/>
      <c r="B6493" s="50" t="s">
        <v>37</v>
      </c>
      <c r="C6493" s="54">
        <v>1.5</v>
      </c>
      <c r="D6493" s="54">
        <v>200</v>
      </c>
      <c r="E6493" s="85">
        <f>C6493*D6493</f>
        <v>300</v>
      </c>
    </row>
    <row r="6494" spans="1:8" ht="18" x14ac:dyDescent="0.35">
      <c r="A6494" s="5"/>
      <c r="B6494" s="5"/>
      <c r="C6494" s="54"/>
      <c r="D6494" s="54"/>
      <c r="E6494" s="85">
        <f>SUM(E6492:E6493)</f>
        <v>1039.3823080000002</v>
      </c>
    </row>
    <row r="6498" spans="1:9" ht="21" x14ac:dyDescent="0.4">
      <c r="A6498" s="40" t="s">
        <v>1708</v>
      </c>
      <c r="B6498" s="40"/>
      <c r="C6498" s="84"/>
      <c r="G6498" s="12">
        <v>605</v>
      </c>
    </row>
    <row r="6499" spans="1:9" ht="18" x14ac:dyDescent="0.35">
      <c r="A6499" s="5" t="s">
        <v>1709</v>
      </c>
      <c r="B6499" s="5"/>
      <c r="C6499" s="7" t="s">
        <v>28</v>
      </c>
      <c r="D6499" s="7" t="s">
        <v>29</v>
      </c>
      <c r="E6499" s="7" t="s">
        <v>30</v>
      </c>
      <c r="G6499" s="4"/>
    </row>
    <row r="6500" spans="1:9" ht="18" x14ac:dyDescent="0.35">
      <c r="A6500" s="5" t="s">
        <v>1710</v>
      </c>
      <c r="B6500" s="50" t="s">
        <v>32</v>
      </c>
      <c r="C6500" s="7">
        <v>3.3879999999999999</v>
      </c>
      <c r="D6500" s="7">
        <v>10.34</v>
      </c>
      <c r="E6500" s="85">
        <f t="shared" ref="E6500:E6505" si="432">C6500*D6500</f>
        <v>35.03192</v>
      </c>
      <c r="G6500" s="4"/>
    </row>
    <row r="6501" spans="1:9" ht="18" x14ac:dyDescent="0.35">
      <c r="A6501" s="5" t="s">
        <v>1030</v>
      </c>
      <c r="B6501" s="50" t="s">
        <v>33</v>
      </c>
      <c r="C6501" s="7">
        <v>29.988</v>
      </c>
      <c r="D6501" s="7">
        <v>16.170000000000002</v>
      </c>
      <c r="E6501" s="85">
        <f t="shared" si="432"/>
        <v>484.90596000000005</v>
      </c>
      <c r="G6501" s="4"/>
    </row>
    <row r="6502" spans="1:9" ht="18" x14ac:dyDescent="0.35">
      <c r="A6502" s="5" t="s">
        <v>1706</v>
      </c>
      <c r="B6502" s="50" t="s">
        <v>1711</v>
      </c>
      <c r="C6502" s="7">
        <v>2</v>
      </c>
      <c r="D6502" s="7">
        <v>4.4800000000000004</v>
      </c>
      <c r="E6502" s="85">
        <f t="shared" si="432"/>
        <v>8.9600000000000009</v>
      </c>
      <c r="F6502">
        <v>942</v>
      </c>
      <c r="G6502" s="4"/>
    </row>
    <row r="6503" spans="1:9" ht="18" x14ac:dyDescent="0.35">
      <c r="A6503" s="5"/>
      <c r="B6503" s="50" t="s">
        <v>34</v>
      </c>
      <c r="C6503" s="7">
        <v>1.036</v>
      </c>
      <c r="D6503" s="7">
        <v>14.61</v>
      </c>
      <c r="E6503" s="85">
        <f t="shared" si="432"/>
        <v>15.135960000000001</v>
      </c>
      <c r="G6503" s="4"/>
    </row>
    <row r="6504" spans="1:9" ht="18" x14ac:dyDescent="0.35">
      <c r="A6504" s="5"/>
      <c r="B6504" s="50" t="s">
        <v>35</v>
      </c>
      <c r="C6504" s="7">
        <v>4</v>
      </c>
      <c r="D6504" s="7">
        <v>2.91</v>
      </c>
      <c r="E6504" s="85">
        <f t="shared" si="432"/>
        <v>11.64</v>
      </c>
      <c r="G6504" s="4"/>
    </row>
    <row r="6505" spans="1:9" ht="18" x14ac:dyDescent="0.35">
      <c r="A6505" s="5"/>
      <c r="B6505" s="50" t="s">
        <v>36</v>
      </c>
      <c r="C6505" s="7">
        <v>4</v>
      </c>
      <c r="D6505" s="7">
        <v>0.61</v>
      </c>
      <c r="E6505" s="85">
        <f t="shared" si="432"/>
        <v>2.44</v>
      </c>
      <c r="G6505" s="4"/>
    </row>
    <row r="6506" spans="1:9" ht="18" x14ac:dyDescent="0.35">
      <c r="A6506" s="5"/>
      <c r="B6506" s="5"/>
      <c r="C6506" s="54"/>
      <c r="D6506" s="54"/>
      <c r="E6506" s="89">
        <f>SUM(E6500:E6505)</f>
        <v>558.1138400000001</v>
      </c>
      <c r="G6506" s="4"/>
    </row>
    <row r="6507" spans="1:9" ht="18" x14ac:dyDescent="0.35">
      <c r="A6507" s="5"/>
      <c r="B6507" s="5"/>
      <c r="C6507" s="54"/>
      <c r="D6507" s="54" t="s">
        <v>1116</v>
      </c>
      <c r="E6507" s="89">
        <f>E6506+E6506*30%</f>
        <v>725.54799200000014</v>
      </c>
    </row>
    <row r="6508" spans="1:9" ht="18" x14ac:dyDescent="0.35">
      <c r="A6508" s="5"/>
      <c r="B6508" s="50" t="s">
        <v>37</v>
      </c>
      <c r="C6508" s="54">
        <v>1.5</v>
      </c>
      <c r="D6508" s="54">
        <v>200</v>
      </c>
      <c r="E6508" s="85">
        <v>200</v>
      </c>
    </row>
    <row r="6509" spans="1:9" ht="18" x14ac:dyDescent="0.35">
      <c r="A6509" s="5"/>
      <c r="B6509" s="5"/>
      <c r="C6509" s="54"/>
      <c r="D6509" s="54"/>
      <c r="E6509" s="85">
        <f>SUM(E6507:E6508)</f>
        <v>925.54799200000014</v>
      </c>
    </row>
    <row r="6512" spans="1:9" ht="21" x14ac:dyDescent="0.4">
      <c r="A6512" s="40" t="s">
        <v>1718</v>
      </c>
      <c r="B6512" s="40"/>
      <c r="C6512" s="84"/>
      <c r="G6512" s="136"/>
      <c r="H6512" s="59"/>
      <c r="I6512" s="59"/>
    </row>
    <row r="6513" spans="1:9" ht="18" x14ac:dyDescent="0.35">
      <c r="A6513" s="5" t="s">
        <v>1719</v>
      </c>
      <c r="B6513" s="5"/>
      <c r="C6513" s="7" t="s">
        <v>28</v>
      </c>
      <c r="D6513" s="7" t="s">
        <v>29</v>
      </c>
      <c r="E6513" s="7" t="s">
        <v>30</v>
      </c>
      <c r="G6513" s="12">
        <v>580</v>
      </c>
      <c r="H6513" s="59"/>
      <c r="I6513" s="59"/>
    </row>
    <row r="6514" spans="1:9" ht="18" x14ac:dyDescent="0.35">
      <c r="A6514" s="5" t="s">
        <v>1720</v>
      </c>
      <c r="B6514" s="50" t="s">
        <v>32</v>
      </c>
      <c r="C6514" s="7">
        <v>2.2799999999999998</v>
      </c>
      <c r="D6514" s="7">
        <v>10.34</v>
      </c>
      <c r="E6514" s="85">
        <f t="shared" ref="E6514:E6519" si="433">C6514*D6514</f>
        <v>23.575199999999999</v>
      </c>
      <c r="G6514" s="4"/>
      <c r="H6514" s="59"/>
      <c r="I6514" s="59"/>
    </row>
    <row r="6515" spans="1:9" ht="18" x14ac:dyDescent="0.35">
      <c r="A6515" s="5" t="s">
        <v>213</v>
      </c>
      <c r="B6515" s="50" t="s">
        <v>33</v>
      </c>
      <c r="C6515" s="7">
        <v>12.568</v>
      </c>
      <c r="D6515" s="7">
        <v>16.170000000000002</v>
      </c>
      <c r="E6515" s="85">
        <f t="shared" si="433"/>
        <v>203.22456000000003</v>
      </c>
      <c r="G6515" s="4"/>
      <c r="H6515" s="59"/>
      <c r="I6515" s="59"/>
    </row>
    <row r="6516" spans="1:9" ht="18" x14ac:dyDescent="0.35">
      <c r="A6516" s="5" t="s">
        <v>1721</v>
      </c>
      <c r="B6516" s="50" t="s">
        <v>1722</v>
      </c>
      <c r="C6516" s="7">
        <v>2</v>
      </c>
      <c r="D6516" s="7">
        <v>2.2400000000000002</v>
      </c>
      <c r="E6516" s="85">
        <f t="shared" si="433"/>
        <v>4.4800000000000004</v>
      </c>
      <c r="G6516" s="4"/>
      <c r="H6516" s="59"/>
      <c r="I6516" s="59"/>
    </row>
    <row r="6517" spans="1:9" ht="18" x14ac:dyDescent="0.35">
      <c r="A6517" s="5"/>
      <c r="B6517" s="50" t="s">
        <v>34</v>
      </c>
      <c r="C6517" s="7">
        <v>0.44</v>
      </c>
      <c r="D6517" s="7">
        <v>14.61</v>
      </c>
      <c r="E6517" s="85">
        <f t="shared" si="433"/>
        <v>6.4283999999999999</v>
      </c>
      <c r="F6517">
        <v>440</v>
      </c>
      <c r="G6517" s="4"/>
      <c r="H6517" s="59"/>
      <c r="I6517" s="59"/>
    </row>
    <row r="6518" spans="1:9" ht="18" x14ac:dyDescent="0.35">
      <c r="A6518" s="5"/>
      <c r="B6518" s="50" t="s">
        <v>35</v>
      </c>
      <c r="C6518" s="7">
        <v>4</v>
      </c>
      <c r="D6518" s="7">
        <v>2.91</v>
      </c>
      <c r="E6518" s="85">
        <f t="shared" si="433"/>
        <v>11.64</v>
      </c>
      <c r="G6518" s="4"/>
      <c r="H6518" s="59"/>
      <c r="I6518" s="59"/>
    </row>
    <row r="6519" spans="1:9" ht="18" x14ac:dyDescent="0.35">
      <c r="A6519" s="5"/>
      <c r="B6519" s="50" t="s">
        <v>36</v>
      </c>
      <c r="C6519" s="7">
        <v>4</v>
      </c>
      <c r="D6519" s="7">
        <v>0.61</v>
      </c>
      <c r="E6519" s="85">
        <f t="shared" si="433"/>
        <v>2.44</v>
      </c>
      <c r="G6519" s="4"/>
      <c r="H6519" s="59"/>
      <c r="I6519" s="59"/>
    </row>
    <row r="6520" spans="1:9" ht="18" x14ac:dyDescent="0.35">
      <c r="A6520" s="5"/>
      <c r="B6520" s="5"/>
      <c r="C6520" s="54"/>
      <c r="D6520" s="54"/>
      <c r="E6520" s="89">
        <f>SUM(E6514:E6519)</f>
        <v>251.78816</v>
      </c>
      <c r="G6520" s="4"/>
      <c r="H6520" s="59"/>
      <c r="I6520" s="59"/>
    </row>
    <row r="6521" spans="1:9" ht="18" x14ac:dyDescent="0.35">
      <c r="A6521" s="5"/>
      <c r="B6521" s="5"/>
      <c r="C6521" s="54"/>
      <c r="D6521" s="54" t="s">
        <v>1063</v>
      </c>
      <c r="E6521" s="89">
        <f>E6520+E6520*40%</f>
        <v>352.503424</v>
      </c>
      <c r="G6521" s="4"/>
      <c r="H6521" s="59"/>
      <c r="I6521" s="59"/>
    </row>
    <row r="6522" spans="1:9" ht="18" x14ac:dyDescent="0.35">
      <c r="A6522" s="5"/>
      <c r="B6522" s="50" t="s">
        <v>37</v>
      </c>
      <c r="C6522" s="54">
        <v>0.6</v>
      </c>
      <c r="D6522" s="54">
        <v>200</v>
      </c>
      <c r="E6522" s="85">
        <f>C6522*D6522</f>
        <v>120</v>
      </c>
      <c r="G6522" s="59"/>
      <c r="H6522" s="59"/>
      <c r="I6522" s="59"/>
    </row>
    <row r="6523" spans="1:9" ht="18" x14ac:dyDescent="0.35">
      <c r="A6523" s="5"/>
      <c r="B6523" s="5"/>
      <c r="C6523" s="54"/>
      <c r="D6523" s="54"/>
      <c r="E6523" s="85">
        <f>SUM(E6521:E6522)</f>
        <v>472.503424</v>
      </c>
      <c r="G6523" s="59"/>
      <c r="H6523" s="59"/>
      <c r="I6523" s="59"/>
    </row>
    <row r="6524" spans="1:9" x14ac:dyDescent="0.3">
      <c r="G6524" s="59"/>
      <c r="H6524" s="59"/>
      <c r="I6524" s="59"/>
    </row>
    <row r="6525" spans="1:9" x14ac:dyDescent="0.3">
      <c r="G6525" s="59"/>
      <c r="H6525" s="59"/>
      <c r="I6525" s="59"/>
    </row>
    <row r="6526" spans="1:9" ht="21" x14ac:dyDescent="0.4">
      <c r="A6526" s="40" t="s">
        <v>1133</v>
      </c>
      <c r="B6526" s="40"/>
      <c r="C6526" s="84"/>
      <c r="G6526" s="136"/>
      <c r="H6526" s="59"/>
      <c r="I6526" s="59"/>
    </row>
    <row r="6527" spans="1:9" ht="18" x14ac:dyDescent="0.35">
      <c r="A6527" s="5" t="s">
        <v>1719</v>
      </c>
      <c r="B6527" s="5"/>
      <c r="C6527" s="7" t="s">
        <v>28</v>
      </c>
      <c r="D6527" s="7" t="s">
        <v>29</v>
      </c>
      <c r="E6527" s="7" t="s">
        <v>30</v>
      </c>
      <c r="G6527" s="59"/>
      <c r="H6527" s="59"/>
      <c r="I6527" s="59"/>
    </row>
    <row r="6528" spans="1:9" ht="18" x14ac:dyDescent="0.35">
      <c r="A6528" s="5" t="s">
        <v>104</v>
      </c>
      <c r="B6528" s="50" t="s">
        <v>32</v>
      </c>
      <c r="C6528" s="7">
        <v>1.8180000000000001</v>
      </c>
      <c r="D6528" s="7">
        <v>10.34</v>
      </c>
      <c r="E6528" s="85">
        <f t="shared" ref="E6528:E6533" si="434">C6528*D6528</f>
        <v>18.798120000000001</v>
      </c>
      <c r="G6528" s="59"/>
      <c r="H6528" s="59"/>
      <c r="I6528" s="59"/>
    </row>
    <row r="6529" spans="1:9" ht="18" x14ac:dyDescent="0.35">
      <c r="A6529" s="5" t="s">
        <v>217</v>
      </c>
      <c r="B6529" s="50" t="s">
        <v>33</v>
      </c>
      <c r="C6529" s="7">
        <v>7.2030000000000003</v>
      </c>
      <c r="D6529" s="7">
        <v>16.170000000000002</v>
      </c>
      <c r="E6529" s="85">
        <f t="shared" si="434"/>
        <v>116.47251000000001</v>
      </c>
      <c r="G6529" s="59"/>
      <c r="H6529" s="59"/>
      <c r="I6529" s="59"/>
    </row>
    <row r="6530" spans="1:9" ht="18" x14ac:dyDescent="0.35">
      <c r="A6530" s="5" t="s">
        <v>673</v>
      </c>
      <c r="B6530" s="50" t="s">
        <v>86</v>
      </c>
      <c r="C6530" s="7">
        <v>2</v>
      </c>
      <c r="D6530" s="7">
        <v>1.7</v>
      </c>
      <c r="E6530" s="85">
        <f t="shared" si="434"/>
        <v>3.4</v>
      </c>
      <c r="G6530" s="59"/>
      <c r="H6530" s="59"/>
      <c r="I6530" s="59"/>
    </row>
    <row r="6531" spans="1:9" ht="18" x14ac:dyDescent="0.35">
      <c r="A6531" s="5"/>
      <c r="B6531" s="50" t="s">
        <v>34</v>
      </c>
      <c r="C6531" s="7"/>
      <c r="D6531" s="7">
        <v>14.61</v>
      </c>
      <c r="E6531" s="85">
        <f t="shared" si="434"/>
        <v>0</v>
      </c>
      <c r="G6531" s="59"/>
      <c r="H6531" s="59"/>
      <c r="I6531" s="59"/>
    </row>
    <row r="6532" spans="1:9" ht="18" x14ac:dyDescent="0.35">
      <c r="A6532" s="5"/>
      <c r="B6532" s="50" t="s">
        <v>35</v>
      </c>
      <c r="C6532" s="7">
        <v>4</v>
      </c>
      <c r="D6532" s="7">
        <v>2.91</v>
      </c>
      <c r="E6532" s="85">
        <f t="shared" si="434"/>
        <v>11.64</v>
      </c>
      <c r="G6532" s="59"/>
      <c r="H6532" s="59"/>
      <c r="I6532" s="59"/>
    </row>
    <row r="6533" spans="1:9" ht="18" x14ac:dyDescent="0.35">
      <c r="A6533" s="5"/>
      <c r="B6533" s="50" t="s">
        <v>36</v>
      </c>
      <c r="C6533" s="7">
        <v>4</v>
      </c>
      <c r="D6533" s="7">
        <v>0.61</v>
      </c>
      <c r="E6533" s="85">
        <f t="shared" si="434"/>
        <v>2.44</v>
      </c>
      <c r="G6533" s="59"/>
      <c r="H6533" s="59"/>
      <c r="I6533" s="59"/>
    </row>
    <row r="6534" spans="1:9" ht="18" x14ac:dyDescent="0.35">
      <c r="A6534" s="5"/>
      <c r="B6534" s="5"/>
      <c r="C6534" s="54"/>
      <c r="D6534" s="54"/>
      <c r="E6534" s="89">
        <f>SUM(E6528:E6533)</f>
        <v>152.75063</v>
      </c>
      <c r="G6534" s="59"/>
      <c r="H6534" s="59"/>
      <c r="I6534" s="59"/>
    </row>
    <row r="6535" spans="1:9" ht="18" x14ac:dyDescent="0.35">
      <c r="A6535" s="5"/>
      <c r="B6535" s="5"/>
      <c r="C6535" s="54"/>
      <c r="D6535" s="54" t="s">
        <v>1063</v>
      </c>
      <c r="E6535" s="89">
        <f>E6534+E6534*40%</f>
        <v>213.85088200000001</v>
      </c>
      <c r="G6535" s="59"/>
      <c r="H6535" s="59"/>
      <c r="I6535" s="59"/>
    </row>
    <row r="6536" spans="1:9" ht="18" x14ac:dyDescent="0.35">
      <c r="A6536" s="5"/>
      <c r="B6536" s="50" t="s">
        <v>37</v>
      </c>
      <c r="C6536" s="54">
        <v>0.6</v>
      </c>
      <c r="D6536" s="54">
        <v>200</v>
      </c>
      <c r="E6536" s="85">
        <f>C6536*D6536</f>
        <v>120</v>
      </c>
      <c r="G6536" s="59"/>
      <c r="H6536" s="59"/>
      <c r="I6536" s="59"/>
    </row>
    <row r="6537" spans="1:9" ht="18" x14ac:dyDescent="0.35">
      <c r="A6537" s="5"/>
      <c r="B6537" s="5"/>
      <c r="C6537" s="54"/>
      <c r="D6537" s="54"/>
      <c r="E6537" s="85">
        <f>SUM(E6535:E6536)</f>
        <v>333.85088200000001</v>
      </c>
      <c r="G6537" s="59"/>
      <c r="H6537" s="59"/>
      <c r="I6537" s="59"/>
    </row>
    <row r="6538" spans="1:9" x14ac:dyDescent="0.3">
      <c r="G6538" s="59"/>
      <c r="H6538" s="59"/>
      <c r="I6538" s="59"/>
    </row>
    <row r="6539" spans="1:9" ht="21" x14ac:dyDescent="0.4">
      <c r="A6539" s="40" t="s">
        <v>1723</v>
      </c>
      <c r="B6539" s="40"/>
      <c r="C6539" s="84"/>
      <c r="G6539" s="136"/>
      <c r="H6539" s="59"/>
      <c r="I6539" s="59"/>
    </row>
    <row r="6540" spans="1:9" ht="18" x14ac:dyDescent="0.35">
      <c r="A6540" s="5" t="s">
        <v>1719</v>
      </c>
      <c r="B6540" s="5"/>
      <c r="C6540" s="7" t="s">
        <v>28</v>
      </c>
      <c r="D6540" s="7" t="s">
        <v>29</v>
      </c>
      <c r="E6540" s="7" t="s">
        <v>30</v>
      </c>
      <c r="G6540" s="59"/>
      <c r="H6540" s="59"/>
      <c r="I6540" s="59"/>
    </row>
    <row r="6541" spans="1:9" ht="18" x14ac:dyDescent="0.35">
      <c r="A6541" s="5" t="s">
        <v>76</v>
      </c>
      <c r="B6541" s="50" t="s">
        <v>32</v>
      </c>
      <c r="C6541" s="7">
        <v>1.6080000000000001</v>
      </c>
      <c r="D6541" s="7">
        <v>10.34</v>
      </c>
      <c r="E6541" s="85">
        <f t="shared" ref="E6541:E6546" si="435">C6541*D6541</f>
        <v>16.626720000000002</v>
      </c>
      <c r="G6541" s="59"/>
      <c r="H6541" s="59"/>
      <c r="I6541" s="59"/>
    </row>
    <row r="6542" spans="1:9" ht="18" x14ac:dyDescent="0.35">
      <c r="A6542" s="5" t="s">
        <v>178</v>
      </c>
      <c r="B6542" s="50" t="s">
        <v>33</v>
      </c>
      <c r="C6542" s="7">
        <v>4.63</v>
      </c>
      <c r="D6542" s="7">
        <v>16.170000000000002</v>
      </c>
      <c r="E6542" s="85">
        <f t="shared" si="435"/>
        <v>74.867100000000008</v>
      </c>
      <c r="G6542" s="59"/>
      <c r="H6542" s="59"/>
      <c r="I6542" s="59"/>
    </row>
    <row r="6543" spans="1:9" ht="18" x14ac:dyDescent="0.35">
      <c r="A6543" s="5" t="s">
        <v>777</v>
      </c>
      <c r="B6543" s="50" t="s">
        <v>86</v>
      </c>
      <c r="C6543" s="7">
        <v>2</v>
      </c>
      <c r="D6543" s="7">
        <v>1.7</v>
      </c>
      <c r="E6543" s="85">
        <f t="shared" si="435"/>
        <v>3.4</v>
      </c>
      <c r="G6543" s="59"/>
      <c r="H6543" s="59"/>
      <c r="I6543" s="59"/>
    </row>
    <row r="6544" spans="1:9" ht="18" x14ac:dyDescent="0.35">
      <c r="A6544" s="5"/>
      <c r="B6544" s="50" t="s">
        <v>34</v>
      </c>
      <c r="C6544" s="7"/>
      <c r="D6544" s="7">
        <v>14.61</v>
      </c>
      <c r="E6544" s="85">
        <f t="shared" si="435"/>
        <v>0</v>
      </c>
      <c r="G6544" s="59"/>
      <c r="H6544" s="59"/>
      <c r="I6544" s="59"/>
    </row>
    <row r="6545" spans="1:9" ht="18" x14ac:dyDescent="0.35">
      <c r="A6545" s="5"/>
      <c r="B6545" s="50" t="s">
        <v>35</v>
      </c>
      <c r="C6545" s="7">
        <v>4</v>
      </c>
      <c r="D6545" s="7">
        <v>2.91</v>
      </c>
      <c r="E6545" s="85">
        <f t="shared" si="435"/>
        <v>11.64</v>
      </c>
      <c r="G6545" s="59"/>
      <c r="H6545" s="59"/>
      <c r="I6545" s="59"/>
    </row>
    <row r="6546" spans="1:9" ht="18" x14ac:dyDescent="0.35">
      <c r="A6546" s="5"/>
      <c r="B6546" s="50" t="s">
        <v>36</v>
      </c>
      <c r="C6546" s="7">
        <v>4</v>
      </c>
      <c r="D6546" s="7">
        <v>0.61</v>
      </c>
      <c r="E6546" s="85">
        <f t="shared" si="435"/>
        <v>2.44</v>
      </c>
      <c r="G6546" s="59"/>
      <c r="H6546" s="59"/>
      <c r="I6546" s="59"/>
    </row>
    <row r="6547" spans="1:9" ht="18" x14ac:dyDescent="0.35">
      <c r="A6547" s="5"/>
      <c r="B6547" s="5"/>
      <c r="C6547" s="54"/>
      <c r="D6547" s="54"/>
      <c r="E6547" s="89">
        <f>SUM(E6541:E6546)</f>
        <v>108.97382000000002</v>
      </c>
      <c r="G6547" s="59"/>
      <c r="H6547" s="59"/>
      <c r="I6547" s="59"/>
    </row>
    <row r="6548" spans="1:9" ht="18" x14ac:dyDescent="0.35">
      <c r="A6548" s="5"/>
      <c r="B6548" s="5"/>
      <c r="C6548" s="54"/>
      <c r="D6548" s="54" t="s">
        <v>1063</v>
      </c>
      <c r="E6548" s="89">
        <f>E6547+E6547*40%</f>
        <v>152.56334800000002</v>
      </c>
      <c r="G6548" s="59"/>
      <c r="H6548" s="59"/>
      <c r="I6548" s="59"/>
    </row>
    <row r="6549" spans="1:9" ht="18" x14ac:dyDescent="0.35">
      <c r="A6549" s="5"/>
      <c r="B6549" s="50" t="s">
        <v>37</v>
      </c>
      <c r="C6549" s="54">
        <v>0.5</v>
      </c>
      <c r="D6549" s="54">
        <v>200</v>
      </c>
      <c r="E6549" s="85">
        <f>C6549*D6549</f>
        <v>100</v>
      </c>
      <c r="G6549" s="59"/>
      <c r="H6549" s="59"/>
      <c r="I6549" s="59"/>
    </row>
    <row r="6550" spans="1:9" ht="18" x14ac:dyDescent="0.35">
      <c r="A6550" s="5"/>
      <c r="B6550" s="5"/>
      <c r="C6550" s="54"/>
      <c r="D6550" s="54"/>
      <c r="E6550" s="85">
        <f>SUM(E6548:E6549)</f>
        <v>252.56334800000002</v>
      </c>
      <c r="G6550" s="59"/>
      <c r="H6550" s="59"/>
      <c r="I6550" s="59"/>
    </row>
    <row r="6551" spans="1:9" x14ac:dyDescent="0.3">
      <c r="G6551" s="59"/>
      <c r="H6551" s="59"/>
      <c r="I6551" s="59"/>
    </row>
    <row r="6552" spans="1:9" ht="21" x14ac:dyDescent="0.4">
      <c r="A6552" s="40" t="s">
        <v>1724</v>
      </c>
      <c r="B6552" s="40"/>
      <c r="C6552" s="84"/>
      <c r="G6552" s="136"/>
    </row>
    <row r="6553" spans="1:9" ht="18" x14ac:dyDescent="0.35">
      <c r="A6553" s="5" t="s">
        <v>1725</v>
      </c>
      <c r="B6553" s="5"/>
      <c r="C6553" s="7" t="s">
        <v>28</v>
      </c>
      <c r="D6553" s="7" t="s">
        <v>29</v>
      </c>
      <c r="E6553" s="7" t="s">
        <v>30</v>
      </c>
      <c r="G6553" s="12">
        <v>335</v>
      </c>
    </row>
    <row r="6554" spans="1:9" ht="18" x14ac:dyDescent="0.35">
      <c r="A6554" s="5" t="s">
        <v>1726</v>
      </c>
      <c r="B6554" s="50" t="s">
        <v>32</v>
      </c>
      <c r="C6554" s="7">
        <v>1.7450000000000001</v>
      </c>
      <c r="D6554" s="7">
        <v>10.34</v>
      </c>
      <c r="E6554" s="85">
        <f t="shared" ref="E6554:E6559" si="436">C6554*D6554</f>
        <v>18.043300000000002</v>
      </c>
      <c r="G6554" s="4"/>
    </row>
    <row r="6555" spans="1:9" ht="18" x14ac:dyDescent="0.35">
      <c r="A6555" s="5" t="s">
        <v>780</v>
      </c>
      <c r="B6555" s="50" t="s">
        <v>33</v>
      </c>
      <c r="C6555" s="7">
        <v>6.8250000000000002</v>
      </c>
      <c r="D6555" s="7">
        <v>16.170000000000002</v>
      </c>
      <c r="E6555" s="85">
        <f t="shared" si="436"/>
        <v>110.36025000000001</v>
      </c>
      <c r="G6555" s="4"/>
    </row>
    <row r="6556" spans="1:9" ht="18" x14ac:dyDescent="0.35">
      <c r="A6556" s="5" t="s">
        <v>1624</v>
      </c>
      <c r="B6556" s="50" t="s">
        <v>1727</v>
      </c>
      <c r="C6556" s="7">
        <v>2</v>
      </c>
      <c r="D6556" s="7">
        <v>2.2400000000000002</v>
      </c>
      <c r="E6556" s="85">
        <f t="shared" si="436"/>
        <v>4.4800000000000004</v>
      </c>
      <c r="G6556" s="4"/>
    </row>
    <row r="6557" spans="1:9" ht="18" x14ac:dyDescent="0.35">
      <c r="A6557" s="5"/>
      <c r="B6557" s="50" t="s">
        <v>34</v>
      </c>
      <c r="C6557" s="7"/>
      <c r="D6557" s="7">
        <v>14.61</v>
      </c>
      <c r="E6557" s="85">
        <f t="shared" si="436"/>
        <v>0</v>
      </c>
      <c r="F6557">
        <v>430</v>
      </c>
      <c r="G6557" s="4"/>
    </row>
    <row r="6558" spans="1:9" ht="18" x14ac:dyDescent="0.35">
      <c r="A6558" s="5"/>
      <c r="B6558" s="50" t="s">
        <v>35</v>
      </c>
      <c r="C6558" s="7">
        <v>4</v>
      </c>
      <c r="D6558" s="7">
        <v>2.91</v>
      </c>
      <c r="E6558" s="85">
        <f t="shared" si="436"/>
        <v>11.64</v>
      </c>
      <c r="G6558" s="4"/>
    </row>
    <row r="6559" spans="1:9" ht="18" x14ac:dyDescent="0.35">
      <c r="A6559" s="5"/>
      <c r="B6559" s="50" t="s">
        <v>36</v>
      </c>
      <c r="C6559" s="7">
        <v>4</v>
      </c>
      <c r="D6559" s="7">
        <v>0.61</v>
      </c>
      <c r="E6559" s="85">
        <f t="shared" si="436"/>
        <v>2.44</v>
      </c>
      <c r="G6559" s="4"/>
    </row>
    <row r="6560" spans="1:9" ht="18" x14ac:dyDescent="0.35">
      <c r="A6560" s="5"/>
      <c r="B6560" s="5"/>
      <c r="C6560" s="54"/>
      <c r="D6560" s="54"/>
      <c r="E6560" s="89">
        <f>SUM(E6554:E6559)</f>
        <v>146.96355</v>
      </c>
      <c r="G6560" s="4"/>
    </row>
    <row r="6561" spans="1:7" ht="18" x14ac:dyDescent="0.35">
      <c r="A6561" s="5"/>
      <c r="B6561" s="5"/>
      <c r="C6561" s="54"/>
      <c r="D6561" s="54" t="s">
        <v>1063</v>
      </c>
      <c r="E6561" s="89">
        <f>E6560+E6560*40%</f>
        <v>205.74896999999999</v>
      </c>
      <c r="G6561" s="4"/>
    </row>
    <row r="6562" spans="1:7" ht="18" x14ac:dyDescent="0.35">
      <c r="A6562" s="5"/>
      <c r="B6562" s="50" t="s">
        <v>37</v>
      </c>
      <c r="C6562" s="54">
        <v>0.5</v>
      </c>
      <c r="D6562" s="54">
        <v>200</v>
      </c>
      <c r="E6562" s="85">
        <f>C6562*D6562</f>
        <v>100</v>
      </c>
      <c r="G6562" s="59"/>
    </row>
    <row r="6563" spans="1:7" ht="18" x14ac:dyDescent="0.35">
      <c r="A6563" s="5"/>
      <c r="B6563" s="5"/>
      <c r="C6563" s="54"/>
      <c r="D6563" s="54"/>
      <c r="E6563" s="85">
        <f>SUM(E6561:E6562)</f>
        <v>305.74896999999999</v>
      </c>
      <c r="G6563" s="59"/>
    </row>
    <row r="6565" spans="1:7" ht="21" x14ac:dyDescent="0.4">
      <c r="A6565" s="40" t="s">
        <v>1728</v>
      </c>
      <c r="B6565" s="40"/>
      <c r="C6565" s="84"/>
    </row>
    <row r="6566" spans="1:7" ht="18" x14ac:dyDescent="0.35">
      <c r="A6566" t="s">
        <v>1729</v>
      </c>
      <c r="B6566" s="5"/>
      <c r="C6566" s="7" t="s">
        <v>28</v>
      </c>
      <c r="D6566" s="7" t="s">
        <v>29</v>
      </c>
      <c r="E6566" s="7" t="s">
        <v>30</v>
      </c>
    </row>
    <row r="6567" spans="1:7" ht="18" x14ac:dyDescent="0.35">
      <c r="A6567" s="5" t="s">
        <v>1730</v>
      </c>
      <c r="B6567" s="50" t="s">
        <v>32</v>
      </c>
      <c r="C6567" s="7">
        <v>4.758</v>
      </c>
      <c r="D6567" s="7">
        <v>14.93</v>
      </c>
      <c r="E6567" s="85">
        <f t="shared" ref="E6567:E6574" si="437">C6567*D6567</f>
        <v>71.036940000000001</v>
      </c>
    </row>
    <row r="6568" spans="1:7" ht="18" x14ac:dyDescent="0.35">
      <c r="A6568" s="5" t="s">
        <v>1465</v>
      </c>
      <c r="B6568" s="50" t="s">
        <v>33</v>
      </c>
      <c r="C6568" s="7">
        <v>61.802999999999997</v>
      </c>
      <c r="D6568" s="7">
        <v>16.170000000000002</v>
      </c>
      <c r="E6568" s="85">
        <f t="shared" si="437"/>
        <v>999.35451</v>
      </c>
    </row>
    <row r="6569" spans="1:7" ht="18" x14ac:dyDescent="0.35">
      <c r="A6569" s="5" t="s">
        <v>1465</v>
      </c>
      <c r="B6569" s="50" t="s">
        <v>33</v>
      </c>
      <c r="C6569" s="7">
        <v>61.802999999999997</v>
      </c>
      <c r="D6569" s="7">
        <v>16.170000000000002</v>
      </c>
      <c r="E6569" s="85">
        <f t="shared" si="437"/>
        <v>999.35451</v>
      </c>
    </row>
    <row r="6570" spans="1:7" ht="18" x14ac:dyDescent="0.35">
      <c r="A6570" s="5" t="s">
        <v>1524</v>
      </c>
      <c r="B6570" s="50" t="s">
        <v>1466</v>
      </c>
      <c r="C6570" s="7">
        <v>2</v>
      </c>
      <c r="D6570" s="7">
        <v>5.63</v>
      </c>
      <c r="E6570" s="85">
        <f t="shared" si="437"/>
        <v>11.26</v>
      </c>
    </row>
    <row r="6571" spans="1:7" ht="18" x14ac:dyDescent="0.35">
      <c r="A6571" s="5"/>
      <c r="B6571" s="50" t="s">
        <v>1466</v>
      </c>
      <c r="C6571" s="7">
        <v>2</v>
      </c>
      <c r="D6571" s="7">
        <v>5.63</v>
      </c>
      <c r="E6571" s="85">
        <f t="shared" si="437"/>
        <v>11.26</v>
      </c>
    </row>
    <row r="6572" spans="1:7" ht="18" x14ac:dyDescent="0.35">
      <c r="A6572" s="5"/>
      <c r="B6572" s="50" t="s">
        <v>34</v>
      </c>
      <c r="C6572" s="7">
        <v>2.31</v>
      </c>
      <c r="D6572" s="7">
        <v>14.61</v>
      </c>
      <c r="E6572" s="85">
        <f t="shared" si="437"/>
        <v>33.749099999999999</v>
      </c>
    </row>
    <row r="6573" spans="1:7" ht="18" x14ac:dyDescent="0.35">
      <c r="A6573" s="5"/>
      <c r="B6573" s="50" t="s">
        <v>35</v>
      </c>
      <c r="C6573" s="7">
        <v>4</v>
      </c>
      <c r="D6573" s="7">
        <v>2.91</v>
      </c>
      <c r="E6573" s="85">
        <f t="shared" si="437"/>
        <v>11.64</v>
      </c>
    </row>
    <row r="6574" spans="1:7" ht="18" x14ac:dyDescent="0.35">
      <c r="A6574" s="5"/>
      <c r="B6574" s="50" t="s">
        <v>36</v>
      </c>
      <c r="C6574" s="7">
        <v>4</v>
      </c>
      <c r="D6574" s="7">
        <v>0.61</v>
      </c>
      <c r="E6574" s="85">
        <f t="shared" si="437"/>
        <v>2.44</v>
      </c>
    </row>
    <row r="6575" spans="1:7" ht="18" x14ac:dyDescent="0.35">
      <c r="A6575" s="5"/>
      <c r="B6575" s="5"/>
      <c r="C6575" s="54"/>
      <c r="D6575" s="54"/>
      <c r="E6575" s="89">
        <f>SUM(E6567:E6574)</f>
        <v>2140.0950600000006</v>
      </c>
    </row>
    <row r="6576" spans="1:7" ht="18" x14ac:dyDescent="0.35">
      <c r="A6576" s="5"/>
      <c r="B6576" s="5"/>
      <c r="C6576" s="54"/>
      <c r="D6576" s="54" t="s">
        <v>1063</v>
      </c>
      <c r="E6576" s="89">
        <f>E6575+E6575*40%</f>
        <v>2996.133084000001</v>
      </c>
    </row>
    <row r="6577" spans="1:7" ht="18" x14ac:dyDescent="0.35">
      <c r="A6577" s="5"/>
      <c r="B6577" s="50" t="s">
        <v>37</v>
      </c>
      <c r="C6577" s="54">
        <v>2</v>
      </c>
      <c r="D6577" s="54">
        <v>200</v>
      </c>
      <c r="E6577" s="85">
        <f>C6577*D6577</f>
        <v>400</v>
      </c>
    </row>
    <row r="6578" spans="1:7" ht="18" x14ac:dyDescent="0.35">
      <c r="E6578" s="85">
        <f>SUM(E6576:E6577)</f>
        <v>3396.133084000001</v>
      </c>
    </row>
    <row r="6580" spans="1:7" ht="21" x14ac:dyDescent="0.4">
      <c r="A6580" s="40" t="s">
        <v>1731</v>
      </c>
      <c r="B6580" s="40"/>
      <c r="C6580" s="84"/>
      <c r="G6580" s="136"/>
    </row>
    <row r="6581" spans="1:7" ht="18" x14ac:dyDescent="0.35">
      <c r="A6581" s="5" t="s">
        <v>1725</v>
      </c>
      <c r="B6581" s="5"/>
      <c r="C6581" s="7" t="s">
        <v>28</v>
      </c>
      <c r="D6581" s="7" t="s">
        <v>29</v>
      </c>
      <c r="E6581" s="7" t="s">
        <v>30</v>
      </c>
      <c r="G6581" s="12">
        <v>335</v>
      </c>
    </row>
    <row r="6582" spans="1:7" ht="18" x14ac:dyDescent="0.35">
      <c r="A6582" s="5" t="s">
        <v>1732</v>
      </c>
      <c r="B6582" s="50" t="s">
        <v>32</v>
      </c>
      <c r="C6582" s="7">
        <v>1.5660000000000001</v>
      </c>
      <c r="D6582" s="7">
        <v>10.34</v>
      </c>
      <c r="E6582" s="85">
        <f t="shared" ref="E6582:E6587" si="438">C6582*D6582</f>
        <v>16.192440000000001</v>
      </c>
      <c r="G6582" s="4"/>
    </row>
    <row r="6583" spans="1:7" ht="18" x14ac:dyDescent="0.35">
      <c r="A6583" s="5" t="s">
        <v>1733</v>
      </c>
      <c r="B6583" s="50" t="s">
        <v>33</v>
      </c>
      <c r="C6583" s="7">
        <v>5.7850000000000001</v>
      </c>
      <c r="D6583" s="7">
        <v>16.170000000000002</v>
      </c>
      <c r="E6583" s="85">
        <f t="shared" si="438"/>
        <v>93.543450000000007</v>
      </c>
      <c r="G6583" s="4"/>
    </row>
    <row r="6584" spans="1:7" ht="18" x14ac:dyDescent="0.35">
      <c r="A6584" s="5" t="s">
        <v>1734</v>
      </c>
      <c r="B6584" s="50" t="s">
        <v>449</v>
      </c>
      <c r="C6584" s="7">
        <v>2</v>
      </c>
      <c r="D6584" s="7">
        <v>1.81</v>
      </c>
      <c r="E6584" s="85">
        <f t="shared" si="438"/>
        <v>3.62</v>
      </c>
      <c r="G6584" s="4"/>
    </row>
    <row r="6585" spans="1:7" ht="18" x14ac:dyDescent="0.35">
      <c r="A6585" s="5"/>
      <c r="B6585" s="50" t="s">
        <v>34</v>
      </c>
      <c r="C6585" s="7"/>
      <c r="D6585" s="7">
        <v>14.61</v>
      </c>
      <c r="E6585" s="85">
        <f t="shared" si="438"/>
        <v>0</v>
      </c>
      <c r="F6585">
        <v>430</v>
      </c>
      <c r="G6585" s="4"/>
    </row>
    <row r="6586" spans="1:7" ht="18" x14ac:dyDescent="0.35">
      <c r="A6586" s="5"/>
      <c r="B6586" s="50" t="s">
        <v>35</v>
      </c>
      <c r="C6586" s="7">
        <v>4</v>
      </c>
      <c r="D6586" s="7">
        <v>2.91</v>
      </c>
      <c r="E6586" s="85">
        <f t="shared" si="438"/>
        <v>11.64</v>
      </c>
      <c r="G6586" s="4"/>
    </row>
    <row r="6587" spans="1:7" ht="18" x14ac:dyDescent="0.35">
      <c r="A6587" s="5"/>
      <c r="B6587" s="50" t="s">
        <v>36</v>
      </c>
      <c r="C6587" s="7">
        <v>4</v>
      </c>
      <c r="D6587" s="7">
        <v>0.61</v>
      </c>
      <c r="E6587" s="85">
        <f t="shared" si="438"/>
        <v>2.44</v>
      </c>
      <c r="G6587" s="4"/>
    </row>
    <row r="6588" spans="1:7" ht="18" x14ac:dyDescent="0.35">
      <c r="A6588" s="5"/>
      <c r="B6588" s="5"/>
      <c r="C6588" s="54"/>
      <c r="D6588" s="54"/>
      <c r="E6588" s="89">
        <f>SUM(E6582:E6587)</f>
        <v>127.43589000000001</v>
      </c>
      <c r="G6588" s="4"/>
    </row>
    <row r="6589" spans="1:7" ht="18" x14ac:dyDescent="0.35">
      <c r="A6589" s="5"/>
      <c r="B6589" s="5"/>
      <c r="C6589" s="54"/>
      <c r="D6589" s="54" t="s">
        <v>1063</v>
      </c>
      <c r="E6589" s="89">
        <f>E6588+E6588*40%</f>
        <v>178.41024600000003</v>
      </c>
      <c r="G6589" s="4"/>
    </row>
    <row r="6590" spans="1:7" ht="18" x14ac:dyDescent="0.35">
      <c r="A6590" s="5"/>
      <c r="B6590" s="50" t="s">
        <v>37</v>
      </c>
      <c r="C6590" s="54">
        <v>0.5</v>
      </c>
      <c r="D6590" s="54">
        <v>200</v>
      </c>
      <c r="E6590" s="85">
        <f>C6590*D6590</f>
        <v>100</v>
      </c>
      <c r="G6590" s="59"/>
    </row>
    <row r="6591" spans="1:7" ht="18" x14ac:dyDescent="0.35">
      <c r="A6591" s="5"/>
      <c r="B6591" s="5"/>
      <c r="C6591" s="54"/>
      <c r="D6591" s="54"/>
      <c r="E6591" s="85">
        <f>SUM(E6589:E6590)</f>
        <v>278.41024600000003</v>
      </c>
      <c r="G6591" s="59"/>
    </row>
    <row r="6593" spans="1:7" ht="21" x14ac:dyDescent="0.4">
      <c r="A6593" s="40" t="s">
        <v>1731</v>
      </c>
      <c r="B6593" s="40"/>
      <c r="C6593" s="84"/>
      <c r="G6593" s="136"/>
    </row>
    <row r="6594" spans="1:7" ht="18" x14ac:dyDescent="0.35">
      <c r="A6594" s="5" t="s">
        <v>1735</v>
      </c>
      <c r="B6594" s="5"/>
      <c r="C6594" s="7" t="s">
        <v>28</v>
      </c>
      <c r="D6594" s="7" t="s">
        <v>29</v>
      </c>
      <c r="E6594" s="7" t="s">
        <v>30</v>
      </c>
      <c r="G6594" s="12">
        <v>335</v>
      </c>
    </row>
    <row r="6595" spans="1:7" ht="18" x14ac:dyDescent="0.35">
      <c r="A6595" s="5" t="s">
        <v>1736</v>
      </c>
      <c r="B6595" s="50" t="s">
        <v>32</v>
      </c>
      <c r="C6595" s="7">
        <v>1.986</v>
      </c>
      <c r="D6595" s="7">
        <v>10.34</v>
      </c>
      <c r="E6595" s="85">
        <f t="shared" ref="E6595:E6600" si="439">C6595*D6595</f>
        <v>20.535239999999998</v>
      </c>
      <c r="G6595" s="4"/>
    </row>
    <row r="6596" spans="1:7" ht="18" x14ac:dyDescent="0.35">
      <c r="A6596" s="5" t="s">
        <v>1653</v>
      </c>
      <c r="B6596" s="50" t="s">
        <v>33</v>
      </c>
      <c r="C6596" s="7">
        <v>9.5760000000000005</v>
      </c>
      <c r="D6596" s="7">
        <v>16.170000000000002</v>
      </c>
      <c r="E6596" s="85">
        <f t="shared" si="439"/>
        <v>154.84392000000003</v>
      </c>
      <c r="G6596" s="4"/>
    </row>
    <row r="6597" spans="1:7" ht="18" x14ac:dyDescent="0.35">
      <c r="A6597" s="5" t="s">
        <v>1737</v>
      </c>
      <c r="B6597" s="50" t="s">
        <v>1738</v>
      </c>
      <c r="C6597" s="7">
        <v>2</v>
      </c>
      <c r="D6597" s="7">
        <v>2.2400000000000002</v>
      </c>
      <c r="E6597" s="85">
        <f t="shared" si="439"/>
        <v>4.4800000000000004</v>
      </c>
      <c r="G6597" s="4"/>
    </row>
    <row r="6598" spans="1:7" ht="18" x14ac:dyDescent="0.35">
      <c r="A6598" s="5"/>
      <c r="B6598" s="50" t="s">
        <v>34</v>
      </c>
      <c r="C6598" s="7"/>
      <c r="D6598" s="7">
        <v>14.61</v>
      </c>
      <c r="E6598" s="85">
        <f t="shared" si="439"/>
        <v>0</v>
      </c>
      <c r="F6598">
        <v>430</v>
      </c>
      <c r="G6598" s="4"/>
    </row>
    <row r="6599" spans="1:7" ht="18" x14ac:dyDescent="0.35">
      <c r="A6599" s="5"/>
      <c r="B6599" s="50" t="s">
        <v>35</v>
      </c>
      <c r="C6599" s="7">
        <v>4</v>
      </c>
      <c r="D6599" s="7">
        <v>2.91</v>
      </c>
      <c r="E6599" s="85">
        <f t="shared" si="439"/>
        <v>11.64</v>
      </c>
      <c r="G6599" s="4"/>
    </row>
    <row r="6600" spans="1:7" ht="18" x14ac:dyDescent="0.35">
      <c r="A6600" s="5"/>
      <c r="B6600" s="50" t="s">
        <v>36</v>
      </c>
      <c r="C6600" s="7">
        <v>4</v>
      </c>
      <c r="D6600" s="7">
        <v>0.61</v>
      </c>
      <c r="E6600" s="85">
        <f t="shared" si="439"/>
        <v>2.44</v>
      </c>
      <c r="G6600" s="4"/>
    </row>
    <row r="6601" spans="1:7" ht="18" x14ac:dyDescent="0.35">
      <c r="A6601" s="5"/>
      <c r="B6601" s="5"/>
      <c r="C6601" s="54"/>
      <c r="D6601" s="54"/>
      <c r="E6601" s="89">
        <f>SUM(E6595:E6600)</f>
        <v>193.93916000000002</v>
      </c>
      <c r="G6601" s="4"/>
    </row>
    <row r="6602" spans="1:7" ht="18" x14ac:dyDescent="0.35">
      <c r="A6602" s="5"/>
      <c r="B6602" s="5"/>
      <c r="C6602" s="54"/>
      <c r="D6602" s="54" t="s">
        <v>1063</v>
      </c>
      <c r="E6602" s="89">
        <f>E6601+E6601*40%</f>
        <v>271.51482400000003</v>
      </c>
      <c r="G6602" s="4"/>
    </row>
    <row r="6603" spans="1:7" ht="18" x14ac:dyDescent="0.35">
      <c r="A6603" s="5"/>
      <c r="B6603" s="50" t="s">
        <v>37</v>
      </c>
      <c r="C6603" s="54">
        <v>0.5</v>
      </c>
      <c r="D6603" s="54">
        <v>200</v>
      </c>
      <c r="E6603" s="85">
        <f>C6603*D6603</f>
        <v>100</v>
      </c>
      <c r="G6603" s="59"/>
    </row>
    <row r="6604" spans="1:7" ht="18" x14ac:dyDescent="0.35">
      <c r="A6604" s="5"/>
      <c r="B6604" s="5"/>
      <c r="C6604" s="54"/>
      <c r="D6604" s="54"/>
      <c r="E6604" s="85">
        <f>SUM(E6602:E6603)</f>
        <v>371.51482400000003</v>
      </c>
      <c r="G6604" s="59"/>
    </row>
    <row r="6606" spans="1:7" ht="21" x14ac:dyDescent="0.4">
      <c r="A6606" s="40" t="s">
        <v>1740</v>
      </c>
      <c r="B6606" s="40"/>
      <c r="C6606" s="84"/>
      <c r="G6606" s="136"/>
    </row>
    <row r="6607" spans="1:7" ht="18" x14ac:dyDescent="0.35">
      <c r="A6607" s="5" t="s">
        <v>1741</v>
      </c>
      <c r="B6607" s="5"/>
      <c r="C6607" s="7" t="s">
        <v>28</v>
      </c>
      <c r="D6607" s="7" t="s">
        <v>29</v>
      </c>
      <c r="E6607" s="7" t="s">
        <v>30</v>
      </c>
      <c r="G6607" s="12">
        <v>300</v>
      </c>
    </row>
    <row r="6608" spans="1:7" ht="18" x14ac:dyDescent="0.35">
      <c r="A6608" s="5" t="s">
        <v>689</v>
      </c>
      <c r="B6608" s="50" t="s">
        <v>32</v>
      </c>
      <c r="C6608" s="7">
        <v>1.8180000000000001</v>
      </c>
      <c r="D6608" s="7">
        <v>10.34</v>
      </c>
      <c r="E6608" s="85">
        <f t="shared" ref="E6608:E6613" si="440">C6608*D6608</f>
        <v>18.798120000000001</v>
      </c>
      <c r="G6608" s="4"/>
    </row>
    <row r="6609" spans="1:7" ht="18" x14ac:dyDescent="0.35">
      <c r="A6609" s="5" t="s">
        <v>1653</v>
      </c>
      <c r="B6609" s="50" t="s">
        <v>33</v>
      </c>
      <c r="C6609" s="7">
        <v>7.3079999999999998</v>
      </c>
      <c r="D6609" s="7">
        <v>16.170000000000002</v>
      </c>
      <c r="E6609" s="85">
        <f t="shared" si="440"/>
        <v>118.17036000000002</v>
      </c>
      <c r="G6609" s="4"/>
    </row>
    <row r="6610" spans="1:7" ht="18" x14ac:dyDescent="0.35">
      <c r="A6610" s="5" t="s">
        <v>673</v>
      </c>
      <c r="B6610" s="50" t="s">
        <v>113</v>
      </c>
      <c r="C6610" s="7">
        <v>2</v>
      </c>
      <c r="D6610" s="7">
        <v>2.2400000000000002</v>
      </c>
      <c r="E6610" s="85">
        <f t="shared" si="440"/>
        <v>4.4800000000000004</v>
      </c>
      <c r="G6610" s="4"/>
    </row>
    <row r="6611" spans="1:7" ht="18" x14ac:dyDescent="0.35">
      <c r="A6611" s="5"/>
      <c r="B6611" s="50" t="s">
        <v>34</v>
      </c>
      <c r="C6611" s="7"/>
      <c r="D6611" s="7">
        <v>14.61</v>
      </c>
      <c r="E6611" s="85">
        <f t="shared" si="440"/>
        <v>0</v>
      </c>
      <c r="F6611">
        <v>500</v>
      </c>
      <c r="G6611" s="4"/>
    </row>
    <row r="6612" spans="1:7" ht="18" x14ac:dyDescent="0.35">
      <c r="A6612" s="5"/>
      <c r="B6612" s="50" t="s">
        <v>35</v>
      </c>
      <c r="C6612" s="7">
        <v>4</v>
      </c>
      <c r="D6612" s="7">
        <v>2.91</v>
      </c>
      <c r="E6612" s="85">
        <f t="shared" si="440"/>
        <v>11.64</v>
      </c>
      <c r="G6612" s="4"/>
    </row>
    <row r="6613" spans="1:7" ht="18" x14ac:dyDescent="0.35">
      <c r="A6613" s="5"/>
      <c r="B6613" s="50" t="s">
        <v>36</v>
      </c>
      <c r="C6613" s="7">
        <v>4</v>
      </c>
      <c r="D6613" s="7">
        <v>0.61</v>
      </c>
      <c r="E6613" s="85">
        <f t="shared" si="440"/>
        <v>2.44</v>
      </c>
      <c r="G6613" s="4"/>
    </row>
    <row r="6614" spans="1:7" ht="18" x14ac:dyDescent="0.35">
      <c r="A6614" s="5"/>
      <c r="B6614" s="5"/>
      <c r="C6614" s="54"/>
      <c r="D6614" s="54"/>
      <c r="E6614" s="89">
        <f>SUM(E6608:E6613)</f>
        <v>155.52848</v>
      </c>
      <c r="G6614" s="4"/>
    </row>
    <row r="6615" spans="1:7" ht="18" x14ac:dyDescent="0.35">
      <c r="A6615" s="5"/>
      <c r="B6615" s="5"/>
      <c r="C6615" s="54"/>
      <c r="D6615" s="54" t="s">
        <v>1063</v>
      </c>
      <c r="E6615" s="89">
        <f>E6614+E6614*40%</f>
        <v>217.73987199999999</v>
      </c>
      <c r="G6615" s="4"/>
    </row>
    <row r="6616" spans="1:7" ht="18" x14ac:dyDescent="0.35">
      <c r="A6616" s="5"/>
      <c r="B6616" s="50" t="s">
        <v>37</v>
      </c>
      <c r="C6616" s="54">
        <v>0.5</v>
      </c>
      <c r="D6616" s="54">
        <v>200</v>
      </c>
      <c r="E6616" s="85">
        <f>C6616*D6616</f>
        <v>100</v>
      </c>
      <c r="G6616" s="59"/>
    </row>
    <row r="6617" spans="1:7" ht="18" x14ac:dyDescent="0.35">
      <c r="A6617" s="5"/>
      <c r="B6617" s="5"/>
      <c r="C6617" s="54"/>
      <c r="D6617" s="54"/>
      <c r="E6617" s="85">
        <f>SUM(E6615:E6616)</f>
        <v>317.73987199999999</v>
      </c>
      <c r="G6617" s="59"/>
    </row>
    <row r="6619" spans="1:7" ht="21" x14ac:dyDescent="0.4">
      <c r="A6619" s="40" t="s">
        <v>1740</v>
      </c>
      <c r="B6619" s="40"/>
      <c r="C6619" s="84"/>
      <c r="G6619" s="136"/>
    </row>
    <row r="6620" spans="1:7" ht="18" x14ac:dyDescent="0.35">
      <c r="A6620" s="5" t="s">
        <v>1741</v>
      </c>
      <c r="B6620" s="5"/>
      <c r="C6620" s="7" t="s">
        <v>28</v>
      </c>
      <c r="D6620" s="7" t="s">
        <v>29</v>
      </c>
      <c r="E6620" s="7" t="s">
        <v>30</v>
      </c>
      <c r="G6620" s="12">
        <v>500</v>
      </c>
    </row>
    <row r="6621" spans="1:7" ht="18" x14ac:dyDescent="0.35">
      <c r="A6621" s="5" t="s">
        <v>118</v>
      </c>
      <c r="B6621" s="50" t="s">
        <v>32</v>
      </c>
      <c r="C6621" s="7">
        <v>2.028</v>
      </c>
      <c r="D6621" s="7">
        <v>10.34</v>
      </c>
      <c r="E6621" s="85">
        <f t="shared" ref="E6621:E6626" si="441">C6621*D6621</f>
        <v>20.969519999999999</v>
      </c>
      <c r="G6621" s="4"/>
    </row>
    <row r="6622" spans="1:7" ht="18" x14ac:dyDescent="0.35">
      <c r="A6622" s="5" t="s">
        <v>54</v>
      </c>
      <c r="B6622" s="50" t="s">
        <v>33</v>
      </c>
      <c r="C6622" s="7">
        <v>9.7750000000000004</v>
      </c>
      <c r="D6622" s="7">
        <v>16.170000000000002</v>
      </c>
      <c r="E6622" s="85">
        <f t="shared" si="441"/>
        <v>158.06175000000002</v>
      </c>
      <c r="G6622" s="4"/>
    </row>
    <row r="6623" spans="1:7" ht="18" x14ac:dyDescent="0.35">
      <c r="A6623" s="5" t="s">
        <v>673</v>
      </c>
      <c r="B6623" s="50" t="s">
        <v>87</v>
      </c>
      <c r="C6623" s="7">
        <v>2</v>
      </c>
      <c r="D6623" s="7">
        <v>1.81</v>
      </c>
      <c r="E6623" s="85">
        <f t="shared" si="441"/>
        <v>3.62</v>
      </c>
      <c r="G6623" s="4"/>
    </row>
    <row r="6624" spans="1:7" ht="18" x14ac:dyDescent="0.35">
      <c r="A6624" s="5"/>
      <c r="B6624" s="50" t="s">
        <v>34</v>
      </c>
      <c r="C6624" s="7"/>
      <c r="D6624" s="7">
        <v>14.61</v>
      </c>
      <c r="E6624" s="85">
        <f t="shared" si="441"/>
        <v>0</v>
      </c>
      <c r="F6624">
        <v>400</v>
      </c>
      <c r="G6624" s="4"/>
    </row>
    <row r="6625" spans="1:7" ht="18" x14ac:dyDescent="0.35">
      <c r="A6625" s="5"/>
      <c r="B6625" s="50" t="s">
        <v>35</v>
      </c>
      <c r="C6625" s="7">
        <v>4</v>
      </c>
      <c r="D6625" s="7">
        <v>2.91</v>
      </c>
      <c r="E6625" s="85">
        <f t="shared" si="441"/>
        <v>11.64</v>
      </c>
      <c r="G6625" s="4"/>
    </row>
    <row r="6626" spans="1:7" ht="18" x14ac:dyDescent="0.35">
      <c r="A6626" s="5"/>
      <c r="B6626" s="50" t="s">
        <v>36</v>
      </c>
      <c r="C6626" s="7">
        <v>4</v>
      </c>
      <c r="D6626" s="7">
        <v>0.61</v>
      </c>
      <c r="E6626" s="85">
        <f t="shared" si="441"/>
        <v>2.44</v>
      </c>
      <c r="G6626" s="4"/>
    </row>
    <row r="6627" spans="1:7" ht="18" x14ac:dyDescent="0.35">
      <c r="A6627" s="5"/>
      <c r="B6627" s="5"/>
      <c r="C6627" s="54"/>
      <c r="D6627" s="54"/>
      <c r="E6627" s="89">
        <f>SUM(E6621:E6626)</f>
        <v>196.73126999999999</v>
      </c>
      <c r="G6627" s="4"/>
    </row>
    <row r="6628" spans="1:7" ht="18" x14ac:dyDescent="0.35">
      <c r="A6628" s="5"/>
      <c r="B6628" s="5"/>
      <c r="C6628" s="54"/>
      <c r="D6628" s="54" t="s">
        <v>1063</v>
      </c>
      <c r="E6628" s="89">
        <f>E6627+E6627*40%</f>
        <v>275.42377799999997</v>
      </c>
      <c r="G6628" s="4"/>
    </row>
    <row r="6629" spans="1:7" ht="18" x14ac:dyDescent="0.35">
      <c r="A6629" s="5"/>
      <c r="B6629" s="50" t="s">
        <v>37</v>
      </c>
      <c r="C6629" s="54">
        <v>0.5</v>
      </c>
      <c r="D6629" s="54">
        <v>200</v>
      </c>
      <c r="E6629" s="85">
        <f>C6629*D6629</f>
        <v>100</v>
      </c>
      <c r="G6629" s="59"/>
    </row>
    <row r="6630" spans="1:7" ht="18" x14ac:dyDescent="0.35">
      <c r="A6630" s="5"/>
      <c r="B6630" s="5"/>
      <c r="C6630" s="54"/>
      <c r="D6630" s="54"/>
      <c r="E6630" s="85">
        <f>SUM(E6628:E6629)</f>
        <v>375.42377799999997</v>
      </c>
      <c r="G6630" s="59"/>
    </row>
    <row r="6632" spans="1:7" ht="21" x14ac:dyDescent="0.4">
      <c r="A6632" s="40" t="s">
        <v>1740</v>
      </c>
      <c r="B6632" s="40"/>
      <c r="C6632" s="84"/>
      <c r="G6632" s="136"/>
    </row>
    <row r="6633" spans="1:7" ht="18" x14ac:dyDescent="0.35">
      <c r="A6633" s="5" t="s">
        <v>1741</v>
      </c>
      <c r="B6633" s="5"/>
      <c r="C6633" s="7" t="s">
        <v>28</v>
      </c>
      <c r="D6633" s="7" t="s">
        <v>29</v>
      </c>
      <c r="E6633" s="7" t="s">
        <v>30</v>
      </c>
      <c r="G6633" s="12">
        <v>200</v>
      </c>
    </row>
    <row r="6634" spans="1:7" ht="18" x14ac:dyDescent="0.35">
      <c r="A6634" s="5" t="s">
        <v>1742</v>
      </c>
      <c r="B6634" s="50" t="s">
        <v>32</v>
      </c>
      <c r="C6634" s="7">
        <v>1.6080000000000001</v>
      </c>
      <c r="D6634" s="7">
        <v>10.34</v>
      </c>
      <c r="E6634" s="85">
        <f t="shared" ref="E6634:E6639" si="442">C6634*D6634</f>
        <v>16.626720000000002</v>
      </c>
      <c r="G6634" s="4"/>
    </row>
    <row r="6635" spans="1:7" ht="18" x14ac:dyDescent="0.35">
      <c r="A6635" s="5" t="s">
        <v>1653</v>
      </c>
      <c r="B6635" s="50" t="s">
        <v>33</v>
      </c>
      <c r="C6635" s="7">
        <v>4.7880000000000003</v>
      </c>
      <c r="D6635" s="7">
        <v>16.170000000000002</v>
      </c>
      <c r="E6635" s="85">
        <f t="shared" si="442"/>
        <v>77.421960000000013</v>
      </c>
      <c r="G6635" s="4"/>
    </row>
    <row r="6636" spans="1:7" ht="18" x14ac:dyDescent="0.35">
      <c r="A6636" s="5" t="s">
        <v>673</v>
      </c>
      <c r="B6636" s="50" t="s">
        <v>113</v>
      </c>
      <c r="C6636" s="7">
        <v>2</v>
      </c>
      <c r="D6636" s="7">
        <v>2.2400000000000002</v>
      </c>
      <c r="E6636" s="85">
        <f t="shared" si="442"/>
        <v>4.4800000000000004</v>
      </c>
      <c r="G6636" s="4"/>
    </row>
    <row r="6637" spans="1:7" ht="18" x14ac:dyDescent="0.35">
      <c r="A6637" s="5"/>
      <c r="B6637" s="50" t="s">
        <v>34</v>
      </c>
      <c r="C6637" s="7"/>
      <c r="D6637" s="7">
        <v>14.61</v>
      </c>
      <c r="E6637" s="85">
        <f t="shared" si="442"/>
        <v>0</v>
      </c>
      <c r="F6637">
        <v>500</v>
      </c>
      <c r="G6637" s="4"/>
    </row>
    <row r="6638" spans="1:7" ht="18" x14ac:dyDescent="0.35">
      <c r="A6638" s="5"/>
      <c r="B6638" s="50" t="s">
        <v>35</v>
      </c>
      <c r="C6638" s="7">
        <v>4</v>
      </c>
      <c r="D6638" s="7">
        <v>2.91</v>
      </c>
      <c r="E6638" s="85">
        <f t="shared" si="442"/>
        <v>11.64</v>
      </c>
      <c r="G6638" s="4"/>
    </row>
    <row r="6639" spans="1:7" ht="18" x14ac:dyDescent="0.35">
      <c r="A6639" s="5"/>
      <c r="B6639" s="50" t="s">
        <v>36</v>
      </c>
      <c r="C6639" s="7">
        <v>4</v>
      </c>
      <c r="D6639" s="7">
        <v>0.61</v>
      </c>
      <c r="E6639" s="85">
        <f t="shared" si="442"/>
        <v>2.44</v>
      </c>
      <c r="G6639" s="4"/>
    </row>
    <row r="6640" spans="1:7" ht="18" x14ac:dyDescent="0.35">
      <c r="A6640" s="5"/>
      <c r="B6640" s="5"/>
      <c r="C6640" s="54"/>
      <c r="D6640" s="54"/>
      <c r="E6640" s="89">
        <f>SUM(E6634:E6639)</f>
        <v>112.60868000000002</v>
      </c>
      <c r="G6640" s="4"/>
    </row>
    <row r="6641" spans="1:7" ht="18" x14ac:dyDescent="0.35">
      <c r="A6641" s="5"/>
      <c r="B6641" s="5"/>
      <c r="C6641" s="54"/>
      <c r="D6641" s="54" t="s">
        <v>1063</v>
      </c>
      <c r="E6641" s="89">
        <f>E6640+E6640*40%</f>
        <v>157.65215200000003</v>
      </c>
      <c r="G6641" s="4"/>
    </row>
    <row r="6642" spans="1:7" ht="18" x14ac:dyDescent="0.35">
      <c r="A6642" s="5"/>
      <c r="B6642" s="50" t="s">
        <v>37</v>
      </c>
      <c r="C6642" s="54">
        <v>0.5</v>
      </c>
      <c r="D6642" s="54">
        <v>200</v>
      </c>
      <c r="E6642" s="85">
        <f>C6642*D6642</f>
        <v>100</v>
      </c>
      <c r="G6642" s="59"/>
    </row>
    <row r="6643" spans="1:7" ht="18" x14ac:dyDescent="0.35">
      <c r="A6643" s="5"/>
      <c r="B6643" s="5"/>
      <c r="C6643" s="54"/>
      <c r="D6643" s="54"/>
      <c r="E6643" s="85">
        <f>SUM(E6641:E6642)</f>
        <v>257.652152</v>
      </c>
      <c r="G6643" s="59"/>
    </row>
    <row r="6645" spans="1:7" ht="21" x14ac:dyDescent="0.4">
      <c r="A6645" s="40" t="s">
        <v>1743</v>
      </c>
      <c r="B6645" s="40"/>
      <c r="C6645" s="84"/>
      <c r="G6645" s="136"/>
    </row>
    <row r="6646" spans="1:7" ht="18" x14ac:dyDescent="0.35">
      <c r="A6646" s="5" t="s">
        <v>1741</v>
      </c>
      <c r="B6646" s="5"/>
      <c r="C6646" s="7" t="s">
        <v>28</v>
      </c>
      <c r="D6646" s="7" t="s">
        <v>29</v>
      </c>
      <c r="E6646" s="7" t="s">
        <v>30</v>
      </c>
      <c r="G6646" s="12">
        <v>200</v>
      </c>
    </row>
    <row r="6647" spans="1:7" ht="18" x14ac:dyDescent="0.35">
      <c r="A6647" s="5" t="s">
        <v>1742</v>
      </c>
      <c r="B6647" s="50" t="s">
        <v>32</v>
      </c>
      <c r="C6647" s="7">
        <v>1.6080000000000001</v>
      </c>
      <c r="D6647" s="7">
        <v>10.34</v>
      </c>
      <c r="E6647" s="85">
        <f t="shared" ref="E6647:E6652" si="443">C6647*D6647</f>
        <v>16.626720000000002</v>
      </c>
      <c r="G6647" s="4"/>
    </row>
    <row r="6648" spans="1:7" ht="18" x14ac:dyDescent="0.35">
      <c r="A6648" s="5" t="s">
        <v>1653</v>
      </c>
      <c r="B6648" s="50" t="s">
        <v>33</v>
      </c>
      <c r="C6648" s="7">
        <v>4.7880000000000003</v>
      </c>
      <c r="D6648" s="7">
        <v>16.170000000000002</v>
      </c>
      <c r="E6648" s="85">
        <f t="shared" si="443"/>
        <v>77.421960000000013</v>
      </c>
      <c r="G6648" s="4"/>
    </row>
    <row r="6649" spans="1:7" ht="18" x14ac:dyDescent="0.35">
      <c r="A6649" s="5" t="s">
        <v>673</v>
      </c>
      <c r="B6649" s="50" t="s">
        <v>113</v>
      </c>
      <c r="C6649" s="7">
        <v>2</v>
      </c>
      <c r="D6649" s="7">
        <v>2.2400000000000002</v>
      </c>
      <c r="E6649" s="85">
        <f t="shared" si="443"/>
        <v>4.4800000000000004</v>
      </c>
      <c r="G6649" s="4"/>
    </row>
    <row r="6650" spans="1:7" ht="18" x14ac:dyDescent="0.35">
      <c r="A6650" s="5"/>
      <c r="B6650" s="50" t="s">
        <v>34</v>
      </c>
      <c r="C6650" s="7"/>
      <c r="D6650" s="7">
        <v>14.61</v>
      </c>
      <c r="E6650" s="85">
        <f t="shared" si="443"/>
        <v>0</v>
      </c>
      <c r="F6650">
        <v>500</v>
      </c>
      <c r="G6650" s="4"/>
    </row>
    <row r="6651" spans="1:7" ht="18" x14ac:dyDescent="0.35">
      <c r="A6651" s="5"/>
      <c r="B6651" s="50" t="s">
        <v>35</v>
      </c>
      <c r="C6651" s="7">
        <v>4</v>
      </c>
      <c r="D6651" s="7">
        <v>2.91</v>
      </c>
      <c r="E6651" s="85">
        <f t="shared" si="443"/>
        <v>11.64</v>
      </c>
      <c r="G6651" s="4"/>
    </row>
    <row r="6652" spans="1:7" ht="18" x14ac:dyDescent="0.35">
      <c r="A6652" s="5"/>
      <c r="B6652" s="50" t="s">
        <v>36</v>
      </c>
      <c r="C6652" s="7">
        <v>4</v>
      </c>
      <c r="D6652" s="7">
        <v>0.61</v>
      </c>
      <c r="E6652" s="85">
        <f t="shared" si="443"/>
        <v>2.44</v>
      </c>
      <c r="G6652" s="4"/>
    </row>
    <row r="6653" spans="1:7" ht="18" x14ac:dyDescent="0.35">
      <c r="A6653" s="5"/>
      <c r="B6653" s="5"/>
      <c r="C6653" s="54"/>
      <c r="D6653" s="54"/>
      <c r="E6653" s="89">
        <f>SUM(E6647:E6652)</f>
        <v>112.60868000000002</v>
      </c>
      <c r="G6653" s="4"/>
    </row>
    <row r="6654" spans="1:7" ht="18" x14ac:dyDescent="0.35">
      <c r="A6654" s="5"/>
      <c r="B6654" s="5"/>
      <c r="C6654" s="54"/>
      <c r="D6654" s="54" t="s">
        <v>1063</v>
      </c>
      <c r="E6654" s="89">
        <f>E6653+E6653*40%</f>
        <v>157.65215200000003</v>
      </c>
      <c r="G6654" s="4"/>
    </row>
    <row r="6655" spans="1:7" ht="18" x14ac:dyDescent="0.35">
      <c r="A6655" s="5"/>
      <c r="B6655" s="50" t="s">
        <v>37</v>
      </c>
      <c r="C6655" s="54">
        <v>0.5</v>
      </c>
      <c r="D6655" s="54">
        <v>200</v>
      </c>
      <c r="E6655" s="85">
        <f>C6655*D6655</f>
        <v>100</v>
      </c>
      <c r="G6655" s="59"/>
    </row>
    <row r="6656" spans="1:7" ht="18" x14ac:dyDescent="0.35">
      <c r="A6656" s="5"/>
      <c r="B6656" s="5"/>
      <c r="C6656" s="54"/>
      <c r="D6656" s="54"/>
      <c r="E6656" s="85">
        <f>SUM(E6654:E6655)</f>
        <v>257.652152</v>
      </c>
      <c r="G6656" s="59"/>
    </row>
    <row r="6658" spans="1:5" ht="21" x14ac:dyDescent="0.4">
      <c r="A6658" s="40" t="s">
        <v>1745</v>
      </c>
      <c r="B6658" s="40"/>
      <c r="C6658" s="40"/>
      <c r="D6658" s="12"/>
      <c r="E6658" s="12"/>
    </row>
    <row r="6659" spans="1:5" ht="18" x14ac:dyDescent="0.35">
      <c r="A6659" s="5" t="s">
        <v>1427</v>
      </c>
      <c r="B6659" s="5"/>
      <c r="C6659" s="7" t="s">
        <v>28</v>
      </c>
      <c r="D6659" s="7" t="s">
        <v>29</v>
      </c>
      <c r="E6659" s="7" t="s">
        <v>30</v>
      </c>
    </row>
    <row r="6660" spans="1:5" ht="18" x14ac:dyDescent="0.35">
      <c r="A6660" s="5" t="s">
        <v>1744</v>
      </c>
      <c r="B6660" s="50" t="s">
        <v>32</v>
      </c>
      <c r="C6660" s="7">
        <v>1.294</v>
      </c>
      <c r="D6660" s="7">
        <v>10.34</v>
      </c>
      <c r="E6660" s="85">
        <f>C6660*D6660</f>
        <v>13.379960000000001</v>
      </c>
    </row>
    <row r="6661" spans="1:5" ht="18" x14ac:dyDescent="0.35">
      <c r="A6661" s="5" t="s">
        <v>213</v>
      </c>
      <c r="B6661" s="50" t="s">
        <v>33</v>
      </c>
      <c r="C6661" s="7">
        <v>5.2919999999999998</v>
      </c>
      <c r="D6661" s="7">
        <v>17.059999999999999</v>
      </c>
      <c r="E6661" s="85">
        <f>C6661*D6661</f>
        <v>90.281519999999986</v>
      </c>
    </row>
    <row r="6662" spans="1:5" ht="18" x14ac:dyDescent="0.35">
      <c r="A6662" s="5" t="s">
        <v>682</v>
      </c>
      <c r="B6662" s="50" t="s">
        <v>137</v>
      </c>
      <c r="C6662" s="7">
        <v>0.63</v>
      </c>
      <c r="D6662" s="7">
        <v>15.25</v>
      </c>
      <c r="E6662" s="85">
        <f>C6662*D6662</f>
        <v>9.6074999999999999</v>
      </c>
    </row>
    <row r="6663" spans="1:5" ht="18" x14ac:dyDescent="0.35">
      <c r="A6663" s="5"/>
      <c r="B6663" s="50" t="s">
        <v>35</v>
      </c>
      <c r="C6663" s="7">
        <v>4</v>
      </c>
      <c r="D6663" s="7">
        <v>2.91</v>
      </c>
      <c r="E6663" s="85">
        <f>C6663*D6663</f>
        <v>11.64</v>
      </c>
    </row>
    <row r="6664" spans="1:5" ht="18" x14ac:dyDescent="0.35">
      <c r="A6664" s="5"/>
      <c r="B6664" s="50" t="s">
        <v>36</v>
      </c>
      <c r="C6664" s="7">
        <v>4</v>
      </c>
      <c r="D6664" s="7">
        <v>0.61</v>
      </c>
      <c r="E6664" s="85">
        <f>C6664*D6664</f>
        <v>2.44</v>
      </c>
    </row>
    <row r="6665" spans="1:5" ht="18" x14ac:dyDescent="0.35">
      <c r="A6665" s="5"/>
      <c r="B6665" s="50"/>
      <c r="C6665" s="87"/>
      <c r="D6665" s="88"/>
      <c r="E6665" s="85">
        <f>SUM(E6660:E6664)</f>
        <v>127.34897999999998</v>
      </c>
    </row>
    <row r="6666" spans="1:5" ht="18" x14ac:dyDescent="0.35">
      <c r="A6666" s="5"/>
      <c r="B6666" s="50"/>
      <c r="C6666" s="87"/>
      <c r="D6666" s="88" t="s">
        <v>1266</v>
      </c>
      <c r="E6666" s="85">
        <f>E6665+E6665*40%</f>
        <v>178.28857199999999</v>
      </c>
    </row>
    <row r="6667" spans="1:5" ht="18" x14ac:dyDescent="0.35">
      <c r="A6667" s="5"/>
      <c r="B6667" s="50" t="s">
        <v>37</v>
      </c>
      <c r="C6667" s="54">
        <v>0.5</v>
      </c>
      <c r="D6667" s="86">
        <v>200</v>
      </c>
      <c r="E6667" s="85">
        <f>C6667*D6667</f>
        <v>100</v>
      </c>
    </row>
    <row r="6668" spans="1:5" ht="18" x14ac:dyDescent="0.35">
      <c r="A6668" s="5"/>
      <c r="B6668" s="5"/>
      <c r="C6668" s="54"/>
      <c r="D6668" s="54"/>
      <c r="E6668" s="85">
        <f>SUM(E6666:E6667)</f>
        <v>278.28857199999999</v>
      </c>
    </row>
    <row r="6670" spans="1:5" ht="21" x14ac:dyDescent="0.4">
      <c r="A6670" s="40" t="s">
        <v>690</v>
      </c>
      <c r="B6670" s="40"/>
      <c r="C6670" s="40"/>
      <c r="D6670" s="12"/>
      <c r="E6670" s="12"/>
    </row>
    <row r="6671" spans="1:5" ht="18" x14ac:dyDescent="0.35">
      <c r="A6671" s="5" t="s">
        <v>1427</v>
      </c>
      <c r="B6671" s="5"/>
      <c r="C6671" s="7" t="s">
        <v>28</v>
      </c>
      <c r="D6671" s="7" t="s">
        <v>29</v>
      </c>
      <c r="E6671" s="7" t="s">
        <v>30</v>
      </c>
    </row>
    <row r="6672" spans="1:5" ht="18" x14ac:dyDescent="0.35">
      <c r="A6672" s="5" t="s">
        <v>689</v>
      </c>
      <c r="B6672" s="50" t="s">
        <v>32</v>
      </c>
      <c r="C6672" s="7">
        <v>1.294</v>
      </c>
      <c r="D6672" s="7">
        <v>10.34</v>
      </c>
      <c r="E6672" s="85">
        <f>C6672*D6672</f>
        <v>13.379960000000001</v>
      </c>
    </row>
    <row r="6673" spans="1:5" ht="18" x14ac:dyDescent="0.35">
      <c r="A6673" s="5" t="s">
        <v>538</v>
      </c>
      <c r="B6673" s="50" t="s">
        <v>33</v>
      </c>
      <c r="C6673" s="7">
        <v>5.2919999999999998</v>
      </c>
      <c r="D6673" s="7">
        <v>17.059999999999999</v>
      </c>
      <c r="E6673" s="85">
        <f>C6673*D6673</f>
        <v>90.281519999999986</v>
      </c>
    </row>
    <row r="6674" spans="1:5" ht="18" x14ac:dyDescent="0.35">
      <c r="A6674" s="5" t="s">
        <v>682</v>
      </c>
      <c r="B6674" s="50" t="s">
        <v>137</v>
      </c>
      <c r="C6674" s="7">
        <v>0.63</v>
      </c>
      <c r="D6674" s="7">
        <v>15.25</v>
      </c>
      <c r="E6674" s="85">
        <f>C6674*D6674</f>
        <v>9.6074999999999999</v>
      </c>
    </row>
    <row r="6675" spans="1:5" ht="18" x14ac:dyDescent="0.35">
      <c r="A6675" s="5"/>
      <c r="B6675" s="50" t="s">
        <v>35</v>
      </c>
      <c r="C6675" s="7">
        <v>4</v>
      </c>
      <c r="D6675" s="7">
        <v>2.91</v>
      </c>
      <c r="E6675" s="85">
        <f>C6675*D6675</f>
        <v>11.64</v>
      </c>
    </row>
    <row r="6676" spans="1:5" ht="18" x14ac:dyDescent="0.35">
      <c r="A6676" s="5"/>
      <c r="B6676" s="50" t="s">
        <v>36</v>
      </c>
      <c r="C6676" s="7">
        <v>4</v>
      </c>
      <c r="D6676" s="7">
        <v>0.61</v>
      </c>
      <c r="E6676" s="85">
        <f>C6676*D6676</f>
        <v>2.44</v>
      </c>
    </row>
    <row r="6677" spans="1:5" ht="18" x14ac:dyDescent="0.35">
      <c r="A6677" s="5"/>
      <c r="B6677" s="50"/>
      <c r="C6677" s="87"/>
      <c r="D6677" s="88"/>
      <c r="E6677" s="85">
        <f>SUM(E6672:E6676)</f>
        <v>127.34897999999998</v>
      </c>
    </row>
    <row r="6678" spans="1:5" ht="18" x14ac:dyDescent="0.35">
      <c r="A6678" s="5"/>
      <c r="B6678" s="50"/>
      <c r="C6678" s="87"/>
      <c r="D6678" s="88" t="s">
        <v>1266</v>
      </c>
      <c r="E6678" s="85">
        <f>E6677+E6677*40%</f>
        <v>178.28857199999999</v>
      </c>
    </row>
    <row r="6679" spans="1:5" ht="18" x14ac:dyDescent="0.35">
      <c r="A6679" s="5"/>
      <c r="B6679" s="50" t="s">
        <v>37</v>
      </c>
      <c r="C6679" s="54">
        <v>0.5</v>
      </c>
      <c r="D6679" s="86">
        <v>200</v>
      </c>
      <c r="E6679" s="85">
        <f>C6679*D6679</f>
        <v>100</v>
      </c>
    </row>
    <row r="6680" spans="1:5" ht="18" x14ac:dyDescent="0.35">
      <c r="A6680" s="5"/>
      <c r="B6680" s="5"/>
      <c r="C6680" s="54"/>
      <c r="D6680" s="54"/>
      <c r="E6680" s="85">
        <f>SUM(E6678:E6679)</f>
        <v>278.28857199999999</v>
      </c>
    </row>
    <row r="6683" spans="1:5" ht="21" x14ac:dyDescent="0.4">
      <c r="A6683" s="40" t="s">
        <v>690</v>
      </c>
      <c r="B6683" s="40"/>
      <c r="C6683" s="40"/>
      <c r="D6683" s="12"/>
      <c r="E6683" s="12"/>
    </row>
    <row r="6684" spans="1:5" ht="18" x14ac:dyDescent="0.35">
      <c r="A6684" s="5" t="s">
        <v>1427</v>
      </c>
      <c r="B6684" s="5"/>
      <c r="C6684" s="7" t="s">
        <v>28</v>
      </c>
      <c r="D6684" s="7" t="s">
        <v>29</v>
      </c>
      <c r="E6684" s="7" t="s">
        <v>30</v>
      </c>
    </row>
    <row r="6685" spans="1:5" ht="18" x14ac:dyDescent="0.35">
      <c r="A6685" s="5" t="s">
        <v>689</v>
      </c>
      <c r="B6685" s="50" t="s">
        <v>32</v>
      </c>
      <c r="C6685" s="7">
        <v>1.8180000000000001</v>
      </c>
      <c r="D6685" s="7">
        <v>10.34</v>
      </c>
      <c r="E6685" s="85">
        <f>C6685*D6685</f>
        <v>18.798120000000001</v>
      </c>
    </row>
    <row r="6686" spans="1:5" ht="18" x14ac:dyDescent="0.35">
      <c r="A6686" s="5" t="s">
        <v>538</v>
      </c>
      <c r="B6686" s="50" t="s">
        <v>33</v>
      </c>
      <c r="C6686" s="7">
        <v>10.657</v>
      </c>
      <c r="D6686" s="7">
        <v>17.059999999999999</v>
      </c>
      <c r="E6686" s="85">
        <f>C6686*D6686</f>
        <v>181.80841999999998</v>
      </c>
    </row>
    <row r="6687" spans="1:5" ht="18" x14ac:dyDescent="0.35">
      <c r="A6687" s="5" t="s">
        <v>682</v>
      </c>
      <c r="B6687" s="50" t="s">
        <v>137</v>
      </c>
      <c r="C6687" s="7">
        <v>1.05</v>
      </c>
      <c r="D6687" s="7">
        <v>15.25</v>
      </c>
      <c r="E6687" s="85">
        <f>C6687*D6687</f>
        <v>16.012499999999999</v>
      </c>
    </row>
    <row r="6688" spans="1:5" ht="18" x14ac:dyDescent="0.35">
      <c r="A6688" s="5"/>
      <c r="B6688" s="50" t="s">
        <v>35</v>
      </c>
      <c r="C6688" s="7">
        <v>4</v>
      </c>
      <c r="D6688" s="7">
        <v>2.91</v>
      </c>
      <c r="E6688" s="85">
        <f>C6688*D6688</f>
        <v>11.64</v>
      </c>
    </row>
    <row r="6689" spans="1:5" ht="18" x14ac:dyDescent="0.35">
      <c r="A6689" s="5"/>
      <c r="B6689" s="50" t="s">
        <v>36</v>
      </c>
      <c r="C6689" s="7">
        <v>4</v>
      </c>
      <c r="D6689" s="7">
        <v>0.61</v>
      </c>
      <c r="E6689" s="85">
        <f>C6689*D6689</f>
        <v>2.44</v>
      </c>
    </row>
    <row r="6690" spans="1:5" ht="18" x14ac:dyDescent="0.35">
      <c r="A6690" s="5"/>
      <c r="B6690" s="50"/>
      <c r="C6690" s="87"/>
      <c r="D6690" s="88"/>
      <c r="E6690" s="85">
        <f>SUM(E6685:E6689)</f>
        <v>230.69903999999997</v>
      </c>
    </row>
    <row r="6691" spans="1:5" ht="18" x14ac:dyDescent="0.35">
      <c r="A6691" s="5"/>
      <c r="B6691" s="50"/>
      <c r="C6691" s="87"/>
      <c r="D6691" s="88" t="s">
        <v>1266</v>
      </c>
      <c r="E6691" s="85">
        <f>E6690+E6690*40%</f>
        <v>322.97865599999994</v>
      </c>
    </row>
    <row r="6692" spans="1:5" ht="18" x14ac:dyDescent="0.35">
      <c r="A6692" s="5"/>
      <c r="B6692" s="50" t="s">
        <v>37</v>
      </c>
      <c r="C6692" s="54">
        <v>0.5</v>
      </c>
      <c r="D6692" s="86">
        <v>200</v>
      </c>
      <c r="E6692" s="85">
        <f>C6692*D6692</f>
        <v>100</v>
      </c>
    </row>
    <row r="6693" spans="1:5" ht="18" x14ac:dyDescent="0.35">
      <c r="A6693" s="5"/>
      <c r="B6693" s="5"/>
      <c r="C6693" s="54"/>
      <c r="D6693" s="54"/>
      <c r="E6693" s="85">
        <f>SUM(E6691:E6692)</f>
        <v>422.97865599999994</v>
      </c>
    </row>
    <row r="6695" spans="1:5" ht="21" x14ac:dyDescent="0.4">
      <c r="A6695" s="139" t="s">
        <v>1747</v>
      </c>
      <c r="B6695" s="139"/>
      <c r="C6695" s="139"/>
      <c r="D6695" s="140"/>
      <c r="E6695" s="140"/>
    </row>
    <row r="6696" spans="1:5" ht="18" x14ac:dyDescent="0.35">
      <c r="A6696" s="141" t="s">
        <v>1746</v>
      </c>
      <c r="B6696" s="141"/>
      <c r="C6696" s="142" t="s">
        <v>28</v>
      </c>
      <c r="D6696" s="142" t="s">
        <v>29</v>
      </c>
      <c r="E6696" s="142" t="s">
        <v>30</v>
      </c>
    </row>
    <row r="6697" spans="1:5" ht="18" x14ac:dyDescent="0.35">
      <c r="A6697" s="141" t="s">
        <v>31</v>
      </c>
      <c r="B6697" s="143" t="s">
        <v>32</v>
      </c>
      <c r="C6697" s="142"/>
      <c r="D6697" s="142">
        <v>10.34</v>
      </c>
      <c r="E6697" s="144">
        <f>C6697*D6697</f>
        <v>0</v>
      </c>
    </row>
    <row r="6698" spans="1:5" ht="18" x14ac:dyDescent="0.35">
      <c r="A6698" s="141" t="s">
        <v>220</v>
      </c>
      <c r="B6698" s="143" t="s">
        <v>33</v>
      </c>
      <c r="C6698" s="142">
        <v>1.5960000000000001</v>
      </c>
      <c r="D6698" s="142">
        <v>17.059999999999999</v>
      </c>
      <c r="E6698" s="144">
        <f>C6698*D6698</f>
        <v>27.22776</v>
      </c>
    </row>
    <row r="6699" spans="1:5" ht="18" x14ac:dyDescent="0.35">
      <c r="A6699" s="141" t="s">
        <v>682</v>
      </c>
      <c r="B6699" s="143" t="s">
        <v>137</v>
      </c>
      <c r="C6699" s="142">
        <v>0.2</v>
      </c>
      <c r="D6699" s="142">
        <v>15.25</v>
      </c>
      <c r="E6699" s="144">
        <f>C6699*D6699</f>
        <v>3.0500000000000003</v>
      </c>
    </row>
    <row r="6700" spans="1:5" ht="18" x14ac:dyDescent="0.35">
      <c r="A6700" s="141"/>
      <c r="B6700" s="143" t="s">
        <v>35</v>
      </c>
      <c r="C6700" s="142"/>
      <c r="D6700" s="142">
        <v>2.91</v>
      </c>
      <c r="E6700" s="144">
        <f>C6700*D6700</f>
        <v>0</v>
      </c>
    </row>
    <row r="6701" spans="1:5" ht="18" x14ac:dyDescent="0.35">
      <c r="A6701" s="141"/>
      <c r="B6701" s="143" t="s">
        <v>36</v>
      </c>
      <c r="C6701" s="142"/>
      <c r="D6701" s="142">
        <v>0.61</v>
      </c>
      <c r="E6701" s="144">
        <f>C6701*D6701</f>
        <v>0</v>
      </c>
    </row>
    <row r="6702" spans="1:5" ht="18" x14ac:dyDescent="0.35">
      <c r="A6702" s="141"/>
      <c r="B6702" s="143"/>
      <c r="C6702" s="145"/>
      <c r="D6702" s="146"/>
      <c r="E6702" s="144">
        <f>SUM(E6697:E6701)</f>
        <v>30.277760000000001</v>
      </c>
    </row>
    <row r="6703" spans="1:5" ht="18" x14ac:dyDescent="0.35">
      <c r="A6703" s="141"/>
      <c r="B6703" s="143" t="s">
        <v>1261</v>
      </c>
      <c r="C6703" s="145"/>
      <c r="D6703" s="146"/>
      <c r="E6703" s="144">
        <v>10</v>
      </c>
    </row>
    <row r="6704" spans="1:5" ht="18" x14ac:dyDescent="0.35">
      <c r="A6704" s="141"/>
      <c r="B6704" s="143" t="s">
        <v>37</v>
      </c>
      <c r="C6704" s="147">
        <v>20</v>
      </c>
      <c r="D6704" s="146">
        <v>1.42</v>
      </c>
      <c r="E6704" s="144">
        <f>C6704*D6704</f>
        <v>28.4</v>
      </c>
    </row>
    <row r="6705" spans="1:5" ht="18" x14ac:dyDescent="0.35">
      <c r="A6705" s="141"/>
      <c r="B6705" s="141"/>
      <c r="C6705" s="147"/>
      <c r="D6705" s="147"/>
      <c r="E6705" s="144">
        <f>SUM(E6702:E6704)</f>
        <v>68.677760000000006</v>
      </c>
    </row>
    <row r="6708" spans="1:5" ht="21" x14ac:dyDescent="0.4">
      <c r="A6708" s="40" t="s">
        <v>690</v>
      </c>
      <c r="B6708" s="40"/>
      <c r="C6708" s="40"/>
      <c r="D6708" s="12"/>
      <c r="E6708" s="12"/>
    </row>
    <row r="6709" spans="1:5" ht="18" x14ac:dyDescent="0.35">
      <c r="A6709" s="5" t="s">
        <v>1427</v>
      </c>
      <c r="B6709" s="5"/>
      <c r="C6709" s="7" t="s">
        <v>28</v>
      </c>
      <c r="D6709" s="7" t="s">
        <v>29</v>
      </c>
      <c r="E6709" s="7" t="s">
        <v>30</v>
      </c>
    </row>
    <row r="6710" spans="1:5" ht="18" x14ac:dyDescent="0.35">
      <c r="A6710" s="5" t="s">
        <v>1748</v>
      </c>
      <c r="B6710" s="50" t="s">
        <v>32</v>
      </c>
      <c r="C6710" s="7">
        <v>1.6319999999999999</v>
      </c>
      <c r="D6710" s="7">
        <v>10.34</v>
      </c>
      <c r="E6710" s="85">
        <f>C6710*D6710</f>
        <v>16.874879999999997</v>
      </c>
    </row>
    <row r="6711" spans="1:5" ht="18" x14ac:dyDescent="0.35">
      <c r="A6711" s="5" t="s">
        <v>538</v>
      </c>
      <c r="B6711" s="50" t="s">
        <v>33</v>
      </c>
      <c r="C6711" s="7">
        <v>8.4</v>
      </c>
      <c r="D6711" s="7">
        <v>17.059999999999999</v>
      </c>
      <c r="E6711" s="85">
        <f>C6711*D6711</f>
        <v>143.304</v>
      </c>
    </row>
    <row r="6712" spans="1:5" ht="18" x14ac:dyDescent="0.35">
      <c r="A6712" s="5" t="s">
        <v>682</v>
      </c>
      <c r="B6712" s="50" t="s">
        <v>137</v>
      </c>
      <c r="C6712" s="7">
        <v>1</v>
      </c>
      <c r="D6712" s="7">
        <v>15.25</v>
      </c>
      <c r="E6712" s="85">
        <f>C6712*D6712</f>
        <v>15.25</v>
      </c>
    </row>
    <row r="6713" spans="1:5" ht="18" x14ac:dyDescent="0.35">
      <c r="A6713" s="5"/>
      <c r="B6713" s="50" t="s">
        <v>35</v>
      </c>
      <c r="C6713" s="7">
        <v>4</v>
      </c>
      <c r="D6713" s="7">
        <v>2.91</v>
      </c>
      <c r="E6713" s="85">
        <f>C6713*D6713</f>
        <v>11.64</v>
      </c>
    </row>
    <row r="6714" spans="1:5" ht="18" x14ac:dyDescent="0.35">
      <c r="A6714" s="5"/>
      <c r="B6714" s="50" t="s">
        <v>36</v>
      </c>
      <c r="C6714" s="7">
        <v>4</v>
      </c>
      <c r="D6714" s="7">
        <v>0.61</v>
      </c>
      <c r="E6714" s="85">
        <f>C6714*D6714</f>
        <v>2.44</v>
      </c>
    </row>
    <row r="6715" spans="1:5" ht="18" x14ac:dyDescent="0.35">
      <c r="A6715" s="5"/>
      <c r="B6715" s="50"/>
      <c r="C6715" s="87"/>
      <c r="D6715" s="88"/>
      <c r="E6715" s="85">
        <f>SUM(E6710:E6714)</f>
        <v>189.50887999999998</v>
      </c>
    </row>
    <row r="6716" spans="1:5" ht="18" x14ac:dyDescent="0.35">
      <c r="A6716" s="5"/>
      <c r="B6716" s="50"/>
      <c r="C6716" s="87"/>
      <c r="D6716" s="88" t="s">
        <v>1266</v>
      </c>
      <c r="E6716" s="85">
        <f>E6715+E6715*40%</f>
        <v>265.31243199999994</v>
      </c>
    </row>
    <row r="6717" spans="1:5" ht="18" x14ac:dyDescent="0.35">
      <c r="A6717" s="5"/>
      <c r="B6717" s="50" t="s">
        <v>37</v>
      </c>
      <c r="C6717" s="54">
        <v>0.5</v>
      </c>
      <c r="D6717" s="86">
        <v>200</v>
      </c>
      <c r="E6717" s="85">
        <f>C6717*D6717</f>
        <v>100</v>
      </c>
    </row>
    <row r="6718" spans="1:5" ht="18" x14ac:dyDescent="0.35">
      <c r="A6718" s="5"/>
      <c r="B6718" s="5"/>
      <c r="C6718" s="54"/>
      <c r="D6718" s="54"/>
      <c r="E6718" s="85">
        <f>SUM(E6716:E6717)</f>
        <v>365.31243199999994</v>
      </c>
    </row>
    <row r="6720" spans="1:5" ht="21" x14ac:dyDescent="0.4">
      <c r="A6720" s="40" t="s">
        <v>1759</v>
      </c>
      <c r="B6720" s="40"/>
      <c r="C6720" s="84"/>
    </row>
    <row r="6721" spans="1:5" ht="18" x14ac:dyDescent="0.35">
      <c r="A6721" t="s">
        <v>1451</v>
      </c>
      <c r="B6721" s="5"/>
      <c r="C6721" s="7" t="s">
        <v>28</v>
      </c>
      <c r="D6721" s="7" t="s">
        <v>29</v>
      </c>
      <c r="E6721" s="7" t="s">
        <v>30</v>
      </c>
    </row>
    <row r="6722" spans="1:5" ht="18" x14ac:dyDescent="0.35">
      <c r="A6722" s="5" t="s">
        <v>62</v>
      </c>
      <c r="B6722" s="50" t="s">
        <v>32</v>
      </c>
      <c r="C6722" s="7">
        <v>0.873</v>
      </c>
      <c r="D6722" s="7">
        <v>14.93</v>
      </c>
      <c r="E6722" s="85">
        <f t="shared" ref="E6722:E6729" si="444">C6722*D6722</f>
        <v>13.03389</v>
      </c>
    </row>
    <row r="6723" spans="1:5" ht="18" x14ac:dyDescent="0.35">
      <c r="A6723" s="5" t="s">
        <v>143</v>
      </c>
      <c r="B6723" s="50" t="s">
        <v>33</v>
      </c>
      <c r="C6723" s="7">
        <v>1.1970000000000001</v>
      </c>
      <c r="D6723" s="7">
        <v>16.170000000000002</v>
      </c>
      <c r="E6723" s="85">
        <f t="shared" si="444"/>
        <v>19.355490000000003</v>
      </c>
    </row>
    <row r="6724" spans="1:5" ht="18" x14ac:dyDescent="0.35">
      <c r="A6724" s="5" t="s">
        <v>178</v>
      </c>
      <c r="B6724" s="50" t="s">
        <v>33</v>
      </c>
      <c r="C6724" s="7">
        <v>1.323</v>
      </c>
      <c r="D6724" s="7">
        <v>16.170000000000002</v>
      </c>
      <c r="E6724" s="85">
        <f t="shared" si="444"/>
        <v>21.392910000000001</v>
      </c>
    </row>
    <row r="6725" spans="1:5" ht="18" x14ac:dyDescent="0.35">
      <c r="A6725" s="5" t="s">
        <v>619</v>
      </c>
      <c r="B6725" s="50" t="s">
        <v>84</v>
      </c>
      <c r="C6725" s="7">
        <v>2</v>
      </c>
      <c r="D6725" s="7">
        <v>1.6</v>
      </c>
      <c r="E6725" s="85">
        <f t="shared" si="444"/>
        <v>3.2</v>
      </c>
    </row>
    <row r="6726" spans="1:5" ht="18" x14ac:dyDescent="0.35">
      <c r="A6726" s="5">
        <v>9000</v>
      </c>
      <c r="B6726" s="50" t="s">
        <v>85</v>
      </c>
      <c r="C6726" s="7">
        <v>2</v>
      </c>
      <c r="D6726" s="7">
        <v>1.48</v>
      </c>
      <c r="E6726" s="85">
        <f t="shared" si="444"/>
        <v>2.96</v>
      </c>
    </row>
    <row r="6727" spans="1:5" ht="18" x14ac:dyDescent="0.35">
      <c r="A6727" s="5"/>
      <c r="B6727" s="50" t="s">
        <v>34</v>
      </c>
      <c r="C6727" s="7"/>
      <c r="D6727" s="7">
        <v>14.61</v>
      </c>
      <c r="E6727" s="85">
        <f t="shared" si="444"/>
        <v>0</v>
      </c>
    </row>
    <row r="6728" spans="1:5" ht="18" x14ac:dyDescent="0.35">
      <c r="A6728" s="5"/>
      <c r="B6728" s="50" t="s">
        <v>35</v>
      </c>
      <c r="C6728" s="7">
        <v>4</v>
      </c>
      <c r="D6728" s="7">
        <v>2.91</v>
      </c>
      <c r="E6728" s="85">
        <f t="shared" si="444"/>
        <v>11.64</v>
      </c>
    </row>
    <row r="6729" spans="1:5" ht="18" x14ac:dyDescent="0.35">
      <c r="A6729" s="5"/>
      <c r="B6729" s="50" t="s">
        <v>36</v>
      </c>
      <c r="C6729" s="7">
        <v>4</v>
      </c>
      <c r="D6729" s="7">
        <v>0.61</v>
      </c>
      <c r="E6729" s="85">
        <f t="shared" si="444"/>
        <v>2.44</v>
      </c>
    </row>
    <row r="6730" spans="1:5" ht="18" x14ac:dyDescent="0.35">
      <c r="A6730" s="5"/>
      <c r="B6730" s="5"/>
      <c r="C6730" s="54"/>
      <c r="D6730" s="54"/>
      <c r="E6730" s="89">
        <f>SUM(E6722:E6729)</f>
        <v>74.022289999999998</v>
      </c>
    </row>
    <row r="6731" spans="1:5" ht="18" x14ac:dyDescent="0.35">
      <c r="A6731" s="5"/>
      <c r="B6731" s="5"/>
      <c r="C6731" s="54"/>
      <c r="D6731" s="54" t="s">
        <v>1063</v>
      </c>
      <c r="E6731" s="89">
        <f>E6730+E6730*40%</f>
        <v>103.63120599999999</v>
      </c>
    </row>
    <row r="6732" spans="1:5" ht="18" x14ac:dyDescent="0.35">
      <c r="A6732" s="5"/>
      <c r="B6732" s="50" t="s">
        <v>37</v>
      </c>
      <c r="C6732" s="54">
        <v>0.5</v>
      </c>
      <c r="D6732" s="54">
        <v>200</v>
      </c>
      <c r="E6732" s="85">
        <f>C6732*D6732</f>
        <v>100</v>
      </c>
    </row>
    <row r="6733" spans="1:5" ht="18" x14ac:dyDescent="0.35">
      <c r="E6733" s="85">
        <f>SUM(E6731:E6732)</f>
        <v>203.63120599999999</v>
      </c>
    </row>
    <row r="6734" spans="1:5" ht="18" x14ac:dyDescent="0.35">
      <c r="D6734" t="s">
        <v>1760</v>
      </c>
      <c r="E6734" s="85">
        <f>E6733+E6733*33%</f>
        <v>270.82950398000003</v>
      </c>
    </row>
    <row r="6736" spans="1:5" ht="21" x14ac:dyDescent="0.4">
      <c r="A6736" s="40" t="s">
        <v>1759</v>
      </c>
      <c r="B6736" s="40"/>
      <c r="C6736" s="84"/>
    </row>
    <row r="6737" spans="1:5" ht="18" x14ac:dyDescent="0.35">
      <c r="A6737" t="s">
        <v>1451</v>
      </c>
      <c r="B6737" s="5"/>
      <c r="C6737" s="7" t="s">
        <v>28</v>
      </c>
      <c r="D6737" s="7" t="s">
        <v>29</v>
      </c>
      <c r="E6737" s="7" t="s">
        <v>30</v>
      </c>
    </row>
    <row r="6738" spans="1:5" ht="18" x14ac:dyDescent="0.35">
      <c r="A6738" s="5" t="s">
        <v>64</v>
      </c>
      <c r="B6738" s="50" t="s">
        <v>32</v>
      </c>
      <c r="C6738" s="7">
        <v>1.083</v>
      </c>
      <c r="D6738" s="7">
        <v>14.93</v>
      </c>
      <c r="E6738" s="85">
        <f t="shared" ref="E6738:E6745" si="445">C6738*D6738</f>
        <v>16.16919</v>
      </c>
    </row>
    <row r="6739" spans="1:5" ht="18" x14ac:dyDescent="0.35">
      <c r="A6739" s="5" t="s">
        <v>143</v>
      </c>
      <c r="B6739" s="50" t="s">
        <v>33</v>
      </c>
      <c r="C6739" s="7">
        <v>1.827</v>
      </c>
      <c r="D6739" s="7">
        <v>16.170000000000002</v>
      </c>
      <c r="E6739" s="85">
        <f t="shared" si="445"/>
        <v>29.542590000000004</v>
      </c>
    </row>
    <row r="6740" spans="1:5" ht="18" x14ac:dyDescent="0.35">
      <c r="A6740" s="5" t="s">
        <v>217</v>
      </c>
      <c r="B6740" s="50" t="s">
        <v>33</v>
      </c>
      <c r="C6740" s="7">
        <v>2.0579999999999998</v>
      </c>
      <c r="D6740" s="7">
        <v>16.170000000000002</v>
      </c>
      <c r="E6740" s="85">
        <f t="shared" si="445"/>
        <v>33.277860000000004</v>
      </c>
    </row>
    <row r="6741" spans="1:5" ht="18" x14ac:dyDescent="0.35">
      <c r="A6741" s="5" t="s">
        <v>1761</v>
      </c>
      <c r="B6741" s="50" t="s">
        <v>84</v>
      </c>
      <c r="C6741" s="7">
        <v>2</v>
      </c>
      <c r="D6741" s="7">
        <v>1.6</v>
      </c>
      <c r="E6741" s="85">
        <f t="shared" si="445"/>
        <v>3.2</v>
      </c>
    </row>
    <row r="6742" spans="1:5" ht="18" x14ac:dyDescent="0.35">
      <c r="A6742" s="5" t="s">
        <v>1762</v>
      </c>
      <c r="B6742" s="50" t="s">
        <v>86</v>
      </c>
      <c r="C6742" s="7">
        <v>2</v>
      </c>
      <c r="D6742" s="7">
        <v>1.7</v>
      </c>
      <c r="E6742" s="85">
        <f t="shared" si="445"/>
        <v>3.4</v>
      </c>
    </row>
    <row r="6743" spans="1:5" ht="18" x14ac:dyDescent="0.35">
      <c r="A6743" s="5"/>
      <c r="B6743" s="50" t="s">
        <v>34</v>
      </c>
      <c r="C6743" s="7"/>
      <c r="D6743" s="7">
        <v>14.61</v>
      </c>
      <c r="E6743" s="85">
        <f t="shared" si="445"/>
        <v>0</v>
      </c>
    </row>
    <row r="6744" spans="1:5" ht="18" x14ac:dyDescent="0.35">
      <c r="A6744" s="5"/>
      <c r="B6744" s="50" t="s">
        <v>35</v>
      </c>
      <c r="C6744" s="7">
        <v>4</v>
      </c>
      <c r="D6744" s="7">
        <v>2.91</v>
      </c>
      <c r="E6744" s="85">
        <f t="shared" si="445"/>
        <v>11.64</v>
      </c>
    </row>
    <row r="6745" spans="1:5" ht="18" x14ac:dyDescent="0.35">
      <c r="A6745" s="5"/>
      <c r="B6745" s="50" t="s">
        <v>36</v>
      </c>
      <c r="C6745" s="7">
        <v>4</v>
      </c>
      <c r="D6745" s="7">
        <v>0.61</v>
      </c>
      <c r="E6745" s="85">
        <f t="shared" si="445"/>
        <v>2.44</v>
      </c>
    </row>
    <row r="6746" spans="1:5" ht="18" x14ac:dyDescent="0.35">
      <c r="A6746" s="5"/>
      <c r="B6746" s="5"/>
      <c r="C6746" s="54"/>
      <c r="D6746" s="54"/>
      <c r="E6746" s="89">
        <f>SUM(E6738:E6745)</f>
        <v>99.669640000000015</v>
      </c>
    </row>
    <row r="6747" spans="1:5" ht="18" x14ac:dyDescent="0.35">
      <c r="A6747" s="5"/>
      <c r="B6747" s="5"/>
      <c r="C6747" s="54"/>
      <c r="D6747" s="54" t="s">
        <v>1063</v>
      </c>
      <c r="E6747" s="89">
        <f>E6746+E6746*40%</f>
        <v>139.53749600000003</v>
      </c>
    </row>
    <row r="6748" spans="1:5" ht="18" x14ac:dyDescent="0.35">
      <c r="A6748" s="5"/>
      <c r="B6748" s="50" t="s">
        <v>37</v>
      </c>
      <c r="C6748" s="54">
        <v>0.5</v>
      </c>
      <c r="D6748" s="54">
        <v>200</v>
      </c>
      <c r="E6748" s="85">
        <f>C6748*D6748</f>
        <v>100</v>
      </c>
    </row>
    <row r="6749" spans="1:5" ht="18" x14ac:dyDescent="0.35">
      <c r="E6749" s="85">
        <f>SUM(E6747:E6748)</f>
        <v>239.53749600000003</v>
      </c>
    </row>
    <row r="6750" spans="1:5" ht="18" x14ac:dyDescent="0.35">
      <c r="D6750" t="s">
        <v>1760</v>
      </c>
      <c r="E6750" s="85">
        <f>E6749+E6749*33%</f>
        <v>318.58486968000005</v>
      </c>
    </row>
    <row r="6753" spans="1:5" ht="21" x14ac:dyDescent="0.4">
      <c r="A6753" s="40" t="s">
        <v>1759</v>
      </c>
      <c r="B6753" s="40"/>
      <c r="C6753" s="84"/>
    </row>
    <row r="6754" spans="1:5" ht="18" x14ac:dyDescent="0.35">
      <c r="A6754" t="s">
        <v>1451</v>
      </c>
      <c r="B6754" s="5"/>
      <c r="C6754" s="7" t="s">
        <v>28</v>
      </c>
      <c r="D6754" s="7" t="s">
        <v>29</v>
      </c>
      <c r="E6754" s="7" t="s">
        <v>30</v>
      </c>
    </row>
    <row r="6755" spans="1:5" ht="18" x14ac:dyDescent="0.35">
      <c r="A6755" s="5" t="s">
        <v>64</v>
      </c>
      <c r="B6755" s="50" t="s">
        <v>32</v>
      </c>
      <c r="C6755" s="7">
        <v>1.083</v>
      </c>
      <c r="D6755" s="7">
        <v>14.93</v>
      </c>
      <c r="E6755" s="85">
        <f t="shared" ref="E6755:E6762" si="446">C6755*D6755</f>
        <v>16.16919</v>
      </c>
    </row>
    <row r="6756" spans="1:5" ht="18" x14ac:dyDescent="0.35">
      <c r="A6756" s="5" t="s">
        <v>143</v>
      </c>
      <c r="B6756" s="50" t="s">
        <v>33</v>
      </c>
      <c r="C6756" s="7">
        <v>1.827</v>
      </c>
      <c r="D6756" s="7">
        <v>16.170000000000002</v>
      </c>
      <c r="E6756" s="85">
        <f t="shared" si="446"/>
        <v>29.542590000000004</v>
      </c>
    </row>
    <row r="6757" spans="1:5" ht="18" x14ac:dyDescent="0.35">
      <c r="A6757" s="5" t="s">
        <v>217</v>
      </c>
      <c r="B6757" s="50" t="s">
        <v>33</v>
      </c>
      <c r="C6757" s="7">
        <v>2.0579999999999998</v>
      </c>
      <c r="D6757" s="7">
        <v>16.170000000000002</v>
      </c>
      <c r="E6757" s="85">
        <f t="shared" si="446"/>
        <v>33.277860000000004</v>
      </c>
    </row>
    <row r="6758" spans="1:5" ht="18" x14ac:dyDescent="0.35">
      <c r="A6758" s="5" t="s">
        <v>1761</v>
      </c>
      <c r="B6758" s="50" t="s">
        <v>84</v>
      </c>
      <c r="C6758" s="7">
        <v>2</v>
      </c>
      <c r="D6758" s="7">
        <v>1.6</v>
      </c>
      <c r="E6758" s="85">
        <f t="shared" si="446"/>
        <v>3.2</v>
      </c>
    </row>
    <row r="6759" spans="1:5" ht="18" x14ac:dyDescent="0.35">
      <c r="A6759" s="5" t="s">
        <v>1763</v>
      </c>
      <c r="B6759" s="50" t="s">
        <v>86</v>
      </c>
      <c r="C6759" s="7">
        <v>2</v>
      </c>
      <c r="D6759" s="7">
        <v>1.7</v>
      </c>
      <c r="E6759" s="85">
        <f t="shared" si="446"/>
        <v>3.4</v>
      </c>
    </row>
    <row r="6760" spans="1:5" ht="18" x14ac:dyDescent="0.35">
      <c r="A6760" s="5"/>
      <c r="B6760" s="50" t="s">
        <v>34</v>
      </c>
      <c r="C6760" s="7"/>
      <c r="D6760" s="7">
        <v>14.61</v>
      </c>
      <c r="E6760" s="85">
        <f t="shared" si="446"/>
        <v>0</v>
      </c>
    </row>
    <row r="6761" spans="1:5" ht="18" x14ac:dyDescent="0.35">
      <c r="A6761" s="5"/>
      <c r="B6761" s="50" t="s">
        <v>35</v>
      </c>
      <c r="C6761" s="7">
        <v>4</v>
      </c>
      <c r="D6761" s="7">
        <v>2.91</v>
      </c>
      <c r="E6761" s="85">
        <f t="shared" si="446"/>
        <v>11.64</v>
      </c>
    </row>
    <row r="6762" spans="1:5" ht="18" x14ac:dyDescent="0.35">
      <c r="A6762" s="5"/>
      <c r="B6762" s="50" t="s">
        <v>36</v>
      </c>
      <c r="C6762" s="7">
        <v>4</v>
      </c>
      <c r="D6762" s="7">
        <v>0.61</v>
      </c>
      <c r="E6762" s="85">
        <f t="shared" si="446"/>
        <v>2.44</v>
      </c>
    </row>
    <row r="6763" spans="1:5" ht="18" x14ac:dyDescent="0.35">
      <c r="A6763" s="5"/>
      <c r="B6763" s="5"/>
      <c r="C6763" s="54"/>
      <c r="D6763" s="54"/>
      <c r="E6763" s="89">
        <f>SUM(E6755:E6762)</f>
        <v>99.669640000000015</v>
      </c>
    </row>
    <row r="6764" spans="1:5" ht="18" x14ac:dyDescent="0.35">
      <c r="A6764" s="5"/>
      <c r="B6764" s="5"/>
      <c r="C6764" s="54"/>
      <c r="D6764" s="54" t="s">
        <v>1063</v>
      </c>
      <c r="E6764" s="89">
        <f>E6763+E6763*40%</f>
        <v>139.53749600000003</v>
      </c>
    </row>
    <row r="6765" spans="1:5" ht="18" x14ac:dyDescent="0.35">
      <c r="A6765" s="5"/>
      <c r="B6765" s="50" t="s">
        <v>37</v>
      </c>
      <c r="C6765" s="54">
        <v>0.5</v>
      </c>
      <c r="D6765" s="54">
        <v>200</v>
      </c>
      <c r="E6765" s="85">
        <f>C6765*D6765</f>
        <v>100</v>
      </c>
    </row>
    <row r="6766" spans="1:5" ht="18" x14ac:dyDescent="0.35">
      <c r="E6766" s="85">
        <f>SUM(E6764:E6765)</f>
        <v>239.53749600000003</v>
      </c>
    </row>
    <row r="6767" spans="1:5" ht="18" x14ac:dyDescent="0.35">
      <c r="D6767" t="s">
        <v>1760</v>
      </c>
      <c r="E6767" s="85">
        <f>E6766+E6766*33%</f>
        <v>318.58486968000005</v>
      </c>
    </row>
    <row r="6769" spans="1:5" ht="21" x14ac:dyDescent="0.4">
      <c r="A6769" s="40" t="s">
        <v>1759</v>
      </c>
      <c r="B6769" s="40"/>
      <c r="C6769" s="84"/>
    </row>
    <row r="6770" spans="1:5" ht="18" x14ac:dyDescent="0.35">
      <c r="A6770" t="s">
        <v>1451</v>
      </c>
      <c r="B6770" s="5"/>
      <c r="C6770" s="7" t="s">
        <v>28</v>
      </c>
      <c r="D6770" s="7" t="s">
        <v>29</v>
      </c>
      <c r="E6770" s="7" t="s">
        <v>30</v>
      </c>
    </row>
    <row r="6771" spans="1:5" ht="18" x14ac:dyDescent="0.35">
      <c r="A6771" s="5" t="s">
        <v>65</v>
      </c>
      <c r="B6771" s="50" t="s">
        <v>32</v>
      </c>
      <c r="C6771" s="7">
        <v>1.294</v>
      </c>
      <c r="D6771" s="7">
        <v>14.93</v>
      </c>
      <c r="E6771" s="85">
        <f t="shared" ref="E6771:E6778" si="447">C6771*D6771</f>
        <v>19.319420000000001</v>
      </c>
    </row>
    <row r="6772" spans="1:5" ht="18" x14ac:dyDescent="0.35">
      <c r="A6772" s="5" t="s">
        <v>143</v>
      </c>
      <c r="B6772" s="50" t="s">
        <v>33</v>
      </c>
      <c r="C6772" s="7">
        <v>2.4569999999999999</v>
      </c>
      <c r="D6772" s="7">
        <v>16.170000000000002</v>
      </c>
      <c r="E6772" s="85">
        <f t="shared" si="447"/>
        <v>39.729690000000005</v>
      </c>
    </row>
    <row r="6773" spans="1:5" ht="18" x14ac:dyDescent="0.35">
      <c r="A6773" s="5" t="s">
        <v>54</v>
      </c>
      <c r="B6773" s="50" t="s">
        <v>33</v>
      </c>
      <c r="C6773" s="7">
        <v>2.7930000000000001</v>
      </c>
      <c r="D6773" s="7">
        <v>16.170000000000002</v>
      </c>
      <c r="E6773" s="85">
        <f t="shared" si="447"/>
        <v>45.162810000000007</v>
      </c>
    </row>
    <row r="6774" spans="1:5" ht="18" x14ac:dyDescent="0.35">
      <c r="A6774" s="5" t="s">
        <v>696</v>
      </c>
      <c r="B6774" s="50" t="s">
        <v>84</v>
      </c>
      <c r="C6774" s="7">
        <v>2</v>
      </c>
      <c r="D6774" s="7">
        <v>1.6</v>
      </c>
      <c r="E6774" s="85">
        <f t="shared" si="447"/>
        <v>3.2</v>
      </c>
    </row>
    <row r="6775" spans="1:5" ht="18" x14ac:dyDescent="0.35">
      <c r="A6775" s="5" t="s">
        <v>1764</v>
      </c>
      <c r="B6775" s="50" t="s">
        <v>86</v>
      </c>
      <c r="C6775" s="7">
        <v>2</v>
      </c>
      <c r="D6775" s="7">
        <v>1.7</v>
      </c>
      <c r="E6775" s="85">
        <f t="shared" si="447"/>
        <v>3.4</v>
      </c>
    </row>
    <row r="6776" spans="1:5" ht="18" x14ac:dyDescent="0.35">
      <c r="A6776" s="5"/>
      <c r="B6776" s="50" t="s">
        <v>34</v>
      </c>
      <c r="C6776" s="7"/>
      <c r="D6776" s="7">
        <v>14.61</v>
      </c>
      <c r="E6776" s="85">
        <f t="shared" si="447"/>
        <v>0</v>
      </c>
    </row>
    <row r="6777" spans="1:5" ht="18" x14ac:dyDescent="0.35">
      <c r="A6777" s="5"/>
      <c r="B6777" s="50" t="s">
        <v>35</v>
      </c>
      <c r="C6777" s="7">
        <v>4</v>
      </c>
      <c r="D6777" s="7">
        <v>2.91</v>
      </c>
      <c r="E6777" s="85">
        <f t="shared" si="447"/>
        <v>11.64</v>
      </c>
    </row>
    <row r="6778" spans="1:5" ht="18" x14ac:dyDescent="0.35">
      <c r="A6778" s="5"/>
      <c r="B6778" s="50" t="s">
        <v>36</v>
      </c>
      <c r="C6778" s="7">
        <v>4</v>
      </c>
      <c r="D6778" s="7">
        <v>0.61</v>
      </c>
      <c r="E6778" s="85">
        <f t="shared" si="447"/>
        <v>2.44</v>
      </c>
    </row>
    <row r="6779" spans="1:5" ht="18" x14ac:dyDescent="0.35">
      <c r="A6779" s="5"/>
      <c r="B6779" s="5"/>
      <c r="C6779" s="54"/>
      <c r="D6779" s="54"/>
      <c r="E6779" s="89">
        <f>SUM(E6771:E6778)</f>
        <v>124.89192000000003</v>
      </c>
    </row>
    <row r="6780" spans="1:5" ht="18" x14ac:dyDescent="0.35">
      <c r="A6780" s="5"/>
      <c r="B6780" s="5"/>
      <c r="C6780" s="54"/>
      <c r="D6780" s="54" t="s">
        <v>1063</v>
      </c>
      <c r="E6780" s="89">
        <f>E6779+E6779*40%</f>
        <v>174.84868800000004</v>
      </c>
    </row>
    <row r="6781" spans="1:5" ht="18" x14ac:dyDescent="0.35">
      <c r="A6781" s="5"/>
      <c r="B6781" s="50" t="s">
        <v>37</v>
      </c>
      <c r="C6781" s="54">
        <v>0.5</v>
      </c>
      <c r="D6781" s="54">
        <v>200</v>
      </c>
      <c r="E6781" s="85">
        <f>C6781*D6781</f>
        <v>100</v>
      </c>
    </row>
    <row r="6782" spans="1:5" ht="18" x14ac:dyDescent="0.35">
      <c r="E6782" s="85">
        <f>SUM(E6780:E6781)</f>
        <v>274.84868800000004</v>
      </c>
    </row>
    <row r="6783" spans="1:5" ht="18" x14ac:dyDescent="0.35">
      <c r="D6783" t="s">
        <v>1760</v>
      </c>
      <c r="E6783" s="85">
        <f>E6782+E6782*33%</f>
        <v>365.54875504000006</v>
      </c>
    </row>
    <row r="6785" spans="1:5" ht="21" x14ac:dyDescent="0.4">
      <c r="A6785" s="40" t="s">
        <v>1765</v>
      </c>
      <c r="B6785" s="40"/>
      <c r="C6785" s="40"/>
      <c r="D6785" s="12"/>
      <c r="E6785" s="12"/>
    </row>
    <row r="6786" spans="1:5" ht="18" x14ac:dyDescent="0.35">
      <c r="A6786" s="5" t="s">
        <v>1746</v>
      </c>
      <c r="B6786" s="5"/>
      <c r="C6786" s="7" t="s">
        <v>28</v>
      </c>
      <c r="D6786" s="7" t="s">
        <v>29</v>
      </c>
      <c r="E6786" s="7" t="s">
        <v>30</v>
      </c>
    </row>
    <row r="6787" spans="1:5" ht="18" x14ac:dyDescent="0.35">
      <c r="A6787" s="5" t="s">
        <v>1766</v>
      </c>
      <c r="B6787" s="50" t="s">
        <v>32</v>
      </c>
      <c r="C6787" s="7">
        <v>2.238</v>
      </c>
      <c r="D6787" s="7">
        <v>10.34</v>
      </c>
      <c r="E6787" s="85">
        <f>C6787*D6787</f>
        <v>23.140920000000001</v>
      </c>
    </row>
    <row r="6788" spans="1:5" ht="18" x14ac:dyDescent="0.35">
      <c r="A6788" s="5" t="s">
        <v>55</v>
      </c>
      <c r="B6788" s="50" t="s">
        <v>33</v>
      </c>
      <c r="C6788" s="7">
        <v>16.128</v>
      </c>
      <c r="D6788" s="7">
        <v>17.059999999999999</v>
      </c>
      <c r="E6788" s="85">
        <f>C6788*D6788</f>
        <v>275.14367999999996</v>
      </c>
    </row>
    <row r="6789" spans="1:5" ht="18" x14ac:dyDescent="0.35">
      <c r="A6789" s="5" t="s">
        <v>1767</v>
      </c>
      <c r="B6789" s="50" t="s">
        <v>137</v>
      </c>
      <c r="C6789" s="7">
        <v>1</v>
      </c>
      <c r="D6789" s="7">
        <v>15.25</v>
      </c>
      <c r="E6789" s="85">
        <f>C6789*D6789</f>
        <v>15.25</v>
      </c>
    </row>
    <row r="6790" spans="1:5" ht="18" x14ac:dyDescent="0.35">
      <c r="A6790" s="5"/>
      <c r="B6790" s="50" t="s">
        <v>35</v>
      </c>
      <c r="C6790" s="7">
        <v>4</v>
      </c>
      <c r="D6790" s="7">
        <v>2.91</v>
      </c>
      <c r="E6790" s="85">
        <f>C6790*D6790</f>
        <v>11.64</v>
      </c>
    </row>
    <row r="6791" spans="1:5" ht="18" x14ac:dyDescent="0.35">
      <c r="A6791" s="5"/>
      <c r="B6791" s="50" t="s">
        <v>36</v>
      </c>
      <c r="C6791" s="7">
        <v>4</v>
      </c>
      <c r="D6791" s="7">
        <v>0.61</v>
      </c>
      <c r="E6791" s="85">
        <f>C6791*D6791</f>
        <v>2.44</v>
      </c>
    </row>
    <row r="6792" spans="1:5" ht="18" x14ac:dyDescent="0.35">
      <c r="A6792" s="5"/>
      <c r="B6792" s="50"/>
      <c r="C6792" s="87"/>
      <c r="D6792" s="88"/>
      <c r="E6792" s="85">
        <f>SUM(E6787:E6791)</f>
        <v>327.61459999999994</v>
      </c>
    </row>
    <row r="6793" spans="1:5" ht="18" x14ac:dyDescent="0.35">
      <c r="A6793" s="5"/>
      <c r="B6793" s="50"/>
      <c r="C6793" s="87"/>
      <c r="D6793" s="88" t="s">
        <v>1266</v>
      </c>
      <c r="E6793" s="85">
        <f>E6792+E6792*40%</f>
        <v>458.66043999999988</v>
      </c>
    </row>
    <row r="6794" spans="1:5" ht="18" x14ac:dyDescent="0.35">
      <c r="A6794" s="5"/>
      <c r="B6794" s="50" t="s">
        <v>37</v>
      </c>
      <c r="C6794" s="54">
        <v>0.6</v>
      </c>
      <c r="D6794" s="86">
        <v>200</v>
      </c>
      <c r="E6794" s="85">
        <f>C6794*D6794</f>
        <v>120</v>
      </c>
    </row>
    <row r="6795" spans="1:5" ht="18" x14ac:dyDescent="0.35">
      <c r="A6795" s="5"/>
      <c r="B6795" s="5"/>
      <c r="C6795" s="54"/>
      <c r="D6795" s="54"/>
      <c r="E6795" s="85">
        <f>SUM(E6793:E6794)</f>
        <v>578.66043999999988</v>
      </c>
    </row>
    <row r="6797" spans="1:5" ht="21" x14ac:dyDescent="0.4">
      <c r="A6797" s="40" t="s">
        <v>1049</v>
      </c>
      <c r="B6797" s="40"/>
      <c r="C6797" s="84"/>
    </row>
    <row r="6798" spans="1:5" ht="18" x14ac:dyDescent="0.35">
      <c r="A6798" s="5" t="s">
        <v>1451</v>
      </c>
      <c r="B6798" s="5"/>
      <c r="C6798" s="7" t="s">
        <v>28</v>
      </c>
      <c r="D6798" s="7" t="s">
        <v>29</v>
      </c>
      <c r="E6798" s="7" t="s">
        <v>30</v>
      </c>
    </row>
    <row r="6799" spans="1:5" ht="18" x14ac:dyDescent="0.35">
      <c r="A6799" s="5" t="s">
        <v>31</v>
      </c>
      <c r="B6799" s="50" t="s">
        <v>32</v>
      </c>
      <c r="C6799" s="7">
        <v>0.76800000000000002</v>
      </c>
      <c r="D6799" s="7">
        <v>10.34</v>
      </c>
      <c r="E6799" s="85">
        <f t="shared" ref="E6799:E6804" si="448">C6799*D6799</f>
        <v>7.9411199999999997</v>
      </c>
    </row>
    <row r="6800" spans="1:5" ht="18" x14ac:dyDescent="0.35">
      <c r="A6800" s="5" t="s">
        <v>238</v>
      </c>
      <c r="B6800" s="50" t="s">
        <v>33</v>
      </c>
      <c r="C6800" s="7">
        <v>0.79800000000000004</v>
      </c>
      <c r="D6800" s="7">
        <v>16.170000000000002</v>
      </c>
      <c r="E6800" s="85">
        <f t="shared" si="448"/>
        <v>12.903660000000002</v>
      </c>
    </row>
    <row r="6801" spans="1:5" ht="18" x14ac:dyDescent="0.35">
      <c r="A6801" s="5" t="s">
        <v>1048</v>
      </c>
      <c r="B6801" s="50" t="s">
        <v>113</v>
      </c>
      <c r="C6801" s="7">
        <v>2</v>
      </c>
      <c r="D6801" s="7">
        <v>2.2400000000000002</v>
      </c>
      <c r="E6801" s="85">
        <f t="shared" si="448"/>
        <v>4.4800000000000004</v>
      </c>
    </row>
    <row r="6802" spans="1:5" ht="18" x14ac:dyDescent="0.35">
      <c r="A6802" s="5"/>
      <c r="B6802" s="50" t="s">
        <v>34</v>
      </c>
      <c r="C6802" s="7"/>
      <c r="D6802" s="7">
        <v>14.61</v>
      </c>
      <c r="E6802" s="85">
        <f t="shared" si="448"/>
        <v>0</v>
      </c>
    </row>
    <row r="6803" spans="1:5" ht="18" x14ac:dyDescent="0.35">
      <c r="A6803" s="5"/>
      <c r="B6803" s="50" t="s">
        <v>35</v>
      </c>
      <c r="C6803" s="7">
        <v>4</v>
      </c>
      <c r="D6803" s="7">
        <v>2.91</v>
      </c>
      <c r="E6803" s="85">
        <f t="shared" si="448"/>
        <v>11.64</v>
      </c>
    </row>
    <row r="6804" spans="1:5" ht="18" x14ac:dyDescent="0.35">
      <c r="A6804" s="5"/>
      <c r="B6804" s="50" t="s">
        <v>36</v>
      </c>
      <c r="C6804" s="7">
        <v>4</v>
      </c>
      <c r="D6804" s="7">
        <v>0.61</v>
      </c>
      <c r="E6804" s="85">
        <f t="shared" si="448"/>
        <v>2.44</v>
      </c>
    </row>
    <row r="6805" spans="1:5" ht="18" x14ac:dyDescent="0.35">
      <c r="A6805" s="5"/>
      <c r="B6805" s="5"/>
      <c r="C6805" s="54"/>
      <c r="D6805" s="54"/>
      <c r="E6805" s="89">
        <f>SUM(E6799:E6804)</f>
        <v>39.404780000000002</v>
      </c>
    </row>
    <row r="6806" spans="1:5" ht="18" x14ac:dyDescent="0.35">
      <c r="A6806" s="5"/>
      <c r="B6806" s="5"/>
      <c r="C6806" s="54"/>
      <c r="D6806" s="54" t="s">
        <v>1063</v>
      </c>
      <c r="E6806" s="89">
        <f>E6805+E6805*40%</f>
        <v>55.166692000000005</v>
      </c>
    </row>
    <row r="6807" spans="1:5" ht="18" x14ac:dyDescent="0.35">
      <c r="A6807" s="5"/>
      <c r="B6807" s="50" t="s">
        <v>37</v>
      </c>
      <c r="C6807" s="54">
        <v>0.5</v>
      </c>
      <c r="D6807" s="54">
        <v>200</v>
      </c>
      <c r="E6807" s="85">
        <f>C6807*D6807</f>
        <v>100</v>
      </c>
    </row>
    <row r="6808" spans="1:5" ht="18" x14ac:dyDescent="0.35">
      <c r="A6808" s="5"/>
      <c r="B6808" s="5"/>
      <c r="C6808" s="54"/>
      <c r="D6808" s="54"/>
      <c r="E6808" s="85">
        <f>SUM(E6806:E6807)</f>
        <v>155.16669200000001</v>
      </c>
    </row>
    <row r="6810" spans="1:5" ht="21" x14ac:dyDescent="0.4">
      <c r="A6810" s="40" t="s">
        <v>1776</v>
      </c>
      <c r="B6810" s="40"/>
      <c r="C6810" s="84"/>
    </row>
    <row r="6811" spans="1:5" ht="18" x14ac:dyDescent="0.35">
      <c r="A6811" t="s">
        <v>1777</v>
      </c>
      <c r="B6811" s="5"/>
      <c r="C6811" s="7" t="s">
        <v>28</v>
      </c>
      <c r="D6811" s="7" t="s">
        <v>29</v>
      </c>
      <c r="E6811" s="7" t="s">
        <v>30</v>
      </c>
    </row>
    <row r="6812" spans="1:5" ht="18" x14ac:dyDescent="0.35">
      <c r="A6812" s="5" t="s">
        <v>46</v>
      </c>
      <c r="B6812" s="50" t="s">
        <v>32</v>
      </c>
      <c r="C6812" s="7">
        <v>2.028</v>
      </c>
      <c r="D6812" s="7">
        <v>14.93</v>
      </c>
      <c r="E6812" s="85">
        <f t="shared" ref="E6812:E6819" si="449">C6812*D6812</f>
        <v>30.278040000000001</v>
      </c>
    </row>
    <row r="6813" spans="1:5" ht="18" x14ac:dyDescent="0.35">
      <c r="A6813" s="5" t="s">
        <v>238</v>
      </c>
      <c r="B6813" s="50" t="s">
        <v>33</v>
      </c>
      <c r="C6813" s="7">
        <v>3.3180000000000001</v>
      </c>
      <c r="D6813" s="7">
        <v>16.170000000000002</v>
      </c>
      <c r="E6813" s="85">
        <f t="shared" si="449"/>
        <v>53.652060000000006</v>
      </c>
    </row>
    <row r="6814" spans="1:5" ht="18" x14ac:dyDescent="0.35">
      <c r="A6814" s="5" t="s">
        <v>1381</v>
      </c>
      <c r="B6814" s="50" t="s">
        <v>33</v>
      </c>
      <c r="C6814" s="7">
        <v>3.5910000000000002</v>
      </c>
      <c r="D6814" s="7">
        <v>16.170000000000002</v>
      </c>
      <c r="E6814" s="85">
        <f t="shared" si="449"/>
        <v>58.06647000000001</v>
      </c>
    </row>
    <row r="6815" spans="1:5" ht="18" x14ac:dyDescent="0.35">
      <c r="A6815" s="5" t="s">
        <v>674</v>
      </c>
      <c r="B6815" s="50" t="s">
        <v>42</v>
      </c>
      <c r="C6815" s="7">
        <v>2</v>
      </c>
      <c r="D6815" s="7">
        <v>1.1499999999999999</v>
      </c>
      <c r="E6815" s="85">
        <f t="shared" si="449"/>
        <v>2.2999999999999998</v>
      </c>
    </row>
    <row r="6816" spans="1:5" ht="18" x14ac:dyDescent="0.35">
      <c r="A6816" s="5" t="s">
        <v>1764</v>
      </c>
      <c r="B6816" s="50" t="s">
        <v>92</v>
      </c>
      <c r="C6816" s="7">
        <v>4</v>
      </c>
      <c r="D6816" s="7">
        <v>3.62</v>
      </c>
      <c r="E6816" s="85">
        <f t="shared" si="449"/>
        <v>14.48</v>
      </c>
    </row>
    <row r="6817" spans="1:5" ht="18" x14ac:dyDescent="0.35">
      <c r="A6817" s="5"/>
      <c r="B6817" s="50" t="s">
        <v>34</v>
      </c>
      <c r="C6817" s="7">
        <v>0.105</v>
      </c>
      <c r="D6817" s="7">
        <v>14.61</v>
      </c>
      <c r="E6817" s="85">
        <f t="shared" si="449"/>
        <v>1.5340499999999999</v>
      </c>
    </row>
    <row r="6818" spans="1:5" ht="18" x14ac:dyDescent="0.35">
      <c r="A6818" s="5"/>
      <c r="B6818" s="50" t="s">
        <v>35</v>
      </c>
      <c r="C6818" s="7">
        <v>4</v>
      </c>
      <c r="D6818" s="7">
        <v>2.91</v>
      </c>
      <c r="E6818" s="85">
        <f t="shared" si="449"/>
        <v>11.64</v>
      </c>
    </row>
    <row r="6819" spans="1:5" ht="18" x14ac:dyDescent="0.35">
      <c r="A6819" s="5"/>
      <c r="B6819" s="50" t="s">
        <v>36</v>
      </c>
      <c r="C6819" s="7">
        <v>4</v>
      </c>
      <c r="D6819" s="7">
        <v>0.61</v>
      </c>
      <c r="E6819" s="85">
        <f t="shared" si="449"/>
        <v>2.44</v>
      </c>
    </row>
    <row r="6820" spans="1:5" ht="18" x14ac:dyDescent="0.35">
      <c r="A6820" s="5"/>
      <c r="B6820" s="5"/>
      <c r="C6820" s="54"/>
      <c r="D6820" s="54"/>
      <c r="E6820" s="89">
        <f>SUM(E6812:E6819)</f>
        <v>174.39062000000001</v>
      </c>
    </row>
    <row r="6821" spans="1:5" ht="18" x14ac:dyDescent="0.35">
      <c r="A6821" s="5"/>
      <c r="B6821" s="5"/>
      <c r="C6821" s="54"/>
      <c r="D6821" s="54" t="s">
        <v>1063</v>
      </c>
      <c r="E6821" s="89">
        <f>E6820+E6820*40%</f>
        <v>244.14686800000004</v>
      </c>
    </row>
    <row r="6822" spans="1:5" ht="18" x14ac:dyDescent="0.35">
      <c r="A6822" s="5"/>
      <c r="B6822" s="50" t="s">
        <v>37</v>
      </c>
      <c r="C6822" s="54">
        <v>0.5</v>
      </c>
      <c r="D6822" s="54">
        <v>200</v>
      </c>
      <c r="E6822" s="85">
        <f>C6822*D6822</f>
        <v>100</v>
      </c>
    </row>
    <row r="6823" spans="1:5" ht="18" x14ac:dyDescent="0.35">
      <c r="E6823" s="85">
        <f>SUM(E6821:E6822)</f>
        <v>344.14686800000004</v>
      </c>
    </row>
    <row r="6824" spans="1:5" ht="18" x14ac:dyDescent="0.35">
      <c r="D6824" t="s">
        <v>1760</v>
      </c>
      <c r="E6824" s="85">
        <f>E6823+E6823*33%</f>
        <v>457.71533444000005</v>
      </c>
    </row>
    <row r="6826" spans="1:5" ht="21" x14ac:dyDescent="0.4">
      <c r="A6826" s="40" t="s">
        <v>1392</v>
      </c>
      <c r="B6826" s="40"/>
      <c r="C6826" s="40"/>
      <c r="D6826" s="12"/>
      <c r="E6826" s="12"/>
    </row>
    <row r="6827" spans="1:5" ht="18" x14ac:dyDescent="0.35">
      <c r="A6827" s="5" t="s">
        <v>1746</v>
      </c>
      <c r="B6827" s="5"/>
      <c r="C6827" s="7" t="s">
        <v>28</v>
      </c>
      <c r="D6827" s="7" t="s">
        <v>29</v>
      </c>
      <c r="E6827" s="7" t="s">
        <v>30</v>
      </c>
    </row>
    <row r="6828" spans="1:5" ht="18" x14ac:dyDescent="0.35">
      <c r="A6828" s="5" t="s">
        <v>40</v>
      </c>
      <c r="B6828" s="50" t="s">
        <v>32</v>
      </c>
      <c r="C6828" s="7"/>
      <c r="D6828" s="7">
        <v>10.34</v>
      </c>
      <c r="E6828" s="85">
        <f>C6828*D6828</f>
        <v>0</v>
      </c>
    </row>
    <row r="6829" spans="1:5" ht="18" x14ac:dyDescent="0.35">
      <c r="A6829" s="5" t="s">
        <v>220</v>
      </c>
      <c r="B6829" s="50" t="s">
        <v>33</v>
      </c>
      <c r="C6829" s="7">
        <v>3.2759999999999998</v>
      </c>
      <c r="D6829" s="7">
        <v>17.059999999999999</v>
      </c>
      <c r="E6829" s="85">
        <f>C6829*D6829</f>
        <v>55.888559999999991</v>
      </c>
    </row>
    <row r="6830" spans="1:5" ht="18" x14ac:dyDescent="0.35">
      <c r="A6830" s="5" t="s">
        <v>677</v>
      </c>
      <c r="B6830" s="50" t="s">
        <v>137</v>
      </c>
      <c r="C6830" s="7">
        <v>0.21</v>
      </c>
      <c r="D6830" s="7">
        <v>15.25</v>
      </c>
      <c r="E6830" s="85">
        <f>C6830*D6830</f>
        <v>3.2024999999999997</v>
      </c>
    </row>
    <row r="6831" spans="1:5" ht="18" x14ac:dyDescent="0.35">
      <c r="A6831" s="5">
        <v>3925</v>
      </c>
      <c r="B6831" s="50" t="s">
        <v>35</v>
      </c>
      <c r="C6831" s="7">
        <v>4</v>
      </c>
      <c r="D6831" s="7">
        <v>2.91</v>
      </c>
      <c r="E6831" s="85">
        <f>C6831*D6831</f>
        <v>11.64</v>
      </c>
    </row>
    <row r="6832" spans="1:5" ht="18" x14ac:dyDescent="0.35">
      <c r="A6832" s="5"/>
      <c r="B6832" s="50" t="s">
        <v>36</v>
      </c>
      <c r="C6832" s="7">
        <v>4</v>
      </c>
      <c r="D6832" s="7">
        <v>0.61</v>
      </c>
      <c r="E6832" s="85">
        <f>C6832*D6832</f>
        <v>2.44</v>
      </c>
    </row>
    <row r="6833" spans="1:5" ht="18" x14ac:dyDescent="0.35">
      <c r="A6833" s="5"/>
      <c r="B6833" s="50"/>
      <c r="C6833" s="87"/>
      <c r="D6833" s="88" t="s">
        <v>1778</v>
      </c>
      <c r="E6833" s="85">
        <v>10</v>
      </c>
    </row>
    <row r="6834" spans="1:5" ht="18" x14ac:dyDescent="0.35">
      <c r="A6834" s="5"/>
      <c r="B6834" s="50"/>
      <c r="C6834" s="87"/>
      <c r="D6834" s="88"/>
      <c r="E6834" s="85">
        <f>SUM(E6828:E6833)</f>
        <v>83.171059999999983</v>
      </c>
    </row>
    <row r="6835" spans="1:5" ht="18" x14ac:dyDescent="0.35">
      <c r="A6835" s="5"/>
      <c r="B6835" s="50"/>
      <c r="C6835" s="87"/>
      <c r="D6835" s="88" t="s">
        <v>1266</v>
      </c>
      <c r="E6835" s="85">
        <f>E6834+E6834*40%</f>
        <v>116.43948399999998</v>
      </c>
    </row>
    <row r="6836" spans="1:5" ht="18" x14ac:dyDescent="0.35">
      <c r="A6836" s="5"/>
      <c r="B6836" s="50" t="s">
        <v>37</v>
      </c>
      <c r="C6836" s="54">
        <v>0.2</v>
      </c>
      <c r="D6836" s="86">
        <v>200</v>
      </c>
      <c r="E6836" s="85">
        <f>C6836*D6836</f>
        <v>40</v>
      </c>
    </row>
    <row r="6837" spans="1:5" ht="18" x14ac:dyDescent="0.35">
      <c r="A6837" s="5"/>
      <c r="B6837" s="5"/>
      <c r="C6837" s="54"/>
      <c r="D6837" s="54"/>
      <c r="E6837" s="85">
        <f>SUM(E6835:E6836)</f>
        <v>156.43948399999999</v>
      </c>
    </row>
    <row r="6839" spans="1:5" ht="21" x14ac:dyDescent="0.4">
      <c r="A6839" s="40" t="s">
        <v>1392</v>
      </c>
      <c r="B6839" s="40"/>
      <c r="C6839" s="40"/>
      <c r="D6839" s="12"/>
      <c r="E6839" s="12"/>
    </row>
    <row r="6840" spans="1:5" ht="18" x14ac:dyDescent="0.35">
      <c r="A6840" s="5" t="s">
        <v>1746</v>
      </c>
      <c r="B6840" s="5"/>
      <c r="C6840" s="7" t="s">
        <v>28</v>
      </c>
      <c r="D6840" s="7" t="s">
        <v>29</v>
      </c>
      <c r="E6840" s="7" t="s">
        <v>30</v>
      </c>
    </row>
    <row r="6841" spans="1:5" ht="18" x14ac:dyDescent="0.35">
      <c r="A6841" s="5" t="s">
        <v>44</v>
      </c>
      <c r="B6841" s="50" t="s">
        <v>32</v>
      </c>
      <c r="C6841" s="7"/>
      <c r="D6841" s="7">
        <v>10.34</v>
      </c>
      <c r="E6841" s="85">
        <f>C6841*D6841</f>
        <v>0</v>
      </c>
    </row>
    <row r="6842" spans="1:5" ht="18" x14ac:dyDescent="0.35">
      <c r="A6842" s="5" t="s">
        <v>220</v>
      </c>
      <c r="B6842" s="50" t="s">
        <v>33</v>
      </c>
      <c r="C6842" s="7">
        <v>4.9560000000000004</v>
      </c>
      <c r="D6842" s="7">
        <v>17.059999999999999</v>
      </c>
      <c r="E6842" s="85">
        <f>C6842*D6842</f>
        <v>84.549360000000007</v>
      </c>
    </row>
    <row r="6843" spans="1:5" ht="18" x14ac:dyDescent="0.35">
      <c r="A6843" s="5" t="s">
        <v>696</v>
      </c>
      <c r="B6843" s="50" t="s">
        <v>137</v>
      </c>
      <c r="C6843" s="7">
        <v>0.21</v>
      </c>
      <c r="D6843" s="7">
        <v>15.25</v>
      </c>
      <c r="E6843" s="85">
        <f>C6843*D6843</f>
        <v>3.2024999999999997</v>
      </c>
    </row>
    <row r="6844" spans="1:5" ht="18" x14ac:dyDescent="0.35">
      <c r="A6844" s="5" t="s">
        <v>1779</v>
      </c>
      <c r="B6844" s="50" t="s">
        <v>35</v>
      </c>
      <c r="C6844" s="7">
        <v>4</v>
      </c>
      <c r="D6844" s="7">
        <v>2.91</v>
      </c>
      <c r="E6844" s="85">
        <f>C6844*D6844</f>
        <v>11.64</v>
      </c>
    </row>
    <row r="6845" spans="1:5" ht="18" x14ac:dyDescent="0.35">
      <c r="A6845" s="5"/>
      <c r="B6845" s="50" t="s">
        <v>36</v>
      </c>
      <c r="C6845" s="7">
        <v>4</v>
      </c>
      <c r="D6845" s="7">
        <v>0.61</v>
      </c>
      <c r="E6845" s="85">
        <f>C6845*D6845</f>
        <v>2.44</v>
      </c>
    </row>
    <row r="6846" spans="1:5" ht="18" x14ac:dyDescent="0.35">
      <c r="A6846" s="5"/>
      <c r="B6846" s="50"/>
      <c r="C6846" s="87"/>
      <c r="D6846" s="88" t="s">
        <v>1778</v>
      </c>
      <c r="E6846" s="85">
        <v>10</v>
      </c>
    </row>
    <row r="6847" spans="1:5" ht="18" x14ac:dyDescent="0.35">
      <c r="A6847" s="5"/>
      <c r="B6847" s="50"/>
      <c r="C6847" s="87"/>
      <c r="D6847" s="88"/>
      <c r="E6847" s="85">
        <f>SUM(E6841:E6846)</f>
        <v>111.83186000000001</v>
      </c>
    </row>
    <row r="6848" spans="1:5" ht="18" x14ac:dyDescent="0.35">
      <c r="A6848" s="5"/>
      <c r="B6848" s="50"/>
      <c r="C6848" s="87"/>
      <c r="D6848" s="88" t="s">
        <v>1266</v>
      </c>
      <c r="E6848" s="85">
        <f>E6847+E6847*40%</f>
        <v>156.564604</v>
      </c>
    </row>
    <row r="6849" spans="1:5" ht="18" x14ac:dyDescent="0.35">
      <c r="A6849" s="5"/>
      <c r="B6849" s="50" t="s">
        <v>37</v>
      </c>
      <c r="C6849" s="54">
        <v>0.2</v>
      </c>
      <c r="D6849" s="86">
        <v>200</v>
      </c>
      <c r="E6849" s="85">
        <f>C6849*D6849</f>
        <v>40</v>
      </c>
    </row>
    <row r="6850" spans="1:5" ht="18" x14ac:dyDescent="0.35">
      <c r="A6850" s="5"/>
      <c r="B6850" s="5"/>
      <c r="C6850" s="54"/>
      <c r="D6850" s="54"/>
      <c r="E6850" s="85">
        <f>SUM(E6848:E6849)</f>
        <v>196.564604</v>
      </c>
    </row>
    <row r="6852" spans="1:5" ht="21" x14ac:dyDescent="0.4">
      <c r="A6852" s="40" t="s">
        <v>1780</v>
      </c>
      <c r="B6852" s="40"/>
      <c r="C6852" s="84"/>
    </row>
    <row r="6853" spans="1:5" ht="18" x14ac:dyDescent="0.35">
      <c r="A6853" s="5" t="s">
        <v>1383</v>
      </c>
      <c r="B6853" s="5"/>
      <c r="C6853" s="7" t="s">
        <v>28</v>
      </c>
      <c r="D6853" s="7" t="s">
        <v>29</v>
      </c>
      <c r="E6853" s="7" t="s">
        <v>30</v>
      </c>
    </row>
    <row r="6854" spans="1:5" ht="18" x14ac:dyDescent="0.35">
      <c r="A6854" s="5" t="s">
        <v>38</v>
      </c>
      <c r="B6854" s="50" t="s">
        <v>32</v>
      </c>
      <c r="C6854" s="7">
        <v>0.97799999999999998</v>
      </c>
      <c r="D6854" s="7">
        <v>11.34</v>
      </c>
      <c r="E6854" s="85">
        <f t="shared" ref="E6854:E6859" si="450">C6854*D6854</f>
        <v>11.09052</v>
      </c>
    </row>
    <row r="6855" spans="1:5" ht="18" x14ac:dyDescent="0.35">
      <c r="A6855" s="5" t="s">
        <v>238</v>
      </c>
      <c r="B6855" s="50" t="s">
        <v>33</v>
      </c>
      <c r="C6855" s="7">
        <v>1.218</v>
      </c>
      <c r="D6855" s="7">
        <v>14.94</v>
      </c>
      <c r="E6855" s="85">
        <f t="shared" si="450"/>
        <v>18.196919999999999</v>
      </c>
    </row>
    <row r="6856" spans="1:5" ht="18" x14ac:dyDescent="0.35">
      <c r="A6856" s="5" t="s">
        <v>619</v>
      </c>
      <c r="B6856" s="50" t="s">
        <v>42</v>
      </c>
      <c r="C6856" s="7">
        <v>2</v>
      </c>
      <c r="D6856" s="7">
        <v>1.1499999999999999</v>
      </c>
      <c r="E6856" s="85">
        <f t="shared" si="450"/>
        <v>2.2999999999999998</v>
      </c>
    </row>
    <row r="6857" spans="1:5" ht="18" x14ac:dyDescent="0.35">
      <c r="A6857" s="5"/>
      <c r="B6857" s="50" t="s">
        <v>34</v>
      </c>
      <c r="C6857" s="7"/>
      <c r="D6857" s="7">
        <v>14.61</v>
      </c>
      <c r="E6857" s="85">
        <f t="shared" si="450"/>
        <v>0</v>
      </c>
    </row>
    <row r="6858" spans="1:5" ht="18" x14ac:dyDescent="0.35">
      <c r="A6858" s="5"/>
      <c r="B6858" s="50" t="s">
        <v>35</v>
      </c>
      <c r="C6858" s="7">
        <v>4</v>
      </c>
      <c r="D6858" s="7">
        <v>2.91</v>
      </c>
      <c r="E6858" s="85">
        <f t="shared" si="450"/>
        <v>11.64</v>
      </c>
    </row>
    <row r="6859" spans="1:5" ht="18" x14ac:dyDescent="0.35">
      <c r="A6859" s="5"/>
      <c r="B6859" s="50" t="s">
        <v>36</v>
      </c>
      <c r="C6859" s="7">
        <v>4</v>
      </c>
      <c r="D6859" s="7">
        <v>0.61</v>
      </c>
      <c r="E6859" s="85">
        <f t="shared" si="450"/>
        <v>2.44</v>
      </c>
    </row>
    <row r="6860" spans="1:5" ht="18" x14ac:dyDescent="0.35">
      <c r="A6860" s="5"/>
      <c r="B6860" s="5"/>
      <c r="C6860" s="54"/>
      <c r="D6860" s="54"/>
      <c r="E6860" s="89">
        <f>SUM(E6854:E6859)</f>
        <v>45.667439999999999</v>
      </c>
    </row>
    <row r="6861" spans="1:5" ht="18" x14ac:dyDescent="0.35">
      <c r="A6861" s="5"/>
      <c r="B6861" s="5"/>
      <c r="C6861" s="54"/>
      <c r="D6861" s="54" t="s">
        <v>1063</v>
      </c>
      <c r="E6861" s="89">
        <f>E6860+E6860*40%</f>
        <v>63.934415999999999</v>
      </c>
    </row>
    <row r="6862" spans="1:5" ht="18" x14ac:dyDescent="0.35">
      <c r="A6862" s="5"/>
      <c r="B6862" s="50" t="s">
        <v>37</v>
      </c>
      <c r="C6862" s="54">
        <v>0.4</v>
      </c>
      <c r="D6862" s="54">
        <v>200</v>
      </c>
      <c r="E6862" s="85">
        <f>C6862*D6862</f>
        <v>80</v>
      </c>
    </row>
    <row r="6863" spans="1:5" ht="18" x14ac:dyDescent="0.35">
      <c r="A6863" s="5"/>
      <c r="B6863" s="5"/>
      <c r="C6863" s="54"/>
      <c r="D6863" s="54"/>
      <c r="E6863" s="85">
        <f>SUM(E6861:E6862)</f>
        <v>143.934416</v>
      </c>
    </row>
    <row r="6865" spans="1:5" ht="21" x14ac:dyDescent="0.4">
      <c r="A6865" s="40" t="s">
        <v>1781</v>
      </c>
      <c r="B6865" s="40"/>
      <c r="C6865" s="84"/>
    </row>
    <row r="6866" spans="1:5" ht="18" x14ac:dyDescent="0.35">
      <c r="A6866" s="5" t="s">
        <v>1782</v>
      </c>
      <c r="B6866" s="5"/>
      <c r="C6866" s="7" t="s">
        <v>28</v>
      </c>
      <c r="D6866" s="7" t="s">
        <v>29</v>
      </c>
      <c r="E6866" s="7" t="s">
        <v>30</v>
      </c>
    </row>
    <row r="6867" spans="1:5" ht="18" x14ac:dyDescent="0.35">
      <c r="A6867" s="5" t="s">
        <v>496</v>
      </c>
      <c r="B6867" s="50" t="s">
        <v>32</v>
      </c>
      <c r="C6867" s="7">
        <v>1.8180000000000001</v>
      </c>
      <c r="D6867" s="7">
        <v>10.34</v>
      </c>
      <c r="E6867" s="85">
        <f t="shared" ref="E6867:E6872" si="451">C6867*D6867</f>
        <v>18.798120000000001</v>
      </c>
    </row>
    <row r="6868" spans="1:5" ht="18" x14ac:dyDescent="0.35">
      <c r="A6868" s="5" t="s">
        <v>143</v>
      </c>
      <c r="B6868" s="50" t="s">
        <v>33</v>
      </c>
      <c r="C6868" s="7">
        <v>4.032</v>
      </c>
      <c r="D6868" s="7">
        <v>16.170000000000002</v>
      </c>
      <c r="E6868" s="85">
        <f t="shared" si="451"/>
        <v>65.19744</v>
      </c>
    </row>
    <row r="6869" spans="1:5" ht="18" x14ac:dyDescent="0.35">
      <c r="A6869" s="5" t="s">
        <v>1595</v>
      </c>
      <c r="B6869" s="50" t="s">
        <v>84</v>
      </c>
      <c r="C6869" s="7">
        <v>2</v>
      </c>
      <c r="D6869" s="7">
        <v>1.6</v>
      </c>
      <c r="E6869" s="85">
        <f t="shared" si="451"/>
        <v>3.2</v>
      </c>
    </row>
    <row r="6870" spans="1:5" ht="18" x14ac:dyDescent="0.35">
      <c r="A6870" s="5"/>
      <c r="B6870" s="50" t="s">
        <v>34</v>
      </c>
      <c r="C6870" s="7">
        <v>0.16</v>
      </c>
      <c r="D6870" s="7">
        <v>14.61</v>
      </c>
      <c r="E6870" s="85">
        <f t="shared" si="451"/>
        <v>2.3376000000000001</v>
      </c>
    </row>
    <row r="6871" spans="1:5" ht="18" x14ac:dyDescent="0.35">
      <c r="A6871" s="5"/>
      <c r="B6871" s="50" t="s">
        <v>35</v>
      </c>
      <c r="C6871" s="7">
        <v>4</v>
      </c>
      <c r="D6871" s="7">
        <v>2.91</v>
      </c>
      <c r="E6871" s="85">
        <f t="shared" si="451"/>
        <v>11.64</v>
      </c>
    </row>
    <row r="6872" spans="1:5" ht="18" x14ac:dyDescent="0.35">
      <c r="A6872" s="5"/>
      <c r="B6872" s="50" t="s">
        <v>36</v>
      </c>
      <c r="C6872" s="7">
        <v>4</v>
      </c>
      <c r="D6872" s="7">
        <v>0.61</v>
      </c>
      <c r="E6872" s="85">
        <f t="shared" si="451"/>
        <v>2.44</v>
      </c>
    </row>
    <row r="6873" spans="1:5" ht="18" x14ac:dyDescent="0.35">
      <c r="A6873" s="5"/>
      <c r="B6873" s="5"/>
      <c r="C6873" s="54"/>
      <c r="D6873" s="54"/>
      <c r="E6873" s="89">
        <f>SUM(E6867:E6872)</f>
        <v>103.61315999999999</v>
      </c>
    </row>
    <row r="6874" spans="1:5" ht="18" x14ac:dyDescent="0.35">
      <c r="A6874" s="5"/>
      <c r="B6874" s="5"/>
      <c r="C6874" s="54"/>
      <c r="D6874" s="54" t="s">
        <v>1063</v>
      </c>
      <c r="E6874" s="89">
        <f>E6873+E6873*40%</f>
        <v>145.058424</v>
      </c>
    </row>
    <row r="6875" spans="1:5" ht="18" x14ac:dyDescent="0.35">
      <c r="A6875" s="5"/>
      <c r="B6875" s="50" t="s">
        <v>37</v>
      </c>
      <c r="C6875" s="54">
        <v>0.5</v>
      </c>
      <c r="D6875" s="54">
        <v>200</v>
      </c>
      <c r="E6875" s="85">
        <f>C6875*D6875</f>
        <v>100</v>
      </c>
    </row>
    <row r="6876" spans="1:5" ht="18" x14ac:dyDescent="0.35">
      <c r="A6876" s="5"/>
      <c r="B6876" s="5"/>
      <c r="C6876" s="54"/>
      <c r="D6876" s="54"/>
      <c r="E6876" s="85">
        <f>SUM(E6874:E6875)</f>
        <v>245.058424</v>
      </c>
    </row>
    <row r="6878" spans="1:5" ht="21" x14ac:dyDescent="0.4">
      <c r="A6878" s="40" t="s">
        <v>873</v>
      </c>
      <c r="B6878" s="40"/>
      <c r="C6878" s="40"/>
      <c r="D6878" s="12"/>
      <c r="E6878" s="12"/>
    </row>
    <row r="6879" spans="1:5" ht="18" x14ac:dyDescent="0.35">
      <c r="A6879" s="5" t="s">
        <v>1782</v>
      </c>
      <c r="B6879" s="5"/>
      <c r="C6879" s="7" t="s">
        <v>28</v>
      </c>
      <c r="D6879" s="7" t="s">
        <v>29</v>
      </c>
      <c r="E6879" s="7" t="s">
        <v>30</v>
      </c>
    </row>
    <row r="6880" spans="1:5" ht="18" x14ac:dyDescent="0.35">
      <c r="A6880" s="5" t="s">
        <v>44</v>
      </c>
      <c r="B6880" s="50" t="s">
        <v>32</v>
      </c>
      <c r="C6880" s="7">
        <v>1.6080000000000001</v>
      </c>
      <c r="D6880" s="7">
        <v>10.34</v>
      </c>
      <c r="E6880" s="85">
        <f>C6880*D6880</f>
        <v>16.626720000000002</v>
      </c>
    </row>
    <row r="6881" spans="1:5" ht="18" x14ac:dyDescent="0.35">
      <c r="A6881" s="5" t="s">
        <v>143</v>
      </c>
      <c r="B6881" s="50" t="s">
        <v>33</v>
      </c>
      <c r="C6881" s="7">
        <v>3.7170000000000001</v>
      </c>
      <c r="D6881" s="7">
        <v>17.059999999999999</v>
      </c>
      <c r="E6881" s="85">
        <f>C6881*D6881</f>
        <v>63.412019999999998</v>
      </c>
    </row>
    <row r="6882" spans="1:5" ht="18" x14ac:dyDescent="0.35">
      <c r="A6882" s="5" t="s">
        <v>696</v>
      </c>
      <c r="B6882" s="50" t="s">
        <v>137</v>
      </c>
      <c r="C6882" s="7">
        <v>0.21</v>
      </c>
      <c r="D6882" s="7">
        <v>15.25</v>
      </c>
      <c r="E6882" s="85">
        <f>C6882*D6882</f>
        <v>3.2024999999999997</v>
      </c>
    </row>
    <row r="6883" spans="1:5" ht="18" x14ac:dyDescent="0.35">
      <c r="A6883" s="5">
        <v>3925</v>
      </c>
      <c r="B6883" s="50" t="s">
        <v>35</v>
      </c>
      <c r="C6883" s="7">
        <v>4</v>
      </c>
      <c r="D6883" s="7">
        <v>2.91</v>
      </c>
      <c r="E6883" s="85">
        <f>C6883*D6883</f>
        <v>11.64</v>
      </c>
    </row>
    <row r="6884" spans="1:5" ht="18" x14ac:dyDescent="0.35">
      <c r="A6884" s="5"/>
      <c r="B6884" s="50" t="s">
        <v>36</v>
      </c>
      <c r="C6884" s="7">
        <v>4</v>
      </c>
      <c r="D6884" s="7">
        <v>0.61</v>
      </c>
      <c r="E6884" s="85">
        <f>C6884*D6884</f>
        <v>2.44</v>
      </c>
    </row>
    <row r="6885" spans="1:5" ht="18" x14ac:dyDescent="0.35">
      <c r="A6885" s="5"/>
      <c r="B6885" s="50"/>
      <c r="C6885" s="87"/>
      <c r="D6885" s="88"/>
      <c r="E6885" s="85">
        <f>SUM(E6880:E6884)</f>
        <v>97.321240000000003</v>
      </c>
    </row>
    <row r="6886" spans="1:5" ht="18" x14ac:dyDescent="0.35">
      <c r="A6886" s="5"/>
      <c r="B6886" s="50"/>
      <c r="C6886" s="87"/>
      <c r="D6886" s="88" t="s">
        <v>1266</v>
      </c>
      <c r="E6886" s="85">
        <f>E6885+E6885*40%</f>
        <v>136.24973600000001</v>
      </c>
    </row>
    <row r="6887" spans="1:5" ht="18" x14ac:dyDescent="0.35">
      <c r="A6887" s="5"/>
      <c r="B6887" s="50" t="s">
        <v>37</v>
      </c>
      <c r="C6887" s="54">
        <v>0.5</v>
      </c>
      <c r="D6887" s="86">
        <v>200</v>
      </c>
      <c r="E6887" s="85">
        <f>C6887*D6887</f>
        <v>100</v>
      </c>
    </row>
    <row r="6888" spans="1:5" ht="18" x14ac:dyDescent="0.35">
      <c r="A6888" s="5"/>
      <c r="B6888" s="5"/>
      <c r="C6888" s="54"/>
      <c r="D6888" s="54"/>
      <c r="E6888" s="85">
        <f>SUM(E6886:E6887)</f>
        <v>236.24973600000001</v>
      </c>
    </row>
    <row r="6890" spans="1:5" ht="21" x14ac:dyDescent="0.4">
      <c r="A6890" s="40" t="s">
        <v>1783</v>
      </c>
      <c r="B6890" s="40"/>
      <c r="C6890" s="84"/>
    </row>
    <row r="6891" spans="1:5" ht="18" x14ac:dyDescent="0.35">
      <c r="A6891" t="s">
        <v>1365</v>
      </c>
      <c r="B6891" s="5"/>
      <c r="C6891" s="7" t="s">
        <v>28</v>
      </c>
      <c r="D6891" s="7" t="s">
        <v>29</v>
      </c>
      <c r="E6891" s="7" t="s">
        <v>30</v>
      </c>
    </row>
    <row r="6892" spans="1:5" ht="18" x14ac:dyDescent="0.35">
      <c r="A6892" s="5" t="s">
        <v>382</v>
      </c>
      <c r="B6892" s="50" t="s">
        <v>32</v>
      </c>
      <c r="C6892" s="7">
        <v>4.3390000000000004</v>
      </c>
      <c r="D6892" s="7">
        <v>14.93</v>
      </c>
      <c r="E6892" s="85">
        <f t="shared" ref="E6892:E6899" si="452">C6892*D6892</f>
        <v>64.781270000000006</v>
      </c>
    </row>
    <row r="6893" spans="1:5" ht="18" x14ac:dyDescent="0.35">
      <c r="A6893" s="5" t="s">
        <v>55</v>
      </c>
      <c r="B6893" s="50" t="s">
        <v>33</v>
      </c>
      <c r="C6893" s="7">
        <v>37.548000000000002</v>
      </c>
      <c r="D6893" s="7">
        <v>16.170000000000002</v>
      </c>
      <c r="E6893" s="85">
        <f t="shared" si="452"/>
        <v>607.15116000000012</v>
      </c>
    </row>
    <row r="6894" spans="1:5" ht="18" x14ac:dyDescent="0.35">
      <c r="A6894" s="5" t="s">
        <v>1784</v>
      </c>
      <c r="B6894" s="50" t="s">
        <v>33</v>
      </c>
      <c r="C6894" s="7">
        <v>38.073</v>
      </c>
      <c r="D6894" s="7">
        <v>16.170000000000002</v>
      </c>
      <c r="E6894" s="85">
        <f t="shared" si="452"/>
        <v>615.64041000000009</v>
      </c>
    </row>
    <row r="6895" spans="1:5" ht="18" x14ac:dyDescent="0.35">
      <c r="A6895" s="5" t="s">
        <v>1520</v>
      </c>
      <c r="B6895" s="50" t="s">
        <v>113</v>
      </c>
      <c r="C6895" s="7">
        <v>2</v>
      </c>
      <c r="D6895" s="7">
        <v>2.2400000000000002</v>
      </c>
      <c r="E6895" s="85">
        <f t="shared" si="452"/>
        <v>4.4800000000000004</v>
      </c>
    </row>
    <row r="6896" spans="1:5" ht="18" x14ac:dyDescent="0.35">
      <c r="A6896" s="5" t="s">
        <v>1786</v>
      </c>
      <c r="B6896" s="50" t="s">
        <v>290</v>
      </c>
      <c r="C6896" s="7">
        <v>2</v>
      </c>
      <c r="D6896" s="7">
        <v>6.74</v>
      </c>
      <c r="E6896" s="85">
        <f t="shared" si="452"/>
        <v>13.48</v>
      </c>
    </row>
    <row r="6897" spans="1:5" ht="18" x14ac:dyDescent="0.35">
      <c r="A6897" s="5" t="s">
        <v>1785</v>
      </c>
      <c r="B6897" s="50" t="s">
        <v>34</v>
      </c>
      <c r="C6897" s="7">
        <v>2.1</v>
      </c>
      <c r="D6897" s="7">
        <v>14.61</v>
      </c>
      <c r="E6897" s="85">
        <f t="shared" si="452"/>
        <v>30.681000000000001</v>
      </c>
    </row>
    <row r="6898" spans="1:5" ht="18" x14ac:dyDescent="0.35">
      <c r="A6898" s="5"/>
      <c r="B6898" s="50" t="s">
        <v>35</v>
      </c>
      <c r="C6898" s="7">
        <v>4</v>
      </c>
      <c r="D6898" s="7">
        <v>2.91</v>
      </c>
      <c r="E6898" s="85">
        <f t="shared" si="452"/>
        <v>11.64</v>
      </c>
    </row>
    <row r="6899" spans="1:5" ht="18" x14ac:dyDescent="0.35">
      <c r="A6899" s="5"/>
      <c r="B6899" s="50" t="s">
        <v>36</v>
      </c>
      <c r="C6899" s="7">
        <v>4</v>
      </c>
      <c r="D6899" s="7">
        <v>0.61</v>
      </c>
      <c r="E6899" s="85">
        <f t="shared" si="452"/>
        <v>2.44</v>
      </c>
    </row>
    <row r="6900" spans="1:5" ht="18" x14ac:dyDescent="0.35">
      <c r="A6900" s="5"/>
      <c r="B6900" s="5"/>
      <c r="C6900" s="54"/>
      <c r="D6900" s="54"/>
      <c r="E6900" s="89">
        <f>SUM(E6892:E6899)</f>
        <v>1350.2938400000005</v>
      </c>
    </row>
    <row r="6901" spans="1:5" ht="18" x14ac:dyDescent="0.35">
      <c r="A6901" s="5"/>
      <c r="B6901" s="5"/>
      <c r="C6901" s="54"/>
      <c r="D6901" s="54" t="s">
        <v>1116</v>
      </c>
      <c r="E6901" s="89">
        <f>E6900+E6900*30%</f>
        <v>1755.3819920000005</v>
      </c>
    </row>
    <row r="6902" spans="1:5" ht="18" x14ac:dyDescent="0.35">
      <c r="A6902" s="5"/>
      <c r="B6902" s="50" t="s">
        <v>37</v>
      </c>
      <c r="C6902" s="54">
        <v>1</v>
      </c>
      <c r="D6902" s="54">
        <v>200</v>
      </c>
      <c r="E6902" s="85">
        <f>C6902*D6902</f>
        <v>200</v>
      </c>
    </row>
    <row r="6903" spans="1:5" ht="18" x14ac:dyDescent="0.35">
      <c r="E6903" s="85">
        <f>SUM(E6901:E6902)</f>
        <v>1955.3819920000005</v>
      </c>
    </row>
    <row r="6904" spans="1:5" ht="18" x14ac:dyDescent="0.35">
      <c r="D6904" t="s">
        <v>1760</v>
      </c>
      <c r="E6904" s="85">
        <f>E6903+E6903*33%</f>
        <v>2600.6580493600009</v>
      </c>
    </row>
    <row r="6906" spans="1:5" ht="21" x14ac:dyDescent="0.4">
      <c r="A6906" s="40" t="s">
        <v>691</v>
      </c>
      <c r="B6906" s="40"/>
      <c r="C6906" s="40"/>
      <c r="D6906" s="12"/>
      <c r="E6906" s="12"/>
    </row>
    <row r="6907" spans="1:5" ht="18" x14ac:dyDescent="0.35">
      <c r="A6907" s="5" t="s">
        <v>1427</v>
      </c>
      <c r="B6907" s="5"/>
      <c r="C6907" s="7" t="s">
        <v>28</v>
      </c>
      <c r="D6907" s="7" t="s">
        <v>29</v>
      </c>
      <c r="E6907" s="7" t="s">
        <v>30</v>
      </c>
    </row>
    <row r="6908" spans="1:5" ht="18" x14ac:dyDescent="0.35">
      <c r="A6908" s="5" t="s">
        <v>1748</v>
      </c>
      <c r="B6908" s="50" t="s">
        <v>32</v>
      </c>
      <c r="C6908" s="7">
        <v>1.6319999999999999</v>
      </c>
      <c r="D6908" s="7">
        <v>10.34</v>
      </c>
      <c r="E6908" s="85">
        <f>C6908*D6908</f>
        <v>16.874879999999997</v>
      </c>
    </row>
    <row r="6909" spans="1:5" ht="18" x14ac:dyDescent="0.35">
      <c r="A6909" s="5" t="s">
        <v>538</v>
      </c>
      <c r="B6909" s="50" t="s">
        <v>33</v>
      </c>
      <c r="C6909" s="7">
        <v>8.4</v>
      </c>
      <c r="D6909" s="7">
        <v>17.059999999999999</v>
      </c>
      <c r="E6909" s="85">
        <f>C6909*D6909</f>
        <v>143.304</v>
      </c>
    </row>
    <row r="6910" spans="1:5" ht="18" x14ac:dyDescent="0.35">
      <c r="A6910" s="5" t="s">
        <v>682</v>
      </c>
      <c r="B6910" s="50" t="s">
        <v>137</v>
      </c>
      <c r="C6910" s="7">
        <v>1</v>
      </c>
      <c r="D6910" s="7">
        <v>15.25</v>
      </c>
      <c r="E6910" s="85">
        <f>C6910*D6910</f>
        <v>15.25</v>
      </c>
    </row>
    <row r="6911" spans="1:5" ht="18" x14ac:dyDescent="0.35">
      <c r="A6911" s="5"/>
      <c r="B6911" s="50" t="s">
        <v>35</v>
      </c>
      <c r="C6911" s="7">
        <v>4</v>
      </c>
      <c r="D6911" s="7">
        <v>2.91</v>
      </c>
      <c r="E6911" s="85">
        <f>C6911*D6911</f>
        <v>11.64</v>
      </c>
    </row>
    <row r="6912" spans="1:5" ht="18" x14ac:dyDescent="0.35">
      <c r="A6912" s="5"/>
      <c r="B6912" s="50" t="s">
        <v>36</v>
      </c>
      <c r="C6912" s="7">
        <v>4</v>
      </c>
      <c r="D6912" s="7">
        <v>0.61</v>
      </c>
      <c r="E6912" s="85">
        <f>C6912*D6912</f>
        <v>2.44</v>
      </c>
    </row>
    <row r="6913" spans="1:5" ht="18" x14ac:dyDescent="0.35">
      <c r="A6913" s="5"/>
      <c r="B6913" s="50"/>
      <c r="C6913" s="87"/>
      <c r="D6913" s="88"/>
      <c r="E6913" s="85">
        <f>SUM(E6908:E6912)</f>
        <v>189.50887999999998</v>
      </c>
    </row>
    <row r="6914" spans="1:5" ht="18" x14ac:dyDescent="0.35">
      <c r="A6914" s="5"/>
      <c r="B6914" s="50"/>
      <c r="C6914" s="87"/>
      <c r="D6914" s="88" t="s">
        <v>1266</v>
      </c>
      <c r="E6914" s="85">
        <f>E6913+E6913*40%</f>
        <v>265.31243199999994</v>
      </c>
    </row>
    <row r="6915" spans="1:5" ht="18" x14ac:dyDescent="0.35">
      <c r="A6915" s="5"/>
      <c r="B6915" s="50" t="s">
        <v>37</v>
      </c>
      <c r="C6915" s="54">
        <v>0.5</v>
      </c>
      <c r="D6915" s="86">
        <v>200</v>
      </c>
      <c r="E6915" s="85">
        <f>C6915*D6915</f>
        <v>100</v>
      </c>
    </row>
    <row r="6916" spans="1:5" ht="18" x14ac:dyDescent="0.35">
      <c r="A6916" s="5"/>
      <c r="B6916" s="5"/>
      <c r="C6916" s="54"/>
      <c r="D6916" s="54"/>
      <c r="E6916" s="85">
        <f>SUM(E6914:E6915)</f>
        <v>365.31243199999994</v>
      </c>
    </row>
    <row r="6918" spans="1:5" ht="21" x14ac:dyDescent="0.4">
      <c r="A6918" s="40" t="s">
        <v>691</v>
      </c>
      <c r="B6918" s="40"/>
      <c r="C6918" s="40"/>
      <c r="D6918" s="12"/>
      <c r="E6918" s="12"/>
    </row>
    <row r="6919" spans="1:5" ht="18" x14ac:dyDescent="0.35">
      <c r="A6919" s="5" t="s">
        <v>1202</v>
      </c>
      <c r="B6919" s="5"/>
      <c r="C6919" s="7" t="s">
        <v>28</v>
      </c>
      <c r="D6919" s="7" t="s">
        <v>29</v>
      </c>
      <c r="E6919" s="7" t="s">
        <v>30</v>
      </c>
    </row>
    <row r="6920" spans="1:5" ht="18" x14ac:dyDescent="0.35">
      <c r="A6920" s="5" t="s">
        <v>424</v>
      </c>
      <c r="B6920" s="50" t="s">
        <v>32</v>
      </c>
      <c r="C6920" s="7">
        <v>2.238</v>
      </c>
      <c r="D6920" s="7">
        <v>10.34</v>
      </c>
      <c r="E6920" s="85">
        <f>C6920*D6920</f>
        <v>23.140920000000001</v>
      </c>
    </row>
    <row r="6921" spans="1:5" ht="18" x14ac:dyDescent="0.35">
      <c r="A6921" s="5" t="s">
        <v>769</v>
      </c>
      <c r="B6921" s="50" t="s">
        <v>33</v>
      </c>
      <c r="C6921" s="7">
        <v>19.036000000000001</v>
      </c>
      <c r="D6921" s="7">
        <v>17.059999999999999</v>
      </c>
      <c r="E6921" s="85">
        <f>C6921*D6921</f>
        <v>324.75416000000001</v>
      </c>
    </row>
    <row r="6922" spans="1:5" ht="18" x14ac:dyDescent="0.35">
      <c r="A6922" s="5" t="s">
        <v>446</v>
      </c>
      <c r="B6922" s="50" t="s">
        <v>137</v>
      </c>
      <c r="C6922" s="7">
        <v>1.05</v>
      </c>
      <c r="D6922" s="7">
        <v>15.25</v>
      </c>
      <c r="E6922" s="85">
        <f>C6922*D6922</f>
        <v>16.012499999999999</v>
      </c>
    </row>
    <row r="6923" spans="1:5" ht="18" x14ac:dyDescent="0.35">
      <c r="A6923" s="5"/>
      <c r="B6923" s="50" t="s">
        <v>35</v>
      </c>
      <c r="C6923" s="7">
        <v>4</v>
      </c>
      <c r="D6923" s="7">
        <v>2.91</v>
      </c>
      <c r="E6923" s="85">
        <f>C6923*D6923</f>
        <v>11.64</v>
      </c>
    </row>
    <row r="6924" spans="1:5" ht="18" x14ac:dyDescent="0.35">
      <c r="A6924" s="5"/>
      <c r="B6924" s="50" t="s">
        <v>36</v>
      </c>
      <c r="C6924" s="7">
        <v>4</v>
      </c>
      <c r="D6924" s="7">
        <v>0.61</v>
      </c>
      <c r="E6924" s="85">
        <f>C6924*D6924</f>
        <v>2.44</v>
      </c>
    </row>
    <row r="6925" spans="1:5" ht="18" x14ac:dyDescent="0.35">
      <c r="A6925" s="5"/>
      <c r="B6925" s="50"/>
      <c r="C6925" s="87"/>
      <c r="D6925" s="88"/>
      <c r="E6925" s="85">
        <f>SUM(E6920:E6924)</f>
        <v>377.98757999999998</v>
      </c>
    </row>
    <row r="6926" spans="1:5" ht="18" x14ac:dyDescent="0.35">
      <c r="A6926" s="5"/>
      <c r="B6926" s="50"/>
      <c r="C6926" s="87"/>
      <c r="D6926" s="88" t="s">
        <v>1266</v>
      </c>
      <c r="E6926" s="85">
        <f>E6925+E6925*40%</f>
        <v>529.18261199999995</v>
      </c>
    </row>
    <row r="6927" spans="1:5" ht="18" x14ac:dyDescent="0.35">
      <c r="A6927" s="5"/>
      <c r="B6927" s="50" t="s">
        <v>37</v>
      </c>
      <c r="C6927" s="54">
        <v>0.5</v>
      </c>
      <c r="D6927" s="86">
        <v>200</v>
      </c>
      <c r="E6927" s="85">
        <f>C6927*D6927</f>
        <v>100</v>
      </c>
    </row>
    <row r="6928" spans="1:5" ht="18" x14ac:dyDescent="0.35">
      <c r="A6928" s="5"/>
      <c r="B6928" s="5"/>
      <c r="C6928" s="54"/>
      <c r="D6928" s="54"/>
      <c r="E6928" s="85">
        <f>SUM(E6926:E6927)</f>
        <v>629.18261199999995</v>
      </c>
    </row>
    <row r="6930" spans="1:5" ht="21" x14ac:dyDescent="0.4">
      <c r="A6930" s="40" t="s">
        <v>1793</v>
      </c>
      <c r="B6930" s="40"/>
      <c r="C6930" s="84"/>
    </row>
    <row r="6931" spans="1:5" ht="18" x14ac:dyDescent="0.35">
      <c r="A6931" s="5" t="s">
        <v>1365</v>
      </c>
      <c r="B6931" s="5"/>
      <c r="C6931" s="7" t="s">
        <v>28</v>
      </c>
      <c r="D6931" s="7" t="s">
        <v>29</v>
      </c>
      <c r="E6931" s="7" t="s">
        <v>30</v>
      </c>
    </row>
    <row r="6932" spans="1:5" ht="18" x14ac:dyDescent="0.35">
      <c r="A6932" s="5" t="s">
        <v>1794</v>
      </c>
      <c r="B6932" s="50" t="s">
        <v>32</v>
      </c>
      <c r="C6932" s="7">
        <v>2.133</v>
      </c>
      <c r="D6932" s="7">
        <v>10.34</v>
      </c>
      <c r="E6932" s="85">
        <f t="shared" ref="E6932:E6937" si="453">C6932*D6932</f>
        <v>22.055219999999998</v>
      </c>
    </row>
    <row r="6933" spans="1:5" ht="18" x14ac:dyDescent="0.35">
      <c r="A6933" s="5" t="s">
        <v>648</v>
      </c>
      <c r="B6933" s="50" t="s">
        <v>33</v>
      </c>
      <c r="C6933" s="7">
        <v>11.151</v>
      </c>
      <c r="D6933" s="7">
        <v>16.170000000000002</v>
      </c>
      <c r="E6933" s="85">
        <f t="shared" si="453"/>
        <v>180.31167000000002</v>
      </c>
    </row>
    <row r="6934" spans="1:5" ht="18" x14ac:dyDescent="0.35">
      <c r="A6934" s="5" t="s">
        <v>589</v>
      </c>
      <c r="B6934" s="50" t="s">
        <v>657</v>
      </c>
      <c r="C6934" s="7">
        <v>2</v>
      </c>
      <c r="D6934" s="7">
        <v>2.85</v>
      </c>
      <c r="E6934" s="85">
        <f t="shared" si="453"/>
        <v>5.7</v>
      </c>
    </row>
    <row r="6935" spans="1:5" ht="18" x14ac:dyDescent="0.35">
      <c r="A6935" s="5"/>
      <c r="B6935" s="50" t="s">
        <v>34</v>
      </c>
      <c r="C6935" s="7">
        <v>0.4</v>
      </c>
      <c r="D6935" s="7">
        <v>14.61</v>
      </c>
      <c r="E6935" s="85">
        <f t="shared" si="453"/>
        <v>5.8440000000000003</v>
      </c>
    </row>
    <row r="6936" spans="1:5" ht="18" x14ac:dyDescent="0.35">
      <c r="A6936" s="5"/>
      <c r="B6936" s="50" t="s">
        <v>35</v>
      </c>
      <c r="C6936" s="7">
        <v>4</v>
      </c>
      <c r="D6936" s="7">
        <v>2.91</v>
      </c>
      <c r="E6936" s="85">
        <f t="shared" si="453"/>
        <v>11.64</v>
      </c>
    </row>
    <row r="6937" spans="1:5" ht="18" x14ac:dyDescent="0.35">
      <c r="A6937" s="5"/>
      <c r="B6937" s="50" t="s">
        <v>36</v>
      </c>
      <c r="C6937" s="7">
        <v>4</v>
      </c>
      <c r="D6937" s="7">
        <v>0.61</v>
      </c>
      <c r="E6937" s="85">
        <f t="shared" si="453"/>
        <v>2.44</v>
      </c>
    </row>
    <row r="6938" spans="1:5" ht="18" x14ac:dyDescent="0.35">
      <c r="A6938" s="5"/>
      <c r="B6938" s="5"/>
      <c r="C6938" s="54"/>
      <c r="D6938" s="54"/>
      <c r="E6938" s="89">
        <f>SUM(E6932:E6937)</f>
        <v>227.99088999999998</v>
      </c>
    </row>
    <row r="6939" spans="1:5" ht="18" x14ac:dyDescent="0.35">
      <c r="A6939" s="5"/>
      <c r="B6939" s="5"/>
      <c r="C6939" s="54"/>
      <c r="D6939" s="54" t="s">
        <v>1063</v>
      </c>
      <c r="E6939" s="89">
        <f>E6938+E6938*40%</f>
        <v>319.18724599999996</v>
      </c>
    </row>
    <row r="6940" spans="1:5" ht="18" x14ac:dyDescent="0.35">
      <c r="A6940" s="5"/>
      <c r="B6940" s="50" t="s">
        <v>37</v>
      </c>
      <c r="C6940" s="54">
        <v>0.6</v>
      </c>
      <c r="D6940" s="54">
        <v>200</v>
      </c>
      <c r="E6940" s="85">
        <f>C6940*D6940</f>
        <v>120</v>
      </c>
    </row>
    <row r="6941" spans="1:5" ht="18" x14ac:dyDescent="0.35">
      <c r="A6941" s="5"/>
      <c r="B6941" s="5"/>
      <c r="C6941" s="54"/>
      <c r="D6941" s="54"/>
      <c r="E6941" s="85">
        <f>SUM(E6939:E6940)</f>
        <v>439.18724599999996</v>
      </c>
    </row>
    <row r="6943" spans="1:5" ht="21" x14ac:dyDescent="0.4">
      <c r="A6943" s="40" t="s">
        <v>1796</v>
      </c>
      <c r="B6943" s="40"/>
      <c r="C6943" s="84"/>
    </row>
    <row r="6944" spans="1:5" ht="18" x14ac:dyDescent="0.35">
      <c r="A6944" t="s">
        <v>1795</v>
      </c>
      <c r="B6944" s="5"/>
      <c r="C6944" s="7" t="s">
        <v>28</v>
      </c>
      <c r="D6944" s="7" t="s">
        <v>29</v>
      </c>
      <c r="E6944" s="7" t="s">
        <v>30</v>
      </c>
    </row>
    <row r="6945" spans="1:5" ht="18" x14ac:dyDescent="0.35">
      <c r="A6945" s="5" t="s">
        <v>1797</v>
      </c>
      <c r="B6945" s="50" t="s">
        <v>32</v>
      </c>
      <c r="C6945" s="7">
        <v>1.764</v>
      </c>
      <c r="D6945" s="7">
        <v>14.93</v>
      </c>
      <c r="E6945" s="85">
        <f t="shared" ref="E6945:E6952" si="454">C6945*D6945</f>
        <v>26.33652</v>
      </c>
    </row>
    <row r="6946" spans="1:5" ht="18" x14ac:dyDescent="0.35">
      <c r="A6946" s="5" t="s">
        <v>217</v>
      </c>
      <c r="B6946" s="50" t="s">
        <v>33</v>
      </c>
      <c r="C6946" s="7">
        <v>7.1580000000000004</v>
      </c>
      <c r="D6946" s="7">
        <v>16.170000000000002</v>
      </c>
      <c r="E6946" s="85">
        <f t="shared" si="454"/>
        <v>115.74486000000002</v>
      </c>
    </row>
    <row r="6947" spans="1:5" ht="18" x14ac:dyDescent="0.35">
      <c r="A6947" s="5" t="s">
        <v>55</v>
      </c>
      <c r="B6947" s="50" t="s">
        <v>33</v>
      </c>
      <c r="C6947" s="7">
        <v>6.7290000000000001</v>
      </c>
      <c r="D6947" s="7">
        <v>16.170000000000002</v>
      </c>
      <c r="E6947" s="85">
        <f t="shared" si="454"/>
        <v>108.80793000000001</v>
      </c>
    </row>
    <row r="6948" spans="1:5" ht="18" x14ac:dyDescent="0.35">
      <c r="A6948" s="5" t="s">
        <v>1073</v>
      </c>
      <c r="B6948" s="50" t="s">
        <v>1798</v>
      </c>
      <c r="C6948" s="7">
        <v>2</v>
      </c>
      <c r="D6948" s="7">
        <v>1.7</v>
      </c>
      <c r="E6948" s="85">
        <f t="shared" si="454"/>
        <v>3.4</v>
      </c>
    </row>
    <row r="6949" spans="1:5" ht="18" x14ac:dyDescent="0.35">
      <c r="A6949" s="5" t="s">
        <v>1786</v>
      </c>
      <c r="B6949" s="50" t="s">
        <v>1799</v>
      </c>
      <c r="C6949" s="7">
        <v>2</v>
      </c>
      <c r="D6949" s="7">
        <v>2.2400000000000002</v>
      </c>
      <c r="E6949" s="85">
        <f t="shared" si="454"/>
        <v>4.4800000000000004</v>
      </c>
    </row>
    <row r="6950" spans="1:5" ht="18" x14ac:dyDescent="0.35">
      <c r="A6950" s="5" t="s">
        <v>1785</v>
      </c>
      <c r="B6950" s="50" t="s">
        <v>34</v>
      </c>
      <c r="C6950" s="7"/>
      <c r="D6950" s="7">
        <v>14.61</v>
      </c>
      <c r="E6950" s="85">
        <f t="shared" si="454"/>
        <v>0</v>
      </c>
    </row>
    <row r="6951" spans="1:5" ht="18" x14ac:dyDescent="0.35">
      <c r="A6951" s="5"/>
      <c r="B6951" s="50" t="s">
        <v>35</v>
      </c>
      <c r="C6951" s="7">
        <v>4</v>
      </c>
      <c r="D6951" s="7">
        <v>2.91</v>
      </c>
      <c r="E6951" s="85">
        <f t="shared" si="454"/>
        <v>11.64</v>
      </c>
    </row>
    <row r="6952" spans="1:5" ht="18" x14ac:dyDescent="0.35">
      <c r="A6952" s="5"/>
      <c r="B6952" s="50" t="s">
        <v>36</v>
      </c>
      <c r="C6952" s="7">
        <v>4</v>
      </c>
      <c r="D6952" s="7">
        <v>0.61</v>
      </c>
      <c r="E6952" s="85">
        <f t="shared" si="454"/>
        <v>2.44</v>
      </c>
    </row>
    <row r="6953" spans="1:5" ht="18" x14ac:dyDescent="0.35">
      <c r="A6953" s="5"/>
      <c r="B6953" s="5"/>
      <c r="C6953" s="54"/>
      <c r="D6953" s="54"/>
      <c r="E6953" s="89">
        <f>SUM(E6945:E6952)</f>
        <v>272.84931</v>
      </c>
    </row>
    <row r="6954" spans="1:5" ht="18" x14ac:dyDescent="0.35">
      <c r="A6954" s="5"/>
      <c r="B6954" s="5"/>
      <c r="C6954" s="54"/>
      <c r="D6954" s="54" t="s">
        <v>1063</v>
      </c>
      <c r="E6954" s="89">
        <f>E6953+E6953*40%</f>
        <v>381.989034</v>
      </c>
    </row>
    <row r="6955" spans="1:5" ht="18" x14ac:dyDescent="0.35">
      <c r="A6955" s="5"/>
      <c r="B6955" s="50" t="s">
        <v>37</v>
      </c>
      <c r="C6955" s="54">
        <v>0.5</v>
      </c>
      <c r="D6955" s="54">
        <v>200</v>
      </c>
      <c r="E6955" s="85">
        <f>C6955*D6955</f>
        <v>100</v>
      </c>
    </row>
    <row r="6956" spans="1:5" ht="18" x14ac:dyDescent="0.35">
      <c r="D6956" t="s">
        <v>1803</v>
      </c>
      <c r="E6956" s="85">
        <f>SUM(E6954:E6955)</f>
        <v>481.989034</v>
      </c>
    </row>
    <row r="6957" spans="1:5" ht="18" x14ac:dyDescent="0.35">
      <c r="D6957" t="s">
        <v>1760</v>
      </c>
      <c r="E6957" s="85">
        <f>E6956+E6956*33%</f>
        <v>641.04541522</v>
      </c>
    </row>
    <row r="6959" spans="1:5" ht="21" x14ac:dyDescent="0.4">
      <c r="A6959" s="40" t="s">
        <v>1800</v>
      </c>
      <c r="B6959" s="40"/>
      <c r="C6959" s="84"/>
    </row>
    <row r="6960" spans="1:5" ht="18" x14ac:dyDescent="0.35">
      <c r="A6960" t="s">
        <v>1795</v>
      </c>
      <c r="B6960" s="5"/>
      <c r="C6960" s="7" t="s">
        <v>28</v>
      </c>
      <c r="D6960" s="7" t="s">
        <v>29</v>
      </c>
      <c r="E6960" s="7" t="s">
        <v>30</v>
      </c>
    </row>
    <row r="6961" spans="1:5" ht="18" x14ac:dyDescent="0.35">
      <c r="A6961" s="5" t="s">
        <v>1801</v>
      </c>
      <c r="B6961" s="50" t="s">
        <v>32</v>
      </c>
      <c r="C6961" s="7">
        <v>1.7849999999999999</v>
      </c>
      <c r="D6961" s="7">
        <v>14.93</v>
      </c>
      <c r="E6961" s="85">
        <f t="shared" ref="E6961:E6968" si="455">C6961*D6961</f>
        <v>26.650049999999997</v>
      </c>
    </row>
    <row r="6962" spans="1:5" ht="18" x14ac:dyDescent="0.35">
      <c r="A6962" s="5" t="s">
        <v>217</v>
      </c>
      <c r="B6962" s="50" t="s">
        <v>33</v>
      </c>
      <c r="C6962" s="7">
        <v>7.1580000000000004</v>
      </c>
      <c r="D6962" s="7">
        <v>16.170000000000002</v>
      </c>
      <c r="E6962" s="85">
        <f t="shared" si="455"/>
        <v>115.74486000000002</v>
      </c>
    </row>
    <row r="6963" spans="1:5" ht="18" x14ac:dyDescent="0.35">
      <c r="A6963" s="5" t="s">
        <v>55</v>
      </c>
      <c r="B6963" s="50" t="s">
        <v>33</v>
      </c>
      <c r="C6963" s="7">
        <v>6.98</v>
      </c>
      <c r="D6963" s="7">
        <v>16.170000000000002</v>
      </c>
      <c r="E6963" s="85">
        <f t="shared" si="455"/>
        <v>112.86660000000002</v>
      </c>
    </row>
    <row r="6964" spans="1:5" ht="18" x14ac:dyDescent="0.35">
      <c r="A6964" s="5" t="s">
        <v>1073</v>
      </c>
      <c r="B6964" s="50" t="s">
        <v>1802</v>
      </c>
      <c r="C6964" s="7">
        <v>2</v>
      </c>
      <c r="D6964" s="7">
        <v>1.7</v>
      </c>
      <c r="E6964" s="85">
        <f t="shared" si="455"/>
        <v>3.4</v>
      </c>
    </row>
    <row r="6965" spans="1:5" ht="18" x14ac:dyDescent="0.35">
      <c r="A6965" s="5" t="s">
        <v>1786</v>
      </c>
      <c r="B6965" s="50" t="s">
        <v>1799</v>
      </c>
      <c r="C6965" s="7">
        <v>2</v>
      </c>
      <c r="D6965" s="7">
        <v>2.2400000000000002</v>
      </c>
      <c r="E6965" s="85">
        <f t="shared" si="455"/>
        <v>4.4800000000000004</v>
      </c>
    </row>
    <row r="6966" spans="1:5" ht="18" x14ac:dyDescent="0.35">
      <c r="A6966" s="5" t="s">
        <v>1785</v>
      </c>
      <c r="B6966" s="50" t="s">
        <v>34</v>
      </c>
      <c r="C6966" s="7"/>
      <c r="D6966" s="7">
        <v>14.61</v>
      </c>
      <c r="E6966" s="85">
        <f t="shared" si="455"/>
        <v>0</v>
      </c>
    </row>
    <row r="6967" spans="1:5" ht="18" x14ac:dyDescent="0.35">
      <c r="A6967" s="5"/>
      <c r="B6967" s="50" t="s">
        <v>35</v>
      </c>
      <c r="C6967" s="7">
        <v>4</v>
      </c>
      <c r="D6967" s="7">
        <v>2.91</v>
      </c>
      <c r="E6967" s="85">
        <f t="shared" si="455"/>
        <v>11.64</v>
      </c>
    </row>
    <row r="6968" spans="1:5" ht="18" x14ac:dyDescent="0.35">
      <c r="A6968" s="5"/>
      <c r="B6968" s="50" t="s">
        <v>36</v>
      </c>
      <c r="C6968" s="7">
        <v>4</v>
      </c>
      <c r="D6968" s="7">
        <v>0.61</v>
      </c>
      <c r="E6968" s="85">
        <f t="shared" si="455"/>
        <v>2.44</v>
      </c>
    </row>
    <row r="6969" spans="1:5" ht="18" x14ac:dyDescent="0.35">
      <c r="A6969" s="5"/>
      <c r="B6969" s="5"/>
      <c r="C6969" s="54"/>
      <c r="D6969" s="54"/>
      <c r="E6969" s="89">
        <f>SUM(E6961:E6968)</f>
        <v>277.22151000000002</v>
      </c>
    </row>
    <row r="6970" spans="1:5" ht="18" x14ac:dyDescent="0.35">
      <c r="A6970" s="5"/>
      <c r="B6970" s="5"/>
      <c r="C6970" s="54"/>
      <c r="D6970" s="54" t="s">
        <v>1063</v>
      </c>
      <c r="E6970" s="89">
        <f>E6969+E6969*40%</f>
        <v>388.11011400000007</v>
      </c>
    </row>
    <row r="6971" spans="1:5" ht="18" x14ac:dyDescent="0.35">
      <c r="A6971" s="5"/>
      <c r="B6971" s="50" t="s">
        <v>37</v>
      </c>
      <c r="C6971" s="54">
        <v>0.5</v>
      </c>
      <c r="D6971" s="54">
        <v>200</v>
      </c>
      <c r="E6971" s="85">
        <f>C6971*D6971</f>
        <v>100</v>
      </c>
    </row>
    <row r="6972" spans="1:5" ht="18" x14ac:dyDescent="0.35">
      <c r="D6972" t="s">
        <v>1803</v>
      </c>
      <c r="E6972" s="85">
        <f>SUM(E6970:E6971)</f>
        <v>488.11011400000007</v>
      </c>
    </row>
    <row r="6973" spans="1:5" ht="18" x14ac:dyDescent="0.35">
      <c r="D6973" t="s">
        <v>1760</v>
      </c>
      <c r="E6973" s="85">
        <f>E6972+E6972*33%</f>
        <v>649.18645162000007</v>
      </c>
    </row>
    <row r="6975" spans="1:5" ht="21" x14ac:dyDescent="0.4">
      <c r="A6975" s="40" t="s">
        <v>1804</v>
      </c>
      <c r="B6975" s="40"/>
      <c r="C6975" s="84"/>
    </row>
    <row r="6976" spans="1:5" ht="18" x14ac:dyDescent="0.35">
      <c r="A6976" t="s">
        <v>1795</v>
      </c>
      <c r="B6976" s="5"/>
      <c r="C6976" s="7" t="s">
        <v>28</v>
      </c>
      <c r="D6976" s="7" t="s">
        <v>29</v>
      </c>
      <c r="E6976" s="7" t="s">
        <v>30</v>
      </c>
    </row>
    <row r="6977" spans="1:5" ht="18" x14ac:dyDescent="0.35">
      <c r="A6977" s="5" t="s">
        <v>1805</v>
      </c>
      <c r="B6977" s="50" t="s">
        <v>32</v>
      </c>
      <c r="C6977" s="7">
        <v>2.1539999999999999</v>
      </c>
      <c r="D6977" s="7">
        <v>14.93</v>
      </c>
      <c r="E6977" s="85">
        <f t="shared" ref="E6977:E6984" si="456">C6977*D6977</f>
        <v>32.159219999999998</v>
      </c>
    </row>
    <row r="6978" spans="1:5" ht="18" x14ac:dyDescent="0.35">
      <c r="A6978" s="5" t="s">
        <v>1633</v>
      </c>
      <c r="B6978" s="50" t="s">
        <v>33</v>
      </c>
      <c r="C6978" s="7">
        <v>10.416</v>
      </c>
      <c r="D6978" s="7">
        <v>16.170000000000002</v>
      </c>
      <c r="E6978" s="85">
        <f t="shared" si="456"/>
        <v>168.42672000000002</v>
      </c>
    </row>
    <row r="6979" spans="1:5" ht="18" x14ac:dyDescent="0.35">
      <c r="A6979" s="5" t="s">
        <v>1806</v>
      </c>
      <c r="B6979" s="50" t="s">
        <v>33</v>
      </c>
      <c r="C6979" s="7">
        <v>10.416</v>
      </c>
      <c r="D6979" s="7">
        <v>16.170000000000002</v>
      </c>
      <c r="E6979" s="85">
        <f t="shared" si="456"/>
        <v>168.42672000000002</v>
      </c>
    </row>
    <row r="6980" spans="1:5" ht="18" x14ac:dyDescent="0.35">
      <c r="A6980" s="5" t="s">
        <v>589</v>
      </c>
      <c r="B6980" s="50" t="s">
        <v>1545</v>
      </c>
      <c r="C6980" s="7">
        <v>2</v>
      </c>
      <c r="D6980" s="7">
        <v>1.7</v>
      </c>
      <c r="E6980" s="85">
        <f t="shared" si="456"/>
        <v>3.4</v>
      </c>
    </row>
    <row r="6981" spans="1:5" ht="18" x14ac:dyDescent="0.35">
      <c r="A6981" s="5" t="s">
        <v>1786</v>
      </c>
      <c r="B6981" s="50" t="s">
        <v>1807</v>
      </c>
      <c r="C6981" s="7">
        <v>2</v>
      </c>
      <c r="D6981" s="7">
        <v>3.29</v>
      </c>
      <c r="E6981" s="85">
        <f t="shared" si="456"/>
        <v>6.58</v>
      </c>
    </row>
    <row r="6982" spans="1:5" ht="18" x14ac:dyDescent="0.35">
      <c r="A6982" s="5" t="s">
        <v>1785</v>
      </c>
      <c r="B6982" s="50" t="s">
        <v>34</v>
      </c>
      <c r="C6982" s="7">
        <v>0.36</v>
      </c>
      <c r="D6982" s="7">
        <v>14.61</v>
      </c>
      <c r="E6982" s="85">
        <f t="shared" si="456"/>
        <v>5.2595999999999998</v>
      </c>
    </row>
    <row r="6983" spans="1:5" ht="18" x14ac:dyDescent="0.35">
      <c r="A6983" s="5"/>
      <c r="B6983" s="50" t="s">
        <v>35</v>
      </c>
      <c r="C6983" s="7">
        <v>4</v>
      </c>
      <c r="D6983" s="7">
        <v>2.91</v>
      </c>
      <c r="E6983" s="85">
        <f t="shared" si="456"/>
        <v>11.64</v>
      </c>
    </row>
    <row r="6984" spans="1:5" ht="18" x14ac:dyDescent="0.35">
      <c r="A6984" s="5"/>
      <c r="B6984" s="50" t="s">
        <v>36</v>
      </c>
      <c r="C6984" s="7">
        <v>4</v>
      </c>
      <c r="D6984" s="7">
        <v>0.61</v>
      </c>
      <c r="E6984" s="85">
        <f t="shared" si="456"/>
        <v>2.44</v>
      </c>
    </row>
    <row r="6985" spans="1:5" ht="18" x14ac:dyDescent="0.35">
      <c r="A6985" s="5"/>
      <c r="B6985" s="5"/>
      <c r="C6985" s="54"/>
      <c r="D6985" s="54"/>
      <c r="E6985" s="89">
        <f>SUM(E6977:E6984)</f>
        <v>398.33225999999996</v>
      </c>
    </row>
    <row r="6986" spans="1:5" ht="18" x14ac:dyDescent="0.35">
      <c r="A6986" s="5"/>
      <c r="B6986" s="5"/>
      <c r="C6986" s="54"/>
      <c r="D6986" s="54" t="s">
        <v>1063</v>
      </c>
      <c r="E6986" s="89">
        <f>E6985+E6985*40%</f>
        <v>557.665164</v>
      </c>
    </row>
    <row r="6987" spans="1:5" ht="18" x14ac:dyDescent="0.35">
      <c r="A6987" s="5"/>
      <c r="B6987" s="50" t="s">
        <v>37</v>
      </c>
      <c r="C6987" s="54">
        <v>0.6</v>
      </c>
      <c r="D6987" s="54">
        <v>200</v>
      </c>
      <c r="E6987" s="85">
        <f>C6987*D6987</f>
        <v>120</v>
      </c>
    </row>
    <row r="6988" spans="1:5" ht="18" x14ac:dyDescent="0.35">
      <c r="D6988" t="s">
        <v>1803</v>
      </c>
      <c r="E6988" s="85">
        <f>SUM(E6986:E6987)</f>
        <v>677.665164</v>
      </c>
    </row>
    <row r="6989" spans="1:5" ht="18" x14ac:dyDescent="0.35">
      <c r="D6989" t="s">
        <v>1760</v>
      </c>
      <c r="E6989" s="85">
        <f>E6988+E6988*33%</f>
        <v>901.29466811999998</v>
      </c>
    </row>
    <row r="6991" spans="1:5" ht="21" x14ac:dyDescent="0.4">
      <c r="A6991" s="40" t="s">
        <v>1804</v>
      </c>
      <c r="B6991" s="40"/>
      <c r="C6991" s="84"/>
    </row>
    <row r="6992" spans="1:5" ht="18" x14ac:dyDescent="0.35">
      <c r="A6992" t="s">
        <v>1795</v>
      </c>
      <c r="B6992" s="5"/>
      <c r="C6992" s="7" t="s">
        <v>28</v>
      </c>
      <c r="D6992" s="7" t="s">
        <v>29</v>
      </c>
      <c r="E6992" s="7" t="s">
        <v>30</v>
      </c>
    </row>
    <row r="6993" spans="1:5" ht="18" x14ac:dyDescent="0.35">
      <c r="A6993" s="5" t="s">
        <v>1808</v>
      </c>
      <c r="B6993" s="50" t="s">
        <v>32</v>
      </c>
      <c r="C6993" s="7">
        <v>1.9319999999999999</v>
      </c>
      <c r="D6993" s="7">
        <v>14.93</v>
      </c>
      <c r="E6993" s="85">
        <f t="shared" ref="E6993:E7000" si="457">C6993*D6993</f>
        <v>28.844759999999997</v>
      </c>
    </row>
    <row r="6994" spans="1:5" ht="18" x14ac:dyDescent="0.35">
      <c r="A6994" s="5" t="s">
        <v>217</v>
      </c>
      <c r="B6994" s="50" t="s">
        <v>33</v>
      </c>
      <c r="C6994" s="7">
        <v>8.1869999999999994</v>
      </c>
      <c r="D6994" s="7">
        <v>16.170000000000002</v>
      </c>
      <c r="E6994" s="85">
        <f t="shared" si="457"/>
        <v>132.38379</v>
      </c>
    </row>
    <row r="6995" spans="1:5" ht="18" x14ac:dyDescent="0.35">
      <c r="A6995" s="5" t="s">
        <v>819</v>
      </c>
      <c r="B6995" s="50" t="s">
        <v>33</v>
      </c>
      <c r="C6995" s="7">
        <v>8.4339999999999993</v>
      </c>
      <c r="D6995" s="7">
        <v>16.170000000000002</v>
      </c>
      <c r="E6995" s="85">
        <f t="shared" si="457"/>
        <v>136.37778</v>
      </c>
    </row>
    <row r="6996" spans="1:5" ht="18" x14ac:dyDescent="0.35">
      <c r="A6996" s="5" t="s">
        <v>530</v>
      </c>
      <c r="B6996" s="50" t="s">
        <v>1802</v>
      </c>
      <c r="C6996" s="7">
        <v>2</v>
      </c>
      <c r="D6996" s="7">
        <v>1.7</v>
      </c>
      <c r="E6996" s="85">
        <f t="shared" si="457"/>
        <v>3.4</v>
      </c>
    </row>
    <row r="6997" spans="1:5" ht="18" x14ac:dyDescent="0.35">
      <c r="A6997" s="5" t="s">
        <v>1786</v>
      </c>
      <c r="B6997" s="50" t="s">
        <v>1809</v>
      </c>
      <c r="C6997" s="7">
        <v>2</v>
      </c>
      <c r="D6997" s="7">
        <v>3.39</v>
      </c>
      <c r="E6997" s="85">
        <f t="shared" si="457"/>
        <v>6.78</v>
      </c>
    </row>
    <row r="6998" spans="1:5" ht="18" x14ac:dyDescent="0.35">
      <c r="A6998" s="5" t="s">
        <v>1785</v>
      </c>
      <c r="B6998" s="50" t="s">
        <v>34</v>
      </c>
      <c r="C6998" s="7">
        <v>0.3</v>
      </c>
      <c r="D6998" s="7">
        <v>14.61</v>
      </c>
      <c r="E6998" s="85">
        <f t="shared" si="457"/>
        <v>4.383</v>
      </c>
    </row>
    <row r="6999" spans="1:5" ht="18" x14ac:dyDescent="0.35">
      <c r="A6999" s="5"/>
      <c r="B6999" s="50" t="s">
        <v>35</v>
      </c>
      <c r="C6999" s="7">
        <v>4</v>
      </c>
      <c r="D6999" s="7">
        <v>2.91</v>
      </c>
      <c r="E6999" s="85">
        <f t="shared" si="457"/>
        <v>11.64</v>
      </c>
    </row>
    <row r="7000" spans="1:5" ht="18" x14ac:dyDescent="0.35">
      <c r="A7000" s="5"/>
      <c r="B7000" s="50" t="s">
        <v>36</v>
      </c>
      <c r="C7000" s="7">
        <v>4</v>
      </c>
      <c r="D7000" s="7">
        <v>0.61</v>
      </c>
      <c r="E7000" s="85">
        <f t="shared" si="457"/>
        <v>2.44</v>
      </c>
    </row>
    <row r="7001" spans="1:5" ht="18" x14ac:dyDescent="0.35">
      <c r="A7001" s="5"/>
      <c r="B7001" s="5"/>
      <c r="C7001" s="54"/>
      <c r="D7001" s="54"/>
      <c r="E7001" s="89">
        <f>SUM(E6993:E7000)</f>
        <v>326.24932999999993</v>
      </c>
    </row>
    <row r="7002" spans="1:5" ht="18" x14ac:dyDescent="0.35">
      <c r="A7002" s="5"/>
      <c r="B7002" s="5"/>
      <c r="C7002" s="54"/>
      <c r="D7002" s="54" t="s">
        <v>1063</v>
      </c>
      <c r="E7002" s="89">
        <f>E7001+E7001*40%</f>
        <v>456.74906199999987</v>
      </c>
    </row>
    <row r="7003" spans="1:5" ht="18" x14ac:dyDescent="0.35">
      <c r="A7003" s="5"/>
      <c r="B7003" s="50" t="s">
        <v>37</v>
      </c>
      <c r="C7003" s="54">
        <v>0.6</v>
      </c>
      <c r="D7003" s="54">
        <v>200</v>
      </c>
      <c r="E7003" s="85">
        <f>C7003*D7003</f>
        <v>120</v>
      </c>
    </row>
    <row r="7004" spans="1:5" ht="18" x14ac:dyDescent="0.35">
      <c r="D7004" t="s">
        <v>1803</v>
      </c>
      <c r="E7004" s="85">
        <f>SUM(E7002:E7003)</f>
        <v>576.74906199999987</v>
      </c>
    </row>
    <row r="7005" spans="1:5" ht="18" x14ac:dyDescent="0.35">
      <c r="D7005" t="s">
        <v>1760</v>
      </c>
      <c r="E7005" s="85">
        <f>E7004+E7004*33%</f>
        <v>767.07625245999986</v>
      </c>
    </row>
    <row r="7007" spans="1:5" ht="21" x14ac:dyDescent="0.4">
      <c r="A7007" s="40" t="s">
        <v>1814</v>
      </c>
      <c r="B7007" s="40"/>
      <c r="C7007" s="40"/>
      <c r="D7007" s="12"/>
      <c r="E7007" s="12"/>
    </row>
    <row r="7008" spans="1:5" ht="18" x14ac:dyDescent="0.35">
      <c r="A7008" s="5" t="s">
        <v>1810</v>
      </c>
      <c r="B7008" s="5"/>
      <c r="C7008" s="7" t="s">
        <v>28</v>
      </c>
      <c r="D7008" s="7" t="s">
        <v>29</v>
      </c>
      <c r="E7008" s="7" t="s">
        <v>30</v>
      </c>
    </row>
    <row r="7009" spans="1:5" ht="18" x14ac:dyDescent="0.35">
      <c r="A7009" s="5" t="s">
        <v>1811</v>
      </c>
      <c r="B7009" s="50" t="s">
        <v>32</v>
      </c>
      <c r="C7009" s="7">
        <v>2.3439999999999999</v>
      </c>
      <c r="D7009" s="7">
        <v>10.34</v>
      </c>
      <c r="E7009" s="85">
        <f>C7009*D7009</f>
        <v>24.23696</v>
      </c>
    </row>
    <row r="7010" spans="1:5" ht="18" x14ac:dyDescent="0.35">
      <c r="A7010" s="5" t="s">
        <v>1812</v>
      </c>
      <c r="B7010" s="50" t="s">
        <v>33</v>
      </c>
      <c r="C7010" s="7">
        <v>17.344999999999999</v>
      </c>
      <c r="D7010" s="7">
        <v>17.059999999999999</v>
      </c>
      <c r="E7010" s="85">
        <f>C7010*D7010</f>
        <v>295.90569999999997</v>
      </c>
    </row>
    <row r="7011" spans="1:5" ht="18" x14ac:dyDescent="0.35">
      <c r="A7011" s="5" t="s">
        <v>1813</v>
      </c>
      <c r="B7011" s="50" t="s">
        <v>137</v>
      </c>
      <c r="C7011" s="7">
        <v>1</v>
      </c>
      <c r="D7011" s="7">
        <v>15.25</v>
      </c>
      <c r="E7011" s="85">
        <f>C7011*D7011</f>
        <v>15.25</v>
      </c>
    </row>
    <row r="7012" spans="1:5" ht="18" x14ac:dyDescent="0.35">
      <c r="A7012" s="5"/>
      <c r="B7012" s="50" t="s">
        <v>35</v>
      </c>
      <c r="C7012" s="7">
        <v>4</v>
      </c>
      <c r="D7012" s="7">
        <v>2.91</v>
      </c>
      <c r="E7012" s="85">
        <f>C7012*D7012</f>
        <v>11.64</v>
      </c>
    </row>
    <row r="7013" spans="1:5" ht="18" x14ac:dyDescent="0.35">
      <c r="A7013" s="5"/>
      <c r="B7013" s="50" t="s">
        <v>36</v>
      </c>
      <c r="C7013" s="7">
        <v>4</v>
      </c>
      <c r="D7013" s="7">
        <v>0.61</v>
      </c>
      <c r="E7013" s="85">
        <f>C7013*D7013</f>
        <v>2.44</v>
      </c>
    </row>
    <row r="7014" spans="1:5" ht="18" x14ac:dyDescent="0.35">
      <c r="A7014" s="5"/>
      <c r="B7014" s="50"/>
      <c r="C7014" s="87"/>
      <c r="D7014" s="88"/>
      <c r="E7014" s="85">
        <f>SUM(E7009:E7013)</f>
        <v>349.47265999999996</v>
      </c>
    </row>
    <row r="7015" spans="1:5" ht="18" x14ac:dyDescent="0.35">
      <c r="A7015" s="5"/>
      <c r="B7015" s="50"/>
      <c r="C7015" s="87"/>
      <c r="D7015" s="88" t="s">
        <v>1266</v>
      </c>
      <c r="E7015" s="85">
        <f>E7014+E7014*40%</f>
        <v>489.26172399999996</v>
      </c>
    </row>
    <row r="7016" spans="1:5" ht="18" x14ac:dyDescent="0.35">
      <c r="A7016" s="5"/>
      <c r="B7016" s="50" t="s">
        <v>37</v>
      </c>
      <c r="C7016" s="54">
        <v>1</v>
      </c>
      <c r="D7016" s="86">
        <v>200</v>
      </c>
      <c r="E7016" s="85">
        <f>C7016*D7016</f>
        <v>200</v>
      </c>
    </row>
    <row r="7017" spans="1:5" ht="18" x14ac:dyDescent="0.35">
      <c r="A7017" s="5"/>
      <c r="B7017" s="5"/>
      <c r="C7017" s="54"/>
      <c r="D7017" s="54"/>
      <c r="E7017" s="85">
        <f>SUM(E7015:E7016)</f>
        <v>689.26172399999996</v>
      </c>
    </row>
    <row r="7019" spans="1:5" ht="21" x14ac:dyDescent="0.4">
      <c r="A7019" s="40" t="s">
        <v>1827</v>
      </c>
      <c r="B7019" s="40"/>
      <c r="C7019" s="40"/>
      <c r="D7019" s="12"/>
      <c r="E7019" s="12"/>
    </row>
    <row r="7020" spans="1:5" ht="18" x14ac:dyDescent="0.35">
      <c r="A7020" s="5" t="s">
        <v>1822</v>
      </c>
      <c r="B7020" s="5"/>
      <c r="C7020" s="7" t="s">
        <v>28</v>
      </c>
      <c r="D7020" s="7" t="s">
        <v>29</v>
      </c>
      <c r="E7020" s="7" t="s">
        <v>30</v>
      </c>
    </row>
    <row r="7021" spans="1:5" ht="18" x14ac:dyDescent="0.35">
      <c r="A7021" s="5" t="s">
        <v>1823</v>
      </c>
      <c r="B7021" s="50" t="s">
        <v>32</v>
      </c>
      <c r="C7021" s="7"/>
      <c r="D7021" s="7">
        <v>10.34</v>
      </c>
      <c r="E7021" s="85">
        <f>C7021*D7021</f>
        <v>0</v>
      </c>
    </row>
    <row r="7022" spans="1:5" ht="18" x14ac:dyDescent="0.35">
      <c r="A7022" s="5" t="s">
        <v>876</v>
      </c>
      <c r="B7022" s="50" t="s">
        <v>33</v>
      </c>
      <c r="C7022" s="7">
        <v>33.442</v>
      </c>
      <c r="D7022" s="7">
        <v>17.059999999999999</v>
      </c>
      <c r="E7022" s="85">
        <f>C7022*D7022</f>
        <v>570.52051999999992</v>
      </c>
    </row>
    <row r="7023" spans="1:5" ht="18" x14ac:dyDescent="0.35">
      <c r="A7023" s="5" t="s">
        <v>1893</v>
      </c>
      <c r="B7023" s="50" t="s">
        <v>137</v>
      </c>
      <c r="C7023" s="7">
        <v>3.5</v>
      </c>
      <c r="D7023" s="7">
        <v>15.25</v>
      </c>
      <c r="E7023" s="85">
        <f>C7023*D7023</f>
        <v>53.375</v>
      </c>
    </row>
    <row r="7024" spans="1:5" ht="18" x14ac:dyDescent="0.35">
      <c r="A7024" s="5"/>
      <c r="B7024" s="50" t="s">
        <v>35</v>
      </c>
      <c r="C7024" s="7">
        <v>8</v>
      </c>
      <c r="D7024" s="7">
        <v>2.91</v>
      </c>
      <c r="E7024" s="85">
        <f>C7024*D7024</f>
        <v>23.28</v>
      </c>
    </row>
    <row r="7025" spans="1:5" ht="18" x14ac:dyDescent="0.35">
      <c r="A7025" s="5"/>
      <c r="B7025" s="50" t="s">
        <v>36</v>
      </c>
      <c r="C7025" s="7"/>
      <c r="D7025" s="7">
        <v>0.61</v>
      </c>
      <c r="E7025" s="85">
        <f>C7025*D7025</f>
        <v>0</v>
      </c>
    </row>
    <row r="7026" spans="1:5" ht="18" x14ac:dyDescent="0.35">
      <c r="A7026" s="5"/>
      <c r="B7026" s="50"/>
      <c r="C7026" s="87"/>
      <c r="D7026" s="88"/>
      <c r="E7026" s="85">
        <f>SUM(E7021:E7025)</f>
        <v>647.17551999999989</v>
      </c>
    </row>
    <row r="7027" spans="1:5" ht="18" x14ac:dyDescent="0.35">
      <c r="A7027" s="5"/>
      <c r="B7027" s="50"/>
      <c r="C7027" s="87"/>
      <c r="D7027" s="88" t="s">
        <v>1266</v>
      </c>
      <c r="E7027" s="85">
        <f>E7026+E7026*40%</f>
        <v>906.04572799999983</v>
      </c>
    </row>
    <row r="7028" spans="1:5" ht="18" x14ac:dyDescent="0.35">
      <c r="A7028" s="5"/>
      <c r="B7028" s="50" t="s">
        <v>37</v>
      </c>
      <c r="C7028" s="54">
        <v>2</v>
      </c>
      <c r="D7028" s="86">
        <v>200</v>
      </c>
      <c r="E7028" s="85">
        <f>C7028*D7028</f>
        <v>400</v>
      </c>
    </row>
    <row r="7029" spans="1:5" ht="18" x14ac:dyDescent="0.35">
      <c r="A7029" s="5"/>
      <c r="B7029" s="5"/>
      <c r="C7029" s="54"/>
      <c r="D7029" s="54"/>
      <c r="E7029" s="85">
        <f>SUM(E7027:E7028)</f>
        <v>1306.0457279999998</v>
      </c>
    </row>
    <row r="7031" spans="1:5" ht="21" x14ac:dyDescent="0.4">
      <c r="A7031" s="40" t="s">
        <v>1824</v>
      </c>
      <c r="B7031" s="40"/>
      <c r="C7031" s="40"/>
      <c r="D7031" s="12"/>
      <c r="E7031" s="12"/>
    </row>
    <row r="7032" spans="1:5" ht="18" x14ac:dyDescent="0.35">
      <c r="A7032" s="5" t="s">
        <v>1825</v>
      </c>
      <c r="B7032" s="5"/>
      <c r="C7032" s="7" t="s">
        <v>28</v>
      </c>
      <c r="D7032" s="7" t="s">
        <v>29</v>
      </c>
      <c r="E7032" s="7" t="s">
        <v>30</v>
      </c>
    </row>
    <row r="7033" spans="1:5" ht="18" x14ac:dyDescent="0.35">
      <c r="A7033" s="5" t="s">
        <v>1826</v>
      </c>
      <c r="B7033" s="50" t="s">
        <v>32</v>
      </c>
      <c r="C7033" s="7">
        <v>1.556</v>
      </c>
      <c r="D7033" s="7">
        <v>10.34</v>
      </c>
      <c r="E7033" s="85">
        <f>C7033*D7033</f>
        <v>16.089040000000001</v>
      </c>
    </row>
    <row r="7034" spans="1:5" ht="18" x14ac:dyDescent="0.35">
      <c r="A7034" s="5" t="s">
        <v>1828</v>
      </c>
      <c r="B7034" s="50" t="s">
        <v>33</v>
      </c>
      <c r="C7034" s="7">
        <v>5.008</v>
      </c>
      <c r="D7034" s="7">
        <v>17.059999999999999</v>
      </c>
      <c r="E7034" s="85">
        <f>C7034*D7034</f>
        <v>85.436479999999989</v>
      </c>
    </row>
    <row r="7035" spans="1:5" ht="18" x14ac:dyDescent="0.35">
      <c r="A7035" s="5" t="s">
        <v>705</v>
      </c>
      <c r="B7035" s="50" t="s">
        <v>137</v>
      </c>
      <c r="C7035" s="7">
        <v>0.28399999999999997</v>
      </c>
      <c r="D7035" s="7">
        <v>15.25</v>
      </c>
      <c r="E7035" s="85">
        <f>C7035*D7035</f>
        <v>4.3309999999999995</v>
      </c>
    </row>
    <row r="7036" spans="1:5" ht="18" x14ac:dyDescent="0.35">
      <c r="A7036" s="5"/>
      <c r="B7036" s="50" t="s">
        <v>35</v>
      </c>
      <c r="C7036" s="7">
        <v>4</v>
      </c>
      <c r="D7036" s="7">
        <v>2.91</v>
      </c>
      <c r="E7036" s="85">
        <f>C7036*D7036</f>
        <v>11.64</v>
      </c>
    </row>
    <row r="7037" spans="1:5" ht="18" x14ac:dyDescent="0.35">
      <c r="A7037" s="5"/>
      <c r="B7037" s="50" t="s">
        <v>36</v>
      </c>
      <c r="C7037" s="7">
        <v>4</v>
      </c>
      <c r="D7037" s="7">
        <v>0.61</v>
      </c>
      <c r="E7037" s="85">
        <f>C7037*D7037</f>
        <v>2.44</v>
      </c>
    </row>
    <row r="7038" spans="1:5" ht="18" x14ac:dyDescent="0.35">
      <c r="A7038" s="5"/>
      <c r="B7038" s="50"/>
      <c r="C7038" s="87"/>
      <c r="D7038" s="88"/>
      <c r="E7038" s="85">
        <f>SUM(E7033:E7037)</f>
        <v>119.93651999999999</v>
      </c>
    </row>
    <row r="7039" spans="1:5" ht="18" x14ac:dyDescent="0.35">
      <c r="A7039" s="5"/>
      <c r="B7039" s="50"/>
      <c r="C7039" s="87"/>
      <c r="D7039" s="88" t="s">
        <v>1266</v>
      </c>
      <c r="E7039" s="85">
        <f>E7038+E7038*40%</f>
        <v>167.91112799999999</v>
      </c>
    </row>
    <row r="7040" spans="1:5" ht="18" x14ac:dyDescent="0.35">
      <c r="A7040" s="5"/>
      <c r="B7040" s="50" t="s">
        <v>37</v>
      </c>
      <c r="C7040" s="54">
        <v>0.5</v>
      </c>
      <c r="D7040" s="86">
        <v>200</v>
      </c>
      <c r="E7040" s="85">
        <f>C7040*D7040</f>
        <v>100</v>
      </c>
    </row>
    <row r="7041" spans="1:5" ht="18" x14ac:dyDescent="0.35">
      <c r="A7041" s="5"/>
      <c r="B7041" s="5"/>
      <c r="C7041" s="54"/>
      <c r="D7041" s="54"/>
      <c r="E7041" s="85">
        <f>SUM(E7039:E7040)</f>
        <v>267.91112799999996</v>
      </c>
    </row>
    <row r="7043" spans="1:5" ht="21" x14ac:dyDescent="0.4">
      <c r="A7043" s="40" t="s">
        <v>947</v>
      </c>
      <c r="B7043" s="40"/>
      <c r="C7043" s="40"/>
      <c r="D7043" s="12"/>
      <c r="E7043" s="12"/>
    </row>
    <row r="7044" spans="1:5" ht="18" x14ac:dyDescent="0.35">
      <c r="A7044" s="5" t="s">
        <v>1825</v>
      </c>
      <c r="B7044" s="5"/>
      <c r="C7044" s="7" t="s">
        <v>28</v>
      </c>
      <c r="D7044" s="7" t="s">
        <v>29</v>
      </c>
      <c r="E7044" s="7" t="s">
        <v>30</v>
      </c>
    </row>
    <row r="7045" spans="1:5" ht="18" x14ac:dyDescent="0.35">
      <c r="A7045" s="5" t="s">
        <v>179</v>
      </c>
      <c r="B7045" s="50" t="s">
        <v>32</v>
      </c>
      <c r="C7045" s="7">
        <v>1.714</v>
      </c>
      <c r="D7045" s="7">
        <v>11.37</v>
      </c>
      <c r="E7045" s="85">
        <f>C7045*D7045</f>
        <v>19.48818</v>
      </c>
    </row>
    <row r="7046" spans="1:5" ht="18" x14ac:dyDescent="0.35">
      <c r="A7046" s="5" t="s">
        <v>1829</v>
      </c>
      <c r="B7046" s="50" t="s">
        <v>33</v>
      </c>
      <c r="C7046" s="7">
        <v>8.7460000000000004</v>
      </c>
      <c r="D7046" s="7">
        <v>15.25</v>
      </c>
      <c r="E7046" s="85">
        <f>C7046*D7046</f>
        <v>133.37649999999999</v>
      </c>
    </row>
    <row r="7047" spans="1:5" ht="18" x14ac:dyDescent="0.35">
      <c r="A7047" s="5" t="s">
        <v>705</v>
      </c>
      <c r="B7047" s="50" t="s">
        <v>137</v>
      </c>
      <c r="C7047" s="7">
        <v>0.53</v>
      </c>
      <c r="D7047" s="7">
        <v>15.25</v>
      </c>
      <c r="E7047" s="85">
        <f>C7047*D7047</f>
        <v>8.0824999999999996</v>
      </c>
    </row>
    <row r="7048" spans="1:5" ht="18" x14ac:dyDescent="0.35">
      <c r="A7048" s="5"/>
      <c r="B7048" s="50" t="s">
        <v>35</v>
      </c>
      <c r="C7048" s="7">
        <v>4</v>
      </c>
      <c r="D7048" s="7">
        <v>2.91</v>
      </c>
      <c r="E7048" s="85">
        <f>C7048*D7048</f>
        <v>11.64</v>
      </c>
    </row>
    <row r="7049" spans="1:5" ht="18" x14ac:dyDescent="0.35">
      <c r="A7049" s="5"/>
      <c r="B7049" s="50" t="s">
        <v>36</v>
      </c>
      <c r="C7049" s="7">
        <v>4</v>
      </c>
      <c r="D7049" s="7">
        <v>0.61</v>
      </c>
      <c r="E7049" s="85">
        <f>C7049*D7049</f>
        <v>2.44</v>
      </c>
    </row>
    <row r="7050" spans="1:5" ht="18" x14ac:dyDescent="0.35">
      <c r="A7050" s="5"/>
      <c r="B7050" s="50"/>
      <c r="C7050" s="87"/>
      <c r="D7050" s="88"/>
      <c r="E7050" s="85">
        <f>SUM(E7045:E7049)</f>
        <v>175.02717999999999</v>
      </c>
    </row>
    <row r="7051" spans="1:5" ht="18" x14ac:dyDescent="0.35">
      <c r="A7051" s="5"/>
      <c r="B7051" s="50"/>
      <c r="C7051" s="87"/>
      <c r="D7051" s="88" t="s">
        <v>1266</v>
      </c>
      <c r="E7051" s="85">
        <f>E7050+E7050*40%</f>
        <v>245.03805199999999</v>
      </c>
    </row>
    <row r="7052" spans="1:5" ht="18" x14ac:dyDescent="0.35">
      <c r="A7052" s="5"/>
      <c r="B7052" s="50" t="s">
        <v>37</v>
      </c>
      <c r="C7052" s="54">
        <v>0.5</v>
      </c>
      <c r="D7052" s="86">
        <v>200</v>
      </c>
      <c r="E7052" s="85">
        <f>C7052*D7052</f>
        <v>100</v>
      </c>
    </row>
    <row r="7053" spans="1:5" ht="18" x14ac:dyDescent="0.35">
      <c r="A7053" s="5"/>
      <c r="B7053" s="5"/>
      <c r="C7053" s="54"/>
      <c r="D7053" s="54"/>
      <c r="E7053" s="85">
        <f>SUM(E7051:E7052)</f>
        <v>345.03805199999999</v>
      </c>
    </row>
    <row r="7055" spans="1:5" ht="21" x14ac:dyDescent="0.4">
      <c r="A7055" s="40" t="s">
        <v>1827</v>
      </c>
      <c r="B7055" s="40"/>
      <c r="C7055" s="40"/>
      <c r="D7055" s="12"/>
      <c r="E7055" s="12"/>
    </row>
    <row r="7056" spans="1:5" ht="18" x14ac:dyDescent="0.35">
      <c r="A7056" s="5" t="s">
        <v>1830</v>
      </c>
      <c r="B7056" s="5"/>
      <c r="C7056" s="7" t="s">
        <v>28</v>
      </c>
      <c r="D7056" s="7" t="s">
        <v>29</v>
      </c>
      <c r="E7056" s="7" t="s">
        <v>30</v>
      </c>
    </row>
    <row r="7057" spans="1:5" ht="18" x14ac:dyDescent="0.35">
      <c r="A7057" s="5" t="s">
        <v>419</v>
      </c>
      <c r="B7057" s="50" t="s">
        <v>32</v>
      </c>
      <c r="C7057" s="7">
        <v>3.7080000000000002</v>
      </c>
      <c r="D7057" s="7">
        <v>10.34</v>
      </c>
      <c r="E7057" s="85">
        <f>C7057*D7057</f>
        <v>38.340720000000005</v>
      </c>
    </row>
    <row r="7058" spans="1:5" ht="18" x14ac:dyDescent="0.35">
      <c r="A7058" s="5" t="s">
        <v>217</v>
      </c>
      <c r="B7058" s="50" t="s">
        <v>33</v>
      </c>
      <c r="C7058" s="7">
        <v>21.902999999999999</v>
      </c>
      <c r="D7058" s="7">
        <v>17.059999999999999</v>
      </c>
      <c r="E7058" s="85">
        <f>C7058*D7058</f>
        <v>373.66517999999996</v>
      </c>
    </row>
    <row r="7059" spans="1:5" ht="18" x14ac:dyDescent="0.35">
      <c r="A7059" s="5" t="s">
        <v>672</v>
      </c>
      <c r="B7059" s="50" t="s">
        <v>137</v>
      </c>
      <c r="C7059" s="7">
        <v>1</v>
      </c>
      <c r="D7059" s="7">
        <v>15.25</v>
      </c>
      <c r="E7059" s="85">
        <f>C7059*D7059</f>
        <v>15.25</v>
      </c>
    </row>
    <row r="7060" spans="1:5" ht="18" x14ac:dyDescent="0.35">
      <c r="A7060" s="5"/>
      <c r="B7060" s="50" t="s">
        <v>35</v>
      </c>
      <c r="C7060" s="7">
        <v>4</v>
      </c>
      <c r="D7060" s="7">
        <v>2.91</v>
      </c>
      <c r="E7060" s="85">
        <f>C7060*D7060</f>
        <v>11.64</v>
      </c>
    </row>
    <row r="7061" spans="1:5" ht="18" x14ac:dyDescent="0.35">
      <c r="A7061" s="5"/>
      <c r="B7061" s="50" t="s">
        <v>36</v>
      </c>
      <c r="C7061" s="7">
        <v>4</v>
      </c>
      <c r="D7061" s="7">
        <v>0.61</v>
      </c>
      <c r="E7061" s="85">
        <f>C7061*D7061</f>
        <v>2.44</v>
      </c>
    </row>
    <row r="7062" spans="1:5" ht="18" x14ac:dyDescent="0.35">
      <c r="A7062" s="5"/>
      <c r="B7062" s="50"/>
      <c r="C7062" s="87"/>
      <c r="D7062" s="88"/>
      <c r="E7062" s="85">
        <f>SUM(E7057:E7061)</f>
        <v>441.33589999999998</v>
      </c>
    </row>
    <row r="7063" spans="1:5" ht="18" x14ac:dyDescent="0.35">
      <c r="A7063" s="5"/>
      <c r="B7063" s="50"/>
      <c r="C7063" s="87"/>
      <c r="D7063" s="88" t="s">
        <v>1266</v>
      </c>
      <c r="E7063" s="85">
        <f>E7062+E7062*40%</f>
        <v>617.87025999999992</v>
      </c>
    </row>
    <row r="7064" spans="1:5" ht="18" x14ac:dyDescent="0.35">
      <c r="A7064" s="5"/>
      <c r="B7064" s="50" t="s">
        <v>37</v>
      </c>
      <c r="C7064" s="54">
        <v>1.5</v>
      </c>
      <c r="D7064" s="86">
        <v>200</v>
      </c>
      <c r="E7064" s="85">
        <f>C7064*D7064</f>
        <v>300</v>
      </c>
    </row>
    <row r="7065" spans="1:5" ht="18" x14ac:dyDescent="0.35">
      <c r="A7065" s="5"/>
      <c r="B7065" s="5"/>
      <c r="C7065" s="54"/>
      <c r="D7065" s="54"/>
      <c r="E7065" s="85">
        <f>SUM(E7063:E7064)</f>
        <v>917.87025999999992</v>
      </c>
    </row>
    <row r="7067" spans="1:5" ht="21" x14ac:dyDescent="0.4">
      <c r="A7067" s="40" t="s">
        <v>1832</v>
      </c>
      <c r="B7067" s="40"/>
      <c r="C7067" s="40"/>
      <c r="D7067" s="12"/>
      <c r="E7067" s="12"/>
    </row>
    <row r="7068" spans="1:5" ht="18" x14ac:dyDescent="0.35">
      <c r="A7068" s="5" t="s">
        <v>1271</v>
      </c>
      <c r="B7068" s="5"/>
      <c r="C7068" s="7" t="s">
        <v>28</v>
      </c>
      <c r="D7068" s="7" t="s">
        <v>29</v>
      </c>
      <c r="E7068" s="7" t="s">
        <v>30</v>
      </c>
    </row>
    <row r="7069" spans="1:5" ht="18" x14ac:dyDescent="0.35">
      <c r="A7069" s="5" t="s">
        <v>73</v>
      </c>
      <c r="B7069" s="50" t="s">
        <v>32</v>
      </c>
      <c r="C7069" s="7">
        <v>0.97799999999999998</v>
      </c>
      <c r="D7069" s="7">
        <v>10.34</v>
      </c>
      <c r="E7069" s="85">
        <f>C7069*D7069</f>
        <v>10.11252</v>
      </c>
    </row>
    <row r="7070" spans="1:5" ht="18" x14ac:dyDescent="0.35">
      <c r="A7070" s="5" t="s">
        <v>217</v>
      </c>
      <c r="B7070" s="50" t="s">
        <v>33</v>
      </c>
      <c r="C7070" s="7">
        <v>2.7936000000000001</v>
      </c>
      <c r="D7070" s="7">
        <v>17.059999999999999</v>
      </c>
      <c r="E7070" s="85">
        <f>C7070*D7070</f>
        <v>47.658815999999995</v>
      </c>
    </row>
    <row r="7071" spans="1:5" ht="18" x14ac:dyDescent="0.35">
      <c r="A7071" s="5" t="s">
        <v>1331</v>
      </c>
      <c r="B7071" s="50" t="s">
        <v>137</v>
      </c>
      <c r="C7071" s="7">
        <v>0.42</v>
      </c>
      <c r="D7071" s="7">
        <v>15.25</v>
      </c>
      <c r="E7071" s="85">
        <f>C7071*D7071</f>
        <v>6.4049999999999994</v>
      </c>
    </row>
    <row r="7072" spans="1:5" ht="18" x14ac:dyDescent="0.35">
      <c r="A7072" s="5"/>
      <c r="B7072" s="50" t="s">
        <v>35</v>
      </c>
      <c r="C7072" s="7">
        <v>4</v>
      </c>
      <c r="D7072" s="7">
        <v>2.91</v>
      </c>
      <c r="E7072" s="85">
        <f>C7072*D7072</f>
        <v>11.64</v>
      </c>
    </row>
    <row r="7073" spans="1:5" ht="18" x14ac:dyDescent="0.35">
      <c r="A7073" s="5"/>
      <c r="B7073" s="50" t="s">
        <v>36</v>
      </c>
      <c r="C7073" s="7">
        <v>4</v>
      </c>
      <c r="D7073" s="7">
        <v>0.61</v>
      </c>
      <c r="E7073" s="85">
        <f>C7073*D7073</f>
        <v>2.44</v>
      </c>
    </row>
    <row r="7074" spans="1:5" ht="18" x14ac:dyDescent="0.35">
      <c r="A7074" s="5"/>
      <c r="B7074" s="50"/>
      <c r="C7074" s="87"/>
      <c r="D7074" s="88"/>
      <c r="E7074" s="85">
        <f>SUM(E7069:E7073)</f>
        <v>78.25633599999999</v>
      </c>
    </row>
    <row r="7075" spans="1:5" ht="18" x14ac:dyDescent="0.35">
      <c r="A7075" s="5"/>
      <c r="B7075" s="50"/>
      <c r="C7075" s="87"/>
      <c r="D7075" s="88" t="s">
        <v>1266</v>
      </c>
      <c r="E7075" s="85">
        <f>E7074+E7074*40%</f>
        <v>109.55887039999999</v>
      </c>
    </row>
    <row r="7076" spans="1:5" ht="18" x14ac:dyDescent="0.35">
      <c r="A7076" s="5"/>
      <c r="B7076" s="50" t="s">
        <v>37</v>
      </c>
      <c r="C7076" s="54">
        <v>0.4</v>
      </c>
      <c r="D7076" s="86">
        <v>200</v>
      </c>
      <c r="E7076" s="85">
        <f>C7076*D7076</f>
        <v>80</v>
      </c>
    </row>
    <row r="7077" spans="1:5" ht="18" x14ac:dyDescent="0.35">
      <c r="A7077" s="5"/>
      <c r="B7077" s="5"/>
      <c r="C7077" s="54"/>
      <c r="D7077" s="54"/>
      <c r="E7077" s="85">
        <f>SUM(E7075:E7076)</f>
        <v>189.55887039999999</v>
      </c>
    </row>
    <row r="7079" spans="1:5" ht="21" x14ac:dyDescent="0.4">
      <c r="A7079" s="40" t="s">
        <v>1833</v>
      </c>
      <c r="B7079" s="40"/>
      <c r="C7079" s="40"/>
      <c r="D7079" s="12"/>
      <c r="E7079" s="12"/>
    </row>
    <row r="7080" spans="1:5" ht="18" x14ac:dyDescent="0.35">
      <c r="A7080" s="5" t="s">
        <v>1834</v>
      </c>
      <c r="B7080" s="5"/>
      <c r="C7080" s="7" t="s">
        <v>28</v>
      </c>
      <c r="D7080" s="7" t="s">
        <v>29</v>
      </c>
      <c r="E7080" s="7" t="s">
        <v>30</v>
      </c>
    </row>
    <row r="7081" spans="1:5" ht="18" x14ac:dyDescent="0.35">
      <c r="A7081" s="5" t="s">
        <v>419</v>
      </c>
      <c r="B7081" s="50" t="s">
        <v>32</v>
      </c>
      <c r="C7081" s="7">
        <v>3.7090000000000001</v>
      </c>
      <c r="D7081" s="7">
        <v>10.34</v>
      </c>
      <c r="E7081" s="85">
        <f>C7081*D7081</f>
        <v>38.351059999999997</v>
      </c>
    </row>
    <row r="7082" spans="1:5" ht="18" x14ac:dyDescent="0.35">
      <c r="A7082" s="5" t="s">
        <v>217</v>
      </c>
      <c r="B7082" s="50" t="s">
        <v>33</v>
      </c>
      <c r="C7082" s="7">
        <v>21.902999999999999</v>
      </c>
      <c r="D7082" s="7">
        <v>17.059999999999999</v>
      </c>
      <c r="E7082" s="85">
        <f>C7082*D7082</f>
        <v>373.66517999999996</v>
      </c>
    </row>
    <row r="7083" spans="1:5" ht="18" x14ac:dyDescent="0.35">
      <c r="A7083" s="5" t="s">
        <v>1331</v>
      </c>
      <c r="B7083" s="50" t="s">
        <v>137</v>
      </c>
      <c r="C7083" s="7">
        <v>0.84</v>
      </c>
      <c r="D7083" s="7">
        <v>15.25</v>
      </c>
      <c r="E7083" s="85">
        <f>C7083*D7083</f>
        <v>12.809999999999999</v>
      </c>
    </row>
    <row r="7084" spans="1:5" ht="18" x14ac:dyDescent="0.35">
      <c r="A7084" s="5"/>
      <c r="B7084" s="50" t="s">
        <v>35</v>
      </c>
      <c r="C7084" s="7">
        <v>4</v>
      </c>
      <c r="D7084" s="7">
        <v>2.91</v>
      </c>
      <c r="E7084" s="85">
        <f>C7084*D7084</f>
        <v>11.64</v>
      </c>
    </row>
    <row r="7085" spans="1:5" ht="18" x14ac:dyDescent="0.35">
      <c r="A7085" s="5"/>
      <c r="B7085" s="50" t="s">
        <v>36</v>
      </c>
      <c r="C7085" s="7">
        <v>4</v>
      </c>
      <c r="D7085" s="7">
        <v>0.61</v>
      </c>
      <c r="E7085" s="85">
        <f>C7085*D7085</f>
        <v>2.44</v>
      </c>
    </row>
    <row r="7086" spans="1:5" ht="18" x14ac:dyDescent="0.35">
      <c r="A7086" s="5"/>
      <c r="B7086" s="50"/>
      <c r="C7086" s="87"/>
      <c r="D7086" s="88"/>
      <c r="E7086" s="85">
        <f>SUM(E7081:E7085)</f>
        <v>438.90623999999997</v>
      </c>
    </row>
    <row r="7087" spans="1:5" ht="18" x14ac:dyDescent="0.35">
      <c r="A7087" s="5"/>
      <c r="B7087" s="50"/>
      <c r="C7087" s="87"/>
      <c r="D7087" s="88" t="s">
        <v>1266</v>
      </c>
      <c r="E7087" s="85">
        <f>E7086+E7086*40%</f>
        <v>614.46873600000004</v>
      </c>
    </row>
    <row r="7088" spans="1:5" ht="18" x14ac:dyDescent="0.35">
      <c r="A7088" s="5"/>
      <c r="B7088" s="50" t="s">
        <v>37</v>
      </c>
      <c r="C7088" s="54">
        <v>1</v>
      </c>
      <c r="D7088" s="86">
        <v>200</v>
      </c>
      <c r="E7088" s="85">
        <f>C7088*D7088</f>
        <v>200</v>
      </c>
    </row>
    <row r="7089" spans="1:5" ht="18" x14ac:dyDescent="0.35">
      <c r="A7089" s="5"/>
      <c r="B7089" s="5"/>
      <c r="C7089" s="54"/>
      <c r="D7089" s="54"/>
      <c r="E7089" s="85">
        <f>SUM(E7087:E7088)</f>
        <v>814.46873600000004</v>
      </c>
    </row>
    <row r="7091" spans="1:5" ht="21" x14ac:dyDescent="0.4">
      <c r="A7091" s="40" t="s">
        <v>1835</v>
      </c>
      <c r="B7091" s="40"/>
      <c r="C7091" s="84"/>
    </row>
    <row r="7092" spans="1:5" ht="18" x14ac:dyDescent="0.35">
      <c r="A7092" t="s">
        <v>1836</v>
      </c>
      <c r="B7092" s="5"/>
      <c r="C7092" s="7" t="s">
        <v>28</v>
      </c>
      <c r="D7092" s="7" t="s">
        <v>29</v>
      </c>
      <c r="E7092" s="7" t="s">
        <v>30</v>
      </c>
    </row>
    <row r="7093" spans="1:5" ht="18" x14ac:dyDescent="0.35">
      <c r="A7093" s="5" t="s">
        <v>64</v>
      </c>
      <c r="B7093" s="50" t="s">
        <v>32</v>
      </c>
      <c r="C7093" s="7">
        <v>1.0840000000000001</v>
      </c>
      <c r="D7093" s="7">
        <v>14.93</v>
      </c>
      <c r="E7093" s="85">
        <f t="shared" ref="E7093:E7100" si="458">C7093*D7093</f>
        <v>16.18412</v>
      </c>
    </row>
    <row r="7094" spans="1:5" ht="18" x14ac:dyDescent="0.35">
      <c r="A7094" s="5" t="s">
        <v>143</v>
      </c>
      <c r="B7094" s="50" t="s">
        <v>33</v>
      </c>
      <c r="C7094" s="7">
        <v>1.827</v>
      </c>
      <c r="D7094" s="7">
        <v>16.170000000000002</v>
      </c>
      <c r="E7094" s="85">
        <f t="shared" si="458"/>
        <v>29.542590000000004</v>
      </c>
    </row>
    <row r="7095" spans="1:5" ht="18" x14ac:dyDescent="0.35">
      <c r="A7095" s="5" t="s">
        <v>1837</v>
      </c>
      <c r="B7095" s="50" t="s">
        <v>33</v>
      </c>
      <c r="C7095" s="7">
        <v>2.0579999999999998</v>
      </c>
      <c r="D7095" s="7">
        <v>16.170000000000002</v>
      </c>
      <c r="E7095" s="85">
        <f t="shared" si="458"/>
        <v>33.277860000000004</v>
      </c>
    </row>
    <row r="7096" spans="1:5" ht="18" x14ac:dyDescent="0.35">
      <c r="A7096" s="5" t="s">
        <v>623</v>
      </c>
      <c r="B7096" s="50" t="s">
        <v>86</v>
      </c>
      <c r="C7096" s="7">
        <v>2</v>
      </c>
      <c r="D7096" s="7">
        <v>1.7</v>
      </c>
      <c r="E7096" s="85">
        <f t="shared" si="458"/>
        <v>3.4</v>
      </c>
    </row>
    <row r="7097" spans="1:5" ht="18" x14ac:dyDescent="0.35">
      <c r="A7097" s="5" t="s">
        <v>1786</v>
      </c>
      <c r="B7097" s="50" t="s">
        <v>84</v>
      </c>
      <c r="C7097" s="7">
        <v>2</v>
      </c>
      <c r="D7097" s="7">
        <v>1.6</v>
      </c>
      <c r="E7097" s="85">
        <f t="shared" si="458"/>
        <v>3.2</v>
      </c>
    </row>
    <row r="7098" spans="1:5" ht="18" x14ac:dyDescent="0.35">
      <c r="A7098" s="5" t="s">
        <v>1785</v>
      </c>
      <c r="B7098" s="50" t="s">
        <v>34</v>
      </c>
      <c r="C7098" s="7"/>
      <c r="D7098" s="7">
        <v>14.61</v>
      </c>
      <c r="E7098" s="85">
        <f t="shared" si="458"/>
        <v>0</v>
      </c>
    </row>
    <row r="7099" spans="1:5" ht="18" x14ac:dyDescent="0.35">
      <c r="A7099" s="5"/>
      <c r="B7099" s="50" t="s">
        <v>35</v>
      </c>
      <c r="C7099" s="7">
        <v>4</v>
      </c>
      <c r="D7099" s="7">
        <v>2.91</v>
      </c>
      <c r="E7099" s="85">
        <f t="shared" si="458"/>
        <v>11.64</v>
      </c>
    </row>
    <row r="7100" spans="1:5" ht="18" x14ac:dyDescent="0.35">
      <c r="A7100" s="5"/>
      <c r="B7100" s="50" t="s">
        <v>36</v>
      </c>
      <c r="C7100" s="7">
        <v>4</v>
      </c>
      <c r="D7100" s="7">
        <v>0.61</v>
      </c>
      <c r="E7100" s="85">
        <f t="shared" si="458"/>
        <v>2.44</v>
      </c>
    </row>
    <row r="7101" spans="1:5" ht="18" x14ac:dyDescent="0.35">
      <c r="A7101" s="5"/>
      <c r="B7101" s="5"/>
      <c r="C7101" s="54"/>
      <c r="D7101" s="54"/>
      <c r="E7101" s="89">
        <f>SUM(E7093:E7100)</f>
        <v>99.684570000000008</v>
      </c>
    </row>
    <row r="7102" spans="1:5" ht="18" x14ac:dyDescent="0.35">
      <c r="A7102" s="5"/>
      <c r="B7102" s="5"/>
      <c r="C7102" s="54"/>
      <c r="D7102" s="54" t="s">
        <v>1063</v>
      </c>
      <c r="E7102" s="89">
        <f>E7101+E7101*40%</f>
        <v>139.55839800000001</v>
      </c>
    </row>
    <row r="7103" spans="1:5" ht="18" x14ac:dyDescent="0.35">
      <c r="A7103" s="5"/>
      <c r="B7103" s="50" t="s">
        <v>37</v>
      </c>
      <c r="C7103" s="54">
        <v>0.5</v>
      </c>
      <c r="D7103" s="54">
        <v>200</v>
      </c>
      <c r="E7103" s="85">
        <f>C7103*D7103</f>
        <v>100</v>
      </c>
    </row>
    <row r="7104" spans="1:5" ht="18" x14ac:dyDescent="0.35">
      <c r="D7104" t="s">
        <v>1803</v>
      </c>
      <c r="E7104" s="85">
        <f>SUM(E7102:E7103)</f>
        <v>239.55839800000001</v>
      </c>
    </row>
    <row r="7105" spans="1:5" ht="18" x14ac:dyDescent="0.35">
      <c r="D7105" t="s">
        <v>1760</v>
      </c>
      <c r="E7105" s="85">
        <f>E7104+E7104*33%</f>
        <v>318.61266934000002</v>
      </c>
    </row>
    <row r="7107" spans="1:5" ht="21" x14ac:dyDescent="0.4">
      <c r="A7107" s="40" t="s">
        <v>1839</v>
      </c>
      <c r="B7107" s="40"/>
      <c r="C7107" s="84"/>
    </row>
    <row r="7108" spans="1:5" ht="18" x14ac:dyDescent="0.35">
      <c r="A7108" s="5" t="s">
        <v>1838</v>
      </c>
      <c r="B7108" s="5"/>
      <c r="C7108" s="7" t="s">
        <v>28</v>
      </c>
      <c r="D7108" s="7" t="s">
        <v>29</v>
      </c>
      <c r="E7108" s="7" t="s">
        <v>30</v>
      </c>
    </row>
    <row r="7109" spans="1:5" ht="18" x14ac:dyDescent="0.35">
      <c r="A7109" s="5" t="s">
        <v>1736</v>
      </c>
      <c r="B7109" s="50" t="s">
        <v>32</v>
      </c>
      <c r="C7109" s="7">
        <v>1.9870000000000001</v>
      </c>
      <c r="D7109" s="7">
        <v>10.34</v>
      </c>
      <c r="E7109" s="85">
        <f t="shared" ref="E7109:E7114" si="459">C7109*D7109</f>
        <v>20.545580000000001</v>
      </c>
    </row>
    <row r="7110" spans="1:5" ht="18" x14ac:dyDescent="0.35">
      <c r="A7110" s="5" t="s">
        <v>55</v>
      </c>
      <c r="B7110" s="50" t="s">
        <v>33</v>
      </c>
      <c r="C7110" s="7">
        <v>9.5760000000000005</v>
      </c>
      <c r="D7110" s="7">
        <v>16.170000000000002</v>
      </c>
      <c r="E7110" s="85">
        <f t="shared" si="459"/>
        <v>154.84392000000003</v>
      </c>
    </row>
    <row r="7111" spans="1:5" ht="18" x14ac:dyDescent="0.35">
      <c r="A7111" s="5" t="s">
        <v>950</v>
      </c>
      <c r="B7111" s="50" t="s">
        <v>113</v>
      </c>
      <c r="C7111" s="7">
        <v>2</v>
      </c>
      <c r="D7111" s="7">
        <v>2.2400000000000002</v>
      </c>
      <c r="E7111" s="85">
        <f t="shared" si="459"/>
        <v>4.4800000000000004</v>
      </c>
    </row>
    <row r="7112" spans="1:5" ht="18" x14ac:dyDescent="0.35">
      <c r="A7112" s="5"/>
      <c r="B7112" s="50" t="s">
        <v>34</v>
      </c>
      <c r="C7112" s="7">
        <v>0.4</v>
      </c>
      <c r="D7112" s="7">
        <v>14.61</v>
      </c>
      <c r="E7112" s="85">
        <f t="shared" si="459"/>
        <v>5.8440000000000003</v>
      </c>
    </row>
    <row r="7113" spans="1:5" ht="18" x14ac:dyDescent="0.35">
      <c r="A7113" s="5"/>
      <c r="B7113" s="50" t="s">
        <v>35</v>
      </c>
      <c r="C7113" s="7">
        <v>4</v>
      </c>
      <c r="D7113" s="7">
        <v>2.91</v>
      </c>
      <c r="E7113" s="85">
        <f t="shared" si="459"/>
        <v>11.64</v>
      </c>
    </row>
    <row r="7114" spans="1:5" ht="18" x14ac:dyDescent="0.35">
      <c r="A7114" s="5"/>
      <c r="B7114" s="50" t="s">
        <v>36</v>
      </c>
      <c r="C7114" s="7">
        <v>4</v>
      </c>
      <c r="D7114" s="7">
        <v>0.61</v>
      </c>
      <c r="E7114" s="85">
        <f t="shared" si="459"/>
        <v>2.44</v>
      </c>
    </row>
    <row r="7115" spans="1:5" ht="18" x14ac:dyDescent="0.35">
      <c r="A7115" s="5"/>
      <c r="B7115" s="5"/>
      <c r="C7115" s="54"/>
      <c r="D7115" s="54"/>
      <c r="E7115" s="89">
        <f>SUM(E7109:E7114)</f>
        <v>199.79349999999999</v>
      </c>
    </row>
    <row r="7116" spans="1:5" ht="18" x14ac:dyDescent="0.35">
      <c r="A7116" s="5"/>
      <c r="B7116" s="5"/>
      <c r="C7116" s="54"/>
      <c r="D7116" s="54" t="s">
        <v>1063</v>
      </c>
      <c r="E7116" s="89">
        <f>E7115+E7115*40%</f>
        <v>279.71089999999998</v>
      </c>
    </row>
    <row r="7117" spans="1:5" ht="18" x14ac:dyDescent="0.35">
      <c r="A7117" s="5"/>
      <c r="B7117" s="50" t="s">
        <v>37</v>
      </c>
      <c r="C7117" s="54">
        <v>0.5</v>
      </c>
      <c r="D7117" s="54">
        <v>200</v>
      </c>
      <c r="E7117" s="85">
        <f>C7117*D7117</f>
        <v>100</v>
      </c>
    </row>
    <row r="7118" spans="1:5" ht="18" x14ac:dyDescent="0.35">
      <c r="A7118" s="5"/>
      <c r="B7118" s="5"/>
      <c r="C7118" s="54"/>
      <c r="D7118" s="54"/>
      <c r="E7118" s="85">
        <f>SUM(E7116:E7117)</f>
        <v>379.71089999999998</v>
      </c>
    </row>
    <row r="7120" spans="1:5" ht="21" x14ac:dyDescent="0.4">
      <c r="A7120" s="40" t="s">
        <v>634</v>
      </c>
      <c r="B7120" s="40"/>
      <c r="C7120" s="40"/>
      <c r="D7120" s="12"/>
      <c r="E7120" s="12"/>
    </row>
    <row r="7121" spans="1:5" ht="18" x14ac:dyDescent="0.35">
      <c r="A7121" s="5" t="s">
        <v>1840</v>
      </c>
      <c r="B7121" s="5"/>
      <c r="C7121" s="7" t="s">
        <v>28</v>
      </c>
      <c r="D7121" s="7" t="s">
        <v>29</v>
      </c>
      <c r="E7121" s="7" t="s">
        <v>30</v>
      </c>
    </row>
    <row r="7122" spans="1:5" ht="18" x14ac:dyDescent="0.35">
      <c r="A7122" s="5" t="s">
        <v>81</v>
      </c>
      <c r="B7122" s="50" t="s">
        <v>32</v>
      </c>
      <c r="C7122" s="7">
        <v>2.6579999999999999</v>
      </c>
      <c r="D7122" s="7">
        <v>10.34</v>
      </c>
      <c r="E7122" s="85">
        <f>C7122*D7122</f>
        <v>27.483719999999998</v>
      </c>
    </row>
    <row r="7123" spans="1:5" ht="18" x14ac:dyDescent="0.35">
      <c r="A7123" s="5" t="s">
        <v>217</v>
      </c>
      <c r="B7123" s="50" t="s">
        <v>33</v>
      </c>
      <c r="C7123" s="7">
        <v>14.553000000000001</v>
      </c>
      <c r="D7123" s="7">
        <v>17.059999999999999</v>
      </c>
      <c r="E7123" s="85">
        <f>C7123*D7123</f>
        <v>248.27418</v>
      </c>
    </row>
    <row r="7124" spans="1:5" ht="18" x14ac:dyDescent="0.35">
      <c r="A7124" s="5" t="s">
        <v>1331</v>
      </c>
      <c r="B7124" s="50" t="s">
        <v>137</v>
      </c>
      <c r="C7124" s="7">
        <v>0.8</v>
      </c>
      <c r="D7124" s="7">
        <v>15.25</v>
      </c>
      <c r="E7124" s="85">
        <f>C7124*D7124</f>
        <v>12.200000000000001</v>
      </c>
    </row>
    <row r="7125" spans="1:5" ht="18" x14ac:dyDescent="0.35">
      <c r="A7125" s="5"/>
      <c r="B7125" s="50" t="s">
        <v>35</v>
      </c>
      <c r="C7125" s="7">
        <v>4</v>
      </c>
      <c r="D7125" s="7">
        <v>2.91</v>
      </c>
      <c r="E7125" s="85">
        <f>C7125*D7125</f>
        <v>11.64</v>
      </c>
    </row>
    <row r="7126" spans="1:5" ht="18" x14ac:dyDescent="0.35">
      <c r="A7126" s="5"/>
      <c r="B7126" s="50" t="s">
        <v>36</v>
      </c>
      <c r="C7126" s="7">
        <v>4</v>
      </c>
      <c r="D7126" s="7">
        <v>0.61</v>
      </c>
      <c r="E7126" s="85">
        <f>C7126*D7126</f>
        <v>2.44</v>
      </c>
    </row>
    <row r="7127" spans="1:5" ht="18" x14ac:dyDescent="0.35">
      <c r="A7127" s="5"/>
      <c r="B7127" s="50"/>
      <c r="C7127" s="87"/>
      <c r="D7127" s="88"/>
      <c r="E7127" s="85">
        <f>SUM(E7122:E7126)</f>
        <v>302.03789999999998</v>
      </c>
    </row>
    <row r="7128" spans="1:5" ht="18" x14ac:dyDescent="0.35">
      <c r="A7128" s="5"/>
      <c r="B7128" s="50"/>
      <c r="C7128" s="87"/>
      <c r="D7128" s="88" t="s">
        <v>1266</v>
      </c>
      <c r="E7128" s="85">
        <f>E7127+E7127*40%</f>
        <v>422.85305999999997</v>
      </c>
    </row>
    <row r="7129" spans="1:5" ht="18" x14ac:dyDescent="0.35">
      <c r="A7129" s="5"/>
      <c r="B7129" s="50" t="s">
        <v>37</v>
      </c>
      <c r="C7129" s="54">
        <v>0.5</v>
      </c>
      <c r="D7129" s="86">
        <v>200</v>
      </c>
      <c r="E7129" s="85">
        <f>C7129*D7129</f>
        <v>100</v>
      </c>
    </row>
    <row r="7130" spans="1:5" ht="18" x14ac:dyDescent="0.35">
      <c r="A7130" s="5"/>
      <c r="B7130" s="5"/>
      <c r="C7130" s="54"/>
      <c r="D7130" s="54"/>
      <c r="E7130" s="85">
        <f>SUM(E7128:E7129)</f>
        <v>522.85305999999991</v>
      </c>
    </row>
    <row r="7132" spans="1:5" ht="21" x14ac:dyDescent="0.4">
      <c r="A7132" s="40" t="s">
        <v>634</v>
      </c>
      <c r="B7132" s="40"/>
      <c r="C7132" s="40"/>
      <c r="D7132" s="12"/>
      <c r="E7132" s="12"/>
    </row>
    <row r="7133" spans="1:5" ht="18" x14ac:dyDescent="0.35">
      <c r="A7133" s="5" t="s">
        <v>1840</v>
      </c>
      <c r="B7133" s="5"/>
      <c r="C7133" s="7" t="s">
        <v>28</v>
      </c>
      <c r="D7133" s="7" t="s">
        <v>29</v>
      </c>
      <c r="E7133" s="7" t="s">
        <v>30</v>
      </c>
    </row>
    <row r="7134" spans="1:5" ht="18" x14ac:dyDescent="0.35">
      <c r="A7134" s="5" t="s">
        <v>81</v>
      </c>
      <c r="B7134" s="50" t="s">
        <v>32</v>
      </c>
      <c r="C7134" s="7">
        <v>2.6579999999999999</v>
      </c>
      <c r="D7134" s="7">
        <v>10.34</v>
      </c>
      <c r="E7134" s="85">
        <f>C7134*D7134</f>
        <v>27.483719999999998</v>
      </c>
    </row>
    <row r="7135" spans="1:5" ht="18" x14ac:dyDescent="0.35">
      <c r="A7135" s="5" t="s">
        <v>217</v>
      </c>
      <c r="B7135" s="50" t="s">
        <v>33</v>
      </c>
      <c r="C7135" s="7">
        <v>14.553000000000001</v>
      </c>
      <c r="D7135" s="7">
        <v>17.059999999999999</v>
      </c>
      <c r="E7135" s="85">
        <f>C7135*D7135</f>
        <v>248.27418</v>
      </c>
    </row>
    <row r="7136" spans="1:5" ht="18" x14ac:dyDescent="0.35">
      <c r="A7136" s="5" t="s">
        <v>1331</v>
      </c>
      <c r="B7136" s="50" t="s">
        <v>137</v>
      </c>
      <c r="C7136" s="7">
        <v>0.8</v>
      </c>
      <c r="D7136" s="7">
        <v>15.25</v>
      </c>
      <c r="E7136" s="85">
        <f>C7136*D7136</f>
        <v>12.200000000000001</v>
      </c>
    </row>
    <row r="7137" spans="1:5" ht="18" x14ac:dyDescent="0.35">
      <c r="A7137" s="5"/>
      <c r="B7137" s="50" t="s">
        <v>35</v>
      </c>
      <c r="C7137" s="7">
        <v>4</v>
      </c>
      <c r="D7137" s="7">
        <v>2.91</v>
      </c>
      <c r="E7137" s="85">
        <f>C7137*D7137</f>
        <v>11.64</v>
      </c>
    </row>
    <row r="7138" spans="1:5" ht="18" x14ac:dyDescent="0.35">
      <c r="A7138" s="5"/>
      <c r="B7138" s="50" t="s">
        <v>36</v>
      </c>
      <c r="C7138" s="7">
        <v>4</v>
      </c>
      <c r="D7138" s="7">
        <v>0.61</v>
      </c>
      <c r="E7138" s="85">
        <f>C7138*D7138</f>
        <v>2.44</v>
      </c>
    </row>
    <row r="7139" spans="1:5" ht="18" x14ac:dyDescent="0.35">
      <c r="A7139" s="5"/>
      <c r="B7139" s="50"/>
      <c r="C7139" s="87"/>
      <c r="D7139" s="88"/>
      <c r="E7139" s="85">
        <f>SUM(E7134:E7138)</f>
        <v>302.03789999999998</v>
      </c>
    </row>
    <row r="7140" spans="1:5" ht="18" x14ac:dyDescent="0.35">
      <c r="A7140" s="5"/>
      <c r="B7140" s="50"/>
      <c r="C7140" s="87"/>
      <c r="D7140" s="88" t="s">
        <v>1266</v>
      </c>
      <c r="E7140" s="85">
        <f>E7139+E7139*40%</f>
        <v>422.85305999999997</v>
      </c>
    </row>
    <row r="7141" spans="1:5" ht="18" x14ac:dyDescent="0.35">
      <c r="A7141" s="5"/>
      <c r="B7141" s="50" t="s">
        <v>37</v>
      </c>
      <c r="C7141" s="54">
        <v>0.5</v>
      </c>
      <c r="D7141" s="86">
        <v>200</v>
      </c>
      <c r="E7141" s="85">
        <f>C7141*D7141</f>
        <v>100</v>
      </c>
    </row>
    <row r="7142" spans="1:5" ht="18" x14ac:dyDescent="0.35">
      <c r="A7142" s="5"/>
      <c r="B7142" s="5"/>
      <c r="C7142" s="54"/>
      <c r="D7142" s="54"/>
      <c r="E7142" s="85">
        <f>SUM(E7140:E7141)</f>
        <v>522.85305999999991</v>
      </c>
    </row>
    <row r="7144" spans="1:5" ht="21" x14ac:dyDescent="0.4">
      <c r="A7144" s="40" t="s">
        <v>634</v>
      </c>
      <c r="B7144" s="40"/>
      <c r="C7144" s="40"/>
      <c r="D7144" s="12"/>
      <c r="E7144" s="12"/>
    </row>
    <row r="7145" spans="1:5" ht="18" x14ac:dyDescent="0.35">
      <c r="A7145" s="5" t="s">
        <v>1840</v>
      </c>
      <c r="B7145" s="5"/>
      <c r="C7145" s="7" t="s">
        <v>28</v>
      </c>
      <c r="D7145" s="7" t="s">
        <v>29</v>
      </c>
      <c r="E7145" s="7" t="s">
        <v>30</v>
      </c>
    </row>
    <row r="7146" spans="1:5" ht="18" x14ac:dyDescent="0.35">
      <c r="A7146" s="5" t="s">
        <v>81</v>
      </c>
      <c r="B7146" s="50" t="s">
        <v>32</v>
      </c>
      <c r="C7146" s="7">
        <v>2.6579999999999999</v>
      </c>
      <c r="D7146" s="7">
        <v>10.34</v>
      </c>
      <c r="E7146" s="85">
        <f>C7146*D7146</f>
        <v>27.483719999999998</v>
      </c>
    </row>
    <row r="7147" spans="1:5" ht="18" x14ac:dyDescent="0.35">
      <c r="A7147" s="5" t="s">
        <v>217</v>
      </c>
      <c r="B7147" s="50" t="s">
        <v>33</v>
      </c>
      <c r="C7147" s="7">
        <v>14.553000000000001</v>
      </c>
      <c r="D7147" s="7">
        <v>17.059999999999999</v>
      </c>
      <c r="E7147" s="85">
        <f>C7147*D7147</f>
        <v>248.27418</v>
      </c>
    </row>
    <row r="7148" spans="1:5" ht="18" x14ac:dyDescent="0.35">
      <c r="A7148" s="5" t="s">
        <v>1331</v>
      </c>
      <c r="B7148" s="50" t="s">
        <v>137</v>
      </c>
      <c r="C7148" s="7">
        <v>0.8</v>
      </c>
      <c r="D7148" s="7">
        <v>15.25</v>
      </c>
      <c r="E7148" s="85">
        <f>C7148*D7148</f>
        <v>12.200000000000001</v>
      </c>
    </row>
    <row r="7149" spans="1:5" ht="18" x14ac:dyDescent="0.35">
      <c r="A7149" s="5"/>
      <c r="B7149" s="50" t="s">
        <v>35</v>
      </c>
      <c r="C7149" s="7">
        <v>4</v>
      </c>
      <c r="D7149" s="7">
        <v>2.91</v>
      </c>
      <c r="E7149" s="85">
        <f>C7149*D7149</f>
        <v>11.64</v>
      </c>
    </row>
    <row r="7150" spans="1:5" ht="18" x14ac:dyDescent="0.35">
      <c r="A7150" s="5"/>
      <c r="B7150" s="50" t="s">
        <v>36</v>
      </c>
      <c r="C7150" s="7">
        <v>4</v>
      </c>
      <c r="D7150" s="7">
        <v>0.61</v>
      </c>
      <c r="E7150" s="85">
        <f>C7150*D7150</f>
        <v>2.44</v>
      </c>
    </row>
    <row r="7151" spans="1:5" ht="18" x14ac:dyDescent="0.35">
      <c r="A7151" s="5"/>
      <c r="B7151" s="50"/>
      <c r="C7151" s="87"/>
      <c r="D7151" s="88"/>
      <c r="E7151" s="85">
        <f>SUM(E7146:E7150)</f>
        <v>302.03789999999998</v>
      </c>
    </row>
    <row r="7152" spans="1:5" ht="18" x14ac:dyDescent="0.35">
      <c r="A7152" s="5"/>
      <c r="B7152" s="50"/>
      <c r="C7152" s="87"/>
      <c r="D7152" s="88" t="s">
        <v>1266</v>
      </c>
      <c r="E7152" s="85">
        <f>E7151+E7151*40%</f>
        <v>422.85305999999997</v>
      </c>
    </row>
    <row r="7153" spans="1:5" ht="18" x14ac:dyDescent="0.35">
      <c r="A7153" s="5"/>
      <c r="B7153" s="50" t="s">
        <v>37</v>
      </c>
      <c r="C7153" s="54">
        <v>0.5</v>
      </c>
      <c r="D7153" s="86">
        <v>200</v>
      </c>
      <c r="E7153" s="85">
        <f>C7153*D7153</f>
        <v>100</v>
      </c>
    </row>
    <row r="7154" spans="1:5" ht="18" x14ac:dyDescent="0.35">
      <c r="A7154" s="5"/>
      <c r="B7154" s="5"/>
      <c r="C7154" s="54"/>
      <c r="D7154" s="54"/>
      <c r="E7154" s="85">
        <f>SUM(E7152:E7153)</f>
        <v>522.85305999999991</v>
      </c>
    </row>
    <row r="7156" spans="1:5" ht="21" x14ac:dyDescent="0.4">
      <c r="A7156" s="40" t="s">
        <v>1841</v>
      </c>
      <c r="B7156" s="40"/>
      <c r="C7156" s="40"/>
      <c r="D7156" s="12"/>
      <c r="E7156" s="12"/>
    </row>
    <row r="7157" spans="1:5" ht="18" x14ac:dyDescent="0.35">
      <c r="A7157" s="5" t="s">
        <v>1156</v>
      </c>
      <c r="B7157" s="5"/>
      <c r="C7157" s="7" t="s">
        <v>28</v>
      </c>
      <c r="D7157" s="7" t="s">
        <v>29</v>
      </c>
      <c r="E7157" s="7" t="s">
        <v>30</v>
      </c>
    </row>
    <row r="7158" spans="1:5" ht="18" x14ac:dyDescent="0.35">
      <c r="A7158" s="5" t="s">
        <v>1842</v>
      </c>
      <c r="B7158" s="50" t="s">
        <v>32</v>
      </c>
      <c r="C7158" s="7">
        <v>2.3010000000000002</v>
      </c>
      <c r="D7158" s="7">
        <v>10.34</v>
      </c>
      <c r="E7158" s="85">
        <f>C7158*D7158</f>
        <v>23.792340000000003</v>
      </c>
    </row>
    <row r="7159" spans="1:5" ht="18" x14ac:dyDescent="0.35">
      <c r="A7159" s="5" t="s">
        <v>769</v>
      </c>
      <c r="B7159" s="50" t="s">
        <v>33</v>
      </c>
      <c r="C7159" s="7">
        <v>20.59</v>
      </c>
      <c r="D7159" s="7">
        <v>17.059999999999999</v>
      </c>
      <c r="E7159" s="85">
        <f>C7159*D7159</f>
        <v>351.2654</v>
      </c>
    </row>
    <row r="7160" spans="1:5" ht="18" x14ac:dyDescent="0.35">
      <c r="A7160" s="5" t="s">
        <v>1843</v>
      </c>
      <c r="B7160" s="50" t="s">
        <v>137</v>
      </c>
      <c r="C7160" s="7">
        <v>1</v>
      </c>
      <c r="D7160" s="7">
        <v>15.25</v>
      </c>
      <c r="E7160" s="85">
        <f>C7160*D7160</f>
        <v>15.25</v>
      </c>
    </row>
    <row r="7161" spans="1:5" ht="18" x14ac:dyDescent="0.35">
      <c r="A7161" s="5"/>
      <c r="B7161" s="50" t="s">
        <v>35</v>
      </c>
      <c r="C7161" s="7">
        <v>4</v>
      </c>
      <c r="D7161" s="7">
        <v>2.91</v>
      </c>
      <c r="E7161" s="85">
        <f>C7161*D7161</f>
        <v>11.64</v>
      </c>
    </row>
    <row r="7162" spans="1:5" ht="18" x14ac:dyDescent="0.35">
      <c r="A7162" s="5"/>
      <c r="B7162" s="50" t="s">
        <v>36</v>
      </c>
      <c r="C7162" s="7">
        <v>4</v>
      </c>
      <c r="D7162" s="7">
        <v>0.61</v>
      </c>
      <c r="E7162" s="85">
        <f>C7162*D7162</f>
        <v>2.44</v>
      </c>
    </row>
    <row r="7163" spans="1:5" ht="18" x14ac:dyDescent="0.35">
      <c r="A7163" s="5"/>
      <c r="B7163" s="50"/>
      <c r="C7163" s="87"/>
      <c r="D7163" s="88"/>
      <c r="E7163" s="85">
        <f>SUM(E7158:E7162)</f>
        <v>404.38774000000001</v>
      </c>
    </row>
    <row r="7164" spans="1:5" ht="18" x14ac:dyDescent="0.35">
      <c r="A7164" s="5"/>
      <c r="B7164" s="50"/>
      <c r="C7164" s="87"/>
      <c r="D7164" s="88" t="s">
        <v>1266</v>
      </c>
      <c r="E7164" s="85">
        <f>E7163+E7163*40%</f>
        <v>566.14283599999999</v>
      </c>
    </row>
    <row r="7165" spans="1:5" ht="18" x14ac:dyDescent="0.35">
      <c r="A7165" s="5"/>
      <c r="B7165" s="50" t="s">
        <v>37</v>
      </c>
      <c r="C7165" s="54">
        <v>0.8</v>
      </c>
      <c r="D7165" s="86">
        <v>200</v>
      </c>
      <c r="E7165" s="85">
        <f>C7165*D7165</f>
        <v>160</v>
      </c>
    </row>
    <row r="7166" spans="1:5" ht="18" x14ac:dyDescent="0.35">
      <c r="A7166" s="5"/>
      <c r="B7166" s="5"/>
      <c r="C7166" s="54"/>
      <c r="D7166" s="54"/>
      <c r="E7166" s="85">
        <f>SUM(E7164:E7165)</f>
        <v>726.14283599999999</v>
      </c>
    </row>
    <row r="7168" spans="1:5" ht="21" x14ac:dyDescent="0.4">
      <c r="A7168" s="40" t="s">
        <v>1844</v>
      </c>
      <c r="B7168" s="40"/>
      <c r="C7168" s="84"/>
    </row>
    <row r="7169" spans="1:5" ht="18" x14ac:dyDescent="0.35">
      <c r="A7169" t="s">
        <v>1509</v>
      </c>
      <c r="B7169" s="5"/>
      <c r="C7169" s="7" t="s">
        <v>28</v>
      </c>
      <c r="D7169" s="7" t="s">
        <v>29</v>
      </c>
      <c r="E7169" s="7" t="s">
        <v>30</v>
      </c>
    </row>
    <row r="7170" spans="1:5" ht="18" x14ac:dyDescent="0.35">
      <c r="A7170" s="5" t="s">
        <v>44</v>
      </c>
      <c r="B7170" s="50" t="s">
        <v>32</v>
      </c>
      <c r="C7170" s="7">
        <v>1.6080000000000001</v>
      </c>
      <c r="D7170" s="7">
        <v>14.93</v>
      </c>
      <c r="E7170" s="85">
        <f t="shared" ref="E7170:E7177" si="460">C7170*D7170</f>
        <v>24.007440000000003</v>
      </c>
    </row>
    <row r="7171" spans="1:5" ht="18" x14ac:dyDescent="0.35">
      <c r="A7171" s="5" t="s">
        <v>238</v>
      </c>
      <c r="B7171" s="50" t="s">
        <v>33</v>
      </c>
      <c r="C7171" s="7">
        <v>2.4780000000000002</v>
      </c>
      <c r="D7171" s="7">
        <v>16.170000000000002</v>
      </c>
      <c r="E7171" s="85">
        <f t="shared" si="460"/>
        <v>40.069260000000007</v>
      </c>
    </row>
    <row r="7172" spans="1:5" ht="18" x14ac:dyDescent="0.35">
      <c r="A7172" s="5" t="s">
        <v>1845</v>
      </c>
      <c r="B7172" s="50" t="s">
        <v>33</v>
      </c>
      <c r="C7172" s="7">
        <v>2.74</v>
      </c>
      <c r="D7172" s="7">
        <v>16.170000000000002</v>
      </c>
      <c r="E7172" s="85">
        <f t="shared" si="460"/>
        <v>44.305800000000005</v>
      </c>
    </row>
    <row r="7173" spans="1:5" ht="18" x14ac:dyDescent="0.35">
      <c r="A7173" s="5" t="s">
        <v>623</v>
      </c>
      <c r="B7173" s="50" t="s">
        <v>42</v>
      </c>
      <c r="C7173" s="7">
        <v>2</v>
      </c>
      <c r="D7173" s="7">
        <v>1.1499999999999999</v>
      </c>
      <c r="E7173" s="85">
        <f t="shared" si="460"/>
        <v>2.2999999999999998</v>
      </c>
    </row>
    <row r="7174" spans="1:5" ht="18" x14ac:dyDescent="0.35">
      <c r="A7174" s="5" t="s">
        <v>1786</v>
      </c>
      <c r="B7174" s="50" t="s">
        <v>98</v>
      </c>
      <c r="C7174" s="7">
        <v>2</v>
      </c>
      <c r="D7174" s="7">
        <v>3.4</v>
      </c>
      <c r="E7174" s="85">
        <f t="shared" si="460"/>
        <v>6.8</v>
      </c>
    </row>
    <row r="7175" spans="1:5" ht="18" x14ac:dyDescent="0.35">
      <c r="A7175" s="5" t="s">
        <v>1785</v>
      </c>
      <c r="B7175" s="50" t="s">
        <v>34</v>
      </c>
      <c r="C7175" s="7">
        <v>0.11</v>
      </c>
      <c r="D7175" s="7">
        <v>14.61</v>
      </c>
      <c r="E7175" s="85">
        <f t="shared" si="460"/>
        <v>1.6071</v>
      </c>
    </row>
    <row r="7176" spans="1:5" ht="18" x14ac:dyDescent="0.35">
      <c r="A7176" s="5"/>
      <c r="B7176" s="50" t="s">
        <v>35</v>
      </c>
      <c r="C7176" s="7">
        <v>4</v>
      </c>
      <c r="D7176" s="7">
        <v>2.91</v>
      </c>
      <c r="E7176" s="85">
        <f t="shared" si="460"/>
        <v>11.64</v>
      </c>
    </row>
    <row r="7177" spans="1:5" ht="18" x14ac:dyDescent="0.35">
      <c r="A7177" s="5"/>
      <c r="B7177" s="50" t="s">
        <v>36</v>
      </c>
      <c r="C7177" s="7">
        <v>4</v>
      </c>
      <c r="D7177" s="7">
        <v>0.61</v>
      </c>
      <c r="E7177" s="85">
        <f t="shared" si="460"/>
        <v>2.44</v>
      </c>
    </row>
    <row r="7178" spans="1:5" ht="18" x14ac:dyDescent="0.35">
      <c r="A7178" s="5"/>
      <c r="B7178" s="5"/>
      <c r="C7178" s="54"/>
      <c r="D7178" s="54"/>
      <c r="E7178" s="89">
        <f>SUM(E7170:E7177)</f>
        <v>133.1696</v>
      </c>
    </row>
    <row r="7179" spans="1:5" ht="18" x14ac:dyDescent="0.35">
      <c r="A7179" s="5"/>
      <c r="B7179" s="5"/>
      <c r="C7179" s="54"/>
      <c r="D7179" s="54" t="s">
        <v>1063</v>
      </c>
      <c r="E7179" s="89">
        <f>E7178+E7178*40%</f>
        <v>186.43744000000001</v>
      </c>
    </row>
    <row r="7180" spans="1:5" ht="18" x14ac:dyDescent="0.35">
      <c r="A7180" s="5"/>
      <c r="B7180" s="50" t="s">
        <v>37</v>
      </c>
      <c r="C7180" s="54">
        <v>0.5</v>
      </c>
      <c r="D7180" s="54">
        <v>200</v>
      </c>
      <c r="E7180" s="85">
        <f>C7180*D7180</f>
        <v>100</v>
      </c>
    </row>
    <row r="7181" spans="1:5" ht="18" x14ac:dyDescent="0.35">
      <c r="D7181" t="s">
        <v>1803</v>
      </c>
      <c r="E7181" s="85">
        <f>SUM(E7179:E7180)</f>
        <v>286.43744000000004</v>
      </c>
    </row>
    <row r="7182" spans="1:5" ht="18" x14ac:dyDescent="0.35">
      <c r="D7182" t="s">
        <v>1760</v>
      </c>
      <c r="E7182" s="85">
        <f>E7181+E7181*33%</f>
        <v>380.96179520000004</v>
      </c>
    </row>
    <row r="7184" spans="1:5" ht="21" x14ac:dyDescent="0.4">
      <c r="A7184" s="40" t="s">
        <v>1846</v>
      </c>
      <c r="B7184" s="40"/>
      <c r="C7184" s="84"/>
    </row>
    <row r="7185" spans="1:5" ht="18" x14ac:dyDescent="0.35">
      <c r="A7185" s="5" t="s">
        <v>1847</v>
      </c>
      <c r="B7185" s="5"/>
      <c r="C7185" s="7" t="s">
        <v>28</v>
      </c>
      <c r="D7185" s="7" t="s">
        <v>29</v>
      </c>
      <c r="E7185" s="7" t="s">
        <v>30</v>
      </c>
    </row>
    <row r="7186" spans="1:5" ht="18" x14ac:dyDescent="0.35">
      <c r="A7186" s="5" t="s">
        <v>352</v>
      </c>
      <c r="B7186" s="50" t="s">
        <v>32</v>
      </c>
      <c r="C7186" s="7">
        <v>3.4980000000000002</v>
      </c>
      <c r="D7186" s="7">
        <v>10.34</v>
      </c>
      <c r="E7186" s="85">
        <f t="shared" ref="E7186:E7191" si="461">C7186*D7186</f>
        <v>36.169319999999999</v>
      </c>
    </row>
    <row r="7187" spans="1:5" ht="18" x14ac:dyDescent="0.35">
      <c r="A7187" s="5" t="s">
        <v>1120</v>
      </c>
      <c r="B7187" s="50" t="s">
        <v>33</v>
      </c>
      <c r="C7187" s="7">
        <v>6.258</v>
      </c>
      <c r="D7187" s="7">
        <v>16.170000000000002</v>
      </c>
      <c r="E7187" s="85">
        <f t="shared" si="461"/>
        <v>101.19186000000001</v>
      </c>
    </row>
    <row r="7188" spans="1:5" ht="18" x14ac:dyDescent="0.35">
      <c r="A7188" s="5" t="s">
        <v>673</v>
      </c>
      <c r="B7188" s="50" t="s">
        <v>42</v>
      </c>
      <c r="C7188" s="7">
        <v>2</v>
      </c>
      <c r="D7188" s="7">
        <v>1.1499999999999999</v>
      </c>
      <c r="E7188" s="85">
        <f t="shared" si="461"/>
        <v>2.2999999999999998</v>
      </c>
    </row>
    <row r="7189" spans="1:5" ht="18" x14ac:dyDescent="0.35">
      <c r="A7189" s="5"/>
      <c r="B7189" s="50" t="s">
        <v>34</v>
      </c>
      <c r="C7189" s="7">
        <v>0.53</v>
      </c>
      <c r="D7189" s="7">
        <v>14.61</v>
      </c>
      <c r="E7189" s="85">
        <f t="shared" si="461"/>
        <v>7.7433000000000005</v>
      </c>
    </row>
    <row r="7190" spans="1:5" ht="18" x14ac:dyDescent="0.35">
      <c r="A7190" s="5"/>
      <c r="B7190" s="50" t="s">
        <v>35</v>
      </c>
      <c r="C7190" s="7">
        <v>4</v>
      </c>
      <c r="D7190" s="7">
        <v>2.91</v>
      </c>
      <c r="E7190" s="85">
        <f t="shared" si="461"/>
        <v>11.64</v>
      </c>
    </row>
    <row r="7191" spans="1:5" ht="18" x14ac:dyDescent="0.35">
      <c r="A7191" s="5"/>
      <c r="B7191" s="50" t="s">
        <v>36</v>
      </c>
      <c r="C7191" s="7">
        <v>4</v>
      </c>
      <c r="D7191" s="7">
        <v>0.61</v>
      </c>
      <c r="E7191" s="85">
        <f t="shared" si="461"/>
        <v>2.44</v>
      </c>
    </row>
    <row r="7192" spans="1:5" ht="18" x14ac:dyDescent="0.35">
      <c r="A7192" s="5"/>
      <c r="B7192" s="5"/>
      <c r="C7192" s="54"/>
      <c r="D7192" s="54"/>
      <c r="E7192" s="89">
        <f>SUM(E7186:E7191)</f>
        <v>161.48448000000002</v>
      </c>
    </row>
    <row r="7193" spans="1:5" ht="18" x14ac:dyDescent="0.35">
      <c r="A7193" s="5"/>
      <c r="B7193" s="5"/>
      <c r="C7193" s="54"/>
      <c r="D7193" s="54" t="s">
        <v>1063</v>
      </c>
      <c r="E7193" s="89">
        <f>E7192+E7192*40%</f>
        <v>226.07827200000003</v>
      </c>
    </row>
    <row r="7194" spans="1:5" ht="18" x14ac:dyDescent="0.35">
      <c r="A7194" s="5"/>
      <c r="B7194" s="50" t="s">
        <v>37</v>
      </c>
      <c r="C7194" s="54">
        <v>1</v>
      </c>
      <c r="D7194" s="54">
        <v>200</v>
      </c>
      <c r="E7194" s="85">
        <f>C7194*D7194</f>
        <v>200</v>
      </c>
    </row>
    <row r="7195" spans="1:5" ht="18" x14ac:dyDescent="0.35">
      <c r="A7195" s="5"/>
      <c r="B7195" s="5"/>
      <c r="C7195" s="54"/>
      <c r="D7195" s="54"/>
      <c r="E7195" s="85">
        <f>SUM(E7193:E7194)</f>
        <v>426.07827200000003</v>
      </c>
    </row>
    <row r="7197" spans="1:5" ht="21" x14ac:dyDescent="0.4">
      <c r="A7197" s="40" t="s">
        <v>1848</v>
      </c>
      <c r="B7197" s="40"/>
      <c r="C7197" s="84"/>
    </row>
    <row r="7198" spans="1:5" ht="18" x14ac:dyDescent="0.35">
      <c r="A7198" t="s">
        <v>1271</v>
      </c>
      <c r="B7198" s="5"/>
      <c r="C7198" s="7" t="s">
        <v>28</v>
      </c>
      <c r="D7198" s="7" t="s">
        <v>29</v>
      </c>
      <c r="E7198" s="7" t="s">
        <v>30</v>
      </c>
    </row>
    <row r="7199" spans="1:5" ht="18" x14ac:dyDescent="0.35">
      <c r="A7199" s="5" t="s">
        <v>71</v>
      </c>
      <c r="B7199" s="50" t="s">
        <v>32</v>
      </c>
      <c r="C7199" s="7">
        <v>2.5529999999999999</v>
      </c>
      <c r="D7199" s="7">
        <v>14.93</v>
      </c>
      <c r="E7199" s="85">
        <f t="shared" ref="E7199:E7206" si="462">C7199*D7199</f>
        <v>38.116289999999999</v>
      </c>
    </row>
    <row r="7200" spans="1:5" ht="18" x14ac:dyDescent="0.35">
      <c r="A7200" s="5" t="s">
        <v>143</v>
      </c>
      <c r="B7200" s="50" t="s">
        <v>33</v>
      </c>
      <c r="C7200" s="7">
        <v>6.2370000000000001</v>
      </c>
      <c r="D7200" s="7">
        <v>16.170000000000002</v>
      </c>
      <c r="E7200" s="85">
        <f t="shared" si="462"/>
        <v>100.85229000000001</v>
      </c>
    </row>
    <row r="7201" spans="1:5" ht="18" x14ac:dyDescent="0.35">
      <c r="A7201" s="5" t="s">
        <v>1849</v>
      </c>
      <c r="B7201" s="50" t="s">
        <v>33</v>
      </c>
      <c r="C7201" s="7">
        <v>7.35</v>
      </c>
      <c r="D7201" s="7">
        <v>16.170000000000002</v>
      </c>
      <c r="E7201" s="85">
        <f t="shared" si="462"/>
        <v>118.84950000000001</v>
      </c>
    </row>
    <row r="7202" spans="1:5" ht="18" x14ac:dyDescent="0.35">
      <c r="A7202" s="5" t="s">
        <v>673</v>
      </c>
      <c r="B7202" s="50" t="s">
        <v>42</v>
      </c>
      <c r="C7202" s="7">
        <v>2</v>
      </c>
      <c r="D7202" s="7">
        <v>1.1499999999999999</v>
      </c>
      <c r="E7202" s="85">
        <f t="shared" si="462"/>
        <v>2.2999999999999998</v>
      </c>
    </row>
    <row r="7203" spans="1:5" ht="18" x14ac:dyDescent="0.35">
      <c r="A7203" s="5" t="s">
        <v>1786</v>
      </c>
      <c r="B7203" s="50" t="s">
        <v>113</v>
      </c>
      <c r="C7203" s="7">
        <v>2</v>
      </c>
      <c r="D7203" s="7">
        <v>4.4800000000000004</v>
      </c>
      <c r="E7203" s="85">
        <f t="shared" si="462"/>
        <v>8.9600000000000009</v>
      </c>
    </row>
    <row r="7204" spans="1:5" ht="18" x14ac:dyDescent="0.35">
      <c r="A7204" s="5" t="s">
        <v>1785</v>
      </c>
      <c r="B7204" s="50" t="s">
        <v>34</v>
      </c>
      <c r="C7204" s="7">
        <v>0.63</v>
      </c>
      <c r="D7204" s="7">
        <v>14.61</v>
      </c>
      <c r="E7204" s="85">
        <f t="shared" si="462"/>
        <v>9.2042999999999999</v>
      </c>
    </row>
    <row r="7205" spans="1:5" ht="18" x14ac:dyDescent="0.35">
      <c r="A7205" s="5"/>
      <c r="B7205" s="50" t="s">
        <v>35</v>
      </c>
      <c r="C7205" s="7">
        <v>4</v>
      </c>
      <c r="D7205" s="7">
        <v>2.91</v>
      </c>
      <c r="E7205" s="85">
        <f t="shared" si="462"/>
        <v>11.64</v>
      </c>
    </row>
    <row r="7206" spans="1:5" ht="18" x14ac:dyDescent="0.35">
      <c r="A7206" s="5"/>
      <c r="B7206" s="50" t="s">
        <v>36</v>
      </c>
      <c r="C7206" s="7">
        <v>4</v>
      </c>
      <c r="D7206" s="7">
        <v>0.61</v>
      </c>
      <c r="E7206" s="85">
        <f t="shared" si="462"/>
        <v>2.44</v>
      </c>
    </row>
    <row r="7207" spans="1:5" ht="18" x14ac:dyDescent="0.35">
      <c r="A7207" s="5"/>
      <c r="B7207" s="5"/>
      <c r="C7207" s="54"/>
      <c r="D7207" s="54"/>
      <c r="E7207" s="89">
        <f>SUM(E7199:E7206)</f>
        <v>292.36237999999997</v>
      </c>
    </row>
    <row r="7208" spans="1:5" ht="18" x14ac:dyDescent="0.35">
      <c r="A7208" s="5"/>
      <c r="B7208" s="5"/>
      <c r="C7208" s="54"/>
      <c r="D7208" s="54" t="s">
        <v>1063</v>
      </c>
      <c r="E7208" s="89">
        <f>E7207+E7207*40%</f>
        <v>409.30733199999997</v>
      </c>
    </row>
    <row r="7209" spans="1:5" ht="18" x14ac:dyDescent="0.35">
      <c r="A7209" s="5"/>
      <c r="B7209" s="50" t="s">
        <v>37</v>
      </c>
      <c r="C7209" s="54">
        <v>1</v>
      </c>
      <c r="D7209" s="54">
        <v>200</v>
      </c>
      <c r="E7209" s="85">
        <f>C7209*D7209</f>
        <v>200</v>
      </c>
    </row>
    <row r="7210" spans="1:5" ht="18" x14ac:dyDescent="0.35">
      <c r="D7210" t="s">
        <v>1803</v>
      </c>
      <c r="E7210" s="85">
        <f>SUM(E7208:E7209)</f>
        <v>609.30733199999997</v>
      </c>
    </row>
    <row r="7211" spans="1:5" ht="18" x14ac:dyDescent="0.35">
      <c r="D7211" t="s">
        <v>1760</v>
      </c>
      <c r="E7211" s="85">
        <f>E7210+E7210*33%</f>
        <v>810.37875155999996</v>
      </c>
    </row>
    <row r="7213" spans="1:5" ht="21" x14ac:dyDescent="0.4">
      <c r="A7213" s="40" t="s">
        <v>1850</v>
      </c>
      <c r="B7213" s="40"/>
      <c r="C7213" s="84"/>
    </row>
    <row r="7214" spans="1:5" ht="18" x14ac:dyDescent="0.35">
      <c r="A7214" s="5" t="s">
        <v>1851</v>
      </c>
      <c r="B7214" s="5"/>
      <c r="C7214" s="7" t="s">
        <v>28</v>
      </c>
      <c r="D7214" s="7" t="s">
        <v>29</v>
      </c>
      <c r="E7214" s="7" t="s">
        <v>30</v>
      </c>
    </row>
    <row r="7215" spans="1:5" ht="18" x14ac:dyDescent="0.35">
      <c r="A7215" s="5" t="s">
        <v>1852</v>
      </c>
      <c r="B7215" s="50" t="s">
        <v>32</v>
      </c>
      <c r="C7215" s="7">
        <v>0.93600000000000005</v>
      </c>
      <c r="D7215" s="7">
        <v>10.34</v>
      </c>
      <c r="E7215" s="85">
        <f t="shared" ref="E7215:E7220" si="463">C7215*D7215</f>
        <v>9.6782400000000006</v>
      </c>
    </row>
    <row r="7216" spans="1:5" ht="18" x14ac:dyDescent="0.35">
      <c r="A7216" s="5" t="s">
        <v>810</v>
      </c>
      <c r="B7216" s="50" t="s">
        <v>33</v>
      </c>
      <c r="C7216" s="7">
        <v>0.91300000000000003</v>
      </c>
      <c r="D7216" s="7">
        <v>16.170000000000002</v>
      </c>
      <c r="E7216" s="85">
        <f t="shared" si="463"/>
        <v>14.763210000000003</v>
      </c>
    </row>
    <row r="7217" spans="1:5" ht="18" x14ac:dyDescent="0.35">
      <c r="A7217" s="5" t="s">
        <v>1048</v>
      </c>
      <c r="B7217" s="50" t="s">
        <v>1402</v>
      </c>
      <c r="C7217" s="7">
        <v>2</v>
      </c>
      <c r="D7217" s="7">
        <v>1.1499999999999999</v>
      </c>
      <c r="E7217" s="85">
        <f t="shared" si="463"/>
        <v>2.2999999999999998</v>
      </c>
    </row>
    <row r="7218" spans="1:5" ht="18" x14ac:dyDescent="0.35">
      <c r="A7218" s="5"/>
      <c r="B7218" s="50" t="s">
        <v>34</v>
      </c>
      <c r="C7218" s="7">
        <v>0.17</v>
      </c>
      <c r="D7218" s="7">
        <v>14.61</v>
      </c>
      <c r="E7218" s="85">
        <f t="shared" si="463"/>
        <v>2.4837000000000002</v>
      </c>
    </row>
    <row r="7219" spans="1:5" ht="18" x14ac:dyDescent="0.35">
      <c r="A7219" s="5"/>
      <c r="B7219" s="50" t="s">
        <v>35</v>
      </c>
      <c r="C7219" s="7">
        <v>4</v>
      </c>
      <c r="D7219" s="7">
        <v>2.91</v>
      </c>
      <c r="E7219" s="85">
        <f t="shared" si="463"/>
        <v>11.64</v>
      </c>
    </row>
    <row r="7220" spans="1:5" ht="18" x14ac:dyDescent="0.35">
      <c r="A7220" s="5"/>
      <c r="B7220" s="50" t="s">
        <v>36</v>
      </c>
      <c r="C7220" s="7">
        <v>4</v>
      </c>
      <c r="D7220" s="7">
        <v>0.61</v>
      </c>
      <c r="E7220" s="85">
        <f t="shared" si="463"/>
        <v>2.44</v>
      </c>
    </row>
    <row r="7221" spans="1:5" ht="18" x14ac:dyDescent="0.35">
      <c r="A7221" s="5"/>
      <c r="B7221" s="5"/>
      <c r="C7221" s="54"/>
      <c r="D7221" s="54"/>
      <c r="E7221" s="89">
        <f>SUM(E7215:E7220)</f>
        <v>43.305149999999998</v>
      </c>
    </row>
    <row r="7222" spans="1:5" ht="18" x14ac:dyDescent="0.35">
      <c r="A7222" s="5"/>
      <c r="B7222" s="5"/>
      <c r="C7222" s="54"/>
      <c r="D7222" s="54" t="s">
        <v>1063</v>
      </c>
      <c r="E7222" s="89">
        <f>E7221+E7221*40%</f>
        <v>60.627209999999998</v>
      </c>
    </row>
    <row r="7223" spans="1:5" ht="18" x14ac:dyDescent="0.35">
      <c r="A7223" s="5"/>
      <c r="B7223" s="50" t="s">
        <v>37</v>
      </c>
      <c r="C7223" s="54">
        <v>0.2</v>
      </c>
      <c r="D7223" s="54">
        <v>200</v>
      </c>
      <c r="E7223" s="85">
        <f>C7223*D7223</f>
        <v>40</v>
      </c>
    </row>
    <row r="7224" spans="1:5" ht="18" x14ac:dyDescent="0.35">
      <c r="A7224" s="5"/>
      <c r="B7224" s="5"/>
      <c r="C7224" s="54"/>
      <c r="D7224" s="54"/>
      <c r="E7224" s="85">
        <f>SUM(E7222:E7223)</f>
        <v>100.62720999999999</v>
      </c>
    </row>
    <row r="7226" spans="1:5" ht="21" x14ac:dyDescent="0.4">
      <c r="A7226" s="40" t="s">
        <v>1853</v>
      </c>
      <c r="B7226" s="40"/>
      <c r="C7226" s="84"/>
    </row>
    <row r="7227" spans="1:5" ht="18" x14ac:dyDescent="0.35">
      <c r="A7227" t="s">
        <v>1440</v>
      </c>
      <c r="B7227" s="5"/>
      <c r="C7227" s="7" t="s">
        <v>28</v>
      </c>
      <c r="D7227" s="7" t="s">
        <v>29</v>
      </c>
      <c r="E7227" s="7" t="s">
        <v>30</v>
      </c>
    </row>
    <row r="7228" spans="1:5" ht="18" x14ac:dyDescent="0.35">
      <c r="A7228" s="5" t="s">
        <v>929</v>
      </c>
      <c r="B7228" s="50" t="s">
        <v>32</v>
      </c>
      <c r="C7228" s="7">
        <v>2.9740000000000002</v>
      </c>
      <c r="D7228" s="7">
        <v>14.93</v>
      </c>
      <c r="E7228" s="85">
        <f t="shared" ref="E7228:E7235" si="464">C7228*D7228</f>
        <v>44.401820000000001</v>
      </c>
    </row>
    <row r="7229" spans="1:5" ht="18" x14ac:dyDescent="0.35">
      <c r="A7229" s="5" t="s">
        <v>648</v>
      </c>
      <c r="B7229" s="50" t="s">
        <v>33</v>
      </c>
      <c r="C7229" s="7">
        <v>18.710999999999999</v>
      </c>
      <c r="D7229" s="7">
        <v>16.170000000000002</v>
      </c>
      <c r="E7229" s="85">
        <f t="shared" si="464"/>
        <v>302.55687</v>
      </c>
    </row>
    <row r="7230" spans="1:5" ht="18" x14ac:dyDescent="0.35">
      <c r="A7230" s="5" t="s">
        <v>1849</v>
      </c>
      <c r="B7230" s="50" t="s">
        <v>33</v>
      </c>
      <c r="C7230" s="7">
        <v>17.850000000000001</v>
      </c>
      <c r="D7230" s="7">
        <v>16.170000000000002</v>
      </c>
      <c r="E7230" s="85">
        <f t="shared" si="464"/>
        <v>288.63450000000006</v>
      </c>
    </row>
    <row r="7231" spans="1:5" ht="18" x14ac:dyDescent="0.35">
      <c r="A7231" s="5" t="s">
        <v>673</v>
      </c>
      <c r="B7231" s="50" t="s">
        <v>100</v>
      </c>
      <c r="C7231" s="7">
        <v>2</v>
      </c>
      <c r="D7231" s="7">
        <v>4.4800000000000004</v>
      </c>
      <c r="E7231" s="85">
        <f t="shared" si="464"/>
        <v>8.9600000000000009</v>
      </c>
    </row>
    <row r="7232" spans="1:5" ht="18" x14ac:dyDescent="0.35">
      <c r="A7232" s="5" t="s">
        <v>1786</v>
      </c>
      <c r="B7232" s="50" t="s">
        <v>657</v>
      </c>
      <c r="C7232" s="7">
        <v>2</v>
      </c>
      <c r="D7232" s="7">
        <v>2.85</v>
      </c>
      <c r="E7232" s="85">
        <f t="shared" si="464"/>
        <v>5.7</v>
      </c>
    </row>
    <row r="7233" spans="1:5" ht="18" x14ac:dyDescent="0.35">
      <c r="A7233" s="5" t="s">
        <v>1785</v>
      </c>
      <c r="B7233" s="50" t="s">
        <v>34</v>
      </c>
      <c r="C7233" s="7">
        <v>1.1000000000000001</v>
      </c>
      <c r="D7233" s="7">
        <v>14.61</v>
      </c>
      <c r="E7233" s="85">
        <f t="shared" si="464"/>
        <v>16.071000000000002</v>
      </c>
    </row>
    <row r="7234" spans="1:5" ht="18" x14ac:dyDescent="0.35">
      <c r="A7234" s="5"/>
      <c r="B7234" s="50" t="s">
        <v>35</v>
      </c>
      <c r="C7234" s="7">
        <v>4</v>
      </c>
      <c r="D7234" s="7">
        <v>2.91</v>
      </c>
      <c r="E7234" s="85">
        <f t="shared" si="464"/>
        <v>11.64</v>
      </c>
    </row>
    <row r="7235" spans="1:5" ht="18" x14ac:dyDescent="0.35">
      <c r="A7235" s="5"/>
      <c r="B7235" s="50" t="s">
        <v>36</v>
      </c>
      <c r="C7235" s="7">
        <v>4</v>
      </c>
      <c r="D7235" s="7">
        <v>0.61</v>
      </c>
      <c r="E7235" s="85">
        <f t="shared" si="464"/>
        <v>2.44</v>
      </c>
    </row>
    <row r="7236" spans="1:5" ht="18" x14ac:dyDescent="0.35">
      <c r="A7236" s="5"/>
      <c r="B7236" s="5"/>
      <c r="C7236" s="54"/>
      <c r="D7236" s="54"/>
      <c r="E7236" s="89">
        <f>SUM(E7228:E7235)</f>
        <v>680.4041900000002</v>
      </c>
    </row>
    <row r="7237" spans="1:5" ht="18" x14ac:dyDescent="0.35">
      <c r="A7237" s="5"/>
      <c r="B7237" s="5"/>
      <c r="C7237" s="54"/>
      <c r="D7237" s="54" t="s">
        <v>1063</v>
      </c>
      <c r="E7237" s="89">
        <f>E7236+E7236*40%</f>
        <v>952.56586600000037</v>
      </c>
    </row>
    <row r="7238" spans="1:5" ht="18" x14ac:dyDescent="0.35">
      <c r="A7238" s="5"/>
      <c r="B7238" s="50" t="s">
        <v>37</v>
      </c>
      <c r="C7238" s="54">
        <v>1.2</v>
      </c>
      <c r="D7238" s="54">
        <v>200</v>
      </c>
      <c r="E7238" s="85">
        <f>C7238*D7238</f>
        <v>240</v>
      </c>
    </row>
    <row r="7239" spans="1:5" ht="18" x14ac:dyDescent="0.35">
      <c r="D7239" t="s">
        <v>1803</v>
      </c>
      <c r="E7239" s="85">
        <f>SUM(E7237:E7238)</f>
        <v>1192.5658660000004</v>
      </c>
    </row>
    <row r="7240" spans="1:5" ht="18" x14ac:dyDescent="0.35">
      <c r="D7240" t="s">
        <v>1760</v>
      </c>
      <c r="E7240" s="85">
        <f>E7239+E7239*33%</f>
        <v>1586.1126017800004</v>
      </c>
    </row>
    <row r="7242" spans="1:5" ht="21" x14ac:dyDescent="0.4">
      <c r="A7242" s="40" t="s">
        <v>1857</v>
      </c>
      <c r="B7242" s="40"/>
      <c r="C7242" s="40"/>
      <c r="D7242" s="12"/>
      <c r="E7242" s="12"/>
    </row>
    <row r="7243" spans="1:5" ht="18" x14ac:dyDescent="0.35">
      <c r="A7243" s="5" t="s">
        <v>1855</v>
      </c>
      <c r="B7243" s="5"/>
      <c r="C7243" s="7" t="s">
        <v>28</v>
      </c>
      <c r="D7243" s="7" t="s">
        <v>29</v>
      </c>
      <c r="E7243" s="7" t="s">
        <v>30</v>
      </c>
    </row>
    <row r="7244" spans="1:5" ht="18" x14ac:dyDescent="0.35">
      <c r="A7244" s="5" t="s">
        <v>1856</v>
      </c>
      <c r="B7244" s="50" t="s">
        <v>32</v>
      </c>
      <c r="C7244" s="7">
        <v>1.776</v>
      </c>
      <c r="D7244" s="7">
        <v>10.34</v>
      </c>
      <c r="E7244" s="85">
        <f>C7244*D7244</f>
        <v>18.36384</v>
      </c>
    </row>
    <row r="7245" spans="1:5" ht="18" x14ac:dyDescent="0.35">
      <c r="A7245" s="5" t="s">
        <v>213</v>
      </c>
      <c r="B7245" s="50" t="s">
        <v>33</v>
      </c>
      <c r="C7245" s="7">
        <v>10.363</v>
      </c>
      <c r="D7245" s="7">
        <v>17.059999999999999</v>
      </c>
      <c r="E7245" s="85">
        <f>C7245*D7245</f>
        <v>176.79277999999996</v>
      </c>
    </row>
    <row r="7246" spans="1:5" ht="18" x14ac:dyDescent="0.35">
      <c r="A7246" s="5" t="s">
        <v>1858</v>
      </c>
      <c r="B7246" s="50" t="s">
        <v>137</v>
      </c>
      <c r="C7246" s="7">
        <v>0.72</v>
      </c>
      <c r="D7246" s="7">
        <v>15.25</v>
      </c>
      <c r="E7246" s="85">
        <f>C7246*D7246</f>
        <v>10.98</v>
      </c>
    </row>
    <row r="7247" spans="1:5" ht="18" x14ac:dyDescent="0.35">
      <c r="A7247" s="5"/>
      <c r="B7247" s="50" t="s">
        <v>35</v>
      </c>
      <c r="C7247" s="7">
        <v>4</v>
      </c>
      <c r="D7247" s="7">
        <v>2.91</v>
      </c>
      <c r="E7247" s="85">
        <f>C7247*D7247</f>
        <v>11.64</v>
      </c>
    </row>
    <row r="7248" spans="1:5" ht="18" x14ac:dyDescent="0.35">
      <c r="A7248" s="5"/>
      <c r="B7248" s="50" t="s">
        <v>36</v>
      </c>
      <c r="C7248" s="7">
        <v>4</v>
      </c>
      <c r="D7248" s="7">
        <v>0.61</v>
      </c>
      <c r="E7248" s="85">
        <f>C7248*D7248</f>
        <v>2.44</v>
      </c>
    </row>
    <row r="7249" spans="1:5" ht="18" x14ac:dyDescent="0.35">
      <c r="A7249" s="5"/>
      <c r="B7249" s="50"/>
      <c r="C7249" s="87"/>
      <c r="D7249" s="88"/>
      <c r="E7249" s="85">
        <f>SUM(E7244:E7248)</f>
        <v>220.21661999999998</v>
      </c>
    </row>
    <row r="7250" spans="1:5" ht="18" x14ac:dyDescent="0.35">
      <c r="A7250" s="5"/>
      <c r="B7250" s="50"/>
      <c r="C7250" s="87"/>
      <c r="D7250" s="88" t="s">
        <v>1266</v>
      </c>
      <c r="E7250" s="85">
        <f>E7249+E7249*40%</f>
        <v>308.303268</v>
      </c>
    </row>
    <row r="7251" spans="1:5" ht="18" x14ac:dyDescent="0.35">
      <c r="A7251" s="5"/>
      <c r="B7251" s="50" t="s">
        <v>37</v>
      </c>
      <c r="C7251" s="54">
        <v>0.5</v>
      </c>
      <c r="D7251" s="86">
        <v>200</v>
      </c>
      <c r="E7251" s="85">
        <f>C7251*D7251</f>
        <v>100</v>
      </c>
    </row>
    <row r="7252" spans="1:5" ht="18" x14ac:dyDescent="0.35">
      <c r="A7252" s="5"/>
      <c r="B7252" s="5"/>
      <c r="C7252" s="54"/>
      <c r="D7252" s="54"/>
      <c r="E7252" s="85">
        <f>SUM(E7250:E7251)</f>
        <v>408.303268</v>
      </c>
    </row>
    <row r="7254" spans="1:5" ht="21" x14ac:dyDescent="0.4">
      <c r="A7254" s="40" t="s">
        <v>1859</v>
      </c>
      <c r="B7254" s="40"/>
      <c r="C7254" s="40"/>
      <c r="D7254" s="12"/>
      <c r="E7254" s="12"/>
    </row>
    <row r="7255" spans="1:5" ht="18" x14ac:dyDescent="0.35">
      <c r="A7255" s="5" t="s">
        <v>1855</v>
      </c>
      <c r="B7255" s="5"/>
      <c r="C7255" s="7" t="s">
        <v>28</v>
      </c>
      <c r="D7255" s="7" t="s">
        <v>29</v>
      </c>
      <c r="E7255" s="7" t="s">
        <v>30</v>
      </c>
    </row>
    <row r="7256" spans="1:5" ht="18" x14ac:dyDescent="0.35">
      <c r="A7256" s="5" t="s">
        <v>1860</v>
      </c>
      <c r="B7256" s="50" t="s">
        <v>32</v>
      </c>
      <c r="C7256" s="7">
        <v>1.3360000000000001</v>
      </c>
      <c r="D7256" s="7">
        <v>10.34</v>
      </c>
      <c r="E7256" s="85">
        <f>C7256*D7256</f>
        <v>13.81424</v>
      </c>
    </row>
    <row r="7257" spans="1:5" ht="18" x14ac:dyDescent="0.35">
      <c r="A7257" s="5" t="s">
        <v>217</v>
      </c>
      <c r="B7257" s="50" t="s">
        <v>33</v>
      </c>
      <c r="C7257" s="7">
        <v>5.2919999999999998</v>
      </c>
      <c r="D7257" s="7">
        <v>17.059999999999999</v>
      </c>
      <c r="E7257" s="85">
        <f>C7257*D7257</f>
        <v>90.281519999999986</v>
      </c>
    </row>
    <row r="7258" spans="1:5" ht="18" x14ac:dyDescent="0.35">
      <c r="A7258" s="5" t="s">
        <v>705</v>
      </c>
      <c r="B7258" s="50" t="s">
        <v>137</v>
      </c>
      <c r="C7258" s="7">
        <v>0.42</v>
      </c>
      <c r="D7258" s="7">
        <v>15.25</v>
      </c>
      <c r="E7258" s="85">
        <f>C7258*D7258</f>
        <v>6.4049999999999994</v>
      </c>
    </row>
    <row r="7259" spans="1:5" ht="18" x14ac:dyDescent="0.35">
      <c r="A7259" s="5"/>
      <c r="B7259" s="50" t="s">
        <v>35</v>
      </c>
      <c r="C7259" s="7">
        <v>4</v>
      </c>
      <c r="D7259" s="7">
        <v>2.91</v>
      </c>
      <c r="E7259" s="85">
        <f>C7259*D7259</f>
        <v>11.64</v>
      </c>
    </row>
    <row r="7260" spans="1:5" ht="18" x14ac:dyDescent="0.35">
      <c r="A7260" s="5"/>
      <c r="B7260" s="50" t="s">
        <v>36</v>
      </c>
      <c r="C7260" s="7">
        <v>4</v>
      </c>
      <c r="D7260" s="7">
        <v>0.61</v>
      </c>
      <c r="E7260" s="85">
        <f>C7260*D7260</f>
        <v>2.44</v>
      </c>
    </row>
    <row r="7261" spans="1:5" ht="18" x14ac:dyDescent="0.35">
      <c r="A7261" s="5"/>
      <c r="B7261" s="50"/>
      <c r="C7261" s="87"/>
      <c r="D7261" s="88"/>
      <c r="E7261" s="85">
        <f>SUM(E7256:E7260)</f>
        <v>124.58075999999998</v>
      </c>
    </row>
    <row r="7262" spans="1:5" ht="18" x14ac:dyDescent="0.35">
      <c r="A7262" s="5"/>
      <c r="B7262" s="50"/>
      <c r="C7262" s="87"/>
      <c r="D7262" s="88" t="s">
        <v>1266</v>
      </c>
      <c r="E7262" s="85">
        <f>E7261+E7261*40%</f>
        <v>174.41306399999996</v>
      </c>
    </row>
    <row r="7263" spans="1:5" ht="18" x14ac:dyDescent="0.35">
      <c r="A7263" s="5"/>
      <c r="B7263" s="50" t="s">
        <v>37</v>
      </c>
      <c r="C7263" s="54">
        <v>0.5</v>
      </c>
      <c r="D7263" s="86">
        <v>200</v>
      </c>
      <c r="E7263" s="85">
        <f>C7263*D7263</f>
        <v>100</v>
      </c>
    </row>
    <row r="7264" spans="1:5" ht="18" x14ac:dyDescent="0.35">
      <c r="A7264" s="5"/>
      <c r="B7264" s="5"/>
      <c r="C7264" s="54"/>
      <c r="D7264" s="54"/>
      <c r="E7264" s="85">
        <f>SUM(E7262:E7263)</f>
        <v>274.41306399999996</v>
      </c>
    </row>
    <row r="7266" spans="1:5" ht="21" x14ac:dyDescent="0.4">
      <c r="A7266" s="40" t="s">
        <v>1861</v>
      </c>
      <c r="B7266" s="40"/>
      <c r="C7266" s="84"/>
    </row>
    <row r="7267" spans="1:5" ht="18" x14ac:dyDescent="0.35">
      <c r="A7267" s="5" t="s">
        <v>1862</v>
      </c>
      <c r="B7267" s="5"/>
      <c r="C7267" s="7" t="s">
        <v>28</v>
      </c>
      <c r="D7267" s="7" t="s">
        <v>29</v>
      </c>
      <c r="E7267" s="7" t="s">
        <v>30</v>
      </c>
    </row>
    <row r="7268" spans="1:5" ht="18" x14ac:dyDescent="0.35">
      <c r="A7268" s="5" t="s">
        <v>1863</v>
      </c>
      <c r="B7268" s="50" t="s">
        <v>32</v>
      </c>
      <c r="C7268" s="7">
        <v>2.113</v>
      </c>
      <c r="D7268" s="7">
        <v>10.34</v>
      </c>
      <c r="E7268" s="85">
        <f t="shared" ref="E7268:E7273" si="465">C7268*D7268</f>
        <v>21.848420000000001</v>
      </c>
    </row>
    <row r="7269" spans="1:5" ht="18" x14ac:dyDescent="0.35">
      <c r="A7269" s="5" t="s">
        <v>829</v>
      </c>
      <c r="B7269" s="50" t="s">
        <v>33</v>
      </c>
      <c r="C7269" s="7">
        <v>3.5070000000000001</v>
      </c>
      <c r="D7269" s="7">
        <v>16.170000000000002</v>
      </c>
      <c r="E7269" s="85">
        <f t="shared" si="465"/>
        <v>56.708190000000009</v>
      </c>
    </row>
    <row r="7270" spans="1:5" ht="18" x14ac:dyDescent="0.35">
      <c r="A7270" s="5" t="s">
        <v>1124</v>
      </c>
      <c r="B7270" s="50" t="s">
        <v>1019</v>
      </c>
      <c r="C7270" s="7">
        <v>2</v>
      </c>
      <c r="D7270" s="7">
        <v>1.1499999999999999</v>
      </c>
      <c r="E7270" s="85">
        <f t="shared" si="465"/>
        <v>2.2999999999999998</v>
      </c>
    </row>
    <row r="7271" spans="1:5" ht="18" x14ac:dyDescent="0.35">
      <c r="A7271" s="5"/>
      <c r="B7271" s="50" t="s">
        <v>34</v>
      </c>
      <c r="C7271" s="7">
        <v>0.21</v>
      </c>
      <c r="D7271" s="7">
        <v>14.61</v>
      </c>
      <c r="E7271" s="85">
        <f t="shared" si="465"/>
        <v>3.0680999999999998</v>
      </c>
    </row>
    <row r="7272" spans="1:5" ht="18" x14ac:dyDescent="0.35">
      <c r="A7272" s="5"/>
      <c r="B7272" s="50" t="s">
        <v>35</v>
      </c>
      <c r="C7272" s="7">
        <v>4</v>
      </c>
      <c r="D7272" s="7">
        <v>2.91</v>
      </c>
      <c r="E7272" s="85">
        <f t="shared" si="465"/>
        <v>11.64</v>
      </c>
    </row>
    <row r="7273" spans="1:5" ht="18" x14ac:dyDescent="0.35">
      <c r="A7273" s="5"/>
      <c r="B7273" s="50" t="s">
        <v>36</v>
      </c>
      <c r="C7273" s="7">
        <v>4</v>
      </c>
      <c r="D7273" s="7">
        <v>0.61</v>
      </c>
      <c r="E7273" s="85">
        <f t="shared" si="465"/>
        <v>2.44</v>
      </c>
    </row>
    <row r="7274" spans="1:5" ht="18" x14ac:dyDescent="0.35">
      <c r="A7274" s="5"/>
      <c r="B7274" s="5"/>
      <c r="C7274" s="54"/>
      <c r="D7274" s="54"/>
      <c r="E7274" s="89">
        <f>SUM(E7268:E7273)</f>
        <v>98.004710000000003</v>
      </c>
    </row>
    <row r="7275" spans="1:5" ht="18" x14ac:dyDescent="0.35">
      <c r="A7275" s="5"/>
      <c r="B7275" s="5"/>
      <c r="C7275" s="54"/>
      <c r="D7275" s="54" t="s">
        <v>1063</v>
      </c>
      <c r="E7275" s="89">
        <f>E7274+E7274*40%</f>
        <v>137.206594</v>
      </c>
    </row>
    <row r="7276" spans="1:5" ht="18" x14ac:dyDescent="0.35">
      <c r="A7276" s="5"/>
      <c r="B7276" s="50" t="s">
        <v>37</v>
      </c>
      <c r="C7276" s="54">
        <v>0.25</v>
      </c>
      <c r="D7276" s="54">
        <v>200</v>
      </c>
      <c r="E7276" s="85">
        <f>C7276*D7276</f>
        <v>50</v>
      </c>
    </row>
    <row r="7277" spans="1:5" ht="18" x14ac:dyDescent="0.35">
      <c r="A7277" s="5"/>
      <c r="B7277" s="5"/>
      <c r="C7277" s="54"/>
      <c r="D7277" s="54"/>
      <c r="E7277" s="85">
        <f>SUM(E7275:E7276)</f>
        <v>187.206594</v>
      </c>
    </row>
    <row r="7279" spans="1:5" ht="21" x14ac:dyDescent="0.4">
      <c r="A7279" s="40" t="s">
        <v>1864</v>
      </c>
      <c r="B7279" s="40"/>
      <c r="C7279" s="40"/>
      <c r="D7279" s="12"/>
      <c r="E7279" s="12"/>
    </row>
    <row r="7280" spans="1:5" ht="18" x14ac:dyDescent="0.35">
      <c r="A7280" s="5" t="s">
        <v>1862</v>
      </c>
      <c r="B7280" s="5"/>
      <c r="C7280" s="7" t="s">
        <v>28</v>
      </c>
      <c r="D7280" s="7" t="s">
        <v>29</v>
      </c>
      <c r="E7280" s="7" t="s">
        <v>30</v>
      </c>
    </row>
    <row r="7281" spans="1:5" ht="18" x14ac:dyDescent="0.35">
      <c r="A7281" s="5" t="s">
        <v>77</v>
      </c>
      <c r="B7281" s="50" t="s">
        <v>32</v>
      </c>
      <c r="C7281" s="7">
        <v>1.8180000000000001</v>
      </c>
      <c r="D7281" s="7">
        <v>11.37</v>
      </c>
      <c r="E7281" s="85">
        <f>C7281*D7281</f>
        <v>20.670659999999998</v>
      </c>
    </row>
    <row r="7282" spans="1:5" ht="18" x14ac:dyDescent="0.35">
      <c r="A7282" s="5" t="s">
        <v>217</v>
      </c>
      <c r="B7282" s="50" t="s">
        <v>33</v>
      </c>
      <c r="C7282" s="7">
        <v>8.673</v>
      </c>
      <c r="D7282" s="7">
        <v>17.059999999999999</v>
      </c>
      <c r="E7282" s="85">
        <f>C7282*D7282</f>
        <v>147.96137999999999</v>
      </c>
    </row>
    <row r="7283" spans="1:5" ht="18" x14ac:dyDescent="0.35">
      <c r="A7283" s="5" t="s">
        <v>616</v>
      </c>
      <c r="B7283" s="50" t="s">
        <v>137</v>
      </c>
      <c r="C7283" s="7">
        <v>0.42</v>
      </c>
      <c r="D7283" s="7">
        <v>15.25</v>
      </c>
      <c r="E7283" s="85">
        <f>C7283*D7283</f>
        <v>6.4049999999999994</v>
      </c>
    </row>
    <row r="7284" spans="1:5" ht="18" x14ac:dyDescent="0.35">
      <c r="A7284" s="5"/>
      <c r="B7284" s="50" t="s">
        <v>35</v>
      </c>
      <c r="C7284" s="7">
        <v>4</v>
      </c>
      <c r="D7284" s="7">
        <v>2.91</v>
      </c>
      <c r="E7284" s="85">
        <f>C7284*D7284</f>
        <v>11.64</v>
      </c>
    </row>
    <row r="7285" spans="1:5" ht="18" x14ac:dyDescent="0.35">
      <c r="A7285" s="5"/>
      <c r="B7285" s="50" t="s">
        <v>36</v>
      </c>
      <c r="C7285" s="7">
        <v>4</v>
      </c>
      <c r="D7285" s="7">
        <v>0.61</v>
      </c>
      <c r="E7285" s="85">
        <f>C7285*D7285</f>
        <v>2.44</v>
      </c>
    </row>
    <row r="7286" spans="1:5" ht="18" x14ac:dyDescent="0.35">
      <c r="A7286" s="5"/>
      <c r="B7286" s="50"/>
      <c r="C7286" s="87"/>
      <c r="D7286" s="88"/>
      <c r="E7286" s="85">
        <f>SUM(E7281:E7285)</f>
        <v>189.11703999999997</v>
      </c>
    </row>
    <row r="7287" spans="1:5" ht="18" x14ac:dyDescent="0.35">
      <c r="A7287" s="5"/>
      <c r="B7287" s="50"/>
      <c r="C7287" s="87"/>
      <c r="D7287" s="88" t="s">
        <v>1266</v>
      </c>
      <c r="E7287" s="85">
        <f>E7286+E7286*40%</f>
        <v>264.76385599999998</v>
      </c>
    </row>
    <row r="7288" spans="1:5" ht="18" x14ac:dyDescent="0.35">
      <c r="A7288" s="5"/>
      <c r="B7288" s="50" t="s">
        <v>37</v>
      </c>
      <c r="C7288" s="54">
        <v>0.5</v>
      </c>
      <c r="D7288" s="86">
        <v>200</v>
      </c>
      <c r="E7288" s="85">
        <f>C7288*D7288</f>
        <v>100</v>
      </c>
    </row>
    <row r="7289" spans="1:5" ht="18" x14ac:dyDescent="0.35">
      <c r="A7289" s="5"/>
      <c r="B7289" s="5"/>
      <c r="C7289" s="54"/>
      <c r="D7289" s="54"/>
      <c r="E7289" s="85">
        <f>SUM(E7287:E7288)</f>
        <v>364.76385599999998</v>
      </c>
    </row>
    <row r="7292" spans="1:5" ht="21" x14ac:dyDescent="0.4">
      <c r="A7292" s="40" t="s">
        <v>1865</v>
      </c>
      <c r="B7292" s="40"/>
      <c r="C7292" s="40"/>
      <c r="D7292" s="12"/>
      <c r="E7292" s="12"/>
    </row>
    <row r="7293" spans="1:5" ht="18" x14ac:dyDescent="0.35">
      <c r="A7293" s="5" t="s">
        <v>1427</v>
      </c>
      <c r="B7293" s="5"/>
      <c r="C7293" s="7" t="s">
        <v>28</v>
      </c>
      <c r="D7293" s="7" t="s">
        <v>29</v>
      </c>
      <c r="E7293" s="7" t="s">
        <v>30</v>
      </c>
    </row>
    <row r="7294" spans="1:5" ht="18" x14ac:dyDescent="0.35">
      <c r="A7294" s="5" t="s">
        <v>1866</v>
      </c>
      <c r="B7294" s="50" t="s">
        <v>32</v>
      </c>
      <c r="C7294" s="7">
        <v>8.5399999999999991</v>
      </c>
      <c r="D7294" s="7">
        <v>10.34</v>
      </c>
      <c r="E7294" s="85">
        <f>C7294*D7294</f>
        <v>88.303599999999989</v>
      </c>
    </row>
    <row r="7295" spans="1:5" ht="18" x14ac:dyDescent="0.35">
      <c r="A7295" s="5" t="s">
        <v>538</v>
      </c>
      <c r="B7295" s="50" t="s">
        <v>33</v>
      </c>
      <c r="C7295" s="7">
        <v>128.25700000000001</v>
      </c>
      <c r="D7295" s="7">
        <v>17.059999999999999</v>
      </c>
      <c r="E7295" s="85">
        <f>C7295*D7295</f>
        <v>2188.0644199999997</v>
      </c>
    </row>
    <row r="7296" spans="1:5" ht="18" x14ac:dyDescent="0.35">
      <c r="A7296" s="5" t="s">
        <v>1867</v>
      </c>
      <c r="B7296" s="50" t="s">
        <v>137</v>
      </c>
      <c r="C7296" s="7">
        <v>3</v>
      </c>
      <c r="D7296" s="7">
        <v>15.25</v>
      </c>
      <c r="E7296" s="85">
        <f>C7296*D7296</f>
        <v>45.75</v>
      </c>
    </row>
    <row r="7297" spans="1:5" ht="18" x14ac:dyDescent="0.35">
      <c r="A7297" s="5"/>
      <c r="B7297" s="50" t="s">
        <v>35</v>
      </c>
      <c r="C7297" s="7">
        <v>4</v>
      </c>
      <c r="D7297" s="7">
        <v>2.91</v>
      </c>
      <c r="E7297" s="85">
        <f>C7297*D7297</f>
        <v>11.64</v>
      </c>
    </row>
    <row r="7298" spans="1:5" ht="18" x14ac:dyDescent="0.35">
      <c r="A7298" s="5"/>
      <c r="B7298" s="50" t="s">
        <v>36</v>
      </c>
      <c r="C7298" s="7">
        <v>4</v>
      </c>
      <c r="D7298" s="7">
        <v>0.61</v>
      </c>
      <c r="E7298" s="85">
        <f>C7298*D7298</f>
        <v>2.44</v>
      </c>
    </row>
    <row r="7299" spans="1:5" ht="18" x14ac:dyDescent="0.35">
      <c r="A7299" s="5"/>
      <c r="B7299" s="50"/>
      <c r="C7299" s="87"/>
      <c r="D7299" s="88"/>
      <c r="E7299" s="85">
        <f>SUM(E7294:E7298)</f>
        <v>2336.1980199999998</v>
      </c>
    </row>
    <row r="7300" spans="1:5" ht="18" x14ac:dyDescent="0.35">
      <c r="A7300" s="5"/>
      <c r="B7300" s="50"/>
      <c r="C7300" s="87"/>
      <c r="D7300" s="88" t="s">
        <v>1266</v>
      </c>
      <c r="E7300" s="85">
        <f>E7299+E7299*40%</f>
        <v>3270.6772279999996</v>
      </c>
    </row>
    <row r="7301" spans="1:5" ht="18" x14ac:dyDescent="0.35">
      <c r="A7301" s="5"/>
      <c r="B7301" s="50" t="s">
        <v>37</v>
      </c>
      <c r="C7301" s="54">
        <v>3</v>
      </c>
      <c r="D7301" s="86">
        <v>200</v>
      </c>
      <c r="E7301" s="85">
        <f>C7301*D7301</f>
        <v>600</v>
      </c>
    </row>
    <row r="7302" spans="1:5" ht="18" x14ac:dyDescent="0.35">
      <c r="A7302" s="5"/>
      <c r="B7302" s="5"/>
      <c r="C7302" s="54"/>
      <c r="D7302" s="54"/>
      <c r="E7302" s="85">
        <f>SUM(E7300:E7301)</f>
        <v>3870.6772279999996</v>
      </c>
    </row>
    <row r="7305" spans="1:5" ht="21" x14ac:dyDescent="0.4">
      <c r="A7305" s="40" t="s">
        <v>1868</v>
      </c>
      <c r="B7305" s="40"/>
      <c r="C7305" s="40"/>
      <c r="D7305" s="12"/>
      <c r="E7305" s="12"/>
    </row>
    <row r="7306" spans="1:5" ht="18" x14ac:dyDescent="0.35">
      <c r="A7306" s="5" t="s">
        <v>1427</v>
      </c>
      <c r="B7306" s="5"/>
      <c r="C7306" s="7" t="s">
        <v>28</v>
      </c>
      <c r="D7306" s="7" t="s">
        <v>29</v>
      </c>
      <c r="E7306" s="7" t="s">
        <v>30</v>
      </c>
    </row>
    <row r="7307" spans="1:5" ht="18" x14ac:dyDescent="0.35">
      <c r="A7307" s="5" t="s">
        <v>1869</v>
      </c>
      <c r="B7307" s="50" t="s">
        <v>32</v>
      </c>
      <c r="C7307" s="7">
        <v>6.4379999999999997</v>
      </c>
      <c r="D7307" s="7">
        <v>10.34</v>
      </c>
      <c r="E7307" s="85">
        <f>C7307*D7307</f>
        <v>66.568919999999991</v>
      </c>
    </row>
    <row r="7308" spans="1:5" ht="18" x14ac:dyDescent="0.35">
      <c r="A7308" s="5" t="s">
        <v>538</v>
      </c>
      <c r="B7308" s="50" t="s">
        <v>33</v>
      </c>
      <c r="C7308" s="7">
        <v>91.507999999999996</v>
      </c>
      <c r="D7308" s="7">
        <v>17.059999999999999</v>
      </c>
      <c r="E7308" s="85">
        <f>C7308*D7308</f>
        <v>1561.1264799999999</v>
      </c>
    </row>
    <row r="7309" spans="1:5" ht="18" x14ac:dyDescent="0.35">
      <c r="A7309" s="5" t="s">
        <v>1867</v>
      </c>
      <c r="B7309" s="50" t="s">
        <v>137</v>
      </c>
      <c r="C7309" s="7">
        <v>2.64</v>
      </c>
      <c r="D7309" s="7">
        <v>15.25</v>
      </c>
      <c r="E7309" s="85">
        <f>C7309*D7309</f>
        <v>40.260000000000005</v>
      </c>
    </row>
    <row r="7310" spans="1:5" ht="18" x14ac:dyDescent="0.35">
      <c r="A7310" s="5"/>
      <c r="B7310" s="50" t="s">
        <v>35</v>
      </c>
      <c r="C7310" s="7">
        <v>4</v>
      </c>
      <c r="D7310" s="7">
        <v>2.91</v>
      </c>
      <c r="E7310" s="85">
        <f>C7310*D7310</f>
        <v>11.64</v>
      </c>
    </row>
    <row r="7311" spans="1:5" ht="18" x14ac:dyDescent="0.35">
      <c r="A7311" s="5"/>
      <c r="B7311" s="50" t="s">
        <v>36</v>
      </c>
      <c r="C7311" s="7">
        <v>4</v>
      </c>
      <c r="D7311" s="7">
        <v>0.61</v>
      </c>
      <c r="E7311" s="85">
        <f>C7311*D7311</f>
        <v>2.44</v>
      </c>
    </row>
    <row r="7312" spans="1:5" ht="18" x14ac:dyDescent="0.35">
      <c r="A7312" s="5"/>
      <c r="B7312" s="50"/>
      <c r="C7312" s="87"/>
      <c r="D7312" s="88"/>
      <c r="E7312" s="85">
        <f>SUM(E7307:E7311)</f>
        <v>1682.0354</v>
      </c>
    </row>
    <row r="7313" spans="1:5" ht="18" x14ac:dyDescent="0.35">
      <c r="A7313" s="5"/>
      <c r="B7313" s="50"/>
      <c r="C7313" s="87"/>
      <c r="D7313" s="88" t="s">
        <v>1266</v>
      </c>
      <c r="E7313" s="85">
        <f>E7312+E7312*40%</f>
        <v>2354.8495600000001</v>
      </c>
    </row>
    <row r="7314" spans="1:5" ht="18" x14ac:dyDescent="0.35">
      <c r="A7314" s="5"/>
      <c r="B7314" s="50" t="s">
        <v>37</v>
      </c>
      <c r="C7314" s="54">
        <v>3</v>
      </c>
      <c r="D7314" s="86">
        <v>200</v>
      </c>
      <c r="E7314" s="85">
        <f>C7314*D7314</f>
        <v>600</v>
      </c>
    </row>
    <row r="7315" spans="1:5" ht="18" x14ac:dyDescent="0.35">
      <c r="A7315" s="5"/>
      <c r="B7315" s="5"/>
      <c r="C7315" s="54"/>
      <c r="D7315" s="54"/>
      <c r="E7315" s="85">
        <f>SUM(E7313:E7314)</f>
        <v>2954.8495600000001</v>
      </c>
    </row>
    <row r="7318" spans="1:5" ht="21" x14ac:dyDescent="0.4">
      <c r="A7318" s="40" t="s">
        <v>1870</v>
      </c>
      <c r="B7318" s="40"/>
      <c r="C7318" s="40"/>
      <c r="D7318" s="12"/>
      <c r="E7318" s="12"/>
    </row>
    <row r="7319" spans="1:5" ht="18" x14ac:dyDescent="0.35">
      <c r="A7319" s="5" t="s">
        <v>1427</v>
      </c>
      <c r="B7319" s="5"/>
      <c r="C7319" s="7" t="s">
        <v>28</v>
      </c>
      <c r="D7319" s="7" t="s">
        <v>29</v>
      </c>
      <c r="E7319" s="7" t="s">
        <v>30</v>
      </c>
    </row>
    <row r="7320" spans="1:5" ht="18" x14ac:dyDescent="0.35">
      <c r="A7320" s="5" t="s">
        <v>1195</v>
      </c>
      <c r="B7320" s="50" t="s">
        <v>32</v>
      </c>
      <c r="C7320" s="7">
        <v>4.968</v>
      </c>
      <c r="D7320" s="7">
        <v>10.34</v>
      </c>
      <c r="E7320" s="85">
        <f>C7320*D7320</f>
        <v>51.369120000000002</v>
      </c>
    </row>
    <row r="7321" spans="1:5" ht="18" x14ac:dyDescent="0.35">
      <c r="A7321" s="5" t="s">
        <v>538</v>
      </c>
      <c r="B7321" s="50" t="s">
        <v>33</v>
      </c>
      <c r="C7321" s="7">
        <v>65.781999999999996</v>
      </c>
      <c r="D7321" s="7">
        <v>17.059999999999999</v>
      </c>
      <c r="E7321" s="85">
        <f>C7321*D7321</f>
        <v>1122.24092</v>
      </c>
    </row>
    <row r="7322" spans="1:5" ht="18" x14ac:dyDescent="0.35">
      <c r="A7322" s="5" t="s">
        <v>1867</v>
      </c>
      <c r="B7322" s="50" t="s">
        <v>137</v>
      </c>
      <c r="C7322" s="7">
        <v>2</v>
      </c>
      <c r="D7322" s="7">
        <v>15.25</v>
      </c>
      <c r="E7322" s="85">
        <f>C7322*D7322</f>
        <v>30.5</v>
      </c>
    </row>
    <row r="7323" spans="1:5" ht="18" x14ac:dyDescent="0.35">
      <c r="A7323" s="5"/>
      <c r="B7323" s="50" t="s">
        <v>35</v>
      </c>
      <c r="C7323" s="7">
        <v>4</v>
      </c>
      <c r="D7323" s="7">
        <v>2.91</v>
      </c>
      <c r="E7323" s="85">
        <f>C7323*D7323</f>
        <v>11.64</v>
      </c>
    </row>
    <row r="7324" spans="1:5" ht="18" x14ac:dyDescent="0.35">
      <c r="A7324" s="5"/>
      <c r="B7324" s="50" t="s">
        <v>36</v>
      </c>
      <c r="C7324" s="7">
        <v>4</v>
      </c>
      <c r="D7324" s="7">
        <v>0.61</v>
      </c>
      <c r="E7324" s="85">
        <f>C7324*D7324</f>
        <v>2.44</v>
      </c>
    </row>
    <row r="7325" spans="1:5" ht="18" x14ac:dyDescent="0.35">
      <c r="A7325" s="5"/>
      <c r="B7325" s="50"/>
      <c r="C7325" s="87"/>
      <c r="D7325" s="88"/>
      <c r="E7325" s="85">
        <f>SUM(E7320:E7324)</f>
        <v>1218.1900400000002</v>
      </c>
    </row>
    <row r="7326" spans="1:5" ht="18" x14ac:dyDescent="0.35">
      <c r="A7326" s="5"/>
      <c r="B7326" s="50"/>
      <c r="C7326" s="87"/>
      <c r="D7326" s="88" t="s">
        <v>1266</v>
      </c>
      <c r="E7326" s="85">
        <f>E7325+E7325*40%</f>
        <v>1705.4660560000002</v>
      </c>
    </row>
    <row r="7327" spans="1:5" ht="18" x14ac:dyDescent="0.35">
      <c r="A7327" s="5"/>
      <c r="B7327" s="50" t="s">
        <v>37</v>
      </c>
      <c r="C7327" s="54">
        <v>2</v>
      </c>
      <c r="D7327" s="86">
        <v>200</v>
      </c>
      <c r="E7327" s="85">
        <f>C7327*D7327</f>
        <v>400</v>
      </c>
    </row>
    <row r="7328" spans="1:5" ht="18" x14ac:dyDescent="0.35">
      <c r="A7328" s="5"/>
      <c r="B7328" s="5"/>
      <c r="C7328" s="54"/>
      <c r="D7328" s="54"/>
      <c r="E7328" s="85">
        <f>SUM(E7326:E7327)</f>
        <v>2105.4660560000002</v>
      </c>
    </row>
    <row r="7330" spans="1:5" ht="21" x14ac:dyDescent="0.4">
      <c r="A7330" s="40" t="s">
        <v>1652</v>
      </c>
      <c r="B7330" s="40"/>
      <c r="C7330" s="84"/>
    </row>
    <row r="7331" spans="1:5" ht="18" x14ac:dyDescent="0.35">
      <c r="A7331" t="s">
        <v>1451</v>
      </c>
      <c r="B7331" s="5"/>
      <c r="C7331" s="7" t="s">
        <v>28</v>
      </c>
      <c r="D7331" s="7" t="s">
        <v>29</v>
      </c>
      <c r="E7331" s="7" t="s">
        <v>30</v>
      </c>
    </row>
    <row r="7332" spans="1:5" ht="18" x14ac:dyDescent="0.35">
      <c r="A7332" s="5" t="s">
        <v>41</v>
      </c>
      <c r="B7332" s="50" t="s">
        <v>32</v>
      </c>
      <c r="C7332" s="7">
        <v>1.3979999999999999</v>
      </c>
      <c r="D7332" s="7">
        <v>14.93</v>
      </c>
      <c r="E7332" s="85">
        <f t="shared" ref="E7332:E7339" si="466">C7332*D7332</f>
        <v>20.872139999999998</v>
      </c>
    </row>
    <row r="7333" spans="1:5" ht="18" x14ac:dyDescent="0.35">
      <c r="A7333" s="5" t="s">
        <v>1696</v>
      </c>
      <c r="B7333" s="50" t="s">
        <v>33</v>
      </c>
      <c r="C7333" s="7">
        <v>2.0579999999999998</v>
      </c>
      <c r="D7333" s="7">
        <v>16.170000000000002</v>
      </c>
      <c r="E7333" s="85">
        <f t="shared" si="466"/>
        <v>33.277860000000004</v>
      </c>
    </row>
    <row r="7334" spans="1:5" ht="18" x14ac:dyDescent="0.35">
      <c r="A7334" s="5" t="s">
        <v>1871</v>
      </c>
      <c r="B7334" s="50" t="s">
        <v>33</v>
      </c>
      <c r="C7334" s="7">
        <v>2.2679999999999998</v>
      </c>
      <c r="D7334" s="7">
        <v>16.170000000000002</v>
      </c>
      <c r="E7334" s="85">
        <f t="shared" si="466"/>
        <v>36.673560000000002</v>
      </c>
    </row>
    <row r="7335" spans="1:5" ht="18" x14ac:dyDescent="0.35">
      <c r="A7335" s="5" t="s">
        <v>623</v>
      </c>
      <c r="B7335" s="50" t="s">
        <v>42</v>
      </c>
      <c r="C7335" s="7">
        <v>2</v>
      </c>
      <c r="D7335" s="7">
        <v>1.1499999999999999</v>
      </c>
      <c r="E7335" s="85">
        <f t="shared" si="466"/>
        <v>2.2999999999999998</v>
      </c>
    </row>
    <row r="7336" spans="1:5" ht="18" x14ac:dyDescent="0.35">
      <c r="A7336" s="5" t="s">
        <v>1786</v>
      </c>
      <c r="B7336" s="50" t="s">
        <v>113</v>
      </c>
      <c r="C7336" s="7">
        <v>2</v>
      </c>
      <c r="D7336" s="7">
        <v>4.4800000000000004</v>
      </c>
      <c r="E7336" s="85">
        <f t="shared" si="466"/>
        <v>8.9600000000000009</v>
      </c>
    </row>
    <row r="7337" spans="1:5" ht="18" x14ac:dyDescent="0.35">
      <c r="A7337" s="5" t="s">
        <v>1785</v>
      </c>
      <c r="B7337" s="50" t="s">
        <v>34</v>
      </c>
      <c r="C7337" s="7"/>
      <c r="D7337" s="7">
        <v>14.61</v>
      </c>
      <c r="E7337" s="85">
        <f t="shared" si="466"/>
        <v>0</v>
      </c>
    </row>
    <row r="7338" spans="1:5" ht="18" x14ac:dyDescent="0.35">
      <c r="A7338" s="5"/>
      <c r="B7338" s="50" t="s">
        <v>35</v>
      </c>
      <c r="C7338" s="7">
        <v>4</v>
      </c>
      <c r="D7338" s="7">
        <v>2.91</v>
      </c>
      <c r="E7338" s="85">
        <f t="shared" si="466"/>
        <v>11.64</v>
      </c>
    </row>
    <row r="7339" spans="1:5" ht="18" x14ac:dyDescent="0.35">
      <c r="A7339" s="5"/>
      <c r="B7339" s="50" t="s">
        <v>36</v>
      </c>
      <c r="C7339" s="7">
        <v>4</v>
      </c>
      <c r="D7339" s="7">
        <v>0.61</v>
      </c>
      <c r="E7339" s="85">
        <f t="shared" si="466"/>
        <v>2.44</v>
      </c>
    </row>
    <row r="7340" spans="1:5" ht="18" x14ac:dyDescent="0.35">
      <c r="A7340" s="5"/>
      <c r="B7340" s="5"/>
      <c r="C7340" s="54"/>
      <c r="D7340" s="54"/>
      <c r="E7340" s="89">
        <f>SUM(E7332:E7339)</f>
        <v>116.16356</v>
      </c>
    </row>
    <row r="7341" spans="1:5" ht="18" x14ac:dyDescent="0.35">
      <c r="A7341" s="5"/>
      <c r="B7341" s="5"/>
      <c r="C7341" s="54"/>
      <c r="D7341" s="54" t="s">
        <v>1063</v>
      </c>
      <c r="E7341" s="89">
        <f>E7340+E7340*40%</f>
        <v>162.628984</v>
      </c>
    </row>
    <row r="7342" spans="1:5" ht="18" x14ac:dyDescent="0.35">
      <c r="A7342" s="5"/>
      <c r="B7342" s="50" t="s">
        <v>37</v>
      </c>
      <c r="C7342" s="54">
        <v>0.2</v>
      </c>
      <c r="D7342" s="54">
        <v>200</v>
      </c>
      <c r="E7342" s="85">
        <f>C7342*D7342</f>
        <v>40</v>
      </c>
    </row>
    <row r="7343" spans="1:5" ht="18" x14ac:dyDescent="0.35">
      <c r="D7343" t="s">
        <v>1803</v>
      </c>
      <c r="E7343" s="85">
        <f>SUM(E7341:E7342)</f>
        <v>202.628984</v>
      </c>
    </row>
    <row r="7344" spans="1:5" ht="18" x14ac:dyDescent="0.35">
      <c r="D7344" t="s">
        <v>1760</v>
      </c>
      <c r="E7344" s="85">
        <f>E7343+E7343*33%</f>
        <v>269.49654872000002</v>
      </c>
    </row>
    <row r="7346" spans="1:5" x14ac:dyDescent="0.3">
      <c r="E7346">
        <v>157</v>
      </c>
    </row>
    <row r="7348" spans="1:5" ht="21" x14ac:dyDescent="0.4">
      <c r="A7348" s="40" t="s">
        <v>1861</v>
      </c>
      <c r="B7348" s="40"/>
      <c r="C7348" s="84"/>
    </row>
    <row r="7349" spans="1:5" ht="18" x14ac:dyDescent="0.35">
      <c r="A7349" s="5" t="s">
        <v>1862</v>
      </c>
      <c r="B7349" s="5"/>
      <c r="C7349" s="7" t="s">
        <v>28</v>
      </c>
      <c r="D7349" s="7" t="s">
        <v>29</v>
      </c>
      <c r="E7349" s="7" t="s">
        <v>30</v>
      </c>
    </row>
    <row r="7350" spans="1:5" ht="18" x14ac:dyDescent="0.35">
      <c r="A7350" s="5" t="s">
        <v>1863</v>
      </c>
      <c r="B7350" s="50" t="s">
        <v>32</v>
      </c>
      <c r="C7350" s="7">
        <v>2.113</v>
      </c>
      <c r="D7350" s="7">
        <v>10.34</v>
      </c>
      <c r="E7350" s="85">
        <f t="shared" ref="E7350:E7355" si="467">C7350*D7350</f>
        <v>21.848420000000001</v>
      </c>
    </row>
    <row r="7351" spans="1:5" ht="18" x14ac:dyDescent="0.35">
      <c r="A7351" s="5" t="s">
        <v>829</v>
      </c>
      <c r="B7351" s="50" t="s">
        <v>33</v>
      </c>
      <c r="C7351" s="7">
        <v>3.5070000000000001</v>
      </c>
      <c r="D7351" s="7">
        <v>16.170000000000002</v>
      </c>
      <c r="E7351" s="85">
        <f t="shared" si="467"/>
        <v>56.708190000000009</v>
      </c>
    </row>
    <row r="7352" spans="1:5" ht="18" x14ac:dyDescent="0.35">
      <c r="A7352" s="5" t="s">
        <v>1124</v>
      </c>
      <c r="B7352" s="50" t="s">
        <v>1019</v>
      </c>
      <c r="C7352" s="7">
        <v>2</v>
      </c>
      <c r="D7352" s="7">
        <v>1.1499999999999999</v>
      </c>
      <c r="E7352" s="85">
        <f t="shared" si="467"/>
        <v>2.2999999999999998</v>
      </c>
    </row>
    <row r="7353" spans="1:5" ht="18" x14ac:dyDescent="0.35">
      <c r="A7353" s="5"/>
      <c r="B7353" s="50" t="s">
        <v>34</v>
      </c>
      <c r="C7353" s="7">
        <v>0.21</v>
      </c>
      <c r="D7353" s="7">
        <v>14.61</v>
      </c>
      <c r="E7353" s="85">
        <f t="shared" si="467"/>
        <v>3.0680999999999998</v>
      </c>
    </row>
    <row r="7354" spans="1:5" ht="18" x14ac:dyDescent="0.35">
      <c r="A7354" s="5"/>
      <c r="B7354" s="50" t="s">
        <v>35</v>
      </c>
      <c r="C7354" s="7">
        <v>4</v>
      </c>
      <c r="D7354" s="7">
        <v>2.91</v>
      </c>
      <c r="E7354" s="85">
        <f t="shared" si="467"/>
        <v>11.64</v>
      </c>
    </row>
    <row r="7355" spans="1:5" ht="18" x14ac:dyDescent="0.35">
      <c r="A7355" s="5"/>
      <c r="B7355" s="50" t="s">
        <v>36</v>
      </c>
      <c r="C7355" s="7">
        <v>4</v>
      </c>
      <c r="D7355" s="7">
        <v>0.61</v>
      </c>
      <c r="E7355" s="85">
        <f t="shared" si="467"/>
        <v>2.44</v>
      </c>
    </row>
    <row r="7356" spans="1:5" ht="18" x14ac:dyDescent="0.35">
      <c r="A7356" s="5"/>
      <c r="B7356" s="5"/>
      <c r="C7356" s="54"/>
      <c r="D7356" s="54"/>
      <c r="E7356" s="89">
        <f>SUM(E7350:E7355)</f>
        <v>98.004710000000003</v>
      </c>
    </row>
    <row r="7357" spans="1:5" ht="18" x14ac:dyDescent="0.35">
      <c r="A7357" s="5"/>
      <c r="B7357" s="5"/>
      <c r="C7357" s="54"/>
      <c r="D7357" s="54" t="s">
        <v>1063</v>
      </c>
      <c r="E7357" s="89">
        <f>E7356+E7356*40%</f>
        <v>137.206594</v>
      </c>
    </row>
    <row r="7358" spans="1:5" ht="18" x14ac:dyDescent="0.35">
      <c r="A7358" s="5"/>
      <c r="B7358" s="50" t="s">
        <v>37</v>
      </c>
      <c r="C7358" s="54">
        <v>0.25</v>
      </c>
      <c r="D7358" s="54">
        <v>200</v>
      </c>
      <c r="E7358" s="85">
        <f>C7358*D7358</f>
        <v>50</v>
      </c>
    </row>
    <row r="7359" spans="1:5" ht="18" x14ac:dyDescent="0.35">
      <c r="A7359" s="5"/>
      <c r="B7359" s="5"/>
      <c r="C7359" s="54"/>
      <c r="D7359" s="54"/>
      <c r="E7359" s="85">
        <f>SUM(E7357:E7358)</f>
        <v>187.206594</v>
      </c>
    </row>
    <row r="7361" spans="1:5" ht="21" x14ac:dyDescent="0.4">
      <c r="A7361" s="40" t="s">
        <v>1872</v>
      </c>
      <c r="B7361" s="40"/>
      <c r="C7361" s="84"/>
    </row>
    <row r="7362" spans="1:5" ht="18" x14ac:dyDescent="0.35">
      <c r="A7362" s="5" t="s">
        <v>1156</v>
      </c>
      <c r="B7362" s="5"/>
      <c r="C7362" s="7" t="s">
        <v>28</v>
      </c>
      <c r="D7362" s="7" t="s">
        <v>29</v>
      </c>
      <c r="E7362" s="7" t="s">
        <v>30</v>
      </c>
    </row>
    <row r="7363" spans="1:5" ht="18" x14ac:dyDescent="0.35">
      <c r="A7363" s="5" t="s">
        <v>1873</v>
      </c>
      <c r="B7363" s="50" t="s">
        <v>32</v>
      </c>
      <c r="C7363" s="7">
        <v>2.4900000000000002</v>
      </c>
      <c r="D7363" s="7">
        <v>10.34</v>
      </c>
      <c r="E7363" s="85">
        <f t="shared" ref="E7363:E7368" si="468">C7363*D7363</f>
        <v>25.746600000000001</v>
      </c>
    </row>
    <row r="7364" spans="1:5" ht="18" x14ac:dyDescent="0.35">
      <c r="A7364" s="5" t="s">
        <v>828</v>
      </c>
      <c r="B7364" s="50" t="s">
        <v>33</v>
      </c>
      <c r="C7364" s="7">
        <v>8.9770000000000003</v>
      </c>
      <c r="D7364" s="7">
        <v>16.170000000000002</v>
      </c>
      <c r="E7364" s="85">
        <f t="shared" si="468"/>
        <v>145.15809000000002</v>
      </c>
    </row>
    <row r="7365" spans="1:5" ht="18" x14ac:dyDescent="0.35">
      <c r="A7365" s="5" t="s">
        <v>673</v>
      </c>
      <c r="B7365" s="50" t="s">
        <v>1874</v>
      </c>
      <c r="C7365" s="7">
        <v>2</v>
      </c>
      <c r="D7365" s="7">
        <v>1.48</v>
      </c>
      <c r="E7365" s="85">
        <f t="shared" si="468"/>
        <v>2.96</v>
      </c>
    </row>
    <row r="7366" spans="1:5" ht="18" x14ac:dyDescent="0.35">
      <c r="A7366" s="5"/>
      <c r="B7366" s="50" t="s">
        <v>34</v>
      </c>
      <c r="C7366" s="7">
        <v>0.5</v>
      </c>
      <c r="D7366" s="7">
        <v>14.61</v>
      </c>
      <c r="E7366" s="85">
        <f t="shared" si="468"/>
        <v>7.3049999999999997</v>
      </c>
    </row>
    <row r="7367" spans="1:5" ht="18" x14ac:dyDescent="0.35">
      <c r="A7367" s="5"/>
      <c r="B7367" s="50" t="s">
        <v>35</v>
      </c>
      <c r="C7367" s="7">
        <v>4</v>
      </c>
      <c r="D7367" s="7">
        <v>2.91</v>
      </c>
      <c r="E7367" s="85">
        <f t="shared" si="468"/>
        <v>11.64</v>
      </c>
    </row>
    <row r="7368" spans="1:5" ht="18" x14ac:dyDescent="0.35">
      <c r="A7368" s="5"/>
      <c r="B7368" s="50" t="s">
        <v>36</v>
      </c>
      <c r="C7368" s="7">
        <v>4</v>
      </c>
      <c r="D7368" s="7">
        <v>0.61</v>
      </c>
      <c r="E7368" s="85">
        <f t="shared" si="468"/>
        <v>2.44</v>
      </c>
    </row>
    <row r="7369" spans="1:5" ht="18" x14ac:dyDescent="0.35">
      <c r="A7369" s="5"/>
      <c r="B7369" s="5"/>
      <c r="C7369" s="54"/>
      <c r="D7369" s="54"/>
      <c r="E7369" s="89">
        <f>SUM(E7363:E7368)</f>
        <v>195.24969000000004</v>
      </c>
    </row>
    <row r="7370" spans="1:5" ht="18" x14ac:dyDescent="0.35">
      <c r="A7370" s="5"/>
      <c r="B7370" s="5"/>
      <c r="C7370" s="54"/>
      <c r="D7370" s="54" t="s">
        <v>1063</v>
      </c>
      <c r="E7370" s="89">
        <f>E7369+E7369*40%</f>
        <v>273.3495660000001</v>
      </c>
    </row>
    <row r="7371" spans="1:5" ht="18" x14ac:dyDescent="0.35">
      <c r="A7371" s="5"/>
      <c r="B7371" s="50" t="s">
        <v>37</v>
      </c>
      <c r="C7371" s="54">
        <v>0.5</v>
      </c>
      <c r="D7371" s="54">
        <v>200</v>
      </c>
      <c r="E7371" s="85">
        <f>C7371*D7371</f>
        <v>100</v>
      </c>
    </row>
    <row r="7372" spans="1:5" ht="18" x14ac:dyDescent="0.35">
      <c r="A7372" s="5"/>
      <c r="B7372" s="5"/>
      <c r="C7372" s="54"/>
      <c r="D7372" s="54"/>
      <c r="E7372" s="85">
        <f>SUM(E7370:E7371)</f>
        <v>373.3495660000001</v>
      </c>
    </row>
    <row r="7374" spans="1:5" ht="21" x14ac:dyDescent="0.4">
      <c r="A7374" s="40" t="s">
        <v>1875</v>
      </c>
      <c r="B7374" s="40"/>
      <c r="C7374" s="84"/>
    </row>
    <row r="7375" spans="1:5" ht="18" x14ac:dyDescent="0.35">
      <c r="A7375" s="5" t="s">
        <v>1156</v>
      </c>
      <c r="B7375" s="5"/>
      <c r="C7375" s="7" t="s">
        <v>28</v>
      </c>
      <c r="D7375" s="7" t="s">
        <v>29</v>
      </c>
      <c r="E7375" s="7" t="s">
        <v>30</v>
      </c>
    </row>
    <row r="7376" spans="1:5" ht="18" x14ac:dyDescent="0.35">
      <c r="A7376" s="5" t="s">
        <v>1876</v>
      </c>
      <c r="B7376" s="50" t="s">
        <v>32</v>
      </c>
      <c r="C7376" s="7">
        <v>2.427</v>
      </c>
      <c r="D7376" s="7">
        <v>10.34</v>
      </c>
      <c r="E7376" s="85">
        <f t="shared" ref="E7376:E7381" si="469">C7376*D7376</f>
        <v>25.095179999999999</v>
      </c>
    </row>
    <row r="7377" spans="1:5" ht="18" x14ac:dyDescent="0.35">
      <c r="A7377" s="5" t="s">
        <v>828</v>
      </c>
      <c r="B7377" s="50" t="s">
        <v>33</v>
      </c>
      <c r="C7377" s="7">
        <v>8.6940000000000008</v>
      </c>
      <c r="D7377" s="7">
        <v>16.170000000000002</v>
      </c>
      <c r="E7377" s="85">
        <f t="shared" si="469"/>
        <v>140.58198000000002</v>
      </c>
    </row>
    <row r="7378" spans="1:5" ht="18" x14ac:dyDescent="0.35">
      <c r="A7378" s="5" t="s">
        <v>673</v>
      </c>
      <c r="B7378" s="50" t="s">
        <v>1874</v>
      </c>
      <c r="C7378" s="7">
        <v>2</v>
      </c>
      <c r="D7378" s="7">
        <v>1.48</v>
      </c>
      <c r="E7378" s="85">
        <f t="shared" si="469"/>
        <v>2.96</v>
      </c>
    </row>
    <row r="7379" spans="1:5" ht="18" x14ac:dyDescent="0.35">
      <c r="A7379" s="5"/>
      <c r="B7379" s="50" t="s">
        <v>34</v>
      </c>
      <c r="C7379" s="7">
        <v>0.5</v>
      </c>
      <c r="D7379" s="7">
        <v>14.61</v>
      </c>
      <c r="E7379" s="85">
        <f t="shared" si="469"/>
        <v>7.3049999999999997</v>
      </c>
    </row>
    <row r="7380" spans="1:5" ht="18" x14ac:dyDescent="0.35">
      <c r="A7380" s="5"/>
      <c r="B7380" s="50" t="s">
        <v>35</v>
      </c>
      <c r="C7380" s="7">
        <v>4</v>
      </c>
      <c r="D7380" s="7">
        <v>2.91</v>
      </c>
      <c r="E7380" s="85">
        <f t="shared" si="469"/>
        <v>11.64</v>
      </c>
    </row>
    <row r="7381" spans="1:5" ht="18" x14ac:dyDescent="0.35">
      <c r="A7381" s="5"/>
      <c r="B7381" s="50" t="s">
        <v>36</v>
      </c>
      <c r="C7381" s="7">
        <v>4</v>
      </c>
      <c r="D7381" s="7">
        <v>0.61</v>
      </c>
      <c r="E7381" s="85">
        <f t="shared" si="469"/>
        <v>2.44</v>
      </c>
    </row>
    <row r="7382" spans="1:5" ht="18" x14ac:dyDescent="0.35">
      <c r="A7382" s="5"/>
      <c r="B7382" s="5"/>
      <c r="C7382" s="54"/>
      <c r="D7382" s="54"/>
      <c r="E7382" s="89">
        <f>SUM(E7376:E7381)</f>
        <v>190.02216000000004</v>
      </c>
    </row>
    <row r="7383" spans="1:5" ht="18" x14ac:dyDescent="0.35">
      <c r="A7383" s="5"/>
      <c r="B7383" s="5"/>
      <c r="C7383" s="54"/>
      <c r="D7383" s="54" t="s">
        <v>1063</v>
      </c>
      <c r="E7383" s="89">
        <f>E7382+E7382*40%</f>
        <v>266.03102400000006</v>
      </c>
    </row>
    <row r="7384" spans="1:5" ht="18" x14ac:dyDescent="0.35">
      <c r="A7384" s="5"/>
      <c r="B7384" s="50" t="s">
        <v>37</v>
      </c>
      <c r="C7384" s="54">
        <v>0.5</v>
      </c>
      <c r="D7384" s="54">
        <v>200</v>
      </c>
      <c r="E7384" s="85">
        <f>C7384*D7384</f>
        <v>100</v>
      </c>
    </row>
    <row r="7385" spans="1:5" ht="18" x14ac:dyDescent="0.35">
      <c r="A7385" s="5"/>
      <c r="B7385" s="5"/>
      <c r="C7385" s="54"/>
      <c r="D7385" s="54"/>
      <c r="E7385" s="85">
        <f>SUM(E7383:E7384)</f>
        <v>366.03102400000006</v>
      </c>
    </row>
    <row r="7387" spans="1:5" ht="21" x14ac:dyDescent="0.4">
      <c r="A7387" s="40" t="s">
        <v>1872</v>
      </c>
      <c r="B7387" s="40"/>
      <c r="C7387" s="84"/>
    </row>
    <row r="7388" spans="1:5" ht="18" x14ac:dyDescent="0.35">
      <c r="A7388" s="5" t="s">
        <v>1156</v>
      </c>
      <c r="B7388" s="5"/>
      <c r="C7388" s="7" t="s">
        <v>28</v>
      </c>
      <c r="D7388" s="7" t="s">
        <v>29</v>
      </c>
      <c r="E7388" s="7" t="s">
        <v>30</v>
      </c>
    </row>
    <row r="7389" spans="1:5" ht="18" x14ac:dyDescent="0.35">
      <c r="A7389" s="5" t="s">
        <v>1877</v>
      </c>
      <c r="B7389" s="50" t="s">
        <v>32</v>
      </c>
      <c r="C7389" s="7">
        <v>2.4900000000000002</v>
      </c>
      <c r="D7389" s="7">
        <v>10.34</v>
      </c>
      <c r="E7389" s="85">
        <f t="shared" ref="E7389:E7394" si="470">C7389*D7389</f>
        <v>25.746600000000001</v>
      </c>
    </row>
    <row r="7390" spans="1:5" ht="18" x14ac:dyDescent="0.35">
      <c r="A7390" s="5" t="s">
        <v>828</v>
      </c>
      <c r="B7390" s="50" t="s">
        <v>33</v>
      </c>
      <c r="C7390" s="7">
        <v>8.8829999999999991</v>
      </c>
      <c r="D7390" s="7">
        <v>16.170000000000002</v>
      </c>
      <c r="E7390" s="85">
        <f t="shared" si="470"/>
        <v>143.63811000000001</v>
      </c>
    </row>
    <row r="7391" spans="1:5" ht="18" x14ac:dyDescent="0.35">
      <c r="A7391" s="5" t="s">
        <v>673</v>
      </c>
      <c r="B7391" s="50" t="s">
        <v>1874</v>
      </c>
      <c r="C7391" s="7">
        <v>2</v>
      </c>
      <c r="D7391" s="7">
        <v>1.48</v>
      </c>
      <c r="E7391" s="85">
        <f t="shared" si="470"/>
        <v>2.96</v>
      </c>
    </row>
    <row r="7392" spans="1:5" ht="18" x14ac:dyDescent="0.35">
      <c r="A7392" s="5"/>
      <c r="B7392" s="50" t="s">
        <v>34</v>
      </c>
      <c r="C7392" s="7">
        <v>0.5</v>
      </c>
      <c r="D7392" s="7">
        <v>14.61</v>
      </c>
      <c r="E7392" s="85">
        <f t="shared" si="470"/>
        <v>7.3049999999999997</v>
      </c>
    </row>
    <row r="7393" spans="1:5" ht="18" x14ac:dyDescent="0.35">
      <c r="A7393" s="5"/>
      <c r="B7393" s="50" t="s">
        <v>35</v>
      </c>
      <c r="C7393" s="7">
        <v>4</v>
      </c>
      <c r="D7393" s="7">
        <v>2.91</v>
      </c>
      <c r="E7393" s="85">
        <f t="shared" si="470"/>
        <v>11.64</v>
      </c>
    </row>
    <row r="7394" spans="1:5" ht="18" x14ac:dyDescent="0.35">
      <c r="A7394" s="5"/>
      <c r="B7394" s="50" t="s">
        <v>36</v>
      </c>
      <c r="C7394" s="7">
        <v>4</v>
      </c>
      <c r="D7394" s="7">
        <v>0.61</v>
      </c>
      <c r="E7394" s="85">
        <f t="shared" si="470"/>
        <v>2.44</v>
      </c>
    </row>
    <row r="7395" spans="1:5" ht="18" x14ac:dyDescent="0.35">
      <c r="A7395" s="5"/>
      <c r="B7395" s="5"/>
      <c r="C7395" s="54"/>
      <c r="D7395" s="54"/>
      <c r="E7395" s="89">
        <f>SUM(E7389:E7394)</f>
        <v>193.72971000000001</v>
      </c>
    </row>
    <row r="7396" spans="1:5" ht="18" x14ac:dyDescent="0.35">
      <c r="A7396" s="5"/>
      <c r="B7396" s="5"/>
      <c r="C7396" s="54"/>
      <c r="D7396" s="54" t="s">
        <v>1063</v>
      </c>
      <c r="E7396" s="89">
        <f>E7395+E7395*40%</f>
        <v>271.22159400000004</v>
      </c>
    </row>
    <row r="7397" spans="1:5" ht="18" x14ac:dyDescent="0.35">
      <c r="A7397" s="5"/>
      <c r="B7397" s="50" t="s">
        <v>37</v>
      </c>
      <c r="C7397" s="54">
        <v>0.5</v>
      </c>
      <c r="D7397" s="54">
        <v>200</v>
      </c>
      <c r="E7397" s="85">
        <f>C7397*D7397</f>
        <v>100</v>
      </c>
    </row>
    <row r="7398" spans="1:5" ht="18" x14ac:dyDescent="0.35">
      <c r="A7398" s="5"/>
      <c r="B7398" s="5"/>
      <c r="C7398" s="54"/>
      <c r="D7398" s="54"/>
      <c r="E7398" s="85">
        <f>SUM(E7396:E7397)</f>
        <v>371.22159400000004</v>
      </c>
    </row>
    <row r="7400" spans="1:5" ht="21" x14ac:dyDescent="0.4">
      <c r="A7400" s="40" t="s">
        <v>1872</v>
      </c>
      <c r="B7400" s="40"/>
      <c r="C7400" s="84"/>
    </row>
    <row r="7401" spans="1:5" ht="18" x14ac:dyDescent="0.35">
      <c r="A7401" s="5" t="s">
        <v>1156</v>
      </c>
      <c r="B7401" s="5"/>
      <c r="C7401" s="7" t="s">
        <v>28</v>
      </c>
      <c r="D7401" s="7" t="s">
        <v>29</v>
      </c>
      <c r="E7401" s="7" t="s">
        <v>30</v>
      </c>
    </row>
    <row r="7402" spans="1:5" ht="18" x14ac:dyDescent="0.35">
      <c r="A7402" s="5" t="s">
        <v>1878</v>
      </c>
      <c r="B7402" s="50" t="s">
        <v>32</v>
      </c>
      <c r="C7402" s="7">
        <v>2.427</v>
      </c>
      <c r="D7402" s="7">
        <v>10.34</v>
      </c>
      <c r="E7402" s="85">
        <f t="shared" ref="E7402:E7407" si="471">C7402*D7402</f>
        <v>25.095179999999999</v>
      </c>
    </row>
    <row r="7403" spans="1:5" ht="18" x14ac:dyDescent="0.35">
      <c r="A7403" s="5" t="s">
        <v>791</v>
      </c>
      <c r="B7403" s="50" t="s">
        <v>33</v>
      </c>
      <c r="C7403" s="7">
        <v>5.859</v>
      </c>
      <c r="D7403" s="7">
        <v>16.170000000000002</v>
      </c>
      <c r="E7403" s="85">
        <f t="shared" si="471"/>
        <v>94.740030000000004</v>
      </c>
    </row>
    <row r="7404" spans="1:5" ht="18" x14ac:dyDescent="0.35">
      <c r="A7404" s="5" t="s">
        <v>673</v>
      </c>
      <c r="B7404" s="50" t="s">
        <v>1874</v>
      </c>
      <c r="C7404" s="7">
        <v>2</v>
      </c>
      <c r="D7404" s="7">
        <v>1.48</v>
      </c>
      <c r="E7404" s="85">
        <f t="shared" si="471"/>
        <v>2.96</v>
      </c>
    </row>
    <row r="7405" spans="1:5" ht="18" x14ac:dyDescent="0.35">
      <c r="A7405" s="5"/>
      <c r="B7405" s="50" t="s">
        <v>34</v>
      </c>
      <c r="C7405" s="7">
        <v>0.5</v>
      </c>
      <c r="D7405" s="7">
        <v>14.61</v>
      </c>
      <c r="E7405" s="85">
        <f t="shared" si="471"/>
        <v>7.3049999999999997</v>
      </c>
    </row>
    <row r="7406" spans="1:5" ht="18" x14ac:dyDescent="0.35">
      <c r="A7406" s="5"/>
      <c r="B7406" s="50" t="s">
        <v>35</v>
      </c>
      <c r="C7406" s="7">
        <v>4</v>
      </c>
      <c r="D7406" s="7">
        <v>2.91</v>
      </c>
      <c r="E7406" s="85">
        <f t="shared" si="471"/>
        <v>11.64</v>
      </c>
    </row>
    <row r="7407" spans="1:5" ht="18" x14ac:dyDescent="0.35">
      <c r="A7407" s="5"/>
      <c r="B7407" s="50" t="s">
        <v>36</v>
      </c>
      <c r="C7407" s="7">
        <v>4</v>
      </c>
      <c r="D7407" s="7">
        <v>0.61</v>
      </c>
      <c r="E7407" s="85">
        <f t="shared" si="471"/>
        <v>2.44</v>
      </c>
    </row>
    <row r="7408" spans="1:5" ht="18" x14ac:dyDescent="0.35">
      <c r="A7408" s="5"/>
      <c r="B7408" s="5"/>
      <c r="C7408" s="54"/>
      <c r="D7408" s="54"/>
      <c r="E7408" s="89">
        <f>SUM(E7402:E7407)</f>
        <v>144.18020999999999</v>
      </c>
    </row>
    <row r="7409" spans="1:5" ht="18" x14ac:dyDescent="0.35">
      <c r="A7409" s="5"/>
      <c r="B7409" s="5"/>
      <c r="C7409" s="54"/>
      <c r="D7409" s="54" t="s">
        <v>1063</v>
      </c>
      <c r="E7409" s="89">
        <f>E7408+E7408*40%</f>
        <v>201.85229399999997</v>
      </c>
    </row>
    <row r="7410" spans="1:5" ht="18" x14ac:dyDescent="0.35">
      <c r="A7410" s="5"/>
      <c r="B7410" s="50" t="s">
        <v>37</v>
      </c>
      <c r="C7410" s="54">
        <v>0.5</v>
      </c>
      <c r="D7410" s="54">
        <v>200</v>
      </c>
      <c r="E7410" s="85">
        <f>C7410*D7410</f>
        <v>100</v>
      </c>
    </row>
    <row r="7411" spans="1:5" ht="18" x14ac:dyDescent="0.35">
      <c r="A7411" s="5"/>
      <c r="B7411" s="5"/>
      <c r="C7411" s="54"/>
      <c r="D7411" s="54"/>
      <c r="E7411" s="85">
        <f>SUM(E7409:E7410)</f>
        <v>301.85229399999997</v>
      </c>
    </row>
    <row r="7414" spans="1:5" ht="21" x14ac:dyDescent="0.4">
      <c r="A7414" s="40" t="s">
        <v>1883</v>
      </c>
      <c r="B7414" s="40"/>
      <c r="C7414" s="84"/>
    </row>
    <row r="7415" spans="1:5" ht="18" x14ac:dyDescent="0.35">
      <c r="A7415" t="s">
        <v>1156</v>
      </c>
      <c r="B7415" s="5"/>
      <c r="C7415" s="7" t="s">
        <v>28</v>
      </c>
      <c r="D7415" s="7" t="s">
        <v>29</v>
      </c>
      <c r="E7415" s="7" t="s">
        <v>30</v>
      </c>
    </row>
    <row r="7416" spans="1:5" ht="18" x14ac:dyDescent="0.35">
      <c r="A7416" s="5" t="s">
        <v>1873</v>
      </c>
      <c r="B7416" s="50" t="s">
        <v>32</v>
      </c>
      <c r="C7416" s="7">
        <v>2.4900000000000002</v>
      </c>
      <c r="D7416" s="7">
        <v>10.34</v>
      </c>
      <c r="E7416" s="85">
        <f t="shared" ref="E7416:E7423" si="472">C7416*D7416</f>
        <v>25.746600000000001</v>
      </c>
    </row>
    <row r="7417" spans="1:5" ht="18" x14ac:dyDescent="0.35">
      <c r="A7417" s="5" t="s">
        <v>1879</v>
      </c>
      <c r="B7417" s="50" t="s">
        <v>33</v>
      </c>
      <c r="C7417" s="7">
        <v>8.9770000000000003</v>
      </c>
      <c r="D7417" s="7">
        <v>16.170000000000002</v>
      </c>
      <c r="E7417" s="85">
        <f t="shared" si="472"/>
        <v>145.15809000000002</v>
      </c>
    </row>
    <row r="7418" spans="1:5" ht="18" x14ac:dyDescent="0.35">
      <c r="A7418" s="5" t="s">
        <v>1880</v>
      </c>
      <c r="B7418" s="50" t="s">
        <v>33</v>
      </c>
      <c r="C7418" s="7">
        <v>7.56</v>
      </c>
      <c r="D7418" s="7">
        <v>16.170000000000002</v>
      </c>
      <c r="E7418" s="85">
        <f t="shared" si="472"/>
        <v>122.24520000000001</v>
      </c>
    </row>
    <row r="7419" spans="1:5" ht="18" x14ac:dyDescent="0.35">
      <c r="A7419" s="5" t="s">
        <v>673</v>
      </c>
      <c r="B7419" s="50" t="s">
        <v>1874</v>
      </c>
      <c r="C7419" s="7">
        <v>2</v>
      </c>
      <c r="D7419" s="7">
        <v>1.48</v>
      </c>
      <c r="E7419" s="85">
        <f t="shared" si="472"/>
        <v>2.96</v>
      </c>
    </row>
    <row r="7420" spans="1:5" ht="18" x14ac:dyDescent="0.35">
      <c r="A7420" s="5" t="s">
        <v>1786</v>
      </c>
      <c r="B7420" s="50" t="s">
        <v>1881</v>
      </c>
      <c r="C7420" s="7">
        <v>2</v>
      </c>
      <c r="D7420" s="7">
        <v>4.5</v>
      </c>
      <c r="E7420" s="85">
        <f t="shared" si="472"/>
        <v>9</v>
      </c>
    </row>
    <row r="7421" spans="1:5" ht="18" x14ac:dyDescent="0.35">
      <c r="A7421" s="5" t="s">
        <v>1785</v>
      </c>
      <c r="B7421" s="50" t="s">
        <v>34</v>
      </c>
      <c r="C7421" s="7">
        <v>0.5</v>
      </c>
      <c r="D7421" s="7">
        <v>14.61</v>
      </c>
      <c r="E7421" s="85">
        <f t="shared" si="472"/>
        <v>7.3049999999999997</v>
      </c>
    </row>
    <row r="7422" spans="1:5" ht="18" x14ac:dyDescent="0.35">
      <c r="A7422" s="5"/>
      <c r="B7422" s="50" t="s">
        <v>35</v>
      </c>
      <c r="C7422" s="7">
        <v>4</v>
      </c>
      <c r="D7422" s="7">
        <v>2.91</v>
      </c>
      <c r="E7422" s="85">
        <f t="shared" si="472"/>
        <v>11.64</v>
      </c>
    </row>
    <row r="7423" spans="1:5" ht="18" x14ac:dyDescent="0.35">
      <c r="A7423" s="5"/>
      <c r="B7423" s="50" t="s">
        <v>36</v>
      </c>
      <c r="C7423" s="7">
        <v>4</v>
      </c>
      <c r="D7423" s="7">
        <v>0.61</v>
      </c>
      <c r="E7423" s="85">
        <f t="shared" si="472"/>
        <v>2.44</v>
      </c>
    </row>
    <row r="7424" spans="1:5" ht="18" x14ac:dyDescent="0.35">
      <c r="A7424" s="5"/>
      <c r="B7424" s="5"/>
      <c r="C7424" s="54"/>
      <c r="D7424" s="54"/>
      <c r="E7424" s="89">
        <f>SUM(E7416:E7423)</f>
        <v>326.49489</v>
      </c>
    </row>
    <row r="7425" spans="1:5" ht="18" x14ac:dyDescent="0.35">
      <c r="A7425" s="5"/>
      <c r="B7425" s="5"/>
      <c r="C7425" s="54"/>
      <c r="D7425" s="54" t="s">
        <v>1063</v>
      </c>
      <c r="E7425" s="89">
        <f>E7424+E7424*40%</f>
        <v>457.09284600000001</v>
      </c>
    </row>
    <row r="7426" spans="1:5" ht="18" x14ac:dyDescent="0.35">
      <c r="A7426" s="5"/>
      <c r="B7426" s="50" t="s">
        <v>37</v>
      </c>
      <c r="C7426" s="54">
        <v>1</v>
      </c>
      <c r="D7426" s="54">
        <v>200</v>
      </c>
      <c r="E7426" s="85">
        <f>C7426*D7426</f>
        <v>200</v>
      </c>
    </row>
    <row r="7427" spans="1:5" ht="18" x14ac:dyDescent="0.35">
      <c r="D7427" t="s">
        <v>1803</v>
      </c>
      <c r="E7427" s="85">
        <f>SUM(E7425:E7426)</f>
        <v>657.09284600000001</v>
      </c>
    </row>
    <row r="7428" spans="1:5" ht="18" x14ac:dyDescent="0.35">
      <c r="D7428" t="s">
        <v>1760</v>
      </c>
      <c r="E7428" s="85">
        <f>E7427+E7427*33%</f>
        <v>873.93348518000005</v>
      </c>
    </row>
    <row r="7431" spans="1:5" ht="21" x14ac:dyDescent="0.4">
      <c r="A7431" s="40" t="s">
        <v>1882</v>
      </c>
      <c r="B7431" s="40"/>
      <c r="C7431" s="84"/>
    </row>
    <row r="7432" spans="1:5" ht="18" x14ac:dyDescent="0.35">
      <c r="A7432" t="s">
        <v>1156</v>
      </c>
      <c r="B7432" s="5"/>
      <c r="C7432" s="7" t="s">
        <v>28</v>
      </c>
      <c r="D7432" s="7" t="s">
        <v>29</v>
      </c>
      <c r="E7432" s="7" t="s">
        <v>30</v>
      </c>
    </row>
    <row r="7433" spans="1:5" ht="18" x14ac:dyDescent="0.35">
      <c r="A7433" s="5" t="s">
        <v>1876</v>
      </c>
      <c r="B7433" s="50" t="s">
        <v>32</v>
      </c>
      <c r="C7433" s="7">
        <v>2.4900000000000002</v>
      </c>
      <c r="D7433" s="7">
        <v>10.34</v>
      </c>
      <c r="E7433" s="85">
        <f t="shared" ref="E7433:E7440" si="473">C7433*D7433</f>
        <v>25.746600000000001</v>
      </c>
    </row>
    <row r="7434" spans="1:5" ht="18" x14ac:dyDescent="0.35">
      <c r="A7434" s="5" t="s">
        <v>1879</v>
      </c>
      <c r="B7434" s="50" t="s">
        <v>33</v>
      </c>
      <c r="C7434" s="7">
        <v>8.9770000000000003</v>
      </c>
      <c r="D7434" s="7">
        <v>16.170000000000002</v>
      </c>
      <c r="E7434" s="85">
        <f t="shared" si="473"/>
        <v>145.15809000000002</v>
      </c>
    </row>
    <row r="7435" spans="1:5" ht="18" x14ac:dyDescent="0.35">
      <c r="A7435" s="5" t="s">
        <v>1880</v>
      </c>
      <c r="B7435" s="50" t="s">
        <v>33</v>
      </c>
      <c r="C7435" s="7">
        <v>7.56</v>
      </c>
      <c r="D7435" s="7">
        <v>16.170000000000002</v>
      </c>
      <c r="E7435" s="85">
        <f t="shared" si="473"/>
        <v>122.24520000000001</v>
      </c>
    </row>
    <row r="7436" spans="1:5" ht="18" x14ac:dyDescent="0.35">
      <c r="A7436" s="5" t="s">
        <v>673</v>
      </c>
      <c r="B7436" s="50" t="s">
        <v>1874</v>
      </c>
      <c r="C7436" s="7">
        <v>2</v>
      </c>
      <c r="D7436" s="7">
        <v>1.48</v>
      </c>
      <c r="E7436" s="85">
        <f t="shared" si="473"/>
        <v>2.96</v>
      </c>
    </row>
    <row r="7437" spans="1:5" ht="18" x14ac:dyDescent="0.35">
      <c r="A7437" s="5" t="s">
        <v>1786</v>
      </c>
      <c r="B7437" s="50" t="s">
        <v>1881</v>
      </c>
      <c r="C7437" s="7">
        <v>2</v>
      </c>
      <c r="D7437" s="7">
        <v>4.5</v>
      </c>
      <c r="E7437" s="85">
        <f t="shared" si="473"/>
        <v>9</v>
      </c>
    </row>
    <row r="7438" spans="1:5" ht="18" x14ac:dyDescent="0.35">
      <c r="A7438" s="5" t="s">
        <v>1785</v>
      </c>
      <c r="B7438" s="50" t="s">
        <v>34</v>
      </c>
      <c r="C7438" s="7">
        <v>0.5</v>
      </c>
      <c r="D7438" s="7">
        <v>14.61</v>
      </c>
      <c r="E7438" s="85">
        <f t="shared" si="473"/>
        <v>7.3049999999999997</v>
      </c>
    </row>
    <row r="7439" spans="1:5" ht="18" x14ac:dyDescent="0.35">
      <c r="A7439" s="5"/>
      <c r="B7439" s="50" t="s">
        <v>35</v>
      </c>
      <c r="C7439" s="7">
        <v>4</v>
      </c>
      <c r="D7439" s="7">
        <v>2.91</v>
      </c>
      <c r="E7439" s="85">
        <f t="shared" si="473"/>
        <v>11.64</v>
      </c>
    </row>
    <row r="7440" spans="1:5" ht="18" x14ac:dyDescent="0.35">
      <c r="A7440" s="5"/>
      <c r="B7440" s="50" t="s">
        <v>36</v>
      </c>
      <c r="C7440" s="7">
        <v>4</v>
      </c>
      <c r="D7440" s="7">
        <v>0.61</v>
      </c>
      <c r="E7440" s="85">
        <f t="shared" si="473"/>
        <v>2.44</v>
      </c>
    </row>
    <row r="7441" spans="1:5" ht="18" x14ac:dyDescent="0.35">
      <c r="A7441" s="5"/>
      <c r="B7441" s="5"/>
      <c r="C7441" s="54"/>
      <c r="D7441" s="54"/>
      <c r="E7441" s="89">
        <f>SUM(E7433:E7440)</f>
        <v>326.49489</v>
      </c>
    </row>
    <row r="7442" spans="1:5" ht="18" x14ac:dyDescent="0.35">
      <c r="A7442" s="5"/>
      <c r="B7442" s="5"/>
      <c r="C7442" s="54"/>
      <c r="D7442" s="54" t="s">
        <v>1063</v>
      </c>
      <c r="E7442" s="89">
        <f>E7441+E7441*40%</f>
        <v>457.09284600000001</v>
      </c>
    </row>
    <row r="7443" spans="1:5" ht="18" x14ac:dyDescent="0.35">
      <c r="A7443" s="5"/>
      <c r="B7443" s="50" t="s">
        <v>37</v>
      </c>
      <c r="C7443" s="54">
        <v>1</v>
      </c>
      <c r="D7443" s="54">
        <v>200</v>
      </c>
      <c r="E7443" s="85">
        <f>C7443*D7443</f>
        <v>200</v>
      </c>
    </row>
    <row r="7444" spans="1:5" ht="18" x14ac:dyDescent="0.35">
      <c r="D7444" t="s">
        <v>1803</v>
      </c>
      <c r="E7444" s="85">
        <f>SUM(E7442:E7443)</f>
        <v>657.09284600000001</v>
      </c>
    </row>
    <row r="7445" spans="1:5" ht="18" x14ac:dyDescent="0.35">
      <c r="D7445" t="s">
        <v>1760</v>
      </c>
      <c r="E7445" s="85">
        <f>E7444+E7444*33%</f>
        <v>873.93348518000005</v>
      </c>
    </row>
    <row r="7447" spans="1:5" ht="21" x14ac:dyDescent="0.4">
      <c r="A7447" s="40" t="s">
        <v>1884</v>
      </c>
      <c r="B7447" s="40"/>
      <c r="C7447" s="84"/>
    </row>
    <row r="7448" spans="1:5" ht="18" x14ac:dyDescent="0.35">
      <c r="A7448" s="5" t="s">
        <v>1840</v>
      </c>
      <c r="B7448" s="5"/>
      <c r="C7448" s="7" t="s">
        <v>28</v>
      </c>
      <c r="D7448" s="7" t="s">
        <v>29</v>
      </c>
      <c r="E7448" s="7" t="s">
        <v>30</v>
      </c>
    </row>
    <row r="7449" spans="1:5" ht="18" x14ac:dyDescent="0.35">
      <c r="A7449" s="5" t="s">
        <v>1885</v>
      </c>
      <c r="B7449" s="50" t="s">
        <v>32</v>
      </c>
      <c r="C7449" s="7">
        <v>1.6080000000000001</v>
      </c>
      <c r="D7449" s="7">
        <v>10.34</v>
      </c>
      <c r="E7449" s="85">
        <f t="shared" ref="E7449:E7454" si="474">C7449*D7449</f>
        <v>16.626720000000002</v>
      </c>
    </row>
    <row r="7450" spans="1:5" ht="18" x14ac:dyDescent="0.35">
      <c r="A7450" s="5" t="s">
        <v>1497</v>
      </c>
      <c r="B7450" s="50" t="s">
        <v>33</v>
      </c>
      <c r="C7450" s="7">
        <v>5.0819999999999999</v>
      </c>
      <c r="D7450" s="7">
        <v>16.170000000000002</v>
      </c>
      <c r="E7450" s="85">
        <f t="shared" si="474"/>
        <v>82.175940000000011</v>
      </c>
    </row>
    <row r="7451" spans="1:5" ht="18" x14ac:dyDescent="0.35">
      <c r="A7451" s="5" t="s">
        <v>781</v>
      </c>
      <c r="B7451" s="50" t="s">
        <v>974</v>
      </c>
      <c r="C7451" s="7">
        <v>2</v>
      </c>
      <c r="D7451" s="7">
        <v>1.08</v>
      </c>
      <c r="E7451" s="85">
        <f t="shared" si="474"/>
        <v>2.16</v>
      </c>
    </row>
    <row r="7452" spans="1:5" ht="18" x14ac:dyDescent="0.35">
      <c r="A7452" s="5"/>
      <c r="B7452" s="50" t="s">
        <v>34</v>
      </c>
      <c r="C7452" s="7"/>
      <c r="D7452" s="7">
        <v>14.61</v>
      </c>
      <c r="E7452" s="85">
        <f t="shared" si="474"/>
        <v>0</v>
      </c>
    </row>
    <row r="7453" spans="1:5" ht="18" x14ac:dyDescent="0.35">
      <c r="A7453" s="5"/>
      <c r="B7453" s="50" t="s">
        <v>35</v>
      </c>
      <c r="C7453" s="7">
        <v>4</v>
      </c>
      <c r="D7453" s="7">
        <v>2.91</v>
      </c>
      <c r="E7453" s="85">
        <f t="shared" si="474"/>
        <v>11.64</v>
      </c>
    </row>
    <row r="7454" spans="1:5" ht="18" x14ac:dyDescent="0.35">
      <c r="A7454" s="5"/>
      <c r="B7454" s="50" t="s">
        <v>36</v>
      </c>
      <c r="C7454" s="7">
        <v>4</v>
      </c>
      <c r="D7454" s="7">
        <v>0.61</v>
      </c>
      <c r="E7454" s="85">
        <f t="shared" si="474"/>
        <v>2.44</v>
      </c>
    </row>
    <row r="7455" spans="1:5" ht="18" x14ac:dyDescent="0.35">
      <c r="A7455" s="5"/>
      <c r="B7455" s="5"/>
      <c r="C7455" s="54"/>
      <c r="D7455" s="54"/>
      <c r="E7455" s="89">
        <f>SUM(E7449:E7454)</f>
        <v>115.04266000000001</v>
      </c>
    </row>
    <row r="7456" spans="1:5" ht="18" x14ac:dyDescent="0.35">
      <c r="A7456" s="5"/>
      <c r="B7456" s="5"/>
      <c r="C7456" s="54"/>
      <c r="D7456" s="54" t="s">
        <v>1063</v>
      </c>
      <c r="E7456" s="89">
        <f>E7455+E7455*40%</f>
        <v>161.05972400000002</v>
      </c>
    </row>
    <row r="7457" spans="1:5" ht="18" x14ac:dyDescent="0.35">
      <c r="A7457" s="5"/>
      <c r="B7457" s="50" t="s">
        <v>37</v>
      </c>
      <c r="C7457" s="54">
        <v>0.25</v>
      </c>
      <c r="D7457" s="54">
        <v>200</v>
      </c>
      <c r="E7457" s="85">
        <f>C7457*D7457</f>
        <v>50</v>
      </c>
    </row>
    <row r="7458" spans="1:5" ht="18" x14ac:dyDescent="0.35">
      <c r="A7458" s="5"/>
      <c r="B7458" s="5"/>
      <c r="C7458" s="54"/>
      <c r="D7458" s="54"/>
      <c r="E7458" s="85">
        <f>SUM(E7456:E7457)</f>
        <v>211.05972400000002</v>
      </c>
    </row>
    <row r="7460" spans="1:5" ht="21" x14ac:dyDescent="0.4">
      <c r="A7460" s="40" t="s">
        <v>1886</v>
      </c>
      <c r="B7460" s="40"/>
      <c r="C7460" s="84"/>
    </row>
    <row r="7461" spans="1:5" ht="18" x14ac:dyDescent="0.35">
      <c r="A7461" s="5" t="s">
        <v>1887</v>
      </c>
      <c r="B7461" s="5"/>
      <c r="C7461" s="7" t="s">
        <v>28</v>
      </c>
      <c r="D7461" s="7" t="s">
        <v>29</v>
      </c>
      <c r="E7461" s="7" t="s">
        <v>30</v>
      </c>
    </row>
    <row r="7462" spans="1:5" ht="18" x14ac:dyDescent="0.35">
      <c r="A7462" s="5" t="s">
        <v>382</v>
      </c>
      <c r="B7462" s="50" t="s">
        <v>32</v>
      </c>
      <c r="C7462" s="7">
        <v>4.3380000000000001</v>
      </c>
      <c r="D7462" s="7">
        <v>10.34</v>
      </c>
      <c r="E7462" s="85">
        <f t="shared" ref="E7462:E7467" si="475">C7462*D7462</f>
        <v>44.85492</v>
      </c>
    </row>
    <row r="7463" spans="1:5" ht="18" x14ac:dyDescent="0.35">
      <c r="A7463" s="5" t="s">
        <v>1871</v>
      </c>
      <c r="B7463" s="50" t="s">
        <v>33</v>
      </c>
      <c r="C7463" s="7">
        <v>37.548000000000002</v>
      </c>
      <c r="D7463" s="7">
        <v>16.170000000000002</v>
      </c>
      <c r="E7463" s="85">
        <f t="shared" si="475"/>
        <v>607.15116000000012</v>
      </c>
    </row>
    <row r="7464" spans="1:5" ht="18" x14ac:dyDescent="0.35">
      <c r="A7464" s="5" t="s">
        <v>1520</v>
      </c>
      <c r="B7464" s="50" t="s">
        <v>113</v>
      </c>
      <c r="C7464" s="7">
        <v>2</v>
      </c>
      <c r="D7464" s="7">
        <v>2.2400000000000002</v>
      </c>
      <c r="E7464" s="85">
        <f t="shared" si="475"/>
        <v>4.4800000000000004</v>
      </c>
    </row>
    <row r="7465" spans="1:5" ht="18" x14ac:dyDescent="0.35">
      <c r="A7465" s="5"/>
      <c r="B7465" s="50" t="s">
        <v>34</v>
      </c>
      <c r="C7465" s="7">
        <v>2.1</v>
      </c>
      <c r="D7465" s="7">
        <v>14.61</v>
      </c>
      <c r="E7465" s="85">
        <f t="shared" si="475"/>
        <v>30.681000000000001</v>
      </c>
    </row>
    <row r="7466" spans="1:5" ht="18" x14ac:dyDescent="0.35">
      <c r="A7466" s="5"/>
      <c r="B7466" s="50" t="s">
        <v>35</v>
      </c>
      <c r="C7466" s="7">
        <v>4</v>
      </c>
      <c r="D7466" s="7">
        <v>2.91</v>
      </c>
      <c r="E7466" s="85">
        <f t="shared" si="475"/>
        <v>11.64</v>
      </c>
    </row>
    <row r="7467" spans="1:5" ht="18" x14ac:dyDescent="0.35">
      <c r="A7467" s="5"/>
      <c r="B7467" s="50" t="s">
        <v>36</v>
      </c>
      <c r="C7467" s="7">
        <v>4</v>
      </c>
      <c r="D7467" s="7">
        <v>0.61</v>
      </c>
      <c r="E7467" s="85">
        <f t="shared" si="475"/>
        <v>2.44</v>
      </c>
    </row>
    <row r="7468" spans="1:5" ht="18" x14ac:dyDescent="0.35">
      <c r="A7468" s="5"/>
      <c r="B7468" s="5"/>
      <c r="C7468" s="54"/>
      <c r="D7468" s="54"/>
      <c r="E7468" s="89">
        <f>SUM(E7462:E7467)</f>
        <v>701.24708000000021</v>
      </c>
    </row>
    <row r="7469" spans="1:5" ht="18" x14ac:dyDescent="0.35">
      <c r="A7469" s="5"/>
      <c r="B7469" s="5"/>
      <c r="C7469" s="54"/>
      <c r="D7469" s="54" t="s">
        <v>1063</v>
      </c>
      <c r="E7469" s="89">
        <f>E7468+E7468*40%</f>
        <v>981.74591200000032</v>
      </c>
    </row>
    <row r="7470" spans="1:5" ht="18" x14ac:dyDescent="0.35">
      <c r="A7470" s="5"/>
      <c r="B7470" s="50" t="s">
        <v>37</v>
      </c>
      <c r="C7470" s="54">
        <v>1.5</v>
      </c>
      <c r="D7470" s="54">
        <v>200</v>
      </c>
      <c r="E7470" s="85">
        <f>C7470*D7470</f>
        <v>300</v>
      </c>
    </row>
    <row r="7471" spans="1:5" ht="18" x14ac:dyDescent="0.35">
      <c r="A7471" s="5"/>
      <c r="B7471" s="5"/>
      <c r="C7471" s="54"/>
      <c r="D7471" s="54"/>
      <c r="E7471" s="85">
        <f>SUM(E7469:E7470)</f>
        <v>1281.7459120000003</v>
      </c>
    </row>
    <row r="7473" spans="1:5" ht="21" x14ac:dyDescent="0.4">
      <c r="A7473" s="40" t="s">
        <v>1888</v>
      </c>
      <c r="B7473" s="40"/>
      <c r="C7473" s="84"/>
    </row>
    <row r="7474" spans="1:5" ht="18" x14ac:dyDescent="0.35">
      <c r="A7474" s="5" t="s">
        <v>1887</v>
      </c>
      <c r="B7474" s="5"/>
      <c r="C7474" s="7" t="s">
        <v>28</v>
      </c>
      <c r="D7474" s="7" t="s">
        <v>29</v>
      </c>
      <c r="E7474" s="7" t="s">
        <v>30</v>
      </c>
    </row>
    <row r="7475" spans="1:5" ht="18" x14ac:dyDescent="0.35">
      <c r="A7475" s="5" t="s">
        <v>123</v>
      </c>
      <c r="B7475" s="50" t="s">
        <v>32</v>
      </c>
      <c r="C7475" s="7">
        <v>3.0779999999999998</v>
      </c>
      <c r="D7475" s="7">
        <v>10.34</v>
      </c>
      <c r="E7475" s="85">
        <f t="shared" ref="E7475:E7480" si="476">C7475*D7475</f>
        <v>31.826519999999999</v>
      </c>
    </row>
    <row r="7476" spans="1:5" ht="18" x14ac:dyDescent="0.35">
      <c r="A7476" s="5" t="s">
        <v>1889</v>
      </c>
      <c r="B7476" s="50" t="s">
        <v>33</v>
      </c>
      <c r="C7476" s="7">
        <v>19.75</v>
      </c>
      <c r="D7476" s="7">
        <v>16.170000000000002</v>
      </c>
      <c r="E7476" s="85">
        <f t="shared" si="476"/>
        <v>319.35750000000002</v>
      </c>
    </row>
    <row r="7477" spans="1:5" ht="18" x14ac:dyDescent="0.35">
      <c r="A7477" s="5" t="s">
        <v>595</v>
      </c>
      <c r="B7477" s="50" t="s">
        <v>87</v>
      </c>
      <c r="C7477" s="7">
        <v>2</v>
      </c>
      <c r="D7477" s="7">
        <v>1.81</v>
      </c>
      <c r="E7477" s="85">
        <f t="shared" si="476"/>
        <v>3.62</v>
      </c>
    </row>
    <row r="7478" spans="1:5" ht="18" x14ac:dyDescent="0.35">
      <c r="A7478" s="5"/>
      <c r="B7478" s="50" t="s">
        <v>34</v>
      </c>
      <c r="C7478" s="7">
        <v>1.26</v>
      </c>
      <c r="D7478" s="7">
        <v>14.61</v>
      </c>
      <c r="E7478" s="85">
        <f t="shared" si="476"/>
        <v>18.4086</v>
      </c>
    </row>
    <row r="7479" spans="1:5" ht="18" x14ac:dyDescent="0.35">
      <c r="A7479" s="5"/>
      <c r="B7479" s="50" t="s">
        <v>35</v>
      </c>
      <c r="C7479" s="7">
        <v>4</v>
      </c>
      <c r="D7479" s="7">
        <v>2.91</v>
      </c>
      <c r="E7479" s="85">
        <f t="shared" si="476"/>
        <v>11.64</v>
      </c>
    </row>
    <row r="7480" spans="1:5" ht="18" x14ac:dyDescent="0.35">
      <c r="A7480" s="5"/>
      <c r="B7480" s="50" t="s">
        <v>36</v>
      </c>
      <c r="C7480" s="7">
        <v>4</v>
      </c>
      <c r="D7480" s="7">
        <v>0.61</v>
      </c>
      <c r="E7480" s="85">
        <f t="shared" si="476"/>
        <v>2.44</v>
      </c>
    </row>
    <row r="7481" spans="1:5" ht="18" x14ac:dyDescent="0.35">
      <c r="A7481" s="5"/>
      <c r="B7481" s="5"/>
      <c r="C7481" s="54"/>
      <c r="D7481" s="54"/>
      <c r="E7481" s="89">
        <f>SUM(E7475:E7480)</f>
        <v>387.29262</v>
      </c>
    </row>
    <row r="7482" spans="1:5" ht="18" x14ac:dyDescent="0.35">
      <c r="A7482" s="5"/>
      <c r="B7482" s="5"/>
      <c r="C7482" s="54"/>
      <c r="D7482" s="54" t="s">
        <v>1063</v>
      </c>
      <c r="E7482" s="89">
        <f>E7481+E7481*40%</f>
        <v>542.20966799999997</v>
      </c>
    </row>
    <row r="7483" spans="1:5" ht="18" x14ac:dyDescent="0.35">
      <c r="A7483" s="5"/>
      <c r="B7483" s="50" t="s">
        <v>37</v>
      </c>
      <c r="C7483" s="54">
        <v>1</v>
      </c>
      <c r="D7483" s="54">
        <v>200</v>
      </c>
      <c r="E7483" s="85">
        <f>C7483*D7483</f>
        <v>200</v>
      </c>
    </row>
    <row r="7484" spans="1:5" ht="18" x14ac:dyDescent="0.35">
      <c r="A7484" s="5"/>
      <c r="B7484" s="5"/>
      <c r="C7484" s="54"/>
      <c r="D7484" s="54"/>
      <c r="E7484" s="85">
        <f>SUM(E7482:E7483)</f>
        <v>742.20966799999997</v>
      </c>
    </row>
    <row r="7486" spans="1:5" ht="21" x14ac:dyDescent="0.4">
      <c r="A7486" s="40" t="s">
        <v>1890</v>
      </c>
      <c r="B7486" s="40"/>
      <c r="C7486" s="84"/>
    </row>
    <row r="7487" spans="1:5" ht="18" x14ac:dyDescent="0.35">
      <c r="A7487" t="s">
        <v>1891</v>
      </c>
      <c r="B7487" s="5"/>
      <c r="C7487" s="7" t="s">
        <v>28</v>
      </c>
      <c r="D7487" s="7" t="s">
        <v>29</v>
      </c>
      <c r="E7487" s="7" t="s">
        <v>30</v>
      </c>
    </row>
    <row r="7488" spans="1:5" ht="18" x14ac:dyDescent="0.35">
      <c r="A7488" s="5" t="s">
        <v>1892</v>
      </c>
      <c r="B7488" s="50" t="s">
        <v>32</v>
      </c>
      <c r="C7488" s="7">
        <v>3.0779999999999998</v>
      </c>
      <c r="D7488" s="7">
        <v>10.34</v>
      </c>
      <c r="E7488" s="85">
        <f t="shared" ref="E7488:E7495" si="477">C7488*D7488</f>
        <v>31.826519999999999</v>
      </c>
    </row>
    <row r="7489" spans="1:5" ht="18" x14ac:dyDescent="0.35">
      <c r="A7489" s="5" t="s">
        <v>55</v>
      </c>
      <c r="B7489" s="50" t="s">
        <v>33</v>
      </c>
      <c r="C7489" s="7">
        <v>22.428000000000001</v>
      </c>
      <c r="D7489" s="7">
        <v>16.170000000000002</v>
      </c>
      <c r="E7489" s="85">
        <f t="shared" si="477"/>
        <v>362.66076000000004</v>
      </c>
    </row>
    <row r="7490" spans="1:5" ht="18" x14ac:dyDescent="0.35">
      <c r="A7490" s="5" t="s">
        <v>1591</v>
      </c>
      <c r="B7490" s="50" t="s">
        <v>33</v>
      </c>
      <c r="C7490" s="7">
        <v>23.152000000000001</v>
      </c>
      <c r="D7490" s="7">
        <v>16.170000000000002</v>
      </c>
      <c r="E7490" s="85">
        <f t="shared" si="477"/>
        <v>374.36784000000006</v>
      </c>
    </row>
    <row r="7491" spans="1:5" ht="18" x14ac:dyDescent="0.35">
      <c r="A7491" s="5" t="s">
        <v>1561</v>
      </c>
      <c r="B7491" s="50" t="s">
        <v>115</v>
      </c>
      <c r="C7491" s="7">
        <v>2</v>
      </c>
      <c r="D7491" s="7">
        <v>4.5</v>
      </c>
      <c r="E7491" s="85">
        <f t="shared" si="477"/>
        <v>9</v>
      </c>
    </row>
    <row r="7492" spans="1:5" ht="18" x14ac:dyDescent="0.35">
      <c r="A7492" s="5" t="s">
        <v>1786</v>
      </c>
      <c r="B7492" s="50" t="s">
        <v>113</v>
      </c>
      <c r="C7492" s="7">
        <v>2</v>
      </c>
      <c r="D7492" s="7">
        <v>2.2400000000000002</v>
      </c>
      <c r="E7492" s="85">
        <f t="shared" si="477"/>
        <v>4.4800000000000004</v>
      </c>
    </row>
    <row r="7493" spans="1:5" ht="18" x14ac:dyDescent="0.35">
      <c r="A7493" s="5" t="s">
        <v>1785</v>
      </c>
      <c r="B7493" s="50" t="s">
        <v>34</v>
      </c>
      <c r="C7493" s="7">
        <v>1.05</v>
      </c>
      <c r="D7493" s="7">
        <v>14.61</v>
      </c>
      <c r="E7493" s="85">
        <f t="shared" si="477"/>
        <v>15.3405</v>
      </c>
    </row>
    <row r="7494" spans="1:5" ht="18" x14ac:dyDescent="0.35">
      <c r="A7494" s="5"/>
      <c r="B7494" s="50" t="s">
        <v>35</v>
      </c>
      <c r="C7494" s="7">
        <v>4</v>
      </c>
      <c r="D7494" s="7">
        <v>2.91</v>
      </c>
      <c r="E7494" s="85">
        <f t="shared" si="477"/>
        <v>11.64</v>
      </c>
    </row>
    <row r="7495" spans="1:5" ht="18" x14ac:dyDescent="0.35">
      <c r="A7495" s="5"/>
      <c r="B7495" s="50" t="s">
        <v>36</v>
      </c>
      <c r="C7495" s="7">
        <v>4</v>
      </c>
      <c r="D7495" s="7">
        <v>0.61</v>
      </c>
      <c r="E7495" s="85">
        <f t="shared" si="477"/>
        <v>2.44</v>
      </c>
    </row>
    <row r="7496" spans="1:5" ht="18" x14ac:dyDescent="0.35">
      <c r="A7496" s="5"/>
      <c r="B7496" s="5"/>
      <c r="C7496" s="54"/>
      <c r="D7496" s="54"/>
      <c r="E7496" s="89">
        <f>SUM(E7488:E7495)</f>
        <v>811.75562000000025</v>
      </c>
    </row>
    <row r="7497" spans="1:5" ht="18" x14ac:dyDescent="0.35">
      <c r="A7497" s="5"/>
      <c r="B7497" s="5"/>
      <c r="C7497" s="54"/>
      <c r="D7497" s="54" t="s">
        <v>1063</v>
      </c>
      <c r="E7497" s="89">
        <f>E7496+E7496*40%</f>
        <v>1136.4578680000004</v>
      </c>
    </row>
    <row r="7498" spans="1:5" ht="18" x14ac:dyDescent="0.35">
      <c r="A7498" s="5"/>
      <c r="B7498" s="50" t="s">
        <v>37</v>
      </c>
      <c r="C7498" s="54">
        <v>1</v>
      </c>
      <c r="D7498" s="54">
        <v>200</v>
      </c>
      <c r="E7498" s="85">
        <f>C7498*D7498</f>
        <v>200</v>
      </c>
    </row>
    <row r="7499" spans="1:5" ht="18" x14ac:dyDescent="0.35">
      <c r="D7499" t="s">
        <v>1803</v>
      </c>
      <c r="E7499" s="85">
        <f>SUM(E7497:E7498)</f>
        <v>1336.4578680000004</v>
      </c>
    </row>
    <row r="7500" spans="1:5" ht="18" x14ac:dyDescent="0.35">
      <c r="D7500" t="s">
        <v>1760</v>
      </c>
      <c r="E7500" s="85">
        <f>E7499+E7499*33%</f>
        <v>1777.4889644400005</v>
      </c>
    </row>
    <row r="7503" spans="1:5" ht="21" x14ac:dyDescent="0.4">
      <c r="A7503" s="40" t="s">
        <v>1895</v>
      </c>
      <c r="B7503" s="40"/>
      <c r="C7503" s="84"/>
    </row>
    <row r="7504" spans="1:5" ht="18" x14ac:dyDescent="0.35">
      <c r="A7504" s="5" t="s">
        <v>1741</v>
      </c>
      <c r="B7504" s="5"/>
      <c r="C7504" s="7" t="s">
        <v>28</v>
      </c>
      <c r="D7504" s="7" t="s">
        <v>29</v>
      </c>
      <c r="E7504" s="7" t="s">
        <v>30</v>
      </c>
    </row>
    <row r="7505" spans="1:5" ht="18" x14ac:dyDescent="0.35">
      <c r="A7505" s="5" t="s">
        <v>697</v>
      </c>
      <c r="B7505" s="50" t="s">
        <v>32</v>
      </c>
      <c r="C7505" s="7">
        <v>2.238</v>
      </c>
      <c r="D7505" s="7">
        <v>10.34</v>
      </c>
      <c r="E7505" s="85">
        <f t="shared" ref="E7505:E7510" si="478">C7505*D7505</f>
        <v>23.140920000000001</v>
      </c>
    </row>
    <row r="7506" spans="1:5" ht="18" x14ac:dyDescent="0.35">
      <c r="A7506" s="5" t="s">
        <v>1845</v>
      </c>
      <c r="B7506" s="50" t="s">
        <v>33</v>
      </c>
      <c r="C7506" s="7">
        <v>11.875</v>
      </c>
      <c r="D7506" s="7">
        <v>16.170000000000002</v>
      </c>
      <c r="E7506" s="85">
        <f t="shared" si="478"/>
        <v>192.01875000000001</v>
      </c>
    </row>
    <row r="7507" spans="1:5" ht="18" x14ac:dyDescent="0.35">
      <c r="A7507" s="5" t="s">
        <v>431</v>
      </c>
      <c r="B7507" s="50" t="s">
        <v>98</v>
      </c>
      <c r="C7507" s="7">
        <v>2</v>
      </c>
      <c r="D7507" s="7">
        <v>3.39</v>
      </c>
      <c r="E7507" s="85">
        <f t="shared" si="478"/>
        <v>6.78</v>
      </c>
    </row>
    <row r="7508" spans="1:5" ht="18" x14ac:dyDescent="0.35">
      <c r="A7508" s="5"/>
      <c r="B7508" s="50" t="s">
        <v>34</v>
      </c>
      <c r="C7508" s="7">
        <v>0.6</v>
      </c>
      <c r="D7508" s="7">
        <v>14.61</v>
      </c>
      <c r="E7508" s="85">
        <f t="shared" si="478"/>
        <v>8.766</v>
      </c>
    </row>
    <row r="7509" spans="1:5" ht="18" x14ac:dyDescent="0.35">
      <c r="A7509" s="5"/>
      <c r="B7509" s="50" t="s">
        <v>35</v>
      </c>
      <c r="C7509" s="7">
        <v>4</v>
      </c>
      <c r="D7509" s="7">
        <v>2.91</v>
      </c>
      <c r="E7509" s="85">
        <f t="shared" si="478"/>
        <v>11.64</v>
      </c>
    </row>
    <row r="7510" spans="1:5" ht="18" x14ac:dyDescent="0.35">
      <c r="A7510" s="5"/>
      <c r="B7510" s="50" t="s">
        <v>36</v>
      </c>
      <c r="C7510" s="7">
        <v>4</v>
      </c>
      <c r="D7510" s="7">
        <v>0.61</v>
      </c>
      <c r="E7510" s="85">
        <f t="shared" si="478"/>
        <v>2.44</v>
      </c>
    </row>
    <row r="7511" spans="1:5" ht="18" x14ac:dyDescent="0.35">
      <c r="A7511" s="5"/>
      <c r="B7511" s="5"/>
      <c r="C7511" s="54"/>
      <c r="D7511" s="54"/>
      <c r="E7511" s="89">
        <f>SUM(E7505:E7510)</f>
        <v>244.78566999999998</v>
      </c>
    </row>
    <row r="7512" spans="1:5" ht="18" x14ac:dyDescent="0.35">
      <c r="A7512" s="5"/>
      <c r="B7512" s="5"/>
      <c r="C7512" s="54"/>
      <c r="D7512" s="54" t="s">
        <v>1063</v>
      </c>
      <c r="E7512" s="89">
        <f>E7511+E7511*40%</f>
        <v>342.69993799999997</v>
      </c>
    </row>
    <row r="7513" spans="1:5" ht="18" x14ac:dyDescent="0.35">
      <c r="A7513" s="5"/>
      <c r="B7513" s="50" t="s">
        <v>37</v>
      </c>
      <c r="C7513" s="54">
        <v>1</v>
      </c>
      <c r="D7513" s="54">
        <v>200</v>
      </c>
      <c r="E7513" s="85">
        <f>C7513*D7513</f>
        <v>200</v>
      </c>
    </row>
    <row r="7514" spans="1:5" ht="18" x14ac:dyDescent="0.35">
      <c r="A7514" s="5"/>
      <c r="B7514" s="5"/>
      <c r="C7514" s="54"/>
      <c r="D7514" s="54"/>
      <c r="E7514" s="85">
        <f>SUM(E7512:E7513)</f>
        <v>542.69993799999997</v>
      </c>
    </row>
    <row r="7517" spans="1:5" ht="21" x14ac:dyDescent="0.4">
      <c r="A7517" s="40" t="s">
        <v>1899</v>
      </c>
      <c r="B7517" s="40"/>
      <c r="C7517" s="40"/>
      <c r="D7517" s="12"/>
      <c r="E7517" s="12"/>
    </row>
    <row r="7518" spans="1:5" ht="18" x14ac:dyDescent="0.35">
      <c r="A7518" s="5" t="s">
        <v>1900</v>
      </c>
      <c r="B7518" s="5"/>
      <c r="C7518" s="7" t="s">
        <v>28</v>
      </c>
      <c r="D7518" s="7" t="s">
        <v>29</v>
      </c>
      <c r="E7518" s="7" t="s">
        <v>30</v>
      </c>
    </row>
    <row r="7519" spans="1:5" ht="18" x14ac:dyDescent="0.35">
      <c r="A7519" s="5" t="s">
        <v>244</v>
      </c>
      <c r="B7519" s="50" t="s">
        <v>32</v>
      </c>
      <c r="C7519" s="7">
        <v>2.7629999999999999</v>
      </c>
      <c r="D7519" s="7">
        <v>10.34</v>
      </c>
      <c r="E7519" s="85">
        <f>C7519*D7519</f>
        <v>28.569419999999997</v>
      </c>
    </row>
    <row r="7520" spans="1:5" ht="18" x14ac:dyDescent="0.35">
      <c r="A7520" s="5" t="s">
        <v>221</v>
      </c>
      <c r="B7520" s="50" t="s">
        <v>33</v>
      </c>
      <c r="C7520" s="7">
        <v>17.672000000000001</v>
      </c>
      <c r="D7520" s="7">
        <v>17.059999999999999</v>
      </c>
      <c r="E7520" s="85">
        <f>C7520*D7520</f>
        <v>301.48431999999997</v>
      </c>
    </row>
    <row r="7521" spans="1:5" ht="18" x14ac:dyDescent="0.35">
      <c r="A7521" s="5" t="s">
        <v>446</v>
      </c>
      <c r="B7521" s="50" t="s">
        <v>137</v>
      </c>
      <c r="C7521" s="7">
        <v>1.05</v>
      </c>
      <c r="D7521" s="7">
        <v>15.25</v>
      </c>
      <c r="E7521" s="85">
        <f>C7521*D7521</f>
        <v>16.012499999999999</v>
      </c>
    </row>
    <row r="7522" spans="1:5" ht="18" x14ac:dyDescent="0.35">
      <c r="A7522" s="5"/>
      <c r="B7522" s="50" t="s">
        <v>35</v>
      </c>
      <c r="C7522" s="7">
        <v>4</v>
      </c>
      <c r="D7522" s="7">
        <v>2.91</v>
      </c>
      <c r="E7522" s="85">
        <f>C7522*D7522</f>
        <v>11.64</v>
      </c>
    </row>
    <row r="7523" spans="1:5" ht="18" x14ac:dyDescent="0.35">
      <c r="A7523" s="5"/>
      <c r="B7523" s="50" t="s">
        <v>36</v>
      </c>
      <c r="C7523" s="7">
        <v>4</v>
      </c>
      <c r="D7523" s="7">
        <v>0.61</v>
      </c>
      <c r="E7523" s="85">
        <f>C7523*D7523</f>
        <v>2.44</v>
      </c>
    </row>
    <row r="7524" spans="1:5" ht="18" x14ac:dyDescent="0.35">
      <c r="A7524" s="5"/>
      <c r="B7524" s="50"/>
      <c r="C7524" s="87"/>
      <c r="D7524" s="88"/>
      <c r="E7524" s="85">
        <f>SUM(E7519:E7523)</f>
        <v>360.14623999999992</v>
      </c>
    </row>
    <row r="7525" spans="1:5" ht="18" x14ac:dyDescent="0.35">
      <c r="A7525" s="5"/>
      <c r="B7525" s="50"/>
      <c r="C7525" s="87"/>
      <c r="D7525" s="88" t="s">
        <v>1266</v>
      </c>
      <c r="E7525" s="85">
        <f>E7524+E7524*40%</f>
        <v>504.20473599999991</v>
      </c>
    </row>
    <row r="7526" spans="1:5" ht="18" x14ac:dyDescent="0.35">
      <c r="A7526" s="5"/>
      <c r="B7526" s="50" t="s">
        <v>37</v>
      </c>
      <c r="C7526" s="54">
        <v>3</v>
      </c>
      <c r="D7526" s="86">
        <v>200</v>
      </c>
      <c r="E7526" s="85">
        <f>C7526*D7526</f>
        <v>600</v>
      </c>
    </row>
    <row r="7527" spans="1:5" ht="18" x14ac:dyDescent="0.35">
      <c r="A7527" s="5"/>
      <c r="B7527" s="5"/>
      <c r="C7527" s="54"/>
      <c r="D7527" s="54"/>
      <c r="E7527" s="85">
        <f>SUM(E7525:E7526)</f>
        <v>1104.2047359999999</v>
      </c>
    </row>
    <row r="7529" spans="1:5" ht="21" x14ac:dyDescent="0.4">
      <c r="A7529" s="40" t="s">
        <v>1901</v>
      </c>
      <c r="B7529" s="40"/>
      <c r="C7529" s="40"/>
      <c r="D7529" s="12"/>
      <c r="E7529" s="12"/>
    </row>
    <row r="7530" spans="1:5" ht="18" x14ac:dyDescent="0.35">
      <c r="A7530" s="5" t="s">
        <v>1427</v>
      </c>
      <c r="B7530" s="5"/>
      <c r="C7530" s="7" t="s">
        <v>28</v>
      </c>
      <c r="D7530" s="7" t="s">
        <v>29</v>
      </c>
      <c r="E7530" s="7" t="s">
        <v>30</v>
      </c>
    </row>
    <row r="7531" spans="1:5" ht="18" x14ac:dyDescent="0.35">
      <c r="A7531" s="5" t="s">
        <v>64</v>
      </c>
      <c r="B7531" s="50" t="s">
        <v>32</v>
      </c>
      <c r="C7531" s="7">
        <v>1.083</v>
      </c>
      <c r="D7531" s="7">
        <v>10.34</v>
      </c>
      <c r="E7531" s="85">
        <f>C7531*D7531</f>
        <v>11.198219999999999</v>
      </c>
    </row>
    <row r="7532" spans="1:5" ht="18" x14ac:dyDescent="0.35">
      <c r="A7532" s="5" t="s">
        <v>232</v>
      </c>
      <c r="B7532" s="50" t="s">
        <v>33</v>
      </c>
      <c r="C7532" s="7">
        <v>3.0449999999999999</v>
      </c>
      <c r="D7532" s="7">
        <v>17.059999999999999</v>
      </c>
      <c r="E7532" s="85">
        <f>C7532*D7532</f>
        <v>51.947699999999998</v>
      </c>
    </row>
    <row r="7533" spans="1:5" ht="18" x14ac:dyDescent="0.35">
      <c r="A7533" s="5" t="s">
        <v>623</v>
      </c>
      <c r="B7533" s="50" t="s">
        <v>137</v>
      </c>
      <c r="C7533" s="7"/>
      <c r="D7533" s="7">
        <v>15.25</v>
      </c>
      <c r="E7533" s="85">
        <f>C7533*D7533</f>
        <v>0</v>
      </c>
    </row>
    <row r="7534" spans="1:5" ht="18" x14ac:dyDescent="0.35">
      <c r="A7534" s="5"/>
      <c r="B7534" s="50" t="s">
        <v>35</v>
      </c>
      <c r="C7534" s="7">
        <v>4</v>
      </c>
      <c r="D7534" s="7">
        <v>2.91</v>
      </c>
      <c r="E7534" s="85">
        <f>C7534*D7534</f>
        <v>11.64</v>
      </c>
    </row>
    <row r="7535" spans="1:5" ht="18" x14ac:dyDescent="0.35">
      <c r="A7535" s="5"/>
      <c r="B7535" s="50" t="s">
        <v>36</v>
      </c>
      <c r="C7535" s="7">
        <v>4</v>
      </c>
      <c r="D7535" s="7">
        <v>0.61</v>
      </c>
      <c r="E7535" s="85">
        <f>C7535*D7535</f>
        <v>2.44</v>
      </c>
    </row>
    <row r="7536" spans="1:5" ht="18" x14ac:dyDescent="0.35">
      <c r="A7536" s="5"/>
      <c r="B7536" s="50"/>
      <c r="C7536" s="87"/>
      <c r="D7536" s="88"/>
      <c r="E7536" s="85">
        <f>SUM(E7531:E7535)</f>
        <v>77.225920000000002</v>
      </c>
    </row>
    <row r="7537" spans="1:5" ht="18" x14ac:dyDescent="0.35">
      <c r="A7537" s="5"/>
      <c r="B7537" s="50"/>
      <c r="C7537" s="87"/>
      <c r="D7537" s="88" t="s">
        <v>1266</v>
      </c>
      <c r="E7537" s="85">
        <f>E7536+E7536*40%</f>
        <v>108.116288</v>
      </c>
    </row>
    <row r="7538" spans="1:5" ht="18" x14ac:dyDescent="0.35">
      <c r="A7538" s="5"/>
      <c r="B7538" s="50" t="s">
        <v>37</v>
      </c>
      <c r="C7538" s="54">
        <v>0.5</v>
      </c>
      <c r="D7538" s="86">
        <v>200</v>
      </c>
      <c r="E7538" s="85">
        <f>C7538*D7538</f>
        <v>100</v>
      </c>
    </row>
    <row r="7539" spans="1:5" ht="18" x14ac:dyDescent="0.35">
      <c r="A7539" s="5"/>
      <c r="B7539" s="5"/>
      <c r="C7539" s="54"/>
      <c r="D7539" s="54"/>
      <c r="E7539" s="85">
        <f>SUM(E7537:E7538)</f>
        <v>208.116288</v>
      </c>
    </row>
    <row r="7541" spans="1:5" ht="21" x14ac:dyDescent="0.4">
      <c r="A7541" s="40" t="s">
        <v>1902</v>
      </c>
      <c r="B7541" s="40"/>
      <c r="C7541" s="84"/>
    </row>
    <row r="7542" spans="1:5" ht="18" x14ac:dyDescent="0.35">
      <c r="A7542" s="5" t="s">
        <v>1427</v>
      </c>
      <c r="B7542" s="5"/>
      <c r="C7542" s="7" t="s">
        <v>28</v>
      </c>
      <c r="D7542" s="7" t="s">
        <v>29</v>
      </c>
      <c r="E7542" s="7" t="s">
        <v>30</v>
      </c>
    </row>
    <row r="7543" spans="1:5" ht="18" x14ac:dyDescent="0.35">
      <c r="A7543" s="5" t="s">
        <v>64</v>
      </c>
      <c r="B7543" s="50" t="s">
        <v>32</v>
      </c>
      <c r="C7543" s="7">
        <v>1.083</v>
      </c>
      <c r="D7543" s="7">
        <v>10.34</v>
      </c>
      <c r="E7543" s="85">
        <f t="shared" ref="E7543:E7548" si="479">C7543*D7543</f>
        <v>11.198219999999999</v>
      </c>
    </row>
    <row r="7544" spans="1:5" ht="18" x14ac:dyDescent="0.35">
      <c r="A7544" s="5" t="s">
        <v>1903</v>
      </c>
      <c r="B7544" s="50" t="s">
        <v>33</v>
      </c>
      <c r="C7544" s="7">
        <v>1.827</v>
      </c>
      <c r="D7544" s="7">
        <v>16.170000000000002</v>
      </c>
      <c r="E7544" s="85">
        <f t="shared" si="479"/>
        <v>29.542590000000004</v>
      </c>
    </row>
    <row r="7545" spans="1:5" ht="18" x14ac:dyDescent="0.35">
      <c r="A7545" s="5" t="s">
        <v>623</v>
      </c>
      <c r="B7545" s="50" t="s">
        <v>84</v>
      </c>
      <c r="C7545" s="7">
        <v>2</v>
      </c>
      <c r="D7545" s="7">
        <v>1.6</v>
      </c>
      <c r="E7545" s="85">
        <f t="shared" si="479"/>
        <v>3.2</v>
      </c>
    </row>
    <row r="7546" spans="1:5" ht="18" x14ac:dyDescent="0.35">
      <c r="A7546" s="5"/>
      <c r="B7546" s="50" t="s">
        <v>34</v>
      </c>
      <c r="C7546" s="7"/>
      <c r="D7546" s="7">
        <v>14.61</v>
      </c>
      <c r="E7546" s="85">
        <f t="shared" si="479"/>
        <v>0</v>
      </c>
    </row>
    <row r="7547" spans="1:5" ht="18" x14ac:dyDescent="0.35">
      <c r="A7547" s="5"/>
      <c r="B7547" s="50" t="s">
        <v>35</v>
      </c>
      <c r="C7547" s="7">
        <v>4</v>
      </c>
      <c r="D7547" s="7">
        <v>2.91</v>
      </c>
      <c r="E7547" s="85">
        <f t="shared" si="479"/>
        <v>11.64</v>
      </c>
    </row>
    <row r="7548" spans="1:5" ht="18" x14ac:dyDescent="0.35">
      <c r="A7548" s="5"/>
      <c r="B7548" s="50" t="s">
        <v>36</v>
      </c>
      <c r="C7548" s="7">
        <v>4</v>
      </c>
      <c r="D7548" s="7">
        <v>0.61</v>
      </c>
      <c r="E7548" s="85">
        <f t="shared" si="479"/>
        <v>2.44</v>
      </c>
    </row>
    <row r="7549" spans="1:5" ht="18" x14ac:dyDescent="0.35">
      <c r="A7549" s="5"/>
      <c r="B7549" s="5"/>
      <c r="C7549" s="54"/>
      <c r="D7549" s="54"/>
      <c r="E7549" s="89">
        <f>SUM(E7543:E7548)</f>
        <v>58.020810000000004</v>
      </c>
    </row>
    <row r="7550" spans="1:5" ht="18" x14ac:dyDescent="0.35">
      <c r="A7550" s="5"/>
      <c r="B7550" s="5"/>
      <c r="C7550" s="54"/>
      <c r="D7550" s="54" t="s">
        <v>1063</v>
      </c>
      <c r="E7550" s="89">
        <f>E7549+E7549*40%</f>
        <v>81.229134000000016</v>
      </c>
    </row>
    <row r="7551" spans="1:5" ht="18" x14ac:dyDescent="0.35">
      <c r="A7551" s="5"/>
      <c r="B7551" s="50" t="s">
        <v>37</v>
      </c>
      <c r="C7551" s="54">
        <v>0.5</v>
      </c>
      <c r="D7551" s="54">
        <v>200</v>
      </c>
      <c r="E7551" s="85">
        <f>C7551*D7551</f>
        <v>100</v>
      </c>
    </row>
    <row r="7552" spans="1:5" ht="18" x14ac:dyDescent="0.35">
      <c r="A7552" s="5"/>
      <c r="B7552" s="5"/>
      <c r="C7552" s="54"/>
      <c r="D7552" s="54"/>
      <c r="E7552" s="85">
        <f>SUM(E7550:E7551)</f>
        <v>181.22913400000002</v>
      </c>
    </row>
    <row r="7555" spans="1:5" ht="21" x14ac:dyDescent="0.4">
      <c r="A7555" s="40" t="s">
        <v>1835</v>
      </c>
      <c r="B7555" s="40"/>
      <c r="C7555" s="84"/>
    </row>
    <row r="7556" spans="1:5" ht="18" x14ac:dyDescent="0.35">
      <c r="A7556" t="s">
        <v>1427</v>
      </c>
      <c r="B7556" s="5"/>
      <c r="C7556" s="7" t="s">
        <v>28</v>
      </c>
      <c r="D7556" s="7" t="s">
        <v>29</v>
      </c>
      <c r="E7556" s="7" t="s">
        <v>30</v>
      </c>
    </row>
    <row r="7557" spans="1:5" ht="18" x14ac:dyDescent="0.35">
      <c r="A7557" s="5" t="s">
        <v>64</v>
      </c>
      <c r="B7557" s="50" t="s">
        <v>32</v>
      </c>
      <c r="C7557" s="7">
        <v>1.083</v>
      </c>
      <c r="D7557" s="7">
        <v>10.34</v>
      </c>
      <c r="E7557" s="85">
        <f t="shared" ref="E7557:E7564" si="480">C7557*D7557</f>
        <v>11.198219999999999</v>
      </c>
    </row>
    <row r="7558" spans="1:5" ht="18" x14ac:dyDescent="0.35">
      <c r="A7558" s="5" t="s">
        <v>143</v>
      </c>
      <c r="B7558" s="50" t="s">
        <v>33</v>
      </c>
      <c r="C7558" s="7">
        <v>1.827</v>
      </c>
      <c r="D7558" s="7">
        <v>16.170000000000002</v>
      </c>
      <c r="E7558" s="85">
        <f t="shared" si="480"/>
        <v>29.542590000000004</v>
      </c>
    </row>
    <row r="7559" spans="1:5" ht="18" x14ac:dyDescent="0.35">
      <c r="A7559" s="5" t="s">
        <v>1356</v>
      </c>
      <c r="B7559" s="50" t="s">
        <v>33</v>
      </c>
      <c r="C7559" s="7">
        <v>2.0579999999999998</v>
      </c>
      <c r="D7559" s="7">
        <v>16.170000000000002</v>
      </c>
      <c r="E7559" s="85">
        <f t="shared" si="480"/>
        <v>33.277860000000004</v>
      </c>
    </row>
    <row r="7560" spans="1:5" ht="18" x14ac:dyDescent="0.35">
      <c r="A7560" s="5" t="s">
        <v>1561</v>
      </c>
      <c r="B7560" s="50" t="s">
        <v>84</v>
      </c>
      <c r="C7560" s="7">
        <v>2</v>
      </c>
      <c r="D7560" s="7">
        <v>1.6</v>
      </c>
      <c r="E7560" s="85">
        <f t="shared" si="480"/>
        <v>3.2</v>
      </c>
    </row>
    <row r="7561" spans="1:5" ht="18" x14ac:dyDescent="0.35">
      <c r="A7561" s="5" t="s">
        <v>1786</v>
      </c>
      <c r="B7561" s="50" t="s">
        <v>86</v>
      </c>
      <c r="C7561" s="7">
        <v>2</v>
      </c>
      <c r="D7561" s="7">
        <v>1.7</v>
      </c>
      <c r="E7561" s="85">
        <f t="shared" si="480"/>
        <v>3.4</v>
      </c>
    </row>
    <row r="7562" spans="1:5" ht="18" x14ac:dyDescent="0.35">
      <c r="A7562" s="5" t="s">
        <v>1785</v>
      </c>
      <c r="B7562" s="50" t="s">
        <v>34</v>
      </c>
      <c r="C7562" s="7"/>
      <c r="D7562" s="7">
        <v>14.61</v>
      </c>
      <c r="E7562" s="85">
        <f t="shared" si="480"/>
        <v>0</v>
      </c>
    </row>
    <row r="7563" spans="1:5" ht="18" x14ac:dyDescent="0.35">
      <c r="A7563" s="5"/>
      <c r="B7563" s="50" t="s">
        <v>35</v>
      </c>
      <c r="C7563" s="7">
        <v>4</v>
      </c>
      <c r="D7563" s="7">
        <v>2.91</v>
      </c>
      <c r="E7563" s="85">
        <f t="shared" si="480"/>
        <v>11.64</v>
      </c>
    </row>
    <row r="7564" spans="1:5" ht="18" x14ac:dyDescent="0.35">
      <c r="A7564" s="5"/>
      <c r="B7564" s="50" t="s">
        <v>36</v>
      </c>
      <c r="C7564" s="7">
        <v>4</v>
      </c>
      <c r="D7564" s="7">
        <v>0.61</v>
      </c>
      <c r="E7564" s="85">
        <f t="shared" si="480"/>
        <v>2.44</v>
      </c>
    </row>
    <row r="7565" spans="1:5" ht="18" x14ac:dyDescent="0.35">
      <c r="A7565" s="5"/>
      <c r="B7565" s="5"/>
      <c r="C7565" s="54"/>
      <c r="D7565" s="54"/>
      <c r="E7565" s="89">
        <f>SUM(E7557:E7564)</f>
        <v>94.698670000000021</v>
      </c>
    </row>
    <row r="7566" spans="1:5" ht="18" x14ac:dyDescent="0.35">
      <c r="A7566" s="5"/>
      <c r="B7566" s="5"/>
      <c r="C7566" s="54"/>
      <c r="D7566" s="54" t="s">
        <v>1063</v>
      </c>
      <c r="E7566" s="89">
        <f>E7565+E7565*40%</f>
        <v>132.57813800000002</v>
      </c>
    </row>
    <row r="7567" spans="1:5" ht="18" x14ac:dyDescent="0.35">
      <c r="A7567" s="5"/>
      <c r="B7567" s="50" t="s">
        <v>37</v>
      </c>
      <c r="C7567" s="54">
        <v>0.5</v>
      </c>
      <c r="D7567" s="54">
        <v>200</v>
      </c>
      <c r="E7567" s="85">
        <f>C7567*D7567</f>
        <v>100</v>
      </c>
    </row>
    <row r="7568" spans="1:5" ht="18" x14ac:dyDescent="0.35">
      <c r="E7568" s="85">
        <f>SUM(E7566:E7567)</f>
        <v>232.57813800000002</v>
      </c>
    </row>
    <row r="7570" spans="1:5" ht="21" x14ac:dyDescent="0.4">
      <c r="A7570" s="40" t="s">
        <v>1907</v>
      </c>
      <c r="B7570" s="40"/>
      <c r="C7570" s="84"/>
    </row>
    <row r="7571" spans="1:5" ht="18" x14ac:dyDescent="0.35">
      <c r="A7571" t="s">
        <v>1440</v>
      </c>
      <c r="B7571" s="5"/>
      <c r="C7571" s="7" t="s">
        <v>28</v>
      </c>
      <c r="D7571" s="7" t="s">
        <v>29</v>
      </c>
      <c r="E7571" s="7" t="s">
        <v>30</v>
      </c>
    </row>
    <row r="7572" spans="1:5" ht="18" x14ac:dyDescent="0.35">
      <c r="A7572" s="5" t="s">
        <v>244</v>
      </c>
      <c r="B7572" s="50" t="s">
        <v>32</v>
      </c>
      <c r="C7572" s="7">
        <v>2.7629999999999999</v>
      </c>
      <c r="D7572" s="7">
        <v>10.34</v>
      </c>
      <c r="E7572" s="85">
        <f t="shared" ref="E7572:E7579" si="481">C7572*D7572</f>
        <v>28.569419999999997</v>
      </c>
    </row>
    <row r="7573" spans="1:5" ht="18" x14ac:dyDescent="0.35">
      <c r="A7573" s="5" t="s">
        <v>962</v>
      </c>
      <c r="B7573" s="50" t="s">
        <v>33</v>
      </c>
      <c r="C7573" s="7">
        <v>11.433999999999999</v>
      </c>
      <c r="D7573" s="7">
        <v>16.170000000000002</v>
      </c>
      <c r="E7573" s="85">
        <f t="shared" si="481"/>
        <v>184.88778000000002</v>
      </c>
    </row>
    <row r="7574" spans="1:5" ht="18" x14ac:dyDescent="0.35">
      <c r="A7574" s="5" t="s">
        <v>1574</v>
      </c>
      <c r="B7574" s="50" t="s">
        <v>33</v>
      </c>
      <c r="C7574" s="7">
        <v>12.6</v>
      </c>
      <c r="D7574" s="7">
        <v>16.170000000000002</v>
      </c>
      <c r="E7574" s="85">
        <f t="shared" si="481"/>
        <v>203.74200000000002</v>
      </c>
    </row>
    <row r="7575" spans="1:5" ht="18" x14ac:dyDescent="0.35">
      <c r="A7575" s="5" t="s">
        <v>446</v>
      </c>
      <c r="B7575" s="50" t="s">
        <v>974</v>
      </c>
      <c r="C7575" s="7">
        <v>2</v>
      </c>
      <c r="D7575" s="7">
        <v>1.08</v>
      </c>
      <c r="E7575" s="85">
        <f t="shared" si="481"/>
        <v>2.16</v>
      </c>
    </row>
    <row r="7576" spans="1:5" ht="18" x14ac:dyDescent="0.35">
      <c r="A7576" s="5" t="s">
        <v>1786</v>
      </c>
      <c r="B7576" s="50" t="s">
        <v>100</v>
      </c>
      <c r="C7576" s="7">
        <v>4</v>
      </c>
      <c r="D7576" s="7">
        <v>2.2400000000000002</v>
      </c>
      <c r="E7576" s="85">
        <f t="shared" si="481"/>
        <v>8.9600000000000009</v>
      </c>
    </row>
    <row r="7577" spans="1:5" ht="18" x14ac:dyDescent="0.35">
      <c r="A7577" s="5" t="s">
        <v>1785</v>
      </c>
      <c r="B7577" s="50" t="s">
        <v>34</v>
      </c>
      <c r="C7577" s="7">
        <v>1.05</v>
      </c>
      <c r="D7577" s="7">
        <v>14.61</v>
      </c>
      <c r="E7577" s="85">
        <f t="shared" si="481"/>
        <v>15.3405</v>
      </c>
    </row>
    <row r="7578" spans="1:5" ht="18" x14ac:dyDescent="0.35">
      <c r="A7578" s="5"/>
      <c r="B7578" s="50" t="s">
        <v>35</v>
      </c>
      <c r="C7578" s="7">
        <v>4</v>
      </c>
      <c r="D7578" s="7">
        <v>2.91</v>
      </c>
      <c r="E7578" s="85">
        <f t="shared" si="481"/>
        <v>11.64</v>
      </c>
    </row>
    <row r="7579" spans="1:5" ht="18" x14ac:dyDescent="0.35">
      <c r="A7579" s="5"/>
      <c r="B7579" s="50" t="s">
        <v>36</v>
      </c>
      <c r="C7579" s="7">
        <v>4</v>
      </c>
      <c r="D7579" s="7">
        <v>0.61</v>
      </c>
      <c r="E7579" s="85">
        <f t="shared" si="481"/>
        <v>2.44</v>
      </c>
    </row>
    <row r="7580" spans="1:5" ht="18" x14ac:dyDescent="0.35">
      <c r="A7580" s="5"/>
      <c r="B7580" s="5"/>
      <c r="C7580" s="54"/>
      <c r="D7580" s="54"/>
      <c r="E7580" s="89">
        <f>SUM(E7572:E7579)</f>
        <v>457.73970000000003</v>
      </c>
    </row>
    <row r="7581" spans="1:5" ht="18" x14ac:dyDescent="0.35">
      <c r="A7581" s="5"/>
      <c r="B7581" s="5"/>
      <c r="C7581" s="54"/>
      <c r="D7581" s="54" t="s">
        <v>1063</v>
      </c>
      <c r="E7581" s="89">
        <f>E7580+E7580*40%</f>
        <v>640.83558000000005</v>
      </c>
    </row>
    <row r="7582" spans="1:5" ht="18" x14ac:dyDescent="0.35">
      <c r="A7582" s="5"/>
      <c r="B7582" s="50" t="s">
        <v>37</v>
      </c>
      <c r="C7582" s="54">
        <v>1</v>
      </c>
      <c r="D7582" s="54">
        <v>200</v>
      </c>
      <c r="E7582" s="85">
        <f>C7582*D7582</f>
        <v>200</v>
      </c>
    </row>
    <row r="7583" spans="1:5" ht="18" x14ac:dyDescent="0.35">
      <c r="E7583" s="85">
        <v>820</v>
      </c>
    </row>
    <row r="7585" spans="1:5" ht="21" x14ac:dyDescent="0.4">
      <c r="A7585" s="40" t="s">
        <v>1057</v>
      </c>
      <c r="B7585" s="40"/>
      <c r="C7585" s="84"/>
    </row>
    <row r="7586" spans="1:5" ht="18" x14ac:dyDescent="0.35">
      <c r="A7586" s="5" t="s">
        <v>1440</v>
      </c>
      <c r="B7586" s="5"/>
      <c r="C7586" s="7" t="s">
        <v>28</v>
      </c>
      <c r="D7586" s="7" t="s">
        <v>29</v>
      </c>
      <c r="E7586" s="7" t="s">
        <v>30</v>
      </c>
    </row>
    <row r="7587" spans="1:5" ht="18" x14ac:dyDescent="0.35">
      <c r="A7587" s="5" t="s">
        <v>244</v>
      </c>
      <c r="B7587" s="50" t="s">
        <v>32</v>
      </c>
      <c r="C7587" s="7">
        <v>2.7629999999999999</v>
      </c>
      <c r="D7587" s="7">
        <v>10.34</v>
      </c>
      <c r="E7587" s="85">
        <f t="shared" ref="E7587:E7592" si="482">C7587*D7587</f>
        <v>28.569419999999997</v>
      </c>
    </row>
    <row r="7588" spans="1:5" ht="18" x14ac:dyDescent="0.35">
      <c r="A7588" s="5" t="s">
        <v>1908</v>
      </c>
      <c r="B7588" s="50" t="s">
        <v>33</v>
      </c>
      <c r="C7588" s="7">
        <v>11.433999999999999</v>
      </c>
      <c r="D7588" s="7">
        <v>16.170000000000002</v>
      </c>
      <c r="E7588" s="85">
        <f t="shared" si="482"/>
        <v>184.88778000000002</v>
      </c>
    </row>
    <row r="7589" spans="1:5" ht="18" x14ac:dyDescent="0.35">
      <c r="A7589" s="5"/>
      <c r="B7589" s="50" t="s">
        <v>974</v>
      </c>
      <c r="C7589" s="7">
        <v>2</v>
      </c>
      <c r="D7589" s="7">
        <v>1.6</v>
      </c>
      <c r="E7589" s="85">
        <f t="shared" si="482"/>
        <v>3.2</v>
      </c>
    </row>
    <row r="7590" spans="1:5" ht="18" x14ac:dyDescent="0.35">
      <c r="A7590" s="5"/>
      <c r="B7590" s="50" t="s">
        <v>34</v>
      </c>
      <c r="C7590" s="7">
        <v>1.3</v>
      </c>
      <c r="D7590" s="7">
        <v>14.61</v>
      </c>
      <c r="E7590" s="85">
        <f t="shared" si="482"/>
        <v>18.992999999999999</v>
      </c>
    </row>
    <row r="7591" spans="1:5" ht="18" x14ac:dyDescent="0.35">
      <c r="A7591" s="5"/>
      <c r="B7591" s="50" t="s">
        <v>35</v>
      </c>
      <c r="C7591" s="7">
        <v>4</v>
      </c>
      <c r="D7591" s="7">
        <v>2.91</v>
      </c>
      <c r="E7591" s="85">
        <f t="shared" si="482"/>
        <v>11.64</v>
      </c>
    </row>
    <row r="7592" spans="1:5" ht="18" x14ac:dyDescent="0.35">
      <c r="A7592" s="5"/>
      <c r="B7592" s="50" t="s">
        <v>36</v>
      </c>
      <c r="C7592" s="7">
        <v>4</v>
      </c>
      <c r="D7592" s="7">
        <v>0.61</v>
      </c>
      <c r="E7592" s="85">
        <f t="shared" si="482"/>
        <v>2.44</v>
      </c>
    </row>
    <row r="7593" spans="1:5" ht="18" x14ac:dyDescent="0.35">
      <c r="A7593" s="5"/>
      <c r="B7593" s="5"/>
      <c r="C7593" s="54"/>
      <c r="D7593" s="54"/>
      <c r="E7593" s="89">
        <f>SUM(E7587:E7592)</f>
        <v>249.73020000000002</v>
      </c>
    </row>
    <row r="7594" spans="1:5" ht="18" x14ac:dyDescent="0.35">
      <c r="A7594" s="5"/>
      <c r="B7594" s="5"/>
      <c r="C7594" s="54"/>
      <c r="D7594" s="54" t="s">
        <v>1063</v>
      </c>
      <c r="E7594" s="89">
        <f>E7593+E7593*40%</f>
        <v>349.62228000000005</v>
      </c>
    </row>
    <row r="7595" spans="1:5" ht="18" x14ac:dyDescent="0.35">
      <c r="A7595" s="5"/>
      <c r="B7595" s="50" t="s">
        <v>37</v>
      </c>
      <c r="C7595" s="54">
        <v>1</v>
      </c>
      <c r="D7595" s="54">
        <v>200</v>
      </c>
      <c r="E7595" s="85">
        <f>C7595*D7595</f>
        <v>200</v>
      </c>
    </row>
    <row r="7596" spans="1:5" ht="18" x14ac:dyDescent="0.35">
      <c r="A7596" s="5"/>
      <c r="B7596" s="5"/>
      <c r="C7596" s="54"/>
      <c r="D7596" s="54"/>
      <c r="E7596" s="85">
        <f>SUM(E7594:E7595)</f>
        <v>549.62228000000005</v>
      </c>
    </row>
    <row r="7598" spans="1:5" ht="21" x14ac:dyDescent="0.4">
      <c r="A7598" s="40" t="s">
        <v>1909</v>
      </c>
      <c r="B7598" s="40"/>
      <c r="C7598" s="84"/>
    </row>
    <row r="7599" spans="1:5" ht="18" x14ac:dyDescent="0.35">
      <c r="A7599" t="s">
        <v>1427</v>
      </c>
      <c r="B7599" s="5"/>
      <c r="C7599" s="7" t="s">
        <v>28</v>
      </c>
      <c r="D7599" s="7" t="s">
        <v>29</v>
      </c>
      <c r="E7599" s="7" t="s">
        <v>30</v>
      </c>
    </row>
    <row r="7600" spans="1:5" ht="18" x14ac:dyDescent="0.35">
      <c r="A7600" s="5" t="s">
        <v>1910</v>
      </c>
      <c r="B7600" s="50" t="s">
        <v>32</v>
      </c>
      <c r="C7600" s="7">
        <v>1.986</v>
      </c>
      <c r="D7600" s="7">
        <v>10.34</v>
      </c>
      <c r="E7600" s="85">
        <f t="shared" ref="E7600:E7607" si="483">C7600*D7600</f>
        <v>20.535239999999998</v>
      </c>
    </row>
    <row r="7601" spans="1:5" ht="18" x14ac:dyDescent="0.35">
      <c r="A7601" s="5" t="s">
        <v>217</v>
      </c>
      <c r="B7601" s="50" t="s">
        <v>33</v>
      </c>
      <c r="C7601" s="7">
        <v>4.1159999999999997</v>
      </c>
      <c r="D7601" s="7">
        <v>16.170000000000002</v>
      </c>
      <c r="E7601" s="85">
        <f t="shared" si="483"/>
        <v>66.555720000000008</v>
      </c>
    </row>
    <row r="7602" spans="1:5" ht="18" x14ac:dyDescent="0.35">
      <c r="A7602" s="5" t="s">
        <v>1845</v>
      </c>
      <c r="B7602" s="50" t="s">
        <v>33</v>
      </c>
      <c r="C7602" s="7">
        <v>8.5259999999999998</v>
      </c>
      <c r="D7602" s="7">
        <v>16.170000000000002</v>
      </c>
      <c r="E7602" s="85">
        <f t="shared" si="483"/>
        <v>137.86542</v>
      </c>
    </row>
    <row r="7603" spans="1:5" ht="18" x14ac:dyDescent="0.35">
      <c r="A7603" s="5" t="s">
        <v>1096</v>
      </c>
      <c r="B7603" s="50" t="s">
        <v>1911</v>
      </c>
      <c r="C7603" s="7">
        <v>2</v>
      </c>
      <c r="D7603" s="7">
        <v>1.7</v>
      </c>
      <c r="E7603" s="85">
        <f t="shared" si="483"/>
        <v>3.4</v>
      </c>
    </row>
    <row r="7604" spans="1:5" ht="18" x14ac:dyDescent="0.35">
      <c r="A7604" s="5" t="s">
        <v>1786</v>
      </c>
      <c r="B7604" s="50" t="s">
        <v>1912</v>
      </c>
      <c r="C7604" s="7">
        <v>2</v>
      </c>
      <c r="D7604" s="7">
        <v>3.39</v>
      </c>
      <c r="E7604" s="85">
        <f t="shared" si="483"/>
        <v>6.78</v>
      </c>
    </row>
    <row r="7605" spans="1:5" ht="18" x14ac:dyDescent="0.35">
      <c r="A7605" s="5" t="s">
        <v>1785</v>
      </c>
      <c r="B7605" s="50" t="s">
        <v>34</v>
      </c>
      <c r="C7605" s="7"/>
      <c r="D7605" s="7">
        <v>14.61</v>
      </c>
      <c r="E7605" s="85">
        <f t="shared" si="483"/>
        <v>0</v>
      </c>
    </row>
    <row r="7606" spans="1:5" ht="18" x14ac:dyDescent="0.35">
      <c r="A7606" s="5"/>
      <c r="B7606" s="50" t="s">
        <v>35</v>
      </c>
      <c r="C7606" s="7">
        <v>4</v>
      </c>
      <c r="D7606" s="7">
        <v>2.91</v>
      </c>
      <c r="E7606" s="85">
        <f t="shared" si="483"/>
        <v>11.64</v>
      </c>
    </row>
    <row r="7607" spans="1:5" ht="18" x14ac:dyDescent="0.35">
      <c r="A7607" s="5"/>
      <c r="B7607" s="50" t="s">
        <v>36</v>
      </c>
      <c r="C7607" s="7">
        <v>4</v>
      </c>
      <c r="D7607" s="7">
        <v>0.61</v>
      </c>
      <c r="E7607" s="85">
        <f t="shared" si="483"/>
        <v>2.44</v>
      </c>
    </row>
    <row r="7608" spans="1:5" ht="18" x14ac:dyDescent="0.35">
      <c r="A7608" s="5"/>
      <c r="B7608" s="5"/>
      <c r="C7608" s="54"/>
      <c r="D7608" s="54"/>
      <c r="E7608" s="89">
        <f>SUM(E7600:E7607)</f>
        <v>249.21638000000002</v>
      </c>
    </row>
    <row r="7609" spans="1:5" ht="18" x14ac:dyDescent="0.35">
      <c r="A7609" s="5"/>
      <c r="B7609" s="5"/>
      <c r="C7609" s="54"/>
      <c r="D7609" s="54" t="s">
        <v>1116</v>
      </c>
      <c r="E7609" s="89">
        <f>E7608+E7608*30%</f>
        <v>323.98129400000005</v>
      </c>
    </row>
    <row r="7610" spans="1:5" ht="18" x14ac:dyDescent="0.35">
      <c r="A7610" s="5"/>
      <c r="B7610" s="50" t="s">
        <v>37</v>
      </c>
      <c r="C7610" s="54">
        <v>0.5</v>
      </c>
      <c r="D7610" s="54">
        <v>200</v>
      </c>
      <c r="E7610" s="85">
        <f>C7610*D7610</f>
        <v>100</v>
      </c>
    </row>
    <row r="7611" spans="1:5" ht="18" x14ac:dyDescent="0.35">
      <c r="E7611" s="85">
        <f>SUM(E7609:E7610)</f>
        <v>423.98129400000005</v>
      </c>
    </row>
    <row r="7614" spans="1:5" ht="21" x14ac:dyDescent="0.4">
      <c r="A7614" s="40" t="s">
        <v>1919</v>
      </c>
      <c r="B7614" s="40"/>
      <c r="C7614" s="84"/>
    </row>
    <row r="7615" spans="1:5" ht="18" x14ac:dyDescent="0.35">
      <c r="A7615" s="5" t="s">
        <v>421</v>
      </c>
      <c r="B7615" s="5"/>
      <c r="C7615" s="7" t="s">
        <v>28</v>
      </c>
      <c r="D7615" s="7" t="s">
        <v>29</v>
      </c>
      <c r="E7615" s="7" t="s">
        <v>30</v>
      </c>
    </row>
    <row r="7616" spans="1:5" ht="18" x14ac:dyDescent="0.35">
      <c r="A7616" s="5" t="s">
        <v>310</v>
      </c>
      <c r="B7616" s="50" t="s">
        <v>32</v>
      </c>
      <c r="C7616" s="7">
        <v>4.3380000000000001</v>
      </c>
      <c r="D7616" s="7">
        <v>10.34</v>
      </c>
      <c r="E7616" s="85">
        <f t="shared" ref="E7616:E7621" si="484">C7616*D7616</f>
        <v>44.85492</v>
      </c>
    </row>
    <row r="7617" spans="1:5" ht="18" x14ac:dyDescent="0.35">
      <c r="A7617" s="5" t="s">
        <v>583</v>
      </c>
      <c r="B7617" s="50" t="s">
        <v>33</v>
      </c>
      <c r="C7617" s="7">
        <v>51.975000000000001</v>
      </c>
      <c r="D7617" s="7">
        <v>16.170000000000002</v>
      </c>
      <c r="E7617" s="85">
        <f t="shared" si="484"/>
        <v>840.4357500000001</v>
      </c>
    </row>
    <row r="7618" spans="1:5" ht="18" x14ac:dyDescent="0.35">
      <c r="A7618" s="102" t="s">
        <v>1222</v>
      </c>
      <c r="B7618" s="50" t="s">
        <v>94</v>
      </c>
      <c r="C7618" s="7">
        <v>2</v>
      </c>
      <c r="D7618" s="7">
        <v>4.4800000000000004</v>
      </c>
      <c r="E7618" s="85">
        <f t="shared" si="484"/>
        <v>8.9600000000000009</v>
      </c>
    </row>
    <row r="7619" spans="1:5" ht="18" x14ac:dyDescent="0.35">
      <c r="A7619" s="5"/>
      <c r="B7619" s="50" t="s">
        <v>34</v>
      </c>
      <c r="C7619" s="7">
        <v>1.1000000000000001</v>
      </c>
      <c r="D7619" s="7">
        <v>14.61</v>
      </c>
      <c r="E7619" s="85">
        <f t="shared" si="484"/>
        <v>16.071000000000002</v>
      </c>
    </row>
    <row r="7620" spans="1:5" ht="18" x14ac:dyDescent="0.35">
      <c r="A7620" s="5"/>
      <c r="B7620" s="50" t="s">
        <v>35</v>
      </c>
      <c r="C7620" s="7">
        <v>4</v>
      </c>
      <c r="D7620" s="7">
        <v>2.91</v>
      </c>
      <c r="E7620" s="85">
        <f t="shared" si="484"/>
        <v>11.64</v>
      </c>
    </row>
    <row r="7621" spans="1:5" ht="18" x14ac:dyDescent="0.35">
      <c r="A7621" s="5"/>
      <c r="B7621" s="50" t="s">
        <v>36</v>
      </c>
      <c r="C7621" s="7">
        <v>4</v>
      </c>
      <c r="D7621" s="7">
        <v>0.61</v>
      </c>
      <c r="E7621" s="85">
        <f t="shared" si="484"/>
        <v>2.44</v>
      </c>
    </row>
    <row r="7622" spans="1:5" ht="18" x14ac:dyDescent="0.35">
      <c r="A7622" s="5"/>
      <c r="B7622" s="5"/>
      <c r="C7622" s="54"/>
      <c r="D7622" s="54"/>
      <c r="E7622" s="89">
        <f>SUM(E7616:E7621)</f>
        <v>924.40167000000019</v>
      </c>
    </row>
    <row r="7623" spans="1:5" ht="18" x14ac:dyDescent="0.35">
      <c r="A7623" s="5"/>
      <c r="B7623" s="5"/>
      <c r="C7623" s="54"/>
      <c r="D7623" s="54" t="s">
        <v>1066</v>
      </c>
      <c r="E7623" s="89">
        <f>E7622+E7622*40%</f>
        <v>1294.1623380000003</v>
      </c>
    </row>
    <row r="7624" spans="1:5" ht="18" x14ac:dyDescent="0.35">
      <c r="A7624" s="5"/>
      <c r="B7624" s="50" t="s">
        <v>37</v>
      </c>
      <c r="C7624" s="54">
        <v>1</v>
      </c>
      <c r="D7624" s="54">
        <v>200</v>
      </c>
      <c r="E7624" s="85">
        <f>C7624*D7624</f>
        <v>200</v>
      </c>
    </row>
    <row r="7625" spans="1:5" ht="18" x14ac:dyDescent="0.35">
      <c r="A7625" s="5"/>
      <c r="B7625" s="5"/>
      <c r="C7625" s="54"/>
      <c r="D7625" s="54"/>
      <c r="E7625" s="85">
        <f>SUM(E7623:E7624)</f>
        <v>1494.1623380000003</v>
      </c>
    </row>
    <row r="7627" spans="1:5" ht="21" x14ac:dyDescent="0.4">
      <c r="A7627" s="40" t="s">
        <v>1920</v>
      </c>
      <c r="B7627" s="40"/>
      <c r="C7627" s="84"/>
    </row>
    <row r="7628" spans="1:5" ht="18" x14ac:dyDescent="0.35">
      <c r="A7628" t="s">
        <v>1271</v>
      </c>
      <c r="B7628" s="5"/>
      <c r="C7628" s="7" t="s">
        <v>28</v>
      </c>
      <c r="D7628" s="7" t="s">
        <v>29</v>
      </c>
      <c r="E7628" s="7" t="s">
        <v>30</v>
      </c>
    </row>
    <row r="7629" spans="1:5" ht="18" x14ac:dyDescent="0.35">
      <c r="A7629" s="5" t="s">
        <v>471</v>
      </c>
      <c r="B7629" s="50" t="s">
        <v>32</v>
      </c>
      <c r="C7629" s="7">
        <v>4.6529999999999996</v>
      </c>
      <c r="D7629" s="7">
        <v>10.34</v>
      </c>
      <c r="E7629" s="85">
        <f t="shared" ref="E7629:E7636" si="485">C7629*D7629</f>
        <v>48.112019999999994</v>
      </c>
    </row>
    <row r="7630" spans="1:5" ht="18" x14ac:dyDescent="0.35">
      <c r="A7630" s="5" t="s">
        <v>143</v>
      </c>
      <c r="B7630" s="50" t="s">
        <v>33</v>
      </c>
      <c r="C7630" s="7">
        <v>12.537000000000001</v>
      </c>
      <c r="D7630" s="7">
        <v>16.170000000000002</v>
      </c>
      <c r="E7630" s="85">
        <f t="shared" si="485"/>
        <v>202.72329000000005</v>
      </c>
    </row>
    <row r="7631" spans="1:5" ht="18" x14ac:dyDescent="0.35">
      <c r="A7631" s="5" t="s">
        <v>1921</v>
      </c>
      <c r="B7631" s="50" t="s">
        <v>33</v>
      </c>
      <c r="C7631" s="7">
        <v>14.112</v>
      </c>
      <c r="D7631" s="7">
        <v>16.170000000000002</v>
      </c>
      <c r="E7631" s="85">
        <f t="shared" si="485"/>
        <v>228.19104000000002</v>
      </c>
    </row>
    <row r="7632" spans="1:5" ht="18" x14ac:dyDescent="0.35">
      <c r="A7632" s="5" t="s">
        <v>1096</v>
      </c>
      <c r="B7632" s="50" t="s">
        <v>84</v>
      </c>
      <c r="C7632" s="7">
        <v>2</v>
      </c>
      <c r="D7632" s="7">
        <v>1.6</v>
      </c>
      <c r="E7632" s="85">
        <f t="shared" si="485"/>
        <v>3.2</v>
      </c>
    </row>
    <row r="7633" spans="1:5" ht="18" x14ac:dyDescent="0.35">
      <c r="A7633" s="5" t="s">
        <v>1786</v>
      </c>
      <c r="B7633" s="50" t="s">
        <v>582</v>
      </c>
      <c r="C7633" s="7">
        <v>2</v>
      </c>
      <c r="D7633" s="7">
        <v>8.9600000000000009</v>
      </c>
      <c r="E7633" s="85">
        <f t="shared" si="485"/>
        <v>17.920000000000002</v>
      </c>
    </row>
    <row r="7634" spans="1:5" ht="18" x14ac:dyDescent="0.35">
      <c r="A7634" s="5" t="s">
        <v>1785</v>
      </c>
      <c r="B7634" s="50" t="s">
        <v>34</v>
      </c>
      <c r="C7634" s="7">
        <v>0.63</v>
      </c>
      <c r="D7634" s="7">
        <v>14.61</v>
      </c>
      <c r="E7634" s="85">
        <f t="shared" si="485"/>
        <v>9.2042999999999999</v>
      </c>
    </row>
    <row r="7635" spans="1:5" ht="18" x14ac:dyDescent="0.35">
      <c r="A7635" s="5"/>
      <c r="B7635" s="50" t="s">
        <v>35</v>
      </c>
      <c r="C7635" s="7">
        <v>4</v>
      </c>
      <c r="D7635" s="7">
        <v>2.91</v>
      </c>
      <c r="E7635" s="85">
        <f t="shared" si="485"/>
        <v>11.64</v>
      </c>
    </row>
    <row r="7636" spans="1:5" ht="18" x14ac:dyDescent="0.35">
      <c r="A7636" s="5"/>
      <c r="B7636" s="50" t="s">
        <v>36</v>
      </c>
      <c r="C7636" s="7">
        <v>4</v>
      </c>
      <c r="D7636" s="7">
        <v>0.61</v>
      </c>
      <c r="E7636" s="85">
        <f t="shared" si="485"/>
        <v>2.44</v>
      </c>
    </row>
    <row r="7637" spans="1:5" ht="18" x14ac:dyDescent="0.35">
      <c r="A7637" s="5"/>
      <c r="B7637" s="5"/>
      <c r="C7637" s="54"/>
      <c r="D7637" s="54"/>
      <c r="E7637" s="89">
        <f>SUM(E7629:E7636)</f>
        <v>523.43065000000013</v>
      </c>
    </row>
    <row r="7638" spans="1:5" ht="18" x14ac:dyDescent="0.35">
      <c r="A7638" s="5"/>
      <c r="B7638" s="5"/>
      <c r="C7638" s="54"/>
      <c r="D7638" s="54" t="s">
        <v>1063</v>
      </c>
      <c r="E7638" s="89">
        <f>E7637+E7637*40%</f>
        <v>732.80291000000022</v>
      </c>
    </row>
    <row r="7639" spans="1:5" ht="18" x14ac:dyDescent="0.35">
      <c r="A7639" s="5"/>
      <c r="B7639" s="50" t="s">
        <v>37</v>
      </c>
      <c r="C7639" s="54">
        <v>1.5</v>
      </c>
      <c r="D7639" s="54">
        <v>200</v>
      </c>
      <c r="E7639" s="85">
        <f>C7639*D7639</f>
        <v>300</v>
      </c>
    </row>
    <row r="7640" spans="1:5" ht="18" x14ac:dyDescent="0.35">
      <c r="E7640" s="85">
        <f>SUM(E7638:E7639)</f>
        <v>1032.8029100000003</v>
      </c>
    </row>
    <row r="7642" spans="1:5" ht="21" x14ac:dyDescent="0.4">
      <c r="A7642" s="40" t="s">
        <v>1923</v>
      </c>
      <c r="B7642" s="40"/>
      <c r="C7642" s="84"/>
    </row>
    <row r="7643" spans="1:5" x14ac:dyDescent="0.3">
      <c r="A7643" t="s">
        <v>1925</v>
      </c>
    </row>
    <row r="7644" spans="1:5" ht="18" x14ac:dyDescent="0.35">
      <c r="A7644" s="5" t="s">
        <v>1922</v>
      </c>
      <c r="B7644" s="5"/>
      <c r="C7644" s="7" t="s">
        <v>28</v>
      </c>
      <c r="D7644" s="7" t="s">
        <v>29</v>
      </c>
      <c r="E7644" s="7" t="s">
        <v>30</v>
      </c>
    </row>
    <row r="7645" spans="1:5" ht="18" x14ac:dyDescent="0.35">
      <c r="A7645" s="5" t="s">
        <v>63</v>
      </c>
      <c r="B7645" s="50" t="s">
        <v>32</v>
      </c>
      <c r="C7645" s="7">
        <v>1.3979999999999999</v>
      </c>
      <c r="D7645" s="7">
        <v>10.34</v>
      </c>
      <c r="E7645" s="85">
        <f t="shared" ref="E7645:E7650" si="486">C7645*D7645</f>
        <v>14.455319999999999</v>
      </c>
    </row>
    <row r="7646" spans="1:5" ht="18" x14ac:dyDescent="0.35">
      <c r="A7646" s="5" t="s">
        <v>959</v>
      </c>
      <c r="B7646" s="50" t="s">
        <v>33</v>
      </c>
      <c r="C7646" s="7">
        <v>2.7719999999999998</v>
      </c>
      <c r="D7646" s="7">
        <v>16.170000000000002</v>
      </c>
      <c r="E7646" s="85">
        <f t="shared" si="486"/>
        <v>44.823239999999998</v>
      </c>
    </row>
    <row r="7647" spans="1:5" ht="18" x14ac:dyDescent="0.35">
      <c r="A7647" s="102" t="s">
        <v>1222</v>
      </c>
      <c r="B7647" s="50" t="s">
        <v>96</v>
      </c>
      <c r="C7647" s="7">
        <v>2</v>
      </c>
      <c r="D7647" s="7">
        <v>1.6</v>
      </c>
      <c r="E7647" s="85">
        <f t="shared" si="486"/>
        <v>3.2</v>
      </c>
    </row>
    <row r="7648" spans="1:5" ht="18" x14ac:dyDescent="0.35">
      <c r="A7648" s="5"/>
      <c r="B7648" s="50" t="s">
        <v>34</v>
      </c>
      <c r="C7648" s="7"/>
      <c r="D7648" s="7">
        <v>14.61</v>
      </c>
      <c r="E7648" s="85">
        <f t="shared" si="486"/>
        <v>0</v>
      </c>
    </row>
    <row r="7649" spans="1:5" ht="18" x14ac:dyDescent="0.35">
      <c r="A7649" s="5"/>
      <c r="B7649" s="50" t="s">
        <v>35</v>
      </c>
      <c r="C7649" s="7">
        <v>4</v>
      </c>
      <c r="D7649" s="7">
        <v>2.91</v>
      </c>
      <c r="E7649" s="85">
        <f t="shared" si="486"/>
        <v>11.64</v>
      </c>
    </row>
    <row r="7650" spans="1:5" ht="18" x14ac:dyDescent="0.35">
      <c r="A7650" s="5"/>
      <c r="B7650" s="50" t="s">
        <v>36</v>
      </c>
      <c r="C7650" s="7">
        <v>4</v>
      </c>
      <c r="D7650" s="7">
        <v>0.61</v>
      </c>
      <c r="E7650" s="85">
        <f t="shared" si="486"/>
        <v>2.44</v>
      </c>
    </row>
    <row r="7651" spans="1:5" ht="18" x14ac:dyDescent="0.35">
      <c r="A7651" s="5"/>
      <c r="B7651" s="5"/>
      <c r="C7651" s="54"/>
      <c r="D7651" s="54"/>
      <c r="E7651" s="89">
        <f>SUM(E7645:E7650)</f>
        <v>76.55856</v>
      </c>
    </row>
    <row r="7652" spans="1:5" ht="18" x14ac:dyDescent="0.35">
      <c r="A7652" s="5"/>
      <c r="B7652" s="5"/>
      <c r="C7652" s="54"/>
      <c r="D7652" s="54" t="s">
        <v>1066</v>
      </c>
      <c r="E7652" s="89">
        <f>E7651+E7651*40%</f>
        <v>107.181984</v>
      </c>
    </row>
    <row r="7653" spans="1:5" ht="18" x14ac:dyDescent="0.35">
      <c r="A7653" s="5"/>
      <c r="B7653" s="50" t="s">
        <v>37</v>
      </c>
      <c r="C7653" s="54">
        <v>0.5</v>
      </c>
      <c r="D7653" s="54">
        <v>200</v>
      </c>
      <c r="E7653" s="85">
        <f>C7653*D7653</f>
        <v>100</v>
      </c>
    </row>
    <row r="7654" spans="1:5" ht="18" x14ac:dyDescent="0.35">
      <c r="A7654" s="5"/>
      <c r="B7654" s="5"/>
      <c r="C7654" s="54"/>
      <c r="D7654" s="54"/>
      <c r="E7654" s="85">
        <f>SUM(E7652:E7653)</f>
        <v>207.181984</v>
      </c>
    </row>
    <row r="7656" spans="1:5" ht="21" x14ac:dyDescent="0.4">
      <c r="A7656" s="40" t="s">
        <v>1924</v>
      </c>
      <c r="B7656" s="40"/>
      <c r="C7656" s="84"/>
    </row>
    <row r="7657" spans="1:5" ht="18" x14ac:dyDescent="0.35">
      <c r="A7657" t="s">
        <v>1925</v>
      </c>
      <c r="B7657" s="5"/>
      <c r="C7657" s="7" t="s">
        <v>28</v>
      </c>
      <c r="D7657" s="7" t="s">
        <v>29</v>
      </c>
      <c r="E7657" s="7" t="s">
        <v>30</v>
      </c>
    </row>
    <row r="7658" spans="1:5" ht="18" x14ac:dyDescent="0.35">
      <c r="A7658" s="5" t="s">
        <v>1926</v>
      </c>
      <c r="B7658" s="50" t="s">
        <v>32</v>
      </c>
      <c r="C7658" s="7">
        <v>1.3979999999999999</v>
      </c>
      <c r="D7658" s="7">
        <v>10.34</v>
      </c>
      <c r="E7658" s="85">
        <f t="shared" ref="E7658:E7665" si="487">C7658*D7658</f>
        <v>14.455319999999999</v>
      </c>
    </row>
    <row r="7659" spans="1:5" ht="18" x14ac:dyDescent="0.35">
      <c r="A7659" s="5" t="s">
        <v>143</v>
      </c>
      <c r="B7659" s="50" t="s">
        <v>33</v>
      </c>
      <c r="C7659" s="7">
        <v>2.7719999999999998</v>
      </c>
      <c r="D7659" s="7">
        <v>16.170000000000002</v>
      </c>
      <c r="E7659" s="85">
        <f t="shared" si="487"/>
        <v>44.823239999999998</v>
      </c>
    </row>
    <row r="7660" spans="1:5" ht="18" x14ac:dyDescent="0.35">
      <c r="A7660" s="5" t="s">
        <v>1927</v>
      </c>
      <c r="B7660" s="50" t="s">
        <v>33</v>
      </c>
      <c r="C7660" s="7">
        <v>3.0870000000000002</v>
      </c>
      <c r="D7660" s="7">
        <v>16.170000000000002</v>
      </c>
      <c r="E7660" s="85">
        <f t="shared" si="487"/>
        <v>49.916790000000006</v>
      </c>
    </row>
    <row r="7661" spans="1:5" ht="18" x14ac:dyDescent="0.35">
      <c r="A7661" s="5" t="s">
        <v>705</v>
      </c>
      <c r="B7661" s="50" t="s">
        <v>84</v>
      </c>
      <c r="C7661" s="7">
        <v>2</v>
      </c>
      <c r="D7661" s="7">
        <v>1.6</v>
      </c>
      <c r="E7661" s="85">
        <f t="shared" si="487"/>
        <v>3.2</v>
      </c>
    </row>
    <row r="7662" spans="1:5" ht="18" x14ac:dyDescent="0.35">
      <c r="A7662" s="5" t="s">
        <v>1786</v>
      </c>
      <c r="B7662" s="50" t="s">
        <v>1004</v>
      </c>
      <c r="C7662" s="7">
        <v>2</v>
      </c>
      <c r="D7662" s="7">
        <v>1.81</v>
      </c>
      <c r="E7662" s="85">
        <f t="shared" si="487"/>
        <v>3.62</v>
      </c>
    </row>
    <row r="7663" spans="1:5" ht="18" x14ac:dyDescent="0.35">
      <c r="A7663" s="5" t="s">
        <v>1785</v>
      </c>
      <c r="B7663" s="50" t="s">
        <v>34</v>
      </c>
      <c r="C7663" s="7"/>
      <c r="D7663" s="7">
        <v>14.61</v>
      </c>
      <c r="E7663" s="85">
        <f t="shared" si="487"/>
        <v>0</v>
      </c>
    </row>
    <row r="7664" spans="1:5" ht="18" x14ac:dyDescent="0.35">
      <c r="A7664" s="5"/>
      <c r="B7664" s="50" t="s">
        <v>35</v>
      </c>
      <c r="C7664" s="7">
        <v>4</v>
      </c>
      <c r="D7664" s="7">
        <v>2.91</v>
      </c>
      <c r="E7664" s="85">
        <f t="shared" si="487"/>
        <v>11.64</v>
      </c>
    </row>
    <row r="7665" spans="1:5" ht="18" x14ac:dyDescent="0.35">
      <c r="A7665" s="5"/>
      <c r="B7665" s="50" t="s">
        <v>36</v>
      </c>
      <c r="C7665" s="7">
        <v>4</v>
      </c>
      <c r="D7665" s="7">
        <v>0.61</v>
      </c>
      <c r="E7665" s="85">
        <f t="shared" si="487"/>
        <v>2.44</v>
      </c>
    </row>
    <row r="7666" spans="1:5" ht="18" x14ac:dyDescent="0.35">
      <c r="A7666" s="5"/>
      <c r="B7666" s="5"/>
      <c r="C7666" s="54"/>
      <c r="D7666" s="54"/>
      <c r="E7666" s="89">
        <f>SUM(E7658:E7665)</f>
        <v>130.09535000000002</v>
      </c>
    </row>
    <row r="7667" spans="1:5" ht="18" x14ac:dyDescent="0.35">
      <c r="A7667" s="5"/>
      <c r="B7667" s="5"/>
      <c r="C7667" s="54"/>
      <c r="D7667" s="54" t="s">
        <v>1063</v>
      </c>
      <c r="E7667" s="89">
        <f>E7666+E7666*40%</f>
        <v>182.13349000000005</v>
      </c>
    </row>
    <row r="7668" spans="1:5" ht="18" x14ac:dyDescent="0.35">
      <c r="A7668" s="5"/>
      <c r="B7668" s="50" t="s">
        <v>37</v>
      </c>
      <c r="C7668" s="54">
        <v>0.6</v>
      </c>
      <c r="D7668" s="54">
        <v>200</v>
      </c>
      <c r="E7668" s="85">
        <f>C7668*D7668</f>
        <v>120</v>
      </c>
    </row>
    <row r="7669" spans="1:5" ht="18" x14ac:dyDescent="0.35">
      <c r="E7669" s="85">
        <f>SUM(E7667:E7668)</f>
        <v>302.13349000000005</v>
      </c>
    </row>
    <row r="7671" spans="1:5" ht="21" x14ac:dyDescent="0.4">
      <c r="A7671" s="40" t="s">
        <v>1923</v>
      </c>
      <c r="B7671" s="40"/>
      <c r="C7671" s="84"/>
    </row>
    <row r="7672" spans="1:5" x14ac:dyDescent="0.3">
      <c r="A7672" t="s">
        <v>1427</v>
      </c>
    </row>
    <row r="7673" spans="1:5" ht="18" x14ac:dyDescent="0.35">
      <c r="A7673" s="5" t="s">
        <v>1928</v>
      </c>
      <c r="B7673" s="5"/>
      <c r="C7673" s="7" t="s">
        <v>28</v>
      </c>
      <c r="D7673" s="7" t="s">
        <v>29</v>
      </c>
      <c r="E7673" s="7" t="s">
        <v>30</v>
      </c>
    </row>
    <row r="7674" spans="1:5" ht="18" x14ac:dyDescent="0.35">
      <c r="A7674" s="5" t="s">
        <v>117</v>
      </c>
      <c r="B7674" s="50" t="s">
        <v>32</v>
      </c>
      <c r="C7674" s="7">
        <v>2.133</v>
      </c>
      <c r="D7674" s="7">
        <v>10.34</v>
      </c>
      <c r="E7674" s="85">
        <f t="shared" ref="E7674:E7679" si="488">C7674*D7674</f>
        <v>22.055219999999998</v>
      </c>
    </row>
    <row r="7675" spans="1:5" ht="18" x14ac:dyDescent="0.35">
      <c r="A7675" s="5" t="s">
        <v>1929</v>
      </c>
      <c r="B7675" s="50" t="s">
        <v>33</v>
      </c>
      <c r="C7675" s="7">
        <v>10.773</v>
      </c>
      <c r="D7675" s="7">
        <v>16.170000000000002</v>
      </c>
      <c r="E7675" s="85">
        <f t="shared" si="488"/>
        <v>174.19941</v>
      </c>
    </row>
    <row r="7676" spans="1:5" ht="18" x14ac:dyDescent="0.35">
      <c r="A7676" s="102" t="s">
        <v>1222</v>
      </c>
      <c r="B7676" s="50" t="s">
        <v>128</v>
      </c>
      <c r="C7676" s="7">
        <v>2</v>
      </c>
      <c r="D7676" s="7">
        <v>1.81</v>
      </c>
      <c r="E7676" s="85">
        <f t="shared" si="488"/>
        <v>3.62</v>
      </c>
    </row>
    <row r="7677" spans="1:5" ht="18" x14ac:dyDescent="0.35">
      <c r="A7677" s="5"/>
      <c r="B7677" s="50" t="s">
        <v>34</v>
      </c>
      <c r="C7677" s="7"/>
      <c r="D7677" s="7">
        <v>14.61</v>
      </c>
      <c r="E7677" s="85">
        <f t="shared" si="488"/>
        <v>0</v>
      </c>
    </row>
    <row r="7678" spans="1:5" ht="18" x14ac:dyDescent="0.35">
      <c r="A7678" s="5"/>
      <c r="B7678" s="50" t="s">
        <v>35</v>
      </c>
      <c r="C7678" s="7">
        <v>4</v>
      </c>
      <c r="D7678" s="7">
        <v>2.91</v>
      </c>
      <c r="E7678" s="85">
        <f t="shared" si="488"/>
        <v>11.64</v>
      </c>
    </row>
    <row r="7679" spans="1:5" ht="18" x14ac:dyDescent="0.35">
      <c r="A7679" s="5"/>
      <c r="B7679" s="50" t="s">
        <v>36</v>
      </c>
      <c r="C7679" s="7">
        <v>4</v>
      </c>
      <c r="D7679" s="7">
        <v>0.61</v>
      </c>
      <c r="E7679" s="85">
        <f t="shared" si="488"/>
        <v>2.44</v>
      </c>
    </row>
    <row r="7680" spans="1:5" ht="18" x14ac:dyDescent="0.35">
      <c r="A7680" s="5"/>
      <c r="B7680" s="5"/>
      <c r="C7680" s="54"/>
      <c r="D7680" s="54"/>
      <c r="E7680" s="89">
        <f>SUM(E7674:E7679)</f>
        <v>213.95463000000001</v>
      </c>
    </row>
    <row r="7681" spans="1:5" ht="18" x14ac:dyDescent="0.35">
      <c r="A7681" s="5"/>
      <c r="B7681" s="5"/>
      <c r="C7681" s="54"/>
      <c r="D7681" s="54" t="s">
        <v>1066</v>
      </c>
      <c r="E7681" s="89">
        <f>E7680+E7680*40%</f>
        <v>299.53648200000003</v>
      </c>
    </row>
    <row r="7682" spans="1:5" ht="18" x14ac:dyDescent="0.35">
      <c r="A7682" s="5"/>
      <c r="B7682" s="50" t="s">
        <v>37</v>
      </c>
      <c r="C7682" s="54">
        <v>0.5</v>
      </c>
      <c r="D7682" s="54">
        <v>200</v>
      </c>
      <c r="E7682" s="85">
        <f>C7682*D7682</f>
        <v>100</v>
      </c>
    </row>
    <row r="7683" spans="1:5" ht="18" x14ac:dyDescent="0.35">
      <c r="A7683" s="5"/>
      <c r="B7683" s="5"/>
      <c r="C7683" s="54"/>
      <c r="D7683" s="54"/>
      <c r="E7683" s="85">
        <f>SUM(E7681:E7682)</f>
        <v>399.53648200000003</v>
      </c>
    </row>
    <row r="7685" spans="1:5" ht="21" x14ac:dyDescent="0.4">
      <c r="A7685" s="40" t="s">
        <v>1923</v>
      </c>
      <c r="B7685" s="40"/>
      <c r="C7685" s="84"/>
    </row>
    <row r="7686" spans="1:5" x14ac:dyDescent="0.3">
      <c r="A7686" t="s">
        <v>1930</v>
      </c>
    </row>
    <row r="7687" spans="1:5" ht="18" x14ac:dyDescent="0.35">
      <c r="A7687" s="5" t="s">
        <v>1931</v>
      </c>
      <c r="B7687" s="5"/>
      <c r="C7687" s="7" t="s">
        <v>28</v>
      </c>
      <c r="D7687" s="7" t="s">
        <v>29</v>
      </c>
      <c r="E7687" s="7" t="s">
        <v>30</v>
      </c>
    </row>
    <row r="7688" spans="1:5" ht="18" x14ac:dyDescent="0.35">
      <c r="A7688" s="5" t="s">
        <v>387</v>
      </c>
      <c r="B7688" s="50" t="s">
        <v>32</v>
      </c>
      <c r="C7688" s="7">
        <v>2.4900000000000002</v>
      </c>
      <c r="D7688" s="7">
        <v>10.34</v>
      </c>
      <c r="E7688" s="85">
        <f t="shared" ref="E7688:E7693" si="489">C7688*D7688</f>
        <v>25.746600000000001</v>
      </c>
    </row>
    <row r="7689" spans="1:5" ht="18" x14ac:dyDescent="0.35">
      <c r="A7689" s="5" t="s">
        <v>1929</v>
      </c>
      <c r="B7689" s="50" t="s">
        <v>33</v>
      </c>
      <c r="C7689" s="7">
        <v>5.1970000000000001</v>
      </c>
      <c r="D7689" s="7">
        <v>16.170000000000002</v>
      </c>
      <c r="E7689" s="85">
        <f t="shared" si="489"/>
        <v>84.03549000000001</v>
      </c>
    </row>
    <row r="7690" spans="1:5" ht="18" x14ac:dyDescent="0.35">
      <c r="A7690" s="102" t="s">
        <v>1222</v>
      </c>
      <c r="B7690" s="50" t="s">
        <v>1359</v>
      </c>
      <c r="C7690" s="7">
        <v>2</v>
      </c>
      <c r="D7690" s="7">
        <v>1.1499999999999999</v>
      </c>
      <c r="E7690" s="85">
        <f t="shared" si="489"/>
        <v>2.2999999999999998</v>
      </c>
    </row>
    <row r="7691" spans="1:5" ht="18" x14ac:dyDescent="0.35">
      <c r="A7691" s="5"/>
      <c r="B7691" s="50" t="s">
        <v>34</v>
      </c>
      <c r="C7691" s="7">
        <v>0.5</v>
      </c>
      <c r="D7691" s="7">
        <v>14.61</v>
      </c>
      <c r="E7691" s="85">
        <f t="shared" si="489"/>
        <v>7.3049999999999997</v>
      </c>
    </row>
    <row r="7692" spans="1:5" ht="18" x14ac:dyDescent="0.35">
      <c r="A7692" s="5"/>
      <c r="B7692" s="50" t="s">
        <v>35</v>
      </c>
      <c r="C7692" s="7">
        <v>4</v>
      </c>
      <c r="D7692" s="7">
        <v>2.91</v>
      </c>
      <c r="E7692" s="85">
        <f t="shared" si="489"/>
        <v>11.64</v>
      </c>
    </row>
    <row r="7693" spans="1:5" ht="18" x14ac:dyDescent="0.35">
      <c r="A7693" s="5"/>
      <c r="B7693" s="50" t="s">
        <v>36</v>
      </c>
      <c r="C7693" s="7">
        <v>4</v>
      </c>
      <c r="D7693" s="7">
        <v>0.61</v>
      </c>
      <c r="E7693" s="85">
        <f t="shared" si="489"/>
        <v>2.44</v>
      </c>
    </row>
    <row r="7694" spans="1:5" ht="18" x14ac:dyDescent="0.35">
      <c r="A7694" s="5"/>
      <c r="B7694" s="5"/>
      <c r="C7694" s="54"/>
      <c r="D7694" s="54"/>
      <c r="E7694" s="89">
        <f>SUM(E7688:E7693)</f>
        <v>133.46708999999998</v>
      </c>
    </row>
    <row r="7695" spans="1:5" ht="18" x14ac:dyDescent="0.35">
      <c r="A7695" s="5"/>
      <c r="B7695" s="5"/>
      <c r="C7695" s="54"/>
      <c r="D7695" s="54" t="s">
        <v>1066</v>
      </c>
      <c r="E7695" s="89">
        <f>E7694+E7694*40%</f>
        <v>186.85392599999997</v>
      </c>
    </row>
    <row r="7696" spans="1:5" ht="18" x14ac:dyDescent="0.35">
      <c r="A7696" s="5"/>
      <c r="B7696" s="50" t="s">
        <v>37</v>
      </c>
      <c r="C7696" s="54">
        <v>0.5</v>
      </c>
      <c r="D7696" s="54">
        <v>200</v>
      </c>
      <c r="E7696" s="85">
        <f>C7696*D7696</f>
        <v>100</v>
      </c>
    </row>
    <row r="7697" spans="1:5" ht="18" x14ac:dyDescent="0.35">
      <c r="A7697" s="5"/>
      <c r="B7697" s="5"/>
      <c r="C7697" s="54"/>
      <c r="D7697" s="54"/>
      <c r="E7697" s="85">
        <f>SUM(E7695:E7696)</f>
        <v>286.853926</v>
      </c>
    </row>
    <row r="7699" spans="1:5" ht="21" x14ac:dyDescent="0.4">
      <c r="A7699" s="40" t="s">
        <v>1923</v>
      </c>
      <c r="B7699" s="40"/>
      <c r="C7699" s="84"/>
    </row>
    <row r="7700" spans="1:5" x14ac:dyDescent="0.3">
      <c r="A7700" t="s">
        <v>1930</v>
      </c>
    </row>
    <row r="7701" spans="1:5" ht="18" x14ac:dyDescent="0.35">
      <c r="A7701" s="5" t="s">
        <v>1932</v>
      </c>
      <c r="B7701" s="5"/>
      <c r="C7701" s="7" t="s">
        <v>28</v>
      </c>
      <c r="D7701" s="7" t="s">
        <v>29</v>
      </c>
      <c r="E7701" s="7" t="s">
        <v>30</v>
      </c>
    </row>
    <row r="7702" spans="1:5" ht="18" x14ac:dyDescent="0.35">
      <c r="A7702" s="5" t="s">
        <v>1933</v>
      </c>
      <c r="B7702" s="50" t="s">
        <v>32</v>
      </c>
      <c r="C7702" s="7">
        <v>1.9650000000000001</v>
      </c>
      <c r="D7702" s="7">
        <v>10.34</v>
      </c>
      <c r="E7702" s="85">
        <f t="shared" ref="E7702:E7707" si="490">C7702*D7702</f>
        <v>20.318100000000001</v>
      </c>
    </row>
    <row r="7703" spans="1:5" ht="18" x14ac:dyDescent="0.35">
      <c r="A7703" s="5" t="s">
        <v>1000</v>
      </c>
      <c r="B7703" s="50" t="s">
        <v>33</v>
      </c>
      <c r="C7703" s="7">
        <v>5.1449999999999996</v>
      </c>
      <c r="D7703" s="7">
        <v>16.170000000000002</v>
      </c>
      <c r="E7703" s="85">
        <f t="shared" si="490"/>
        <v>83.194649999999996</v>
      </c>
    </row>
    <row r="7704" spans="1:5" ht="18" x14ac:dyDescent="0.35">
      <c r="A7704" s="102" t="s">
        <v>1222</v>
      </c>
      <c r="B7704" s="50" t="s">
        <v>1359</v>
      </c>
      <c r="C7704" s="7">
        <v>2</v>
      </c>
      <c r="D7704" s="7">
        <v>1.1499999999999999</v>
      </c>
      <c r="E7704" s="85">
        <f t="shared" si="490"/>
        <v>2.2999999999999998</v>
      </c>
    </row>
    <row r="7705" spans="1:5" ht="18" x14ac:dyDescent="0.35">
      <c r="A7705" s="5"/>
      <c r="B7705" s="50" t="s">
        <v>34</v>
      </c>
      <c r="C7705" s="7">
        <v>0.5</v>
      </c>
      <c r="D7705" s="7">
        <v>14.61</v>
      </c>
      <c r="E7705" s="85">
        <f t="shared" si="490"/>
        <v>7.3049999999999997</v>
      </c>
    </row>
    <row r="7706" spans="1:5" ht="18" x14ac:dyDescent="0.35">
      <c r="A7706" s="5"/>
      <c r="B7706" s="50" t="s">
        <v>35</v>
      </c>
      <c r="C7706" s="7">
        <v>4</v>
      </c>
      <c r="D7706" s="7">
        <v>2.91</v>
      </c>
      <c r="E7706" s="85">
        <f t="shared" si="490"/>
        <v>11.64</v>
      </c>
    </row>
    <row r="7707" spans="1:5" ht="18" x14ac:dyDescent="0.35">
      <c r="A7707" s="5"/>
      <c r="B7707" s="50" t="s">
        <v>36</v>
      </c>
      <c r="C7707" s="7">
        <v>4</v>
      </c>
      <c r="D7707" s="7">
        <v>0.61</v>
      </c>
      <c r="E7707" s="85">
        <f t="shared" si="490"/>
        <v>2.44</v>
      </c>
    </row>
    <row r="7708" spans="1:5" ht="18" x14ac:dyDescent="0.35">
      <c r="A7708" s="5"/>
      <c r="B7708" s="5"/>
      <c r="C7708" s="54"/>
      <c r="D7708" s="54"/>
      <c r="E7708" s="89">
        <f>SUM(E7702:E7707)</f>
        <v>127.19775</v>
      </c>
    </row>
    <row r="7709" spans="1:5" ht="18" x14ac:dyDescent="0.35">
      <c r="A7709" s="5"/>
      <c r="B7709" s="5"/>
      <c r="C7709" s="54"/>
      <c r="D7709" s="54" t="s">
        <v>1066</v>
      </c>
      <c r="E7709" s="89">
        <f>E7708+E7708*40%</f>
        <v>178.07685000000001</v>
      </c>
    </row>
    <row r="7710" spans="1:5" ht="18" x14ac:dyDescent="0.35">
      <c r="A7710" s="5"/>
      <c r="B7710" s="50" t="s">
        <v>37</v>
      </c>
      <c r="C7710" s="54">
        <v>0.4</v>
      </c>
      <c r="D7710" s="54">
        <v>200</v>
      </c>
      <c r="E7710" s="85">
        <f>C7710*D7710</f>
        <v>80</v>
      </c>
    </row>
    <row r="7711" spans="1:5" ht="18" x14ac:dyDescent="0.35">
      <c r="A7711" s="5"/>
      <c r="B7711" s="5"/>
      <c r="C7711" s="54"/>
      <c r="D7711" s="54"/>
      <c r="E7711" s="85">
        <f>SUM(E7709:E7710)</f>
        <v>258.07685000000004</v>
      </c>
    </row>
    <row r="7714" spans="1:5" ht="21" x14ac:dyDescent="0.4">
      <c r="A7714" s="40" t="s">
        <v>1923</v>
      </c>
      <c r="B7714" s="40"/>
      <c r="C7714" s="84"/>
    </row>
    <row r="7715" spans="1:5" x14ac:dyDescent="0.3">
      <c r="A7715" t="s">
        <v>1930</v>
      </c>
    </row>
    <row r="7716" spans="1:5" ht="18" x14ac:dyDescent="0.35">
      <c r="A7716" s="5" t="s">
        <v>1934</v>
      </c>
      <c r="B7716" s="5"/>
      <c r="C7716" s="7" t="s">
        <v>28</v>
      </c>
      <c r="D7716" s="7" t="s">
        <v>29</v>
      </c>
      <c r="E7716" s="7" t="s">
        <v>30</v>
      </c>
    </row>
    <row r="7717" spans="1:5" ht="18" x14ac:dyDescent="0.35">
      <c r="A7717" s="5" t="s">
        <v>387</v>
      </c>
      <c r="B7717" s="50" t="s">
        <v>32</v>
      </c>
      <c r="C7717" s="7">
        <v>1.419</v>
      </c>
      <c r="D7717" s="7">
        <v>10.34</v>
      </c>
      <c r="E7717" s="85">
        <f t="shared" ref="E7717:E7722" si="491">C7717*D7717</f>
        <v>14.672460000000001</v>
      </c>
    </row>
    <row r="7718" spans="1:5" ht="18" x14ac:dyDescent="0.35">
      <c r="A7718" s="5" t="s">
        <v>759</v>
      </c>
      <c r="B7718" s="50" t="s">
        <v>33</v>
      </c>
      <c r="C7718" s="7">
        <v>2.5720000000000001</v>
      </c>
      <c r="D7718" s="7">
        <v>16.170000000000002</v>
      </c>
      <c r="E7718" s="85">
        <f t="shared" si="491"/>
        <v>41.589240000000004</v>
      </c>
    </row>
    <row r="7719" spans="1:5" ht="18" x14ac:dyDescent="0.35">
      <c r="A7719" s="102" t="s">
        <v>1222</v>
      </c>
      <c r="B7719" s="50" t="s">
        <v>1935</v>
      </c>
      <c r="C7719" s="7">
        <v>2</v>
      </c>
      <c r="D7719" s="7">
        <v>1.1499999999999999</v>
      </c>
      <c r="E7719" s="85">
        <f t="shared" si="491"/>
        <v>2.2999999999999998</v>
      </c>
    </row>
    <row r="7720" spans="1:5" ht="18" x14ac:dyDescent="0.35">
      <c r="A7720" s="5"/>
      <c r="B7720" s="50" t="s">
        <v>34</v>
      </c>
      <c r="C7720" s="7"/>
      <c r="D7720" s="7">
        <v>14.61</v>
      </c>
      <c r="E7720" s="85">
        <f t="shared" si="491"/>
        <v>0</v>
      </c>
    </row>
    <row r="7721" spans="1:5" ht="18" x14ac:dyDescent="0.35">
      <c r="A7721" s="5"/>
      <c r="B7721" s="50" t="s">
        <v>35</v>
      </c>
      <c r="C7721" s="7">
        <v>4</v>
      </c>
      <c r="D7721" s="7">
        <v>2.91</v>
      </c>
      <c r="E7721" s="85">
        <f t="shared" si="491"/>
        <v>11.64</v>
      </c>
    </row>
    <row r="7722" spans="1:5" ht="18" x14ac:dyDescent="0.35">
      <c r="A7722" s="5"/>
      <c r="B7722" s="50" t="s">
        <v>36</v>
      </c>
      <c r="C7722" s="7">
        <v>4</v>
      </c>
      <c r="D7722" s="7">
        <v>0.61</v>
      </c>
      <c r="E7722" s="85">
        <f t="shared" si="491"/>
        <v>2.44</v>
      </c>
    </row>
    <row r="7723" spans="1:5" ht="18" x14ac:dyDescent="0.35">
      <c r="A7723" s="5"/>
      <c r="B7723" s="5"/>
      <c r="C7723" s="54"/>
      <c r="D7723" s="54"/>
      <c r="E7723" s="89">
        <f>SUM(E7717:E7722)</f>
        <v>72.6417</v>
      </c>
    </row>
    <row r="7724" spans="1:5" ht="18" x14ac:dyDescent="0.35">
      <c r="A7724" s="5"/>
      <c r="B7724" s="5"/>
      <c r="C7724" s="54"/>
      <c r="D7724" s="54" t="s">
        <v>1066</v>
      </c>
      <c r="E7724" s="89">
        <f>E7723+E7723*40%</f>
        <v>101.69838</v>
      </c>
    </row>
    <row r="7725" spans="1:5" ht="18" x14ac:dyDescent="0.35">
      <c r="A7725" s="5"/>
      <c r="B7725" s="50" t="s">
        <v>37</v>
      </c>
      <c r="C7725" s="54">
        <v>0.4</v>
      </c>
      <c r="D7725" s="54">
        <v>200</v>
      </c>
      <c r="E7725" s="85">
        <f>C7725*D7725</f>
        <v>80</v>
      </c>
    </row>
    <row r="7726" spans="1:5" ht="18" x14ac:dyDescent="0.35">
      <c r="A7726" s="5"/>
      <c r="B7726" s="5"/>
      <c r="C7726" s="54"/>
      <c r="D7726" s="54"/>
      <c r="E7726" s="85">
        <f>SUM(E7724:E7725)</f>
        <v>181.69837999999999</v>
      </c>
    </row>
    <row r="7729" spans="1:5" ht="21" x14ac:dyDescent="0.4">
      <c r="A7729" s="40" t="s">
        <v>1936</v>
      </c>
      <c r="B7729" s="40"/>
      <c r="C7729" s="84"/>
    </row>
    <row r="7730" spans="1:5" ht="18" x14ac:dyDescent="0.35">
      <c r="A7730" t="s">
        <v>1937</v>
      </c>
      <c r="B7730" s="5"/>
      <c r="C7730" s="7" t="s">
        <v>28</v>
      </c>
      <c r="D7730" s="7" t="s">
        <v>29</v>
      </c>
      <c r="E7730" s="7" t="s">
        <v>30</v>
      </c>
    </row>
    <row r="7731" spans="1:5" ht="18" x14ac:dyDescent="0.35">
      <c r="A7731" s="5" t="s">
        <v>1938</v>
      </c>
      <c r="B7731" s="50" t="s">
        <v>32</v>
      </c>
      <c r="C7731" s="7">
        <v>2.1539999999999999</v>
      </c>
      <c r="D7731" s="7">
        <v>10.34</v>
      </c>
      <c r="E7731" s="85">
        <f t="shared" ref="E7731:E7738" si="492">C7731*D7731</f>
        <v>22.272359999999999</v>
      </c>
    </row>
    <row r="7732" spans="1:5" ht="18" x14ac:dyDescent="0.35">
      <c r="A7732" s="5" t="s">
        <v>55</v>
      </c>
      <c r="B7732" s="50" t="s">
        <v>33</v>
      </c>
      <c r="C7732" s="7">
        <v>11.843999999999999</v>
      </c>
      <c r="D7732" s="7">
        <v>16.170000000000002</v>
      </c>
      <c r="E7732" s="85">
        <f t="shared" si="492"/>
        <v>191.51748000000001</v>
      </c>
    </row>
    <row r="7733" spans="1:5" ht="18" x14ac:dyDescent="0.35">
      <c r="A7733" s="5" t="s">
        <v>1871</v>
      </c>
      <c r="B7733" s="50" t="s">
        <v>33</v>
      </c>
      <c r="C7733" s="7">
        <v>11.843999999999999</v>
      </c>
      <c r="D7733" s="7">
        <v>16.170000000000002</v>
      </c>
      <c r="E7733" s="85">
        <f t="shared" si="492"/>
        <v>191.51748000000001</v>
      </c>
    </row>
    <row r="7734" spans="1:5" ht="18" x14ac:dyDescent="0.35">
      <c r="A7734" s="5" t="s">
        <v>1099</v>
      </c>
      <c r="B7734" s="50" t="s">
        <v>1939</v>
      </c>
      <c r="C7734" s="7">
        <v>2</v>
      </c>
      <c r="D7734" s="7">
        <v>2.2400000000000002</v>
      </c>
      <c r="E7734" s="85">
        <f t="shared" si="492"/>
        <v>4.4800000000000004</v>
      </c>
    </row>
    <row r="7735" spans="1:5" ht="18" x14ac:dyDescent="0.35">
      <c r="A7735" s="5" t="s">
        <v>1786</v>
      </c>
      <c r="B7735" s="50" t="s">
        <v>1939</v>
      </c>
      <c r="C7735" s="7">
        <v>2</v>
      </c>
      <c r="D7735" s="7">
        <v>2.2400000000000002</v>
      </c>
      <c r="E7735" s="85">
        <f t="shared" si="492"/>
        <v>4.4800000000000004</v>
      </c>
    </row>
    <row r="7736" spans="1:5" ht="18" x14ac:dyDescent="0.35">
      <c r="A7736" s="5" t="s">
        <v>1785</v>
      </c>
      <c r="B7736" s="50" t="s">
        <v>34</v>
      </c>
      <c r="C7736" s="7"/>
      <c r="D7736" s="7">
        <v>14.61</v>
      </c>
      <c r="E7736" s="85">
        <f t="shared" si="492"/>
        <v>0</v>
      </c>
    </row>
    <row r="7737" spans="1:5" ht="18" x14ac:dyDescent="0.35">
      <c r="A7737" s="5"/>
      <c r="B7737" s="50" t="s">
        <v>35</v>
      </c>
      <c r="C7737" s="7">
        <v>4</v>
      </c>
      <c r="D7737" s="7">
        <v>2.91</v>
      </c>
      <c r="E7737" s="85">
        <f t="shared" si="492"/>
        <v>11.64</v>
      </c>
    </row>
    <row r="7738" spans="1:5" ht="18" x14ac:dyDescent="0.35">
      <c r="A7738" s="5"/>
      <c r="B7738" s="50" t="s">
        <v>36</v>
      </c>
      <c r="C7738" s="7">
        <v>4</v>
      </c>
      <c r="D7738" s="7">
        <v>0.61</v>
      </c>
      <c r="E7738" s="85">
        <f t="shared" si="492"/>
        <v>2.44</v>
      </c>
    </row>
    <row r="7739" spans="1:5" ht="18" x14ac:dyDescent="0.35">
      <c r="A7739" s="5"/>
      <c r="B7739" s="5"/>
      <c r="C7739" s="54"/>
      <c r="D7739" s="54"/>
      <c r="E7739" s="89">
        <f>SUM(E7731:E7738)</f>
        <v>428.34732000000002</v>
      </c>
    </row>
    <row r="7740" spans="1:5" ht="18" x14ac:dyDescent="0.35">
      <c r="A7740" s="5"/>
      <c r="B7740" s="5"/>
      <c r="C7740" s="54"/>
      <c r="D7740" s="54" t="s">
        <v>1116</v>
      </c>
      <c r="E7740" s="89">
        <f>E7739+E7739*30%</f>
        <v>556.85151600000006</v>
      </c>
    </row>
    <row r="7741" spans="1:5" ht="18" x14ac:dyDescent="0.35">
      <c r="A7741" s="5"/>
      <c r="B7741" s="50" t="s">
        <v>37</v>
      </c>
      <c r="C7741" s="54">
        <v>0.5</v>
      </c>
      <c r="D7741" s="54">
        <v>200</v>
      </c>
      <c r="E7741" s="85">
        <f>C7741*D7741</f>
        <v>100</v>
      </c>
    </row>
    <row r="7742" spans="1:5" ht="18" x14ac:dyDescent="0.35">
      <c r="E7742" s="85">
        <f>SUM(E7740:E7741)</f>
        <v>656.85151600000006</v>
      </c>
    </row>
    <row r="7744" spans="1:5" ht="21" x14ac:dyDescent="0.4">
      <c r="A7744" s="40" t="s">
        <v>1940</v>
      </c>
      <c r="B7744" s="40"/>
      <c r="C7744" s="40"/>
      <c r="D7744" s="12"/>
      <c r="E7744" s="12"/>
    </row>
    <row r="7745" spans="1:5" ht="18" x14ac:dyDescent="0.35">
      <c r="A7745" s="5" t="s">
        <v>1834</v>
      </c>
      <c r="B7745" s="5"/>
      <c r="C7745" s="7" t="s">
        <v>28</v>
      </c>
      <c r="D7745" s="7" t="s">
        <v>29</v>
      </c>
      <c r="E7745" s="7" t="s">
        <v>30</v>
      </c>
    </row>
    <row r="7746" spans="1:5" ht="18" x14ac:dyDescent="0.35">
      <c r="A7746" s="5" t="s">
        <v>1941</v>
      </c>
      <c r="B7746" s="50" t="s">
        <v>32</v>
      </c>
      <c r="C7746" s="7">
        <v>1.262</v>
      </c>
      <c r="D7746" s="7">
        <v>10.34</v>
      </c>
      <c r="E7746" s="85">
        <f>C7746*D7746</f>
        <v>13.04908</v>
      </c>
    </row>
    <row r="7747" spans="1:5" ht="18" x14ac:dyDescent="0.35">
      <c r="A7747" s="5" t="s">
        <v>259</v>
      </c>
      <c r="B7747" s="50" t="s">
        <v>33</v>
      </c>
      <c r="C7747" s="7">
        <v>2.31</v>
      </c>
      <c r="D7747" s="7">
        <v>17.059999999999999</v>
      </c>
      <c r="E7747" s="85">
        <f>C7747*D7747</f>
        <v>39.4086</v>
      </c>
    </row>
    <row r="7748" spans="1:5" ht="18" x14ac:dyDescent="0.35">
      <c r="A7748" s="5" t="s">
        <v>623</v>
      </c>
      <c r="B7748" s="50" t="s">
        <v>137</v>
      </c>
      <c r="C7748" s="7">
        <v>0.18</v>
      </c>
      <c r="D7748" s="7">
        <v>15.25</v>
      </c>
      <c r="E7748" s="85">
        <f>C7748*D7748</f>
        <v>2.7450000000000001</v>
      </c>
    </row>
    <row r="7749" spans="1:5" ht="18" x14ac:dyDescent="0.35">
      <c r="A7749" s="5"/>
      <c r="B7749" s="50" t="s">
        <v>35</v>
      </c>
      <c r="C7749" s="7">
        <v>4</v>
      </c>
      <c r="D7749" s="7">
        <v>2.91</v>
      </c>
      <c r="E7749" s="85">
        <f>C7749*D7749</f>
        <v>11.64</v>
      </c>
    </row>
    <row r="7750" spans="1:5" ht="18" x14ac:dyDescent="0.35">
      <c r="A7750" s="5"/>
      <c r="B7750" s="50" t="s">
        <v>36</v>
      </c>
      <c r="C7750" s="7">
        <v>4</v>
      </c>
      <c r="D7750" s="7">
        <v>0.61</v>
      </c>
      <c r="E7750" s="85">
        <f>C7750*D7750</f>
        <v>2.44</v>
      </c>
    </row>
    <row r="7751" spans="1:5" ht="18" x14ac:dyDescent="0.35">
      <c r="A7751" s="5"/>
      <c r="B7751" s="50"/>
      <c r="C7751" s="87"/>
      <c r="D7751" s="88"/>
      <c r="E7751" s="85">
        <f>SUM(E7746:E7750)</f>
        <v>69.282679999999999</v>
      </c>
    </row>
    <row r="7752" spans="1:5" ht="18" x14ac:dyDescent="0.35">
      <c r="A7752" s="5"/>
      <c r="B7752" s="50"/>
      <c r="C7752" s="87"/>
      <c r="D7752" s="88" t="s">
        <v>1266</v>
      </c>
      <c r="E7752" s="85">
        <f>E7751+E7751*40%</f>
        <v>96.995751999999996</v>
      </c>
    </row>
    <row r="7753" spans="1:5" ht="18" x14ac:dyDescent="0.35">
      <c r="A7753" s="5"/>
      <c r="B7753" s="50" t="s">
        <v>37</v>
      </c>
      <c r="C7753" s="54">
        <v>0.5</v>
      </c>
      <c r="D7753" s="86">
        <v>200</v>
      </c>
      <c r="E7753" s="85">
        <f>C7753*D7753</f>
        <v>100</v>
      </c>
    </row>
    <row r="7754" spans="1:5" ht="18" x14ac:dyDescent="0.35">
      <c r="A7754" s="5"/>
      <c r="B7754" s="5"/>
      <c r="C7754" s="54"/>
      <c r="D7754" s="54"/>
      <c r="E7754" s="85">
        <f>SUM(E7752:E7753)</f>
        <v>196.99575199999998</v>
      </c>
    </row>
    <row r="7756" spans="1:5" ht="21" x14ac:dyDescent="0.4">
      <c r="A7756" s="40" t="s">
        <v>1942</v>
      </c>
      <c r="B7756" s="40"/>
      <c r="C7756" s="40"/>
      <c r="D7756" s="12"/>
      <c r="E7756" s="12"/>
    </row>
    <row r="7757" spans="1:5" ht="18" x14ac:dyDescent="0.35">
      <c r="A7757" s="5" t="s">
        <v>1834</v>
      </c>
      <c r="B7757" s="5"/>
      <c r="C7757" s="7" t="s">
        <v>28</v>
      </c>
      <c r="D7757" s="7" t="s">
        <v>29</v>
      </c>
      <c r="E7757" s="7" t="s">
        <v>30</v>
      </c>
    </row>
    <row r="7758" spans="1:5" ht="18" x14ac:dyDescent="0.35">
      <c r="A7758" s="5" t="s">
        <v>1943</v>
      </c>
      <c r="B7758" s="50" t="s">
        <v>32</v>
      </c>
      <c r="C7758" s="7">
        <v>3.351</v>
      </c>
      <c r="D7758" s="7">
        <v>10.34</v>
      </c>
      <c r="E7758" s="85">
        <f>C7758*D7758</f>
        <v>34.649340000000002</v>
      </c>
    </row>
    <row r="7759" spans="1:5" ht="18" x14ac:dyDescent="0.35">
      <c r="A7759" s="5" t="s">
        <v>221</v>
      </c>
      <c r="B7759" s="50" t="s">
        <v>33</v>
      </c>
      <c r="C7759" s="7">
        <v>22.669</v>
      </c>
      <c r="D7759" s="7">
        <v>17.059999999999999</v>
      </c>
      <c r="E7759" s="85">
        <f>C7759*D7759</f>
        <v>386.73313999999999</v>
      </c>
    </row>
    <row r="7760" spans="1:5" ht="18" x14ac:dyDescent="0.35">
      <c r="A7760" s="5" t="s">
        <v>617</v>
      </c>
      <c r="B7760" s="50" t="s">
        <v>137</v>
      </c>
      <c r="C7760" s="7">
        <v>0.79</v>
      </c>
      <c r="D7760" s="7">
        <v>15.25</v>
      </c>
      <c r="E7760" s="85">
        <f>C7760*D7760</f>
        <v>12.047500000000001</v>
      </c>
    </row>
    <row r="7761" spans="1:5" ht="18" x14ac:dyDescent="0.35">
      <c r="A7761" s="5"/>
      <c r="B7761" s="50" t="s">
        <v>35</v>
      </c>
      <c r="C7761" s="7">
        <v>4</v>
      </c>
      <c r="D7761" s="7">
        <v>2.91</v>
      </c>
      <c r="E7761" s="85">
        <f>C7761*D7761</f>
        <v>11.64</v>
      </c>
    </row>
    <row r="7762" spans="1:5" ht="18" x14ac:dyDescent="0.35">
      <c r="A7762" s="5"/>
      <c r="B7762" s="50" t="s">
        <v>36</v>
      </c>
      <c r="C7762" s="7">
        <v>4</v>
      </c>
      <c r="D7762" s="7">
        <v>0.61</v>
      </c>
      <c r="E7762" s="85">
        <f>C7762*D7762</f>
        <v>2.44</v>
      </c>
    </row>
    <row r="7763" spans="1:5" ht="18" x14ac:dyDescent="0.35">
      <c r="A7763" s="5"/>
      <c r="B7763" s="50"/>
      <c r="C7763" s="87"/>
      <c r="D7763" s="88"/>
      <c r="E7763" s="85">
        <f>SUM(E7758:E7762)</f>
        <v>447.50997999999998</v>
      </c>
    </row>
    <row r="7764" spans="1:5" ht="18" x14ac:dyDescent="0.35">
      <c r="A7764" s="5"/>
      <c r="B7764" s="50"/>
      <c r="C7764" s="87"/>
      <c r="D7764" s="88" t="s">
        <v>1266</v>
      </c>
      <c r="E7764" s="85">
        <f>E7763+E7763*40%</f>
        <v>626.51397199999997</v>
      </c>
    </row>
    <row r="7765" spans="1:5" ht="18" x14ac:dyDescent="0.35">
      <c r="A7765" s="5"/>
      <c r="B7765" s="50" t="s">
        <v>37</v>
      </c>
      <c r="C7765" s="54">
        <v>1</v>
      </c>
      <c r="D7765" s="86">
        <v>200</v>
      </c>
      <c r="E7765" s="85">
        <f>C7765*D7765</f>
        <v>200</v>
      </c>
    </row>
    <row r="7766" spans="1:5" ht="18" x14ac:dyDescent="0.35">
      <c r="A7766" s="5"/>
      <c r="B7766" s="5"/>
      <c r="C7766" s="54"/>
      <c r="D7766" s="54"/>
      <c r="E7766" s="85">
        <f>SUM(E7764:E7765)</f>
        <v>826.51397199999997</v>
      </c>
    </row>
    <row r="7768" spans="1:5" ht="21" x14ac:dyDescent="0.4">
      <c r="A7768" s="40" t="s">
        <v>1942</v>
      </c>
      <c r="B7768" s="40"/>
      <c r="C7768" s="40"/>
      <c r="D7768" s="12"/>
      <c r="E7768" s="12"/>
    </row>
    <row r="7769" spans="1:5" ht="18" x14ac:dyDescent="0.35">
      <c r="A7769" s="5" t="s">
        <v>1834</v>
      </c>
      <c r="B7769" s="5"/>
      <c r="C7769" s="7" t="s">
        <v>28</v>
      </c>
      <c r="D7769" s="7" t="s">
        <v>29</v>
      </c>
      <c r="E7769" s="7" t="s">
        <v>30</v>
      </c>
    </row>
    <row r="7770" spans="1:5" ht="18" x14ac:dyDescent="0.35">
      <c r="A7770" s="5" t="s">
        <v>1944</v>
      </c>
      <c r="B7770" s="50" t="s">
        <v>32</v>
      </c>
      <c r="C7770" s="7">
        <v>3.246</v>
      </c>
      <c r="D7770" s="7">
        <v>10.34</v>
      </c>
      <c r="E7770" s="85">
        <f>C7770*D7770</f>
        <v>33.563639999999999</v>
      </c>
    </row>
    <row r="7771" spans="1:5" ht="18" x14ac:dyDescent="0.35">
      <c r="A7771" s="5" t="s">
        <v>217</v>
      </c>
      <c r="B7771" s="50" t="s">
        <v>33</v>
      </c>
      <c r="C7771" s="7">
        <v>18.669</v>
      </c>
      <c r="D7771" s="7">
        <v>17.059999999999999</v>
      </c>
      <c r="E7771" s="85">
        <f>C7771*D7771</f>
        <v>318.49313999999998</v>
      </c>
    </row>
    <row r="7772" spans="1:5" ht="18" x14ac:dyDescent="0.35">
      <c r="A7772" s="5" t="s">
        <v>1587</v>
      </c>
      <c r="B7772" s="50" t="s">
        <v>137</v>
      </c>
      <c r="C7772" s="7">
        <v>0.63</v>
      </c>
      <c r="D7772" s="7">
        <v>15.25</v>
      </c>
      <c r="E7772" s="85">
        <f>C7772*D7772</f>
        <v>9.6074999999999999</v>
      </c>
    </row>
    <row r="7773" spans="1:5" ht="18" x14ac:dyDescent="0.35">
      <c r="A7773" s="5"/>
      <c r="B7773" s="50" t="s">
        <v>35</v>
      </c>
      <c r="C7773" s="7">
        <v>4</v>
      </c>
      <c r="D7773" s="7">
        <v>2.91</v>
      </c>
      <c r="E7773" s="85">
        <f>C7773*D7773</f>
        <v>11.64</v>
      </c>
    </row>
    <row r="7774" spans="1:5" ht="18" x14ac:dyDescent="0.35">
      <c r="A7774" s="5"/>
      <c r="B7774" s="50" t="s">
        <v>36</v>
      </c>
      <c r="C7774" s="7">
        <v>4</v>
      </c>
      <c r="D7774" s="7">
        <v>0.61</v>
      </c>
      <c r="E7774" s="85">
        <f>C7774*D7774</f>
        <v>2.44</v>
      </c>
    </row>
    <row r="7775" spans="1:5" ht="18" x14ac:dyDescent="0.35">
      <c r="A7775" s="5"/>
      <c r="B7775" s="50"/>
      <c r="C7775" s="87"/>
      <c r="D7775" s="88"/>
      <c r="E7775" s="85">
        <f>SUM(E7770:E7774)</f>
        <v>375.74428</v>
      </c>
    </row>
    <row r="7776" spans="1:5" ht="18" x14ac:dyDescent="0.35">
      <c r="A7776" s="5"/>
      <c r="B7776" s="50"/>
      <c r="C7776" s="87"/>
      <c r="D7776" s="88" t="s">
        <v>1266</v>
      </c>
      <c r="E7776" s="85">
        <f>E7775+E7775*40%</f>
        <v>526.04199200000005</v>
      </c>
    </row>
    <row r="7777" spans="1:5" ht="18" x14ac:dyDescent="0.35">
      <c r="A7777" s="5"/>
      <c r="B7777" s="50" t="s">
        <v>37</v>
      </c>
      <c r="C7777" s="54">
        <v>1</v>
      </c>
      <c r="D7777" s="86">
        <v>200</v>
      </c>
      <c r="E7777" s="85">
        <f>C7777*D7777</f>
        <v>200</v>
      </c>
    </row>
    <row r="7778" spans="1:5" ht="18" x14ac:dyDescent="0.35">
      <c r="A7778" s="5"/>
      <c r="B7778" s="5"/>
      <c r="C7778" s="54"/>
      <c r="D7778" s="54"/>
      <c r="E7778" s="85">
        <f>SUM(E7776:E7777)</f>
        <v>726.04199200000005</v>
      </c>
    </row>
    <row r="7780" spans="1:5" ht="21" x14ac:dyDescent="0.4">
      <c r="A7780" s="40" t="s">
        <v>1923</v>
      </c>
      <c r="B7780" s="40"/>
      <c r="C7780" s="84"/>
    </row>
    <row r="7781" spans="1:5" x14ac:dyDescent="0.3">
      <c r="A7781" t="s">
        <v>1945</v>
      </c>
    </row>
    <row r="7782" spans="1:5" ht="18" x14ac:dyDescent="0.35">
      <c r="A7782" s="5" t="s">
        <v>585</v>
      </c>
      <c r="B7782" s="5"/>
      <c r="C7782" s="7" t="s">
        <v>28</v>
      </c>
      <c r="D7782" s="7" t="s">
        <v>29</v>
      </c>
      <c r="E7782" s="7" t="s">
        <v>30</v>
      </c>
    </row>
    <row r="7783" spans="1:5" ht="18" x14ac:dyDescent="0.35">
      <c r="A7783" s="5" t="s">
        <v>112</v>
      </c>
      <c r="B7783" s="50" t="s">
        <v>32</v>
      </c>
      <c r="C7783" s="7">
        <v>3.9180000000000001</v>
      </c>
      <c r="D7783" s="7">
        <v>10.34</v>
      </c>
      <c r="E7783" s="85">
        <f t="shared" ref="E7783:E7788" si="493">C7783*D7783</f>
        <v>40.512120000000003</v>
      </c>
    </row>
    <row r="7784" spans="1:5" ht="18" x14ac:dyDescent="0.35">
      <c r="A7784" s="5" t="s">
        <v>1946</v>
      </c>
      <c r="B7784" s="50" t="s">
        <v>33</v>
      </c>
      <c r="C7784" s="7">
        <v>27.73</v>
      </c>
      <c r="D7784" s="7">
        <v>16.170000000000002</v>
      </c>
      <c r="E7784" s="85">
        <f t="shared" si="493"/>
        <v>448.39410000000004</v>
      </c>
    </row>
    <row r="7785" spans="1:5" ht="18" x14ac:dyDescent="0.35">
      <c r="A7785" s="102" t="s">
        <v>1222</v>
      </c>
      <c r="B7785" s="50" t="s">
        <v>128</v>
      </c>
      <c r="C7785" s="7">
        <v>2</v>
      </c>
      <c r="D7785" s="7">
        <v>1.1499999999999999</v>
      </c>
      <c r="E7785" s="85">
        <f t="shared" si="493"/>
        <v>2.2999999999999998</v>
      </c>
    </row>
    <row r="7786" spans="1:5" ht="18" x14ac:dyDescent="0.35">
      <c r="A7786" s="5"/>
      <c r="B7786" s="50" t="s">
        <v>34</v>
      </c>
      <c r="C7786" s="7">
        <v>1.68</v>
      </c>
      <c r="D7786" s="7">
        <v>14.61</v>
      </c>
      <c r="E7786" s="85">
        <f t="shared" si="493"/>
        <v>24.544799999999999</v>
      </c>
    </row>
    <row r="7787" spans="1:5" ht="18" x14ac:dyDescent="0.35">
      <c r="A7787" s="5"/>
      <c r="B7787" s="50" t="s">
        <v>35</v>
      </c>
      <c r="C7787" s="7">
        <v>4</v>
      </c>
      <c r="D7787" s="7">
        <v>2.91</v>
      </c>
      <c r="E7787" s="85">
        <f t="shared" si="493"/>
        <v>11.64</v>
      </c>
    </row>
    <row r="7788" spans="1:5" ht="18" x14ac:dyDescent="0.35">
      <c r="A7788" s="5"/>
      <c r="B7788" s="50" t="s">
        <v>36</v>
      </c>
      <c r="C7788" s="7">
        <v>4</v>
      </c>
      <c r="D7788" s="7">
        <v>0.61</v>
      </c>
      <c r="E7788" s="85">
        <f t="shared" si="493"/>
        <v>2.44</v>
      </c>
    </row>
    <row r="7789" spans="1:5" ht="18" x14ac:dyDescent="0.35">
      <c r="A7789" s="5"/>
      <c r="B7789" s="5"/>
      <c r="C7789" s="54"/>
      <c r="D7789" s="54"/>
      <c r="E7789" s="89">
        <f>SUM(E7783:E7788)</f>
        <v>529.83102000000008</v>
      </c>
    </row>
    <row r="7790" spans="1:5" ht="18" x14ac:dyDescent="0.35">
      <c r="A7790" s="5"/>
      <c r="B7790" s="5"/>
      <c r="C7790" s="54"/>
      <c r="D7790" s="54" t="s">
        <v>1066</v>
      </c>
      <c r="E7790" s="89">
        <f>E7789+E7789*40%</f>
        <v>741.76342800000009</v>
      </c>
    </row>
    <row r="7791" spans="1:5" ht="18" x14ac:dyDescent="0.35">
      <c r="A7791" s="5"/>
      <c r="B7791" s="50" t="s">
        <v>37</v>
      </c>
      <c r="C7791" s="54">
        <v>1.5</v>
      </c>
      <c r="D7791" s="54">
        <v>200</v>
      </c>
      <c r="E7791" s="85">
        <f>C7791*D7791</f>
        <v>300</v>
      </c>
    </row>
    <row r="7792" spans="1:5" ht="18" x14ac:dyDescent="0.35">
      <c r="A7792" s="5"/>
      <c r="B7792" s="5"/>
      <c r="C7792" s="54"/>
      <c r="D7792" s="54"/>
      <c r="E7792" s="85">
        <f>SUM(E7790:E7791)</f>
        <v>1041.7634280000002</v>
      </c>
    </row>
    <row r="7795" spans="1:5" ht="21" x14ac:dyDescent="0.4">
      <c r="A7795" s="40" t="s">
        <v>1923</v>
      </c>
      <c r="B7795" s="40"/>
      <c r="C7795" s="84"/>
    </row>
    <row r="7796" spans="1:5" x14ac:dyDescent="0.3">
      <c r="A7796" t="s">
        <v>1271</v>
      </c>
    </row>
    <row r="7797" spans="1:5" ht="18" x14ac:dyDescent="0.35">
      <c r="A7797" s="5" t="s">
        <v>109</v>
      </c>
      <c r="B7797" s="5"/>
      <c r="C7797" s="7" t="s">
        <v>28</v>
      </c>
      <c r="D7797" s="7" t="s">
        <v>29</v>
      </c>
      <c r="E7797" s="7" t="s">
        <v>30</v>
      </c>
    </row>
    <row r="7798" spans="1:5" ht="18" x14ac:dyDescent="0.35">
      <c r="A7798" s="5" t="s">
        <v>111</v>
      </c>
      <c r="B7798" s="50" t="s">
        <v>32</v>
      </c>
      <c r="C7798" s="7">
        <v>2.8679999999999999</v>
      </c>
      <c r="D7798" s="7">
        <v>10.34</v>
      </c>
      <c r="E7798" s="85">
        <f t="shared" ref="E7798:E7803" si="494">C7798*D7798</f>
        <v>29.65512</v>
      </c>
    </row>
    <row r="7799" spans="1:5" ht="18" x14ac:dyDescent="0.35">
      <c r="A7799" s="5" t="s">
        <v>1946</v>
      </c>
      <c r="B7799" s="50" t="s">
        <v>33</v>
      </c>
      <c r="C7799" s="7">
        <v>14.553000000000001</v>
      </c>
      <c r="D7799" s="7">
        <v>8</v>
      </c>
      <c r="E7799" s="85">
        <f t="shared" si="494"/>
        <v>116.42400000000001</v>
      </c>
    </row>
    <row r="7800" spans="1:5" ht="18" x14ac:dyDescent="0.35">
      <c r="A7800" s="102" t="s">
        <v>1222</v>
      </c>
      <c r="B7800" s="50" t="s">
        <v>90</v>
      </c>
      <c r="C7800" s="7">
        <v>2</v>
      </c>
      <c r="D7800" s="7">
        <v>1.7</v>
      </c>
      <c r="E7800" s="85">
        <f t="shared" si="494"/>
        <v>3.4</v>
      </c>
    </row>
    <row r="7801" spans="1:5" ht="18" x14ac:dyDescent="0.35">
      <c r="A7801" s="5"/>
      <c r="B7801" s="50" t="s">
        <v>34</v>
      </c>
      <c r="C7801" s="7">
        <v>0.95</v>
      </c>
      <c r="D7801" s="7">
        <v>14.61</v>
      </c>
      <c r="E7801" s="85">
        <f t="shared" si="494"/>
        <v>13.879499999999998</v>
      </c>
    </row>
    <row r="7802" spans="1:5" ht="18" x14ac:dyDescent="0.35">
      <c r="A7802" s="5"/>
      <c r="B7802" s="50" t="s">
        <v>35</v>
      </c>
      <c r="C7802" s="7">
        <v>4</v>
      </c>
      <c r="D7802" s="7">
        <v>2.91</v>
      </c>
      <c r="E7802" s="85">
        <f t="shared" si="494"/>
        <v>11.64</v>
      </c>
    </row>
    <row r="7803" spans="1:5" ht="18" x14ac:dyDescent="0.35">
      <c r="A7803" s="5"/>
      <c r="B7803" s="50" t="s">
        <v>36</v>
      </c>
      <c r="C7803" s="7">
        <v>4</v>
      </c>
      <c r="D7803" s="7">
        <v>0.61</v>
      </c>
      <c r="E7803" s="85">
        <f t="shared" si="494"/>
        <v>2.44</v>
      </c>
    </row>
    <row r="7804" spans="1:5" ht="18" x14ac:dyDescent="0.35">
      <c r="A7804" s="5"/>
      <c r="B7804" s="5"/>
      <c r="C7804" s="54"/>
      <c r="D7804" s="54"/>
      <c r="E7804" s="89">
        <f>SUM(E7798:E7803)</f>
        <v>177.43862000000001</v>
      </c>
    </row>
    <row r="7805" spans="1:5" ht="18" x14ac:dyDescent="0.35">
      <c r="A7805" s="5"/>
      <c r="B7805" s="5"/>
      <c r="C7805" s="54"/>
      <c r="D7805" s="54" t="s">
        <v>1066</v>
      </c>
      <c r="E7805" s="89">
        <f>E7804+E7804*40%</f>
        <v>248.41406800000004</v>
      </c>
    </row>
    <row r="7806" spans="1:5" ht="18" x14ac:dyDescent="0.35">
      <c r="A7806" s="5"/>
      <c r="B7806" s="50" t="s">
        <v>37</v>
      </c>
      <c r="C7806" s="54">
        <v>1</v>
      </c>
      <c r="D7806" s="54">
        <v>85</v>
      </c>
      <c r="E7806" s="85">
        <f>C7806*D7806</f>
        <v>85</v>
      </c>
    </row>
    <row r="7807" spans="1:5" ht="18" x14ac:dyDescent="0.35">
      <c r="A7807" s="5"/>
      <c r="B7807" s="5"/>
      <c r="C7807" s="54"/>
      <c r="D7807" s="54"/>
      <c r="E7807" s="85">
        <f>SUM(E7805:E7806)</f>
        <v>333.41406800000004</v>
      </c>
    </row>
    <row r="7809" spans="1:5" ht="21" x14ac:dyDescent="0.4">
      <c r="A7809" s="40" t="s">
        <v>1947</v>
      </c>
      <c r="B7809" s="40"/>
      <c r="C7809" s="84"/>
    </row>
    <row r="7810" spans="1:5" ht="18" x14ac:dyDescent="0.35">
      <c r="A7810" t="s">
        <v>1271</v>
      </c>
      <c r="B7810" s="5"/>
      <c r="C7810" s="7" t="s">
        <v>28</v>
      </c>
      <c r="D7810" s="7" t="s">
        <v>29</v>
      </c>
      <c r="E7810" s="7" t="s">
        <v>30</v>
      </c>
    </row>
    <row r="7811" spans="1:5" ht="18" x14ac:dyDescent="0.35">
      <c r="A7811" s="5" t="s">
        <v>109</v>
      </c>
      <c r="B7811" s="50" t="s">
        <v>32</v>
      </c>
      <c r="C7811" s="7">
        <v>2.8679999999999999</v>
      </c>
      <c r="D7811" s="7">
        <v>14.93</v>
      </c>
      <c r="E7811" s="85">
        <f t="shared" ref="E7811:E7818" si="495">C7811*D7811</f>
        <v>42.819240000000001</v>
      </c>
    </row>
    <row r="7812" spans="1:5" ht="18" x14ac:dyDescent="0.35">
      <c r="A7812" s="5" t="s">
        <v>217</v>
      </c>
      <c r="B7812" s="50" t="s">
        <v>33</v>
      </c>
      <c r="C7812" s="7">
        <v>14.553000000000001</v>
      </c>
      <c r="D7812" s="7">
        <v>8</v>
      </c>
      <c r="E7812" s="85">
        <f t="shared" si="495"/>
        <v>116.42400000000001</v>
      </c>
    </row>
    <row r="7813" spans="1:5" ht="18" x14ac:dyDescent="0.35">
      <c r="A7813" s="5" t="s">
        <v>1880</v>
      </c>
      <c r="B7813" s="50" t="s">
        <v>33</v>
      </c>
      <c r="C7813" s="7">
        <v>14.616</v>
      </c>
      <c r="D7813" s="7">
        <v>8</v>
      </c>
      <c r="E7813" s="85">
        <f t="shared" si="495"/>
        <v>116.928</v>
      </c>
    </row>
    <row r="7814" spans="1:5" ht="18" x14ac:dyDescent="0.35">
      <c r="A7814" s="5" t="s">
        <v>672</v>
      </c>
      <c r="B7814" s="50" t="s">
        <v>86</v>
      </c>
      <c r="C7814" s="7">
        <v>2</v>
      </c>
      <c r="D7814" s="7">
        <v>1.7</v>
      </c>
      <c r="E7814" s="85">
        <f t="shared" si="495"/>
        <v>3.4</v>
      </c>
    </row>
    <row r="7815" spans="1:5" ht="18" x14ac:dyDescent="0.35">
      <c r="A7815" s="5" t="s">
        <v>1786</v>
      </c>
      <c r="B7815" s="50" t="s">
        <v>100</v>
      </c>
      <c r="C7815" s="7">
        <v>2</v>
      </c>
      <c r="D7815" s="7">
        <v>4.4800000000000004</v>
      </c>
      <c r="E7815" s="85">
        <f t="shared" si="495"/>
        <v>8.9600000000000009</v>
      </c>
    </row>
    <row r="7816" spans="1:5" ht="18" x14ac:dyDescent="0.35">
      <c r="A7816" s="5" t="s">
        <v>1785</v>
      </c>
      <c r="B7816" s="50" t="s">
        <v>34</v>
      </c>
      <c r="C7816" s="7">
        <v>0.95</v>
      </c>
      <c r="D7816" s="7">
        <v>14.61</v>
      </c>
      <c r="E7816" s="85">
        <f t="shared" si="495"/>
        <v>13.879499999999998</v>
      </c>
    </row>
    <row r="7817" spans="1:5" ht="18" x14ac:dyDescent="0.35">
      <c r="A7817" s="5"/>
      <c r="B7817" s="50" t="s">
        <v>35</v>
      </c>
      <c r="C7817" s="7">
        <v>4</v>
      </c>
      <c r="D7817" s="7">
        <v>2.91</v>
      </c>
      <c r="E7817" s="85">
        <f t="shared" si="495"/>
        <v>11.64</v>
      </c>
    </row>
    <row r="7818" spans="1:5" ht="18" x14ac:dyDescent="0.35">
      <c r="A7818" s="5"/>
      <c r="B7818" s="50" t="s">
        <v>36</v>
      </c>
      <c r="C7818" s="7">
        <v>4</v>
      </c>
      <c r="D7818" s="7">
        <v>0.61</v>
      </c>
      <c r="E7818" s="85">
        <f t="shared" si="495"/>
        <v>2.44</v>
      </c>
    </row>
    <row r="7819" spans="1:5" ht="18" x14ac:dyDescent="0.35">
      <c r="A7819" s="5"/>
      <c r="B7819" s="5"/>
      <c r="C7819" s="54"/>
      <c r="D7819" s="54"/>
      <c r="E7819" s="89">
        <f>SUM(E7811:E7818)</f>
        <v>316.49073999999996</v>
      </c>
    </row>
    <row r="7820" spans="1:5" ht="18" x14ac:dyDescent="0.35">
      <c r="A7820" s="5"/>
      <c r="B7820" s="5"/>
      <c r="C7820" s="54"/>
      <c r="D7820" s="54" t="s">
        <v>1116</v>
      </c>
      <c r="E7820" s="89">
        <f>E7819+E7819*40%</f>
        <v>443.08703599999996</v>
      </c>
    </row>
    <row r="7821" spans="1:5" ht="18" x14ac:dyDescent="0.35">
      <c r="A7821" s="5"/>
      <c r="B7821" s="50" t="s">
        <v>37</v>
      </c>
      <c r="C7821" s="54">
        <v>1.5</v>
      </c>
      <c r="D7821" s="54">
        <v>85</v>
      </c>
      <c r="E7821" s="85">
        <f>C7821*D7821</f>
        <v>127.5</v>
      </c>
    </row>
    <row r="7822" spans="1:5" ht="18" x14ac:dyDescent="0.35">
      <c r="E7822" s="85">
        <f>SUM(E7820:E7821)</f>
        <v>570.5870359999999</v>
      </c>
    </row>
    <row r="7825" spans="1:5" ht="21" x14ac:dyDescent="0.4">
      <c r="A7825" s="40" t="s">
        <v>702</v>
      </c>
      <c r="B7825" s="40"/>
      <c r="C7825" s="40"/>
      <c r="D7825" s="12"/>
      <c r="E7825" s="12"/>
    </row>
    <row r="7826" spans="1:5" ht="18" x14ac:dyDescent="0.35">
      <c r="A7826" s="5" t="s">
        <v>1383</v>
      </c>
      <c r="B7826" s="5"/>
      <c r="C7826" s="7" t="s">
        <v>28</v>
      </c>
      <c r="D7826" s="7" t="s">
        <v>29</v>
      </c>
      <c r="E7826" s="7" t="s">
        <v>30</v>
      </c>
    </row>
    <row r="7827" spans="1:5" ht="18" x14ac:dyDescent="0.35">
      <c r="A7827" s="5" t="s">
        <v>75</v>
      </c>
      <c r="B7827" s="50" t="s">
        <v>32</v>
      </c>
      <c r="C7827" s="7">
        <v>1.3979999999999999</v>
      </c>
      <c r="D7827" s="7">
        <v>10.34</v>
      </c>
      <c r="E7827" s="85">
        <f>C7827*D7827</f>
        <v>14.455319999999999</v>
      </c>
    </row>
    <row r="7828" spans="1:5" ht="18" x14ac:dyDescent="0.35">
      <c r="A7828" s="5" t="s">
        <v>217</v>
      </c>
      <c r="B7828" s="50" t="s">
        <v>33</v>
      </c>
      <c r="C7828" s="7">
        <v>5.7329999999999997</v>
      </c>
      <c r="D7828" s="7">
        <v>10</v>
      </c>
      <c r="E7828" s="85">
        <f>C7828*D7828</f>
        <v>57.33</v>
      </c>
    </row>
    <row r="7829" spans="1:5" ht="18" x14ac:dyDescent="0.35">
      <c r="A7829" s="5" t="s">
        <v>1587</v>
      </c>
      <c r="B7829" s="50" t="s">
        <v>137</v>
      </c>
      <c r="C7829" s="7">
        <v>0.42</v>
      </c>
      <c r="D7829" s="7">
        <v>15.25</v>
      </c>
      <c r="E7829" s="85">
        <f>C7829*D7829</f>
        <v>6.4049999999999994</v>
      </c>
    </row>
    <row r="7830" spans="1:5" ht="18" x14ac:dyDescent="0.35">
      <c r="A7830" s="5"/>
      <c r="B7830" s="50" t="s">
        <v>35</v>
      </c>
      <c r="C7830" s="7">
        <v>4</v>
      </c>
      <c r="D7830" s="7">
        <v>2.91</v>
      </c>
      <c r="E7830" s="85">
        <f>C7830*D7830</f>
        <v>11.64</v>
      </c>
    </row>
    <row r="7831" spans="1:5" ht="18" x14ac:dyDescent="0.35">
      <c r="A7831" s="5"/>
      <c r="B7831" s="50" t="s">
        <v>36</v>
      </c>
      <c r="C7831" s="7">
        <v>4</v>
      </c>
      <c r="D7831" s="7">
        <v>0.61</v>
      </c>
      <c r="E7831" s="85">
        <f>C7831*D7831</f>
        <v>2.44</v>
      </c>
    </row>
    <row r="7832" spans="1:5" ht="18" x14ac:dyDescent="0.35">
      <c r="A7832" s="5"/>
      <c r="B7832" s="50"/>
      <c r="C7832" s="87"/>
      <c r="D7832" s="88"/>
      <c r="E7832" s="85">
        <f>SUM(E7827:E7831)</f>
        <v>92.270319999999998</v>
      </c>
    </row>
    <row r="7833" spans="1:5" ht="18" x14ac:dyDescent="0.35">
      <c r="A7833" s="5"/>
      <c r="B7833" s="50"/>
      <c r="C7833" s="87"/>
      <c r="D7833" s="88" t="s">
        <v>1266</v>
      </c>
      <c r="E7833" s="85">
        <f>E7832+E7832*40%</f>
        <v>129.178448</v>
      </c>
    </row>
    <row r="7834" spans="1:5" ht="18" x14ac:dyDescent="0.35">
      <c r="A7834" s="5"/>
      <c r="B7834" s="50" t="s">
        <v>37</v>
      </c>
      <c r="C7834" s="54">
        <v>0.5</v>
      </c>
      <c r="D7834" s="86">
        <v>200</v>
      </c>
      <c r="E7834" s="85">
        <f>C7834*D7834</f>
        <v>100</v>
      </c>
    </row>
    <row r="7835" spans="1:5" ht="18" x14ac:dyDescent="0.35">
      <c r="A7835" s="5"/>
      <c r="B7835" s="5"/>
      <c r="C7835" s="54"/>
      <c r="D7835" s="54"/>
      <c r="E7835" s="85">
        <f>SUM(E7833:E7834)</f>
        <v>229.178448</v>
      </c>
    </row>
    <row r="7837" spans="1:5" ht="21" x14ac:dyDescent="0.4">
      <c r="A7837" s="40" t="s">
        <v>873</v>
      </c>
      <c r="B7837" s="40"/>
      <c r="C7837" s="40"/>
      <c r="D7837" s="12"/>
      <c r="E7837" s="12"/>
    </row>
    <row r="7838" spans="1:5" ht="18" x14ac:dyDescent="0.35">
      <c r="A7838" s="5" t="s">
        <v>1383</v>
      </c>
      <c r="B7838" s="5"/>
      <c r="C7838" s="7" t="s">
        <v>28</v>
      </c>
      <c r="D7838" s="7" t="s">
        <v>29</v>
      </c>
      <c r="E7838" s="7" t="s">
        <v>30</v>
      </c>
    </row>
    <row r="7839" spans="1:5" ht="18" x14ac:dyDescent="0.35">
      <c r="A7839" s="5" t="s">
        <v>44</v>
      </c>
      <c r="B7839" s="50" t="s">
        <v>32</v>
      </c>
      <c r="C7839" s="7">
        <v>1.6080000000000001</v>
      </c>
      <c r="D7839" s="7">
        <v>10.34</v>
      </c>
      <c r="E7839" s="85">
        <f>C7839*D7839</f>
        <v>16.626720000000002</v>
      </c>
    </row>
    <row r="7840" spans="1:5" ht="18" x14ac:dyDescent="0.35">
      <c r="A7840" s="5" t="s">
        <v>143</v>
      </c>
      <c r="B7840" s="50" t="s">
        <v>33</v>
      </c>
      <c r="C7840" s="7">
        <v>3.7170000000000001</v>
      </c>
      <c r="D7840" s="7">
        <v>10</v>
      </c>
      <c r="E7840" s="85">
        <f>C7840*D7840</f>
        <v>37.17</v>
      </c>
    </row>
    <row r="7841" spans="1:5" ht="18" x14ac:dyDescent="0.35">
      <c r="A7841" s="5" t="s">
        <v>1587</v>
      </c>
      <c r="B7841" s="50" t="s">
        <v>137</v>
      </c>
      <c r="C7841" s="7">
        <v>0.21</v>
      </c>
      <c r="D7841" s="7">
        <v>15.25</v>
      </c>
      <c r="E7841" s="85">
        <f>C7841*D7841</f>
        <v>3.2024999999999997</v>
      </c>
    </row>
    <row r="7842" spans="1:5" ht="18" x14ac:dyDescent="0.35">
      <c r="A7842" s="5"/>
      <c r="B7842" s="50" t="s">
        <v>35</v>
      </c>
      <c r="C7842" s="7">
        <v>4</v>
      </c>
      <c r="D7842" s="7">
        <v>2.91</v>
      </c>
      <c r="E7842" s="85">
        <f>C7842*D7842</f>
        <v>11.64</v>
      </c>
    </row>
    <row r="7843" spans="1:5" ht="18" x14ac:dyDescent="0.35">
      <c r="A7843" s="5"/>
      <c r="B7843" s="50" t="s">
        <v>36</v>
      </c>
      <c r="C7843" s="7">
        <v>4</v>
      </c>
      <c r="D7843" s="7">
        <v>0.61</v>
      </c>
      <c r="E7843" s="85">
        <f>C7843*D7843</f>
        <v>2.44</v>
      </c>
    </row>
    <row r="7844" spans="1:5" ht="18" x14ac:dyDescent="0.35">
      <c r="A7844" s="5"/>
      <c r="B7844" s="50"/>
      <c r="C7844" s="87"/>
      <c r="D7844" s="88"/>
      <c r="E7844" s="85">
        <f>SUM(E7839:E7843)</f>
        <v>71.079220000000007</v>
      </c>
    </row>
    <row r="7845" spans="1:5" ht="18" x14ac:dyDescent="0.35">
      <c r="A7845" s="5"/>
      <c r="B7845" s="50"/>
      <c r="C7845" s="87"/>
      <c r="D7845" s="88" t="s">
        <v>1266</v>
      </c>
      <c r="E7845" s="85">
        <f>E7844+E7844*40%</f>
        <v>99.510908000000015</v>
      </c>
    </row>
    <row r="7846" spans="1:5" ht="18" x14ac:dyDescent="0.35">
      <c r="A7846" s="5"/>
      <c r="B7846" s="50" t="s">
        <v>37</v>
      </c>
      <c r="C7846" s="54">
        <v>0.5</v>
      </c>
      <c r="D7846" s="86">
        <v>200</v>
      </c>
      <c r="E7846" s="85">
        <f>C7846*D7846</f>
        <v>100</v>
      </c>
    </row>
    <row r="7847" spans="1:5" ht="18" x14ac:dyDescent="0.35">
      <c r="A7847" s="5"/>
      <c r="B7847" s="5"/>
      <c r="C7847" s="54"/>
      <c r="D7847" s="54"/>
      <c r="E7847" s="85">
        <f>SUM(E7845:E7846)</f>
        <v>199.51090800000003</v>
      </c>
    </row>
    <row r="7849" spans="1:5" ht="21" x14ac:dyDescent="0.4">
      <c r="A7849" s="40" t="s">
        <v>1947</v>
      </c>
      <c r="B7849" s="40"/>
      <c r="C7849" s="84"/>
    </row>
    <row r="7850" spans="1:5" ht="18" x14ac:dyDescent="0.35">
      <c r="A7850" t="s">
        <v>1271</v>
      </c>
      <c r="B7850" s="5"/>
      <c r="C7850" s="7" t="s">
        <v>28</v>
      </c>
      <c r="D7850" s="7" t="s">
        <v>29</v>
      </c>
      <c r="E7850" s="7" t="s">
        <v>30</v>
      </c>
    </row>
    <row r="7851" spans="1:5" ht="18" x14ac:dyDescent="0.35">
      <c r="A7851" s="5" t="s">
        <v>49</v>
      </c>
      <c r="B7851" s="50" t="s">
        <v>32</v>
      </c>
      <c r="C7851" s="7">
        <v>2.8679999999999999</v>
      </c>
      <c r="D7851" s="7">
        <v>14.93</v>
      </c>
      <c r="E7851" s="85">
        <f t="shared" ref="E7851:E7858" si="496">C7851*D7851</f>
        <v>42.819240000000001</v>
      </c>
    </row>
    <row r="7852" spans="1:5" ht="18" x14ac:dyDescent="0.35">
      <c r="A7852" s="5" t="s">
        <v>238</v>
      </c>
      <c r="B7852" s="50" t="s">
        <v>33</v>
      </c>
      <c r="C7852" s="7">
        <v>4.9980000000000002</v>
      </c>
      <c r="D7852" s="7">
        <v>10</v>
      </c>
      <c r="E7852" s="85">
        <f t="shared" si="496"/>
        <v>49.980000000000004</v>
      </c>
    </row>
    <row r="7853" spans="1:5" ht="18" x14ac:dyDescent="0.35">
      <c r="A7853" s="5" t="s">
        <v>1880</v>
      </c>
      <c r="B7853" s="50" t="s">
        <v>33</v>
      </c>
      <c r="C7853" s="7">
        <v>4.5359999999999996</v>
      </c>
      <c r="D7853" s="7">
        <v>10</v>
      </c>
      <c r="E7853" s="85">
        <f t="shared" si="496"/>
        <v>45.36</v>
      </c>
    </row>
    <row r="7854" spans="1:5" ht="18" x14ac:dyDescent="0.35">
      <c r="A7854" s="5" t="s">
        <v>616</v>
      </c>
      <c r="B7854" s="50" t="s">
        <v>42</v>
      </c>
      <c r="C7854" s="7">
        <v>2</v>
      </c>
      <c r="D7854" s="7">
        <v>1.7</v>
      </c>
      <c r="E7854" s="85">
        <f t="shared" si="496"/>
        <v>3.4</v>
      </c>
    </row>
    <row r="7855" spans="1:5" ht="18" x14ac:dyDescent="0.35">
      <c r="A7855" s="5" t="s">
        <v>1951</v>
      </c>
      <c r="B7855" s="50" t="s">
        <v>100</v>
      </c>
      <c r="C7855" s="7">
        <v>2</v>
      </c>
      <c r="D7855" s="7">
        <v>6.48</v>
      </c>
      <c r="E7855" s="85">
        <f t="shared" si="496"/>
        <v>12.96</v>
      </c>
    </row>
    <row r="7856" spans="1:5" ht="18" x14ac:dyDescent="0.35">
      <c r="A7856" s="5"/>
      <c r="B7856" s="50" t="s">
        <v>34</v>
      </c>
      <c r="C7856" s="7">
        <v>0.53</v>
      </c>
      <c r="D7856" s="7">
        <v>14.61</v>
      </c>
      <c r="E7856" s="85">
        <f t="shared" si="496"/>
        <v>7.7433000000000005</v>
      </c>
    </row>
    <row r="7857" spans="1:5" ht="18" x14ac:dyDescent="0.35">
      <c r="A7857" s="5"/>
      <c r="B7857" s="50" t="s">
        <v>35</v>
      </c>
      <c r="C7857" s="7">
        <v>4</v>
      </c>
      <c r="D7857" s="7">
        <v>2.91</v>
      </c>
      <c r="E7857" s="85">
        <f t="shared" si="496"/>
        <v>11.64</v>
      </c>
    </row>
    <row r="7858" spans="1:5" ht="18" x14ac:dyDescent="0.35">
      <c r="A7858" s="5"/>
      <c r="B7858" s="50" t="s">
        <v>36</v>
      </c>
      <c r="C7858" s="7">
        <v>4</v>
      </c>
      <c r="D7858" s="7">
        <v>0.61</v>
      </c>
      <c r="E7858" s="85">
        <f t="shared" si="496"/>
        <v>2.44</v>
      </c>
    </row>
    <row r="7859" spans="1:5" ht="18" x14ac:dyDescent="0.35">
      <c r="A7859" s="5"/>
      <c r="B7859" s="5"/>
      <c r="C7859" s="54"/>
      <c r="D7859" s="54"/>
      <c r="E7859" s="89">
        <f>SUM(E7851:E7858)</f>
        <v>176.34254000000004</v>
      </c>
    </row>
    <row r="7860" spans="1:5" ht="18" x14ac:dyDescent="0.35">
      <c r="A7860" s="5"/>
      <c r="B7860" s="5"/>
      <c r="C7860" s="54"/>
      <c r="D7860" s="54" t="s">
        <v>1063</v>
      </c>
      <c r="E7860" s="89">
        <f>E7859+E7859*40%</f>
        <v>246.87955600000006</v>
      </c>
    </row>
    <row r="7861" spans="1:5" ht="18" x14ac:dyDescent="0.35">
      <c r="A7861" s="5"/>
      <c r="B7861" s="50" t="s">
        <v>37</v>
      </c>
      <c r="C7861" s="54">
        <v>1.5</v>
      </c>
      <c r="D7861" s="54">
        <v>200</v>
      </c>
      <c r="E7861" s="85">
        <f>C7861*D7861</f>
        <v>300</v>
      </c>
    </row>
    <row r="7862" spans="1:5" ht="18" x14ac:dyDescent="0.35">
      <c r="E7862" s="85">
        <f>SUM(E7860:E7861)</f>
        <v>546.87955600000009</v>
      </c>
    </row>
    <row r="7864" spans="1:5" ht="21" x14ac:dyDescent="0.4">
      <c r="A7864" s="40" t="s">
        <v>1947</v>
      </c>
      <c r="B7864" s="40"/>
      <c r="C7864" s="84"/>
    </row>
    <row r="7865" spans="1:5" ht="18" x14ac:dyDescent="0.35">
      <c r="A7865" t="s">
        <v>1156</v>
      </c>
      <c r="B7865" s="5"/>
      <c r="C7865" s="7" t="s">
        <v>28</v>
      </c>
      <c r="D7865" s="7" t="s">
        <v>29</v>
      </c>
      <c r="E7865" s="7" t="s">
        <v>30</v>
      </c>
    </row>
    <row r="7866" spans="1:5" ht="18" x14ac:dyDescent="0.35">
      <c r="A7866" s="5" t="s">
        <v>330</v>
      </c>
      <c r="B7866" s="50" t="s">
        <v>32</v>
      </c>
      <c r="C7866" s="7">
        <v>3.6030000000000002</v>
      </c>
      <c r="D7866" s="7">
        <v>14.93</v>
      </c>
      <c r="E7866" s="85">
        <f t="shared" ref="E7866:E7873" si="497">C7866*D7866</f>
        <v>53.792790000000004</v>
      </c>
    </row>
    <row r="7867" spans="1:5" ht="18" x14ac:dyDescent="0.35">
      <c r="A7867" s="5" t="s">
        <v>54</v>
      </c>
      <c r="B7867" s="50" t="s">
        <v>33</v>
      </c>
      <c r="C7867" s="7">
        <v>24.738</v>
      </c>
      <c r="D7867" s="7">
        <v>10</v>
      </c>
      <c r="E7867" s="85">
        <f t="shared" si="497"/>
        <v>247.38</v>
      </c>
    </row>
    <row r="7868" spans="1:5" ht="18" x14ac:dyDescent="0.35">
      <c r="A7868" s="5" t="s">
        <v>1952</v>
      </c>
      <c r="B7868" s="50" t="s">
        <v>33</v>
      </c>
      <c r="C7868" s="7">
        <v>25.388999999999999</v>
      </c>
      <c r="D7868" s="7">
        <v>10</v>
      </c>
      <c r="E7868" s="85">
        <f t="shared" si="497"/>
        <v>253.89</v>
      </c>
    </row>
    <row r="7869" spans="1:5" ht="18" x14ac:dyDescent="0.35">
      <c r="A7869" s="5" t="s">
        <v>800</v>
      </c>
      <c r="B7869" s="50" t="s">
        <v>87</v>
      </c>
      <c r="C7869" s="7">
        <v>2</v>
      </c>
      <c r="D7869" s="7">
        <v>1.81</v>
      </c>
      <c r="E7869" s="85">
        <f t="shared" si="497"/>
        <v>3.62</v>
      </c>
    </row>
    <row r="7870" spans="1:5" ht="18" x14ac:dyDescent="0.35">
      <c r="A7870" s="5" t="s">
        <v>1954</v>
      </c>
      <c r="B7870" s="50" t="s">
        <v>1953</v>
      </c>
      <c r="C7870" s="7">
        <v>2</v>
      </c>
      <c r="D7870" s="7">
        <v>7.95</v>
      </c>
      <c r="E7870" s="85">
        <f t="shared" si="497"/>
        <v>15.9</v>
      </c>
    </row>
    <row r="7871" spans="1:5" ht="18" x14ac:dyDescent="0.35">
      <c r="A7871" s="5"/>
      <c r="B7871" s="50" t="s">
        <v>34</v>
      </c>
      <c r="C7871" s="7">
        <v>1.26</v>
      </c>
      <c r="D7871" s="7">
        <v>14.61</v>
      </c>
      <c r="E7871" s="85">
        <f t="shared" si="497"/>
        <v>18.4086</v>
      </c>
    </row>
    <row r="7872" spans="1:5" ht="18" x14ac:dyDescent="0.35">
      <c r="A7872" s="5"/>
      <c r="B7872" s="50" t="s">
        <v>35</v>
      </c>
      <c r="C7872" s="7">
        <v>4</v>
      </c>
      <c r="D7872" s="7">
        <v>2.91</v>
      </c>
      <c r="E7872" s="85">
        <f t="shared" si="497"/>
        <v>11.64</v>
      </c>
    </row>
    <row r="7873" spans="1:5" ht="18" x14ac:dyDescent="0.35">
      <c r="A7873" s="5"/>
      <c r="B7873" s="50" t="s">
        <v>36</v>
      </c>
      <c r="C7873" s="7">
        <v>4</v>
      </c>
      <c r="D7873" s="7">
        <v>0.61</v>
      </c>
      <c r="E7873" s="85">
        <f t="shared" si="497"/>
        <v>2.44</v>
      </c>
    </row>
    <row r="7874" spans="1:5" ht="18" x14ac:dyDescent="0.35">
      <c r="A7874" s="5"/>
      <c r="B7874" s="5"/>
      <c r="C7874" s="54"/>
      <c r="D7874" s="54"/>
      <c r="E7874" s="89">
        <f>SUM(E7866:E7873)</f>
        <v>607.07138999999995</v>
      </c>
    </row>
    <row r="7875" spans="1:5" ht="18" x14ac:dyDescent="0.35">
      <c r="A7875" s="5"/>
      <c r="B7875" s="5"/>
      <c r="C7875" s="54"/>
      <c r="D7875" s="54" t="s">
        <v>1116</v>
      </c>
      <c r="E7875" s="89">
        <f>E7874+E7874*30%</f>
        <v>789.1928069999999</v>
      </c>
    </row>
    <row r="7876" spans="1:5" ht="18" x14ac:dyDescent="0.35">
      <c r="A7876" s="5"/>
      <c r="B7876" s="50" t="s">
        <v>37</v>
      </c>
      <c r="C7876" s="54">
        <v>1.5</v>
      </c>
      <c r="D7876" s="54">
        <v>200</v>
      </c>
      <c r="E7876" s="85">
        <f>C7876*D7876</f>
        <v>300</v>
      </c>
    </row>
    <row r="7877" spans="1:5" ht="18" x14ac:dyDescent="0.35">
      <c r="E7877" s="85">
        <f>SUM(E7875:E7876)</f>
        <v>1089.1928069999999</v>
      </c>
    </row>
    <row r="7879" spans="1:5" ht="21" x14ac:dyDescent="0.4">
      <c r="A7879" s="40" t="s">
        <v>1923</v>
      </c>
      <c r="B7879" s="40"/>
      <c r="C7879" s="84"/>
    </row>
    <row r="7880" spans="1:5" x14ac:dyDescent="0.3">
      <c r="A7880" t="s">
        <v>1427</v>
      </c>
    </row>
    <row r="7881" spans="1:5" ht="18" x14ac:dyDescent="0.35">
      <c r="A7881" s="5" t="s">
        <v>748</v>
      </c>
      <c r="B7881" s="5"/>
      <c r="C7881" s="7" t="s">
        <v>28</v>
      </c>
      <c r="D7881" s="7" t="s">
        <v>29</v>
      </c>
      <c r="E7881" s="7" t="s">
        <v>30</v>
      </c>
    </row>
    <row r="7882" spans="1:5" ht="18" x14ac:dyDescent="0.35">
      <c r="A7882" s="5" t="s">
        <v>749</v>
      </c>
      <c r="B7882" s="50" t="s">
        <v>32</v>
      </c>
      <c r="C7882" s="7">
        <v>3.6030000000000002</v>
      </c>
      <c r="D7882" s="7">
        <v>10.34</v>
      </c>
      <c r="E7882" s="85">
        <f t="shared" ref="E7882:E7887" si="498">C7882*D7882</f>
        <v>37.255020000000002</v>
      </c>
    </row>
    <row r="7883" spans="1:5" ht="18" x14ac:dyDescent="0.35">
      <c r="A7883" s="5" t="s">
        <v>750</v>
      </c>
      <c r="B7883" s="50" t="s">
        <v>33</v>
      </c>
      <c r="C7883" s="7">
        <v>9.3870000000000005</v>
      </c>
      <c r="D7883" s="7">
        <v>10</v>
      </c>
      <c r="E7883" s="85">
        <f t="shared" si="498"/>
        <v>93.87</v>
      </c>
    </row>
    <row r="7884" spans="1:5" ht="18" x14ac:dyDescent="0.35">
      <c r="A7884" s="102" t="s">
        <v>1222</v>
      </c>
      <c r="B7884" s="50" t="s">
        <v>96</v>
      </c>
      <c r="C7884" s="7">
        <v>2</v>
      </c>
      <c r="D7884" s="7">
        <v>1.6</v>
      </c>
      <c r="E7884" s="85">
        <f t="shared" si="498"/>
        <v>3.2</v>
      </c>
    </row>
    <row r="7885" spans="1:5" ht="18" x14ac:dyDescent="0.35">
      <c r="A7885" s="5"/>
      <c r="B7885" s="50" t="s">
        <v>34</v>
      </c>
      <c r="C7885" s="7">
        <v>0.63</v>
      </c>
      <c r="D7885" s="7">
        <v>14.61</v>
      </c>
      <c r="E7885" s="85">
        <f t="shared" si="498"/>
        <v>9.2042999999999999</v>
      </c>
    </row>
    <row r="7886" spans="1:5" ht="18" x14ac:dyDescent="0.35">
      <c r="A7886" s="5"/>
      <c r="B7886" s="50" t="s">
        <v>35</v>
      </c>
      <c r="C7886" s="7">
        <v>4</v>
      </c>
      <c r="D7886" s="7">
        <v>2.91</v>
      </c>
      <c r="E7886" s="85">
        <f t="shared" si="498"/>
        <v>11.64</v>
      </c>
    </row>
    <row r="7887" spans="1:5" ht="18" x14ac:dyDescent="0.35">
      <c r="A7887" s="5"/>
      <c r="B7887" s="50" t="s">
        <v>36</v>
      </c>
      <c r="C7887" s="7">
        <v>4</v>
      </c>
      <c r="D7887" s="7">
        <v>0.61</v>
      </c>
      <c r="E7887" s="85">
        <f t="shared" si="498"/>
        <v>2.44</v>
      </c>
    </row>
    <row r="7888" spans="1:5" ht="18" x14ac:dyDescent="0.35">
      <c r="A7888" s="5"/>
      <c r="B7888" s="5"/>
      <c r="C7888" s="54"/>
      <c r="D7888" s="54"/>
      <c r="E7888" s="89">
        <f>SUM(E7882:E7887)</f>
        <v>157.60931999999997</v>
      </c>
    </row>
    <row r="7889" spans="1:5" ht="18" x14ac:dyDescent="0.35">
      <c r="A7889" s="5"/>
      <c r="B7889" s="5"/>
      <c r="C7889" s="54"/>
      <c r="D7889" s="54" t="s">
        <v>1066</v>
      </c>
      <c r="E7889" s="89">
        <f>E7888+E7888*40%</f>
        <v>220.65304799999996</v>
      </c>
    </row>
    <row r="7890" spans="1:5" ht="18" x14ac:dyDescent="0.35">
      <c r="A7890" s="5"/>
      <c r="B7890" s="50" t="s">
        <v>37</v>
      </c>
      <c r="C7890" s="54">
        <v>1</v>
      </c>
      <c r="D7890" s="54">
        <v>200</v>
      </c>
      <c r="E7890" s="85">
        <f>C7890*D7890</f>
        <v>200</v>
      </c>
    </row>
    <row r="7891" spans="1:5" ht="18" x14ac:dyDescent="0.35">
      <c r="A7891" s="5"/>
      <c r="B7891" s="5"/>
      <c r="C7891" s="54"/>
      <c r="D7891" s="54"/>
      <c r="E7891" s="85">
        <f>SUM(E7889:E7890)</f>
        <v>420.65304799999996</v>
      </c>
    </row>
    <row r="7894" spans="1:5" ht="21" x14ac:dyDescent="0.4">
      <c r="A7894" s="40" t="s">
        <v>1923</v>
      </c>
      <c r="B7894" s="40"/>
      <c r="C7894" s="84"/>
    </row>
    <row r="7895" spans="1:5" x14ac:dyDescent="0.3">
      <c r="A7895" t="s">
        <v>1427</v>
      </c>
    </row>
    <row r="7896" spans="1:5" ht="18" x14ac:dyDescent="0.35">
      <c r="A7896" s="5" t="s">
        <v>109</v>
      </c>
      <c r="B7896" s="5"/>
      <c r="C7896" s="7" t="s">
        <v>28</v>
      </c>
      <c r="D7896" s="7" t="s">
        <v>29</v>
      </c>
      <c r="E7896" s="7" t="s">
        <v>30</v>
      </c>
    </row>
    <row r="7897" spans="1:5" ht="18" x14ac:dyDescent="0.35">
      <c r="A7897" s="5" t="s">
        <v>111</v>
      </c>
      <c r="B7897" s="50" t="s">
        <v>32</v>
      </c>
      <c r="C7897" s="7">
        <v>2.8679999999999999</v>
      </c>
      <c r="D7897" s="7">
        <v>10.34</v>
      </c>
      <c r="E7897" s="85">
        <f t="shared" ref="E7897:E7902" si="499">C7897*D7897</f>
        <v>29.65512</v>
      </c>
    </row>
    <row r="7898" spans="1:5" ht="18" x14ac:dyDescent="0.35">
      <c r="A7898" s="5" t="s">
        <v>761</v>
      </c>
      <c r="B7898" s="50" t="s">
        <v>33</v>
      </c>
      <c r="C7898" s="7">
        <v>14.553000000000001</v>
      </c>
      <c r="D7898" s="7">
        <v>10</v>
      </c>
      <c r="E7898" s="85">
        <f t="shared" si="499"/>
        <v>145.53</v>
      </c>
    </row>
    <row r="7899" spans="1:5" ht="18" x14ac:dyDescent="0.35">
      <c r="A7899" s="102" t="s">
        <v>1222</v>
      </c>
      <c r="B7899" s="50" t="s">
        <v>90</v>
      </c>
      <c r="C7899" s="7">
        <v>2</v>
      </c>
      <c r="D7899" s="7">
        <v>1.7</v>
      </c>
      <c r="E7899" s="85">
        <f t="shared" si="499"/>
        <v>3.4</v>
      </c>
    </row>
    <row r="7900" spans="1:5" ht="18" x14ac:dyDescent="0.35">
      <c r="A7900" s="5"/>
      <c r="B7900" s="50" t="s">
        <v>34</v>
      </c>
      <c r="C7900" s="7">
        <v>0.63</v>
      </c>
      <c r="D7900" s="7">
        <v>14.61</v>
      </c>
      <c r="E7900" s="85">
        <f t="shared" si="499"/>
        <v>9.2042999999999999</v>
      </c>
    </row>
    <row r="7901" spans="1:5" ht="18" x14ac:dyDescent="0.35">
      <c r="A7901" s="5"/>
      <c r="B7901" s="50" t="s">
        <v>35</v>
      </c>
      <c r="C7901" s="7">
        <v>4</v>
      </c>
      <c r="D7901" s="7">
        <v>2.91</v>
      </c>
      <c r="E7901" s="85">
        <f t="shared" si="499"/>
        <v>11.64</v>
      </c>
    </row>
    <row r="7902" spans="1:5" ht="18" x14ac:dyDescent="0.35">
      <c r="A7902" s="5"/>
      <c r="B7902" s="50" t="s">
        <v>36</v>
      </c>
      <c r="C7902" s="7">
        <v>4</v>
      </c>
      <c r="D7902" s="7">
        <v>0.61</v>
      </c>
      <c r="E7902" s="85">
        <f t="shared" si="499"/>
        <v>2.44</v>
      </c>
    </row>
    <row r="7903" spans="1:5" ht="18" x14ac:dyDescent="0.35">
      <c r="A7903" s="5"/>
      <c r="B7903" s="5"/>
      <c r="C7903" s="54"/>
      <c r="D7903" s="54"/>
      <c r="E7903" s="89">
        <f>SUM(E7897:E7902)</f>
        <v>201.86941999999999</v>
      </c>
    </row>
    <row r="7904" spans="1:5" ht="18" x14ac:dyDescent="0.35">
      <c r="A7904" s="5"/>
      <c r="B7904" s="5"/>
      <c r="C7904" s="54"/>
      <c r="D7904" s="54" t="s">
        <v>1066</v>
      </c>
      <c r="E7904" s="89">
        <f>E7903+E7903*40%</f>
        <v>282.617188</v>
      </c>
    </row>
    <row r="7905" spans="1:5" ht="18" x14ac:dyDescent="0.35">
      <c r="A7905" s="5"/>
      <c r="B7905" s="50" t="s">
        <v>37</v>
      </c>
      <c r="C7905" s="54">
        <v>1</v>
      </c>
      <c r="D7905" s="54">
        <v>200</v>
      </c>
      <c r="E7905" s="85">
        <f>C7905*D7905</f>
        <v>200</v>
      </c>
    </row>
    <row r="7906" spans="1:5" ht="18" x14ac:dyDescent="0.35">
      <c r="A7906" s="5"/>
      <c r="B7906" s="5"/>
      <c r="C7906" s="54"/>
      <c r="D7906" s="54"/>
      <c r="E7906" s="85">
        <f>SUM(E7904:E7905)</f>
        <v>482.617188</v>
      </c>
    </row>
    <row r="7908" spans="1:5" ht="21" x14ac:dyDescent="0.4">
      <c r="A7908" s="40" t="s">
        <v>1947</v>
      </c>
      <c r="B7908" s="40"/>
      <c r="C7908" s="84"/>
    </row>
    <row r="7909" spans="1:5" ht="18" x14ac:dyDescent="0.35">
      <c r="A7909" t="s">
        <v>1427</v>
      </c>
      <c r="B7909" s="5"/>
      <c r="C7909" s="7" t="s">
        <v>28</v>
      </c>
      <c r="D7909" s="7" t="s">
        <v>29</v>
      </c>
      <c r="E7909" s="7" t="s">
        <v>30</v>
      </c>
    </row>
    <row r="7910" spans="1:5" ht="18" x14ac:dyDescent="0.35">
      <c r="A7910" s="5" t="s">
        <v>109</v>
      </c>
      <c r="B7910" s="50" t="s">
        <v>32</v>
      </c>
      <c r="C7910" s="7">
        <v>2.8679999999999999</v>
      </c>
      <c r="D7910" s="7">
        <v>14.93</v>
      </c>
      <c r="E7910" s="85">
        <f t="shared" ref="E7910:E7917" si="500">C7910*D7910</f>
        <v>42.819240000000001</v>
      </c>
    </row>
    <row r="7911" spans="1:5" ht="18" x14ac:dyDescent="0.35">
      <c r="A7911" s="5" t="s">
        <v>217</v>
      </c>
      <c r="B7911" s="50" t="s">
        <v>33</v>
      </c>
      <c r="C7911" s="7">
        <v>14.553000000000001</v>
      </c>
      <c r="D7911" s="7">
        <v>10</v>
      </c>
      <c r="E7911" s="85">
        <f t="shared" si="500"/>
        <v>145.53</v>
      </c>
    </row>
    <row r="7912" spans="1:5" ht="18" x14ac:dyDescent="0.35">
      <c r="A7912" s="5" t="s">
        <v>1849</v>
      </c>
      <c r="B7912" s="50" t="s">
        <v>33</v>
      </c>
      <c r="C7912" s="7">
        <v>15.225</v>
      </c>
      <c r="D7912" s="7">
        <v>10</v>
      </c>
      <c r="E7912" s="85">
        <f t="shared" si="500"/>
        <v>152.25</v>
      </c>
    </row>
    <row r="7913" spans="1:5" ht="18" x14ac:dyDescent="0.35">
      <c r="A7913" s="5" t="s">
        <v>800</v>
      </c>
      <c r="B7913" s="50" t="s">
        <v>86</v>
      </c>
      <c r="C7913" s="7">
        <v>2</v>
      </c>
      <c r="D7913" s="7">
        <v>1.17</v>
      </c>
      <c r="E7913" s="85">
        <f t="shared" si="500"/>
        <v>2.34</v>
      </c>
    </row>
    <row r="7914" spans="1:5" ht="18" x14ac:dyDescent="0.35">
      <c r="A7914" s="5" t="s">
        <v>1954</v>
      </c>
      <c r="B7914" s="50" t="s">
        <v>100</v>
      </c>
      <c r="C7914" s="7">
        <v>4</v>
      </c>
      <c r="D7914" s="7">
        <v>2.2400000000000002</v>
      </c>
      <c r="E7914" s="85">
        <f t="shared" si="500"/>
        <v>8.9600000000000009</v>
      </c>
    </row>
    <row r="7915" spans="1:5" ht="18" x14ac:dyDescent="0.35">
      <c r="A7915" s="5"/>
      <c r="B7915" s="50" t="s">
        <v>34</v>
      </c>
      <c r="C7915" s="7">
        <v>0.63</v>
      </c>
      <c r="D7915" s="7">
        <v>14.61</v>
      </c>
      <c r="E7915" s="85">
        <f t="shared" si="500"/>
        <v>9.2042999999999999</v>
      </c>
    </row>
    <row r="7916" spans="1:5" ht="18" x14ac:dyDescent="0.35">
      <c r="A7916" s="5"/>
      <c r="B7916" s="50" t="s">
        <v>35</v>
      </c>
      <c r="C7916" s="7">
        <v>4</v>
      </c>
      <c r="D7916" s="7">
        <v>2.91</v>
      </c>
      <c r="E7916" s="85">
        <f t="shared" si="500"/>
        <v>11.64</v>
      </c>
    </row>
    <row r="7917" spans="1:5" ht="18" x14ac:dyDescent="0.35">
      <c r="A7917" s="5"/>
      <c r="B7917" s="50" t="s">
        <v>36</v>
      </c>
      <c r="C7917" s="7">
        <v>4</v>
      </c>
      <c r="D7917" s="7">
        <v>0.61</v>
      </c>
      <c r="E7917" s="85">
        <f t="shared" si="500"/>
        <v>2.44</v>
      </c>
    </row>
    <row r="7918" spans="1:5" ht="18" x14ac:dyDescent="0.35">
      <c r="A7918" s="5"/>
      <c r="B7918" s="5"/>
      <c r="C7918" s="54"/>
      <c r="D7918" s="54"/>
      <c r="E7918" s="89">
        <f>SUM(E7910:E7917)</f>
        <v>375.18353999999994</v>
      </c>
    </row>
    <row r="7919" spans="1:5" ht="18" x14ac:dyDescent="0.35">
      <c r="A7919" s="5"/>
      <c r="B7919" s="5"/>
      <c r="C7919" s="54"/>
      <c r="D7919" s="54" t="s">
        <v>1116</v>
      </c>
      <c r="E7919" s="89">
        <f>E7918+E7918*30%</f>
        <v>487.7386019999999</v>
      </c>
    </row>
    <row r="7920" spans="1:5" ht="18" x14ac:dyDescent="0.35">
      <c r="A7920" s="5"/>
      <c r="B7920" s="50" t="s">
        <v>37</v>
      </c>
      <c r="C7920" s="54">
        <v>1</v>
      </c>
      <c r="D7920" s="54">
        <v>200</v>
      </c>
      <c r="E7920" s="85">
        <v>200</v>
      </c>
    </row>
    <row r="7921" spans="1:5" ht="18" x14ac:dyDescent="0.35">
      <c r="E7921" s="85">
        <f>SUM(E7919:E7920)</f>
        <v>687.7386019999999</v>
      </c>
    </row>
    <row r="7923" spans="1:5" ht="21" x14ac:dyDescent="0.4">
      <c r="A7923" s="40" t="s">
        <v>732</v>
      </c>
      <c r="B7923" s="40"/>
      <c r="C7923" s="40"/>
      <c r="D7923" s="12"/>
      <c r="E7923" s="12"/>
    </row>
    <row r="7924" spans="1:5" ht="18" x14ac:dyDescent="0.35">
      <c r="A7924" s="5"/>
      <c r="B7924" s="5"/>
      <c r="C7924" s="7" t="s">
        <v>28</v>
      </c>
      <c r="D7924" s="7" t="s">
        <v>29</v>
      </c>
      <c r="E7924" s="7" t="s">
        <v>30</v>
      </c>
    </row>
    <row r="7925" spans="1:5" ht="18" x14ac:dyDescent="0.35">
      <c r="A7925" s="5" t="s">
        <v>352</v>
      </c>
      <c r="B7925" s="50" t="s">
        <v>32</v>
      </c>
      <c r="C7925" s="7">
        <v>3.4980000000000002</v>
      </c>
      <c r="D7925" s="7">
        <v>10.34</v>
      </c>
      <c r="E7925" s="85">
        <f>C7925*D7925</f>
        <v>36.169319999999999</v>
      </c>
    </row>
    <row r="7926" spans="1:5" ht="18" x14ac:dyDescent="0.35">
      <c r="A7926" s="5" t="s">
        <v>791</v>
      </c>
      <c r="B7926" s="50" t="s">
        <v>33</v>
      </c>
      <c r="C7926" s="7">
        <v>9.3870000000000005</v>
      </c>
      <c r="D7926" s="7">
        <v>10</v>
      </c>
      <c r="E7926" s="85">
        <f>C7926*D7926</f>
        <v>93.87</v>
      </c>
    </row>
    <row r="7927" spans="1:5" ht="18" x14ac:dyDescent="0.35">
      <c r="A7927" s="5" t="s">
        <v>705</v>
      </c>
      <c r="B7927" s="50" t="s">
        <v>137</v>
      </c>
      <c r="C7927" s="7">
        <v>0.42</v>
      </c>
      <c r="D7927" s="7">
        <v>15.25</v>
      </c>
      <c r="E7927" s="85">
        <f>C7927*D7927</f>
        <v>6.4049999999999994</v>
      </c>
    </row>
    <row r="7928" spans="1:5" ht="18" x14ac:dyDescent="0.35">
      <c r="A7928" s="5"/>
      <c r="B7928" s="50" t="s">
        <v>35</v>
      </c>
      <c r="C7928" s="7">
        <v>4</v>
      </c>
      <c r="D7928" s="7">
        <v>2.91</v>
      </c>
      <c r="E7928" s="85">
        <f>C7928*D7928</f>
        <v>11.64</v>
      </c>
    </row>
    <row r="7929" spans="1:5" ht="18" x14ac:dyDescent="0.35">
      <c r="A7929" s="5"/>
      <c r="B7929" s="50" t="s">
        <v>36</v>
      </c>
      <c r="C7929" s="7">
        <v>4</v>
      </c>
      <c r="D7929" s="7">
        <v>0.61</v>
      </c>
      <c r="E7929" s="85">
        <f>C7929*D7929</f>
        <v>2.44</v>
      </c>
    </row>
    <row r="7930" spans="1:5" ht="18" x14ac:dyDescent="0.35">
      <c r="A7930" s="5"/>
      <c r="B7930" s="50"/>
      <c r="C7930" s="87"/>
      <c r="D7930" s="88"/>
      <c r="E7930" s="85">
        <f>SUM(E7925:E7929)</f>
        <v>150.52431999999999</v>
      </c>
    </row>
    <row r="7931" spans="1:5" ht="18" x14ac:dyDescent="0.35">
      <c r="A7931" s="5"/>
      <c r="B7931" s="50"/>
      <c r="C7931" s="87"/>
      <c r="D7931" s="88" t="s">
        <v>1437</v>
      </c>
      <c r="E7931" s="85">
        <f>E7930+E7930*30%</f>
        <v>195.68161599999999</v>
      </c>
    </row>
    <row r="7932" spans="1:5" ht="18" x14ac:dyDescent="0.35">
      <c r="A7932" s="5"/>
      <c r="B7932" s="50" t="s">
        <v>37</v>
      </c>
      <c r="C7932" s="54">
        <v>1</v>
      </c>
      <c r="D7932" s="86">
        <v>85</v>
      </c>
      <c r="E7932" s="85">
        <f>C7932*D7932</f>
        <v>85</v>
      </c>
    </row>
    <row r="7933" spans="1:5" ht="18" x14ac:dyDescent="0.35">
      <c r="A7933" s="5"/>
      <c r="B7933" s="5"/>
      <c r="C7933" s="54"/>
      <c r="D7933" s="54"/>
      <c r="E7933" s="85">
        <f>SUM(E7931:E7932)</f>
        <v>280.68161599999996</v>
      </c>
    </row>
    <row r="7935" spans="1:5" ht="21" x14ac:dyDescent="0.4">
      <c r="A7935" s="40" t="s">
        <v>1923</v>
      </c>
      <c r="B7935" s="40"/>
      <c r="C7935" s="84"/>
    </row>
    <row r="7936" spans="1:5" x14ac:dyDescent="0.3">
      <c r="A7936" t="s">
        <v>1956</v>
      </c>
    </row>
    <row r="7937" spans="1:5" ht="18" x14ac:dyDescent="0.35">
      <c r="A7937" s="5" t="s">
        <v>1957</v>
      </c>
      <c r="B7937" s="5"/>
      <c r="C7937" s="7" t="s">
        <v>28</v>
      </c>
      <c r="D7937" s="7" t="s">
        <v>29</v>
      </c>
      <c r="E7937" s="7" t="s">
        <v>30</v>
      </c>
    </row>
    <row r="7938" spans="1:5" ht="18" x14ac:dyDescent="0.35">
      <c r="A7938" s="5" t="s">
        <v>112</v>
      </c>
      <c r="B7938" s="50" t="s">
        <v>32</v>
      </c>
      <c r="C7938" s="7">
        <v>2.532</v>
      </c>
      <c r="D7938" s="7">
        <v>10.34</v>
      </c>
      <c r="E7938" s="85">
        <f t="shared" ref="E7938:E7943" si="501">C7938*D7938</f>
        <v>26.180879999999998</v>
      </c>
    </row>
    <row r="7939" spans="1:5" ht="18" x14ac:dyDescent="0.35">
      <c r="A7939" s="5" t="s">
        <v>1958</v>
      </c>
      <c r="B7939" s="50" t="s">
        <v>33</v>
      </c>
      <c r="C7939" s="7">
        <v>15.162000000000001</v>
      </c>
      <c r="D7939" s="7">
        <v>10</v>
      </c>
      <c r="E7939" s="85">
        <f t="shared" si="501"/>
        <v>151.62</v>
      </c>
    </row>
    <row r="7940" spans="1:5" ht="18" x14ac:dyDescent="0.35">
      <c r="A7940" s="102" t="s">
        <v>1222</v>
      </c>
      <c r="B7940" s="50" t="s">
        <v>1959</v>
      </c>
      <c r="C7940" s="7">
        <v>2</v>
      </c>
      <c r="D7940" s="7">
        <v>1.81</v>
      </c>
      <c r="E7940" s="85">
        <f t="shared" si="501"/>
        <v>3.62</v>
      </c>
    </row>
    <row r="7941" spans="1:5" ht="18" x14ac:dyDescent="0.35">
      <c r="A7941" s="5"/>
      <c r="B7941" s="50" t="s">
        <v>34</v>
      </c>
      <c r="C7941" s="7">
        <v>0.63</v>
      </c>
      <c r="D7941" s="7">
        <v>14.61</v>
      </c>
      <c r="E7941" s="85">
        <f t="shared" si="501"/>
        <v>9.2042999999999999</v>
      </c>
    </row>
    <row r="7942" spans="1:5" ht="18" x14ac:dyDescent="0.35">
      <c r="A7942" s="5"/>
      <c r="B7942" s="50" t="s">
        <v>35</v>
      </c>
      <c r="C7942" s="7">
        <v>4</v>
      </c>
      <c r="D7942" s="7">
        <v>2.91</v>
      </c>
      <c r="E7942" s="85">
        <f t="shared" si="501"/>
        <v>11.64</v>
      </c>
    </row>
    <row r="7943" spans="1:5" ht="18" x14ac:dyDescent="0.35">
      <c r="A7943" s="5"/>
      <c r="B7943" s="50" t="s">
        <v>36</v>
      </c>
      <c r="C7943" s="7">
        <v>4</v>
      </c>
      <c r="D7943" s="7">
        <v>0.61</v>
      </c>
      <c r="E7943" s="85">
        <f t="shared" si="501"/>
        <v>2.44</v>
      </c>
    </row>
    <row r="7944" spans="1:5" ht="18" x14ac:dyDescent="0.35">
      <c r="A7944" s="5"/>
      <c r="B7944" s="5"/>
      <c r="C7944" s="54"/>
      <c r="D7944" s="54"/>
      <c r="E7944" s="89">
        <f>SUM(E7938:E7943)</f>
        <v>204.70517999999998</v>
      </c>
    </row>
    <row r="7945" spans="1:5" ht="18" x14ac:dyDescent="0.35">
      <c r="A7945" s="5"/>
      <c r="B7945" s="5"/>
      <c r="C7945" s="54"/>
      <c r="D7945" s="54" t="s">
        <v>1066</v>
      </c>
      <c r="E7945" s="89">
        <f>E7944+E7944*40%</f>
        <v>286.58725199999998</v>
      </c>
    </row>
    <row r="7946" spans="1:5" ht="18" x14ac:dyDescent="0.35">
      <c r="A7946" s="5"/>
      <c r="B7946" s="50" t="s">
        <v>37</v>
      </c>
      <c r="C7946" s="54">
        <v>1</v>
      </c>
      <c r="D7946" s="54">
        <v>200</v>
      </c>
      <c r="E7946" s="85">
        <f>C7946*D7946</f>
        <v>200</v>
      </c>
    </row>
    <row r="7947" spans="1:5" ht="18" x14ac:dyDescent="0.35">
      <c r="A7947" s="5"/>
      <c r="B7947" s="5"/>
      <c r="C7947" s="54"/>
      <c r="D7947" s="54"/>
      <c r="E7947" s="85">
        <f>SUM(E7945:E7946)</f>
        <v>486.58725199999998</v>
      </c>
    </row>
    <row r="7949" spans="1:5" ht="21" x14ac:dyDescent="0.4">
      <c r="A7949" s="40" t="s">
        <v>1960</v>
      </c>
      <c r="B7949" s="40"/>
      <c r="C7949" s="40"/>
      <c r="D7949" s="12"/>
      <c r="E7949" s="12"/>
    </row>
    <row r="7950" spans="1:5" ht="18" x14ac:dyDescent="0.35">
      <c r="A7950" s="5" t="s">
        <v>1961</v>
      </c>
      <c r="B7950" s="5"/>
      <c r="C7950" s="7" t="s">
        <v>28</v>
      </c>
      <c r="D7950" s="7" t="s">
        <v>29</v>
      </c>
      <c r="E7950" s="7" t="s">
        <v>30</v>
      </c>
    </row>
    <row r="7951" spans="1:5" ht="18" x14ac:dyDescent="0.35">
      <c r="A7951" s="5" t="s">
        <v>211</v>
      </c>
      <c r="B7951" s="50" t="s">
        <v>32</v>
      </c>
      <c r="C7951" s="7"/>
      <c r="D7951" s="7">
        <v>10.34</v>
      </c>
      <c r="E7951" s="85">
        <f>C7951*D7951</f>
        <v>0</v>
      </c>
    </row>
    <row r="7952" spans="1:5" ht="18" x14ac:dyDescent="0.35">
      <c r="A7952" s="5" t="s">
        <v>214</v>
      </c>
      <c r="B7952" s="50" t="s">
        <v>33</v>
      </c>
      <c r="C7952" s="7">
        <v>1.5429999999999999</v>
      </c>
      <c r="D7952" s="7">
        <v>10</v>
      </c>
      <c r="E7952" s="85">
        <f>C7952*D7952</f>
        <v>15.43</v>
      </c>
    </row>
    <row r="7953" spans="1:5" ht="18" x14ac:dyDescent="0.35">
      <c r="A7953" s="5" t="s">
        <v>623</v>
      </c>
      <c r="B7953" s="50" t="s">
        <v>137</v>
      </c>
      <c r="C7953" s="7">
        <v>0.18</v>
      </c>
      <c r="D7953" s="7">
        <v>15.25</v>
      </c>
      <c r="E7953" s="85">
        <f>C7953*D7953</f>
        <v>2.7450000000000001</v>
      </c>
    </row>
    <row r="7954" spans="1:5" ht="18" x14ac:dyDescent="0.35">
      <c r="A7954" s="5"/>
      <c r="B7954" s="50" t="s">
        <v>35</v>
      </c>
      <c r="C7954" s="7">
        <v>4</v>
      </c>
      <c r="D7954" s="7">
        <v>2.91</v>
      </c>
      <c r="E7954" s="85">
        <f>C7954*D7954</f>
        <v>11.64</v>
      </c>
    </row>
    <row r="7955" spans="1:5" ht="18" x14ac:dyDescent="0.35">
      <c r="A7955" s="5"/>
      <c r="B7955" s="50" t="s">
        <v>36</v>
      </c>
      <c r="C7955" s="7">
        <v>4</v>
      </c>
      <c r="D7955" s="7">
        <v>0.61</v>
      </c>
      <c r="E7955" s="85">
        <f>C7955*D7955</f>
        <v>2.44</v>
      </c>
    </row>
    <row r="7956" spans="1:5" ht="18" x14ac:dyDescent="0.35">
      <c r="A7956" s="5"/>
      <c r="B7956" s="50"/>
      <c r="C7956" s="87"/>
      <c r="D7956" s="88"/>
      <c r="E7956" s="85">
        <f>SUM(E7951:E7955)</f>
        <v>32.255000000000003</v>
      </c>
    </row>
    <row r="7957" spans="1:5" ht="18" x14ac:dyDescent="0.35">
      <c r="A7957" s="5"/>
      <c r="B7957" s="50"/>
      <c r="C7957" s="87"/>
      <c r="D7957" s="88" t="s">
        <v>1266</v>
      </c>
      <c r="E7957" s="85">
        <f>E7956+E7956*40%</f>
        <v>45.157000000000004</v>
      </c>
    </row>
    <row r="7958" spans="1:5" ht="18" x14ac:dyDescent="0.35">
      <c r="A7958" s="5"/>
      <c r="B7958" s="50" t="s">
        <v>37</v>
      </c>
      <c r="C7958" s="54">
        <v>0.2</v>
      </c>
      <c r="D7958" s="86">
        <v>200</v>
      </c>
      <c r="E7958" s="85">
        <f>C7958*D7958</f>
        <v>40</v>
      </c>
    </row>
    <row r="7959" spans="1:5" ht="18" x14ac:dyDescent="0.35">
      <c r="A7959" s="5"/>
      <c r="B7959" s="5"/>
      <c r="C7959" s="54"/>
      <c r="D7959" s="54"/>
      <c r="E7959" s="85">
        <f>SUM(E7957:E7958)</f>
        <v>85.157000000000011</v>
      </c>
    </row>
    <row r="7961" spans="1:5" ht="21" x14ac:dyDescent="0.4">
      <c r="A7961" s="40" t="s">
        <v>1960</v>
      </c>
      <c r="B7961" s="40"/>
      <c r="C7961" s="40"/>
      <c r="D7961" s="12"/>
      <c r="E7961" s="12"/>
    </row>
    <row r="7962" spans="1:5" ht="18" x14ac:dyDescent="0.35">
      <c r="A7962" s="5" t="s">
        <v>1961</v>
      </c>
      <c r="B7962" s="5"/>
      <c r="C7962" s="7" t="s">
        <v>28</v>
      </c>
      <c r="D7962" s="7" t="s">
        <v>29</v>
      </c>
      <c r="E7962" s="7" t="s">
        <v>30</v>
      </c>
    </row>
    <row r="7963" spans="1:5" ht="18" x14ac:dyDescent="0.35">
      <c r="A7963" s="5" t="s">
        <v>1962</v>
      </c>
      <c r="B7963" s="50" t="s">
        <v>32</v>
      </c>
      <c r="C7963" s="7"/>
      <c r="D7963" s="7">
        <v>10.34</v>
      </c>
      <c r="E7963" s="85">
        <f>C7963*D7963</f>
        <v>0</v>
      </c>
    </row>
    <row r="7964" spans="1:5" ht="18" x14ac:dyDescent="0.35">
      <c r="A7964" s="5" t="s">
        <v>909</v>
      </c>
      <c r="B7964" s="50" t="s">
        <v>33</v>
      </c>
      <c r="C7964" s="7">
        <v>0.98699999999999999</v>
      </c>
      <c r="D7964" s="7">
        <v>10</v>
      </c>
      <c r="E7964" s="85">
        <f>C7964*D7964</f>
        <v>9.8699999999999992</v>
      </c>
    </row>
    <row r="7965" spans="1:5" ht="18" x14ac:dyDescent="0.35">
      <c r="A7965" s="5" t="s">
        <v>623</v>
      </c>
      <c r="B7965" s="50" t="s">
        <v>137</v>
      </c>
      <c r="C7965" s="7">
        <v>0.18</v>
      </c>
      <c r="D7965" s="7">
        <v>15.25</v>
      </c>
      <c r="E7965" s="85">
        <f>C7965*D7965</f>
        <v>2.7450000000000001</v>
      </c>
    </row>
    <row r="7966" spans="1:5" ht="18" x14ac:dyDescent="0.35">
      <c r="A7966" s="5"/>
      <c r="B7966" s="50" t="s">
        <v>35</v>
      </c>
      <c r="C7966" s="7">
        <v>4</v>
      </c>
      <c r="D7966" s="7">
        <v>2.91</v>
      </c>
      <c r="E7966" s="85">
        <f>C7966*D7966</f>
        <v>11.64</v>
      </c>
    </row>
    <row r="7967" spans="1:5" ht="18" x14ac:dyDescent="0.35">
      <c r="A7967" s="5"/>
      <c r="B7967" s="50" t="s">
        <v>36</v>
      </c>
      <c r="C7967" s="7">
        <v>4</v>
      </c>
      <c r="D7967" s="7">
        <v>0.61</v>
      </c>
      <c r="E7967" s="85">
        <f>C7967*D7967</f>
        <v>2.44</v>
      </c>
    </row>
    <row r="7968" spans="1:5" ht="18" x14ac:dyDescent="0.35">
      <c r="A7968" s="5"/>
      <c r="B7968" s="50"/>
      <c r="C7968" s="87"/>
      <c r="D7968" s="88"/>
      <c r="E7968" s="85">
        <f>SUM(E7963:E7967)</f>
        <v>26.695</v>
      </c>
    </row>
    <row r="7969" spans="1:5" ht="18" x14ac:dyDescent="0.35">
      <c r="A7969" s="5"/>
      <c r="B7969" s="50"/>
      <c r="C7969" s="87"/>
      <c r="D7969" s="88" t="s">
        <v>1266</v>
      </c>
      <c r="E7969" s="85">
        <f>E7968+E7968*40%</f>
        <v>37.373000000000005</v>
      </c>
    </row>
    <row r="7970" spans="1:5" ht="18" x14ac:dyDescent="0.35">
      <c r="A7970" s="5"/>
      <c r="B7970" s="50" t="s">
        <v>37</v>
      </c>
      <c r="C7970" s="54">
        <v>0.2</v>
      </c>
      <c r="D7970" s="86">
        <v>200</v>
      </c>
      <c r="E7970" s="85">
        <f>C7970*D7970</f>
        <v>40</v>
      </c>
    </row>
    <row r="7971" spans="1:5" ht="18" x14ac:dyDescent="0.35">
      <c r="A7971" s="5"/>
      <c r="B7971" s="5"/>
      <c r="C7971" s="54"/>
      <c r="D7971" s="54"/>
      <c r="E7971" s="85">
        <f>SUM(E7969:E7970)</f>
        <v>77.373000000000005</v>
      </c>
    </row>
    <row r="7973" spans="1:5" ht="21" x14ac:dyDescent="0.4">
      <c r="A7973" s="40" t="s">
        <v>1923</v>
      </c>
      <c r="B7973" s="40"/>
      <c r="C7973" s="84"/>
    </row>
    <row r="7974" spans="1:5" x14ac:dyDescent="0.3">
      <c r="A7974" t="s">
        <v>1963</v>
      </c>
    </row>
    <row r="7975" spans="1:5" ht="18" x14ac:dyDescent="0.35">
      <c r="A7975" s="5" t="s">
        <v>120</v>
      </c>
      <c r="B7975" s="5"/>
      <c r="C7975" s="7" t="s">
        <v>28</v>
      </c>
      <c r="D7975" s="7" t="s">
        <v>29</v>
      </c>
      <c r="E7975" s="7" t="s">
        <v>30</v>
      </c>
    </row>
    <row r="7976" spans="1:5" ht="18" x14ac:dyDescent="0.35">
      <c r="A7976" s="5" t="s">
        <v>112</v>
      </c>
      <c r="B7976" s="50" t="s">
        <v>32</v>
      </c>
      <c r="C7976" s="7">
        <v>2.448</v>
      </c>
      <c r="D7976" s="7">
        <v>10.34</v>
      </c>
      <c r="E7976" s="85">
        <f t="shared" ref="E7976:E7981" si="502">C7976*D7976</f>
        <v>25.31232</v>
      </c>
    </row>
    <row r="7977" spans="1:5" ht="18" x14ac:dyDescent="0.35">
      <c r="A7977" s="5" t="s">
        <v>1958</v>
      </c>
      <c r="B7977" s="50" t="s">
        <v>33</v>
      </c>
      <c r="C7977" s="7">
        <v>13.765000000000001</v>
      </c>
      <c r="D7977" s="7">
        <v>10</v>
      </c>
      <c r="E7977" s="85">
        <f t="shared" si="502"/>
        <v>137.65</v>
      </c>
    </row>
    <row r="7978" spans="1:5" ht="18" x14ac:dyDescent="0.35">
      <c r="A7978" s="102" t="s">
        <v>1222</v>
      </c>
      <c r="B7978" s="50" t="s">
        <v>128</v>
      </c>
      <c r="C7978" s="7">
        <v>2</v>
      </c>
      <c r="D7978" s="7">
        <v>1.81</v>
      </c>
      <c r="E7978" s="85">
        <f t="shared" si="502"/>
        <v>3.62</v>
      </c>
    </row>
    <row r="7979" spans="1:5" ht="18" x14ac:dyDescent="0.35">
      <c r="A7979" s="5"/>
      <c r="B7979" s="50" t="s">
        <v>34</v>
      </c>
      <c r="C7979" s="7">
        <v>0.42</v>
      </c>
      <c r="D7979" s="7">
        <v>14.61</v>
      </c>
      <c r="E7979" s="85">
        <f t="shared" si="502"/>
        <v>6.1361999999999997</v>
      </c>
    </row>
    <row r="7980" spans="1:5" ht="18" x14ac:dyDescent="0.35">
      <c r="A7980" s="5"/>
      <c r="B7980" s="50" t="s">
        <v>35</v>
      </c>
      <c r="C7980" s="7">
        <v>4</v>
      </c>
      <c r="D7980" s="7">
        <v>2.91</v>
      </c>
      <c r="E7980" s="85">
        <f t="shared" si="502"/>
        <v>11.64</v>
      </c>
    </row>
    <row r="7981" spans="1:5" ht="18" x14ac:dyDescent="0.35">
      <c r="A7981" s="5"/>
      <c r="B7981" s="50" t="s">
        <v>36</v>
      </c>
      <c r="C7981" s="7">
        <v>4</v>
      </c>
      <c r="D7981" s="7">
        <v>0.61</v>
      </c>
      <c r="E7981" s="85">
        <f t="shared" si="502"/>
        <v>2.44</v>
      </c>
    </row>
    <row r="7982" spans="1:5" ht="18" x14ac:dyDescent="0.35">
      <c r="A7982" s="5"/>
      <c r="B7982" s="5"/>
      <c r="C7982" s="54"/>
      <c r="D7982" s="54"/>
      <c r="E7982" s="89">
        <f>SUM(E7976:E7981)</f>
        <v>186.79852</v>
      </c>
    </row>
    <row r="7983" spans="1:5" ht="18" x14ac:dyDescent="0.35">
      <c r="A7983" s="5"/>
      <c r="B7983" s="5"/>
      <c r="C7983" s="54"/>
      <c r="D7983" s="54" t="s">
        <v>1066</v>
      </c>
      <c r="E7983" s="89">
        <f>E7982+E7982*40%</f>
        <v>261.51792799999998</v>
      </c>
    </row>
    <row r="7984" spans="1:5" ht="18" x14ac:dyDescent="0.35">
      <c r="A7984" s="5"/>
      <c r="B7984" s="50" t="s">
        <v>37</v>
      </c>
      <c r="C7984" s="54">
        <v>1</v>
      </c>
      <c r="D7984" s="54">
        <v>200</v>
      </c>
      <c r="E7984" s="85">
        <f>C7984*D7984</f>
        <v>200</v>
      </c>
    </row>
    <row r="7985" spans="1:5" ht="18" x14ac:dyDescent="0.35">
      <c r="A7985" s="5"/>
      <c r="B7985" s="5"/>
      <c r="C7985" s="54"/>
      <c r="D7985" s="54"/>
      <c r="E7985" s="85">
        <f>SUM(E7983:E7984)</f>
        <v>461.51792799999998</v>
      </c>
    </row>
    <row r="7988" spans="1:5" ht="21" x14ac:dyDescent="0.4">
      <c r="A7988" s="40" t="s">
        <v>1923</v>
      </c>
      <c r="B7988" s="40"/>
      <c r="C7988" s="84"/>
    </row>
    <row r="7989" spans="1:5" x14ac:dyDescent="0.3">
      <c r="A7989" t="s">
        <v>1840</v>
      </c>
    </row>
    <row r="7990" spans="1:5" ht="18" x14ac:dyDescent="0.35">
      <c r="A7990" s="5" t="s">
        <v>291</v>
      </c>
      <c r="B7990" s="5"/>
      <c r="C7990" s="7" t="s">
        <v>28</v>
      </c>
      <c r="D7990" s="7" t="s">
        <v>29</v>
      </c>
      <c r="E7990" s="7" t="s">
        <v>30</v>
      </c>
    </row>
    <row r="7991" spans="1:5" ht="18" x14ac:dyDescent="0.35">
      <c r="A7991" s="5" t="s">
        <v>126</v>
      </c>
      <c r="B7991" s="50" t="s">
        <v>32</v>
      </c>
      <c r="C7991" s="7">
        <v>2.6579999999999999</v>
      </c>
      <c r="D7991" s="7">
        <v>10.34</v>
      </c>
      <c r="E7991" s="85">
        <f t="shared" ref="E7991:E7996" si="503">C7991*D7991</f>
        <v>27.483719999999998</v>
      </c>
    </row>
    <row r="7992" spans="1:5" ht="18" x14ac:dyDescent="0.35">
      <c r="A7992" s="5" t="s">
        <v>837</v>
      </c>
      <c r="B7992" s="50" t="s">
        <v>33</v>
      </c>
      <c r="C7992" s="7">
        <v>17.965</v>
      </c>
      <c r="D7992" s="7">
        <v>10</v>
      </c>
      <c r="E7992" s="85">
        <f t="shared" si="503"/>
        <v>179.65</v>
      </c>
    </row>
    <row r="7993" spans="1:5" ht="18" x14ac:dyDescent="0.35">
      <c r="A7993" s="102" t="s">
        <v>1222</v>
      </c>
      <c r="B7993" s="50" t="s">
        <v>89</v>
      </c>
      <c r="C7993" s="7">
        <v>2</v>
      </c>
      <c r="D7993" s="7">
        <v>3.39</v>
      </c>
      <c r="E7993" s="85">
        <f t="shared" si="503"/>
        <v>6.78</v>
      </c>
    </row>
    <row r="7994" spans="1:5" ht="18" x14ac:dyDescent="0.35">
      <c r="A7994" s="5"/>
      <c r="B7994" s="50" t="s">
        <v>34</v>
      </c>
      <c r="C7994" s="7">
        <v>0.63</v>
      </c>
      <c r="D7994" s="7">
        <v>14.61</v>
      </c>
      <c r="E7994" s="85">
        <f t="shared" si="503"/>
        <v>9.2042999999999999</v>
      </c>
    </row>
    <row r="7995" spans="1:5" ht="18" x14ac:dyDescent="0.35">
      <c r="A7995" s="5"/>
      <c r="B7995" s="50" t="s">
        <v>35</v>
      </c>
      <c r="C7995" s="7">
        <v>4</v>
      </c>
      <c r="D7995" s="7">
        <v>2.91</v>
      </c>
      <c r="E7995" s="85">
        <f t="shared" si="503"/>
        <v>11.64</v>
      </c>
    </row>
    <row r="7996" spans="1:5" ht="18" x14ac:dyDescent="0.35">
      <c r="A7996" s="5"/>
      <c r="B7996" s="50" t="s">
        <v>36</v>
      </c>
      <c r="C7996" s="7">
        <v>4</v>
      </c>
      <c r="D7996" s="7">
        <v>0.61</v>
      </c>
      <c r="E7996" s="85">
        <f t="shared" si="503"/>
        <v>2.44</v>
      </c>
    </row>
    <row r="7997" spans="1:5" ht="18" x14ac:dyDescent="0.35">
      <c r="A7997" s="5"/>
      <c r="B7997" s="5"/>
      <c r="C7997" s="54"/>
      <c r="D7997" s="54"/>
      <c r="E7997" s="89">
        <f>SUM(E7991:E7996)</f>
        <v>237.19801999999999</v>
      </c>
    </row>
    <row r="7998" spans="1:5" ht="18" x14ac:dyDescent="0.35">
      <c r="A7998" s="5"/>
      <c r="B7998" s="5"/>
      <c r="C7998" s="54"/>
      <c r="D7998" s="54" t="s">
        <v>1066</v>
      </c>
      <c r="E7998" s="89">
        <f>E7997+E7997*40%</f>
        <v>332.07722799999999</v>
      </c>
    </row>
    <row r="7999" spans="1:5" ht="18" x14ac:dyDescent="0.35">
      <c r="A7999" s="5"/>
      <c r="B7999" s="50" t="s">
        <v>37</v>
      </c>
      <c r="C7999" s="54">
        <v>1</v>
      </c>
      <c r="D7999" s="54">
        <v>200</v>
      </c>
      <c r="E7999" s="85">
        <f>C7999*D7999</f>
        <v>200</v>
      </c>
    </row>
    <row r="8000" spans="1:5" ht="18" x14ac:dyDescent="0.35">
      <c r="A8000" s="5"/>
      <c r="B8000" s="5"/>
      <c r="C8000" s="54"/>
      <c r="D8000" s="54"/>
      <c r="E8000" s="85">
        <f>SUM(E7998:E7999)</f>
        <v>532.07722799999999</v>
      </c>
    </row>
    <row r="8002" spans="1:5" ht="21" x14ac:dyDescent="0.4">
      <c r="A8002" s="40" t="s">
        <v>602</v>
      </c>
      <c r="B8002" s="40"/>
      <c r="C8002" s="84"/>
    </row>
    <row r="8003" spans="1:5" ht="18" x14ac:dyDescent="0.35">
      <c r="A8003" t="s">
        <v>1966</v>
      </c>
      <c r="B8003" s="5"/>
      <c r="C8003" s="7" t="s">
        <v>28</v>
      </c>
      <c r="D8003" s="7" t="s">
        <v>29</v>
      </c>
      <c r="E8003" s="7" t="s">
        <v>30</v>
      </c>
    </row>
    <row r="8004" spans="1:5" ht="18" x14ac:dyDescent="0.35">
      <c r="A8004" s="5" t="s">
        <v>1967</v>
      </c>
      <c r="B8004" s="50" t="s">
        <v>32</v>
      </c>
      <c r="C8004" s="7">
        <v>1.6919999999999999</v>
      </c>
      <c r="D8004" s="7">
        <v>14.93</v>
      </c>
      <c r="E8004" s="85">
        <f t="shared" ref="E8004:E8011" si="504">C8004*D8004</f>
        <v>25.261559999999999</v>
      </c>
    </row>
    <row r="8005" spans="1:5" ht="18" x14ac:dyDescent="0.35">
      <c r="A8005" s="5" t="s">
        <v>1968</v>
      </c>
      <c r="B8005" s="50" t="s">
        <v>33</v>
      </c>
      <c r="C8005" s="7">
        <v>5.9219999999999997</v>
      </c>
      <c r="D8005" s="7">
        <v>10</v>
      </c>
      <c r="E8005" s="85">
        <f t="shared" si="504"/>
        <v>59.22</v>
      </c>
    </row>
    <row r="8006" spans="1:5" ht="18" x14ac:dyDescent="0.35">
      <c r="A8006" s="5" t="s">
        <v>1871</v>
      </c>
      <c r="B8006" s="50" t="s">
        <v>33</v>
      </c>
      <c r="C8006" s="7">
        <v>6.3</v>
      </c>
      <c r="D8006" s="7">
        <v>10</v>
      </c>
      <c r="E8006" s="85">
        <f t="shared" si="504"/>
        <v>63</v>
      </c>
    </row>
    <row r="8007" spans="1:5" ht="18" x14ac:dyDescent="0.35">
      <c r="A8007" s="5" t="s">
        <v>800</v>
      </c>
      <c r="B8007" s="50" t="s">
        <v>1969</v>
      </c>
      <c r="C8007" s="7">
        <v>2</v>
      </c>
      <c r="D8007" s="7">
        <v>1.7</v>
      </c>
      <c r="E8007" s="85">
        <f t="shared" si="504"/>
        <v>3.4</v>
      </c>
    </row>
    <row r="8008" spans="1:5" ht="18" x14ac:dyDescent="0.35">
      <c r="A8008" s="5" t="s">
        <v>1954</v>
      </c>
      <c r="B8008" s="50" t="s">
        <v>1939</v>
      </c>
      <c r="C8008" s="7">
        <v>2</v>
      </c>
      <c r="D8008" s="7">
        <v>2.2400000000000002</v>
      </c>
      <c r="E8008" s="85">
        <f t="shared" si="504"/>
        <v>4.4800000000000004</v>
      </c>
    </row>
    <row r="8009" spans="1:5" ht="18" x14ac:dyDescent="0.35">
      <c r="A8009" s="5"/>
      <c r="B8009" s="50" t="s">
        <v>34</v>
      </c>
      <c r="C8009" s="7"/>
      <c r="D8009" s="7">
        <v>14.61</v>
      </c>
      <c r="E8009" s="85">
        <f t="shared" si="504"/>
        <v>0</v>
      </c>
    </row>
    <row r="8010" spans="1:5" ht="18" x14ac:dyDescent="0.35">
      <c r="A8010" s="5"/>
      <c r="B8010" s="50" t="s">
        <v>35</v>
      </c>
      <c r="C8010" s="7">
        <v>4</v>
      </c>
      <c r="D8010" s="7">
        <v>2.91</v>
      </c>
      <c r="E8010" s="85">
        <f t="shared" si="504"/>
        <v>11.64</v>
      </c>
    </row>
    <row r="8011" spans="1:5" ht="18" x14ac:dyDescent="0.35">
      <c r="A8011" s="5"/>
      <c r="B8011" s="50" t="s">
        <v>36</v>
      </c>
      <c r="C8011" s="7">
        <v>4</v>
      </c>
      <c r="D8011" s="7">
        <v>0.61</v>
      </c>
      <c r="E8011" s="85">
        <f t="shared" si="504"/>
        <v>2.44</v>
      </c>
    </row>
    <row r="8012" spans="1:5" ht="18" x14ac:dyDescent="0.35">
      <c r="A8012" s="5"/>
      <c r="B8012" s="5"/>
      <c r="C8012" s="54"/>
      <c r="D8012" s="54"/>
      <c r="E8012" s="89">
        <f>SUM(E8004:E8011)</f>
        <v>169.44155999999998</v>
      </c>
    </row>
    <row r="8013" spans="1:5" ht="18" x14ac:dyDescent="0.35">
      <c r="A8013" s="5"/>
      <c r="B8013" s="5"/>
      <c r="C8013" s="54"/>
      <c r="D8013" s="54" t="s">
        <v>1063</v>
      </c>
      <c r="E8013" s="89">
        <f>E8012+E8012*40%</f>
        <v>237.21818399999998</v>
      </c>
    </row>
    <row r="8014" spans="1:5" ht="18" x14ac:dyDescent="0.35">
      <c r="A8014" s="5"/>
      <c r="B8014" s="50" t="s">
        <v>37</v>
      </c>
      <c r="C8014" s="54">
        <v>0.5</v>
      </c>
      <c r="D8014" s="54">
        <v>200</v>
      </c>
      <c r="E8014" s="85">
        <f>C8014*D8014</f>
        <v>100</v>
      </c>
    </row>
    <row r="8015" spans="1:5" ht="18" x14ac:dyDescent="0.35">
      <c r="E8015" s="85">
        <f>SUM(E8013:E8014)</f>
        <v>337.21818399999995</v>
      </c>
    </row>
    <row r="8017" spans="1:5" ht="21" x14ac:dyDescent="0.4">
      <c r="A8017" s="40" t="s">
        <v>1971</v>
      </c>
      <c r="B8017" s="40"/>
      <c r="C8017" s="40"/>
      <c r="D8017" s="12"/>
      <c r="E8017" s="12"/>
    </row>
    <row r="8018" spans="1:5" ht="18" x14ac:dyDescent="0.35">
      <c r="A8018" s="5" t="s">
        <v>1972</v>
      </c>
      <c r="B8018" s="5"/>
      <c r="C8018" s="7" t="s">
        <v>28</v>
      </c>
      <c r="D8018" s="7" t="s">
        <v>29</v>
      </c>
      <c r="E8018" s="7" t="s">
        <v>30</v>
      </c>
    </row>
    <row r="8019" spans="1:5" ht="18" x14ac:dyDescent="0.35">
      <c r="A8019" s="5" t="s">
        <v>416</v>
      </c>
      <c r="B8019" s="50" t="s">
        <v>32</v>
      </c>
      <c r="C8019" s="7">
        <v>3.0779999999999998</v>
      </c>
      <c r="D8019" s="7">
        <v>10.34</v>
      </c>
      <c r="E8019" s="85">
        <f>C8019*D8019</f>
        <v>31.826519999999999</v>
      </c>
    </row>
    <row r="8020" spans="1:5" ht="18" x14ac:dyDescent="0.35">
      <c r="A8020" s="5" t="s">
        <v>1973</v>
      </c>
      <c r="B8020" s="50" t="s">
        <v>33</v>
      </c>
      <c r="C8020" s="7">
        <v>35.667999999999999</v>
      </c>
      <c r="D8020" s="7">
        <v>10</v>
      </c>
      <c r="E8020" s="85">
        <f>C8020*D8020</f>
        <v>356.68</v>
      </c>
    </row>
    <row r="8021" spans="1:5" ht="18" x14ac:dyDescent="0.35">
      <c r="A8021" s="5" t="s">
        <v>623</v>
      </c>
      <c r="B8021" s="50" t="s">
        <v>137</v>
      </c>
      <c r="C8021" s="7">
        <v>0.63</v>
      </c>
      <c r="D8021" s="7">
        <v>15.25</v>
      </c>
      <c r="E8021" s="85">
        <f>C8021*D8021</f>
        <v>9.6074999999999999</v>
      </c>
    </row>
    <row r="8022" spans="1:5" ht="18" x14ac:dyDescent="0.35">
      <c r="A8022" s="5"/>
      <c r="B8022" s="50" t="s">
        <v>35</v>
      </c>
      <c r="C8022" s="7">
        <v>4</v>
      </c>
      <c r="D8022" s="7">
        <v>2.91</v>
      </c>
      <c r="E8022" s="85">
        <f>C8022*D8022</f>
        <v>11.64</v>
      </c>
    </row>
    <row r="8023" spans="1:5" ht="18" x14ac:dyDescent="0.35">
      <c r="A8023" s="5"/>
      <c r="B8023" s="50" t="s">
        <v>36</v>
      </c>
      <c r="C8023" s="7">
        <v>4</v>
      </c>
      <c r="D8023" s="7">
        <v>0.61</v>
      </c>
      <c r="E8023" s="85">
        <f>C8023*D8023</f>
        <v>2.44</v>
      </c>
    </row>
    <row r="8024" spans="1:5" ht="18" x14ac:dyDescent="0.35">
      <c r="A8024" s="5"/>
      <c r="B8024" s="50"/>
      <c r="C8024" s="87"/>
      <c r="D8024" s="88"/>
      <c r="E8024" s="85">
        <f>SUM(E8019:E8023)</f>
        <v>412.19402000000002</v>
      </c>
    </row>
    <row r="8025" spans="1:5" ht="18" x14ac:dyDescent="0.35">
      <c r="A8025" s="5"/>
      <c r="B8025" s="50"/>
      <c r="C8025" s="87"/>
      <c r="D8025" s="88" t="s">
        <v>1266</v>
      </c>
      <c r="E8025" s="85">
        <f>E8024+E8024*40%</f>
        <v>577.07162800000003</v>
      </c>
    </row>
    <row r="8026" spans="1:5" ht="18" x14ac:dyDescent="0.35">
      <c r="A8026" s="5"/>
      <c r="B8026" s="50" t="s">
        <v>37</v>
      </c>
      <c r="C8026" s="54">
        <v>1.5</v>
      </c>
      <c r="D8026" s="86">
        <v>200</v>
      </c>
      <c r="E8026" s="85">
        <f>C8026*D8026</f>
        <v>300</v>
      </c>
    </row>
    <row r="8027" spans="1:5" ht="18" x14ac:dyDescent="0.35">
      <c r="A8027" s="5"/>
      <c r="B8027" s="5"/>
      <c r="C8027" s="54"/>
      <c r="D8027" s="54"/>
      <c r="E8027" s="85">
        <f>SUM(E8025:E8026)</f>
        <v>877.07162800000003</v>
      </c>
    </row>
    <row r="8029" spans="1:5" ht="21" x14ac:dyDescent="0.4">
      <c r="A8029" s="40" t="s">
        <v>1923</v>
      </c>
      <c r="B8029" s="40"/>
      <c r="C8029" s="84"/>
    </row>
    <row r="8030" spans="1:5" x14ac:dyDescent="0.3">
      <c r="A8030" t="s">
        <v>1974</v>
      </c>
    </row>
    <row r="8031" spans="1:5" ht="18" x14ac:dyDescent="0.35">
      <c r="A8031" s="5" t="s">
        <v>119</v>
      </c>
      <c r="B8031" s="5"/>
      <c r="C8031" s="7" t="s">
        <v>28</v>
      </c>
      <c r="D8031" s="7" t="s">
        <v>29</v>
      </c>
      <c r="E8031" s="7" t="s">
        <v>30</v>
      </c>
    </row>
    <row r="8032" spans="1:5" ht="18" x14ac:dyDescent="0.35">
      <c r="A8032" s="5" t="s">
        <v>112</v>
      </c>
      <c r="B8032" s="50" t="s">
        <v>32</v>
      </c>
      <c r="C8032" s="7">
        <v>2.238</v>
      </c>
      <c r="D8032" s="7">
        <v>10.34</v>
      </c>
      <c r="E8032" s="85">
        <f t="shared" ref="E8032:E8037" si="505">C8032*D8032</f>
        <v>23.140920000000001</v>
      </c>
    </row>
    <row r="8033" spans="1:5" ht="18" x14ac:dyDescent="0.35">
      <c r="A8033" s="5" t="s">
        <v>837</v>
      </c>
      <c r="B8033" s="50" t="s">
        <v>33</v>
      </c>
      <c r="C8033" s="7">
        <v>11.77</v>
      </c>
      <c r="D8033" s="7">
        <v>10</v>
      </c>
      <c r="E8033" s="85">
        <f t="shared" si="505"/>
        <v>117.69999999999999</v>
      </c>
    </row>
    <row r="8034" spans="1:5" ht="18" x14ac:dyDescent="0.35">
      <c r="A8034" s="102" t="s">
        <v>1222</v>
      </c>
      <c r="B8034" s="50" t="s">
        <v>128</v>
      </c>
      <c r="C8034" s="7">
        <v>2</v>
      </c>
      <c r="D8034" s="7">
        <v>1.81</v>
      </c>
      <c r="E8034" s="85">
        <f t="shared" si="505"/>
        <v>3.62</v>
      </c>
    </row>
    <row r="8035" spans="1:5" ht="18" x14ac:dyDescent="0.35">
      <c r="A8035" s="5"/>
      <c r="B8035" s="50" t="s">
        <v>34</v>
      </c>
      <c r="C8035" s="7">
        <v>0.42</v>
      </c>
      <c r="D8035" s="7">
        <v>14.61</v>
      </c>
      <c r="E8035" s="85">
        <f t="shared" si="505"/>
        <v>6.1361999999999997</v>
      </c>
    </row>
    <row r="8036" spans="1:5" ht="18" x14ac:dyDescent="0.35">
      <c r="A8036" s="5"/>
      <c r="B8036" s="50" t="s">
        <v>35</v>
      </c>
      <c r="C8036" s="7">
        <v>4</v>
      </c>
      <c r="D8036" s="7">
        <v>2.91</v>
      </c>
      <c r="E8036" s="85">
        <f t="shared" si="505"/>
        <v>11.64</v>
      </c>
    </row>
    <row r="8037" spans="1:5" ht="18" x14ac:dyDescent="0.35">
      <c r="A8037" s="5"/>
      <c r="B8037" s="50" t="s">
        <v>36</v>
      </c>
      <c r="C8037" s="7">
        <v>4</v>
      </c>
      <c r="D8037" s="7">
        <v>0.61</v>
      </c>
      <c r="E8037" s="85">
        <f t="shared" si="505"/>
        <v>2.44</v>
      </c>
    </row>
    <row r="8038" spans="1:5" ht="18" x14ac:dyDescent="0.35">
      <c r="A8038" s="5"/>
      <c r="B8038" s="5"/>
      <c r="C8038" s="54"/>
      <c r="D8038" s="54"/>
      <c r="E8038" s="89">
        <f>SUM(E8032:E8037)</f>
        <v>164.67712</v>
      </c>
    </row>
    <row r="8039" spans="1:5" ht="18" x14ac:dyDescent="0.35">
      <c r="A8039" s="5"/>
      <c r="B8039" s="5"/>
      <c r="C8039" s="54"/>
      <c r="D8039" s="54" t="s">
        <v>1066</v>
      </c>
      <c r="E8039" s="89">
        <f>E8038+E8038*40%</f>
        <v>230.54796800000003</v>
      </c>
    </row>
    <row r="8040" spans="1:5" ht="18" x14ac:dyDescent="0.35">
      <c r="A8040" s="5"/>
      <c r="B8040" s="50" t="s">
        <v>37</v>
      </c>
      <c r="C8040" s="54">
        <v>1</v>
      </c>
      <c r="D8040" s="54">
        <v>200</v>
      </c>
      <c r="E8040" s="85">
        <f>C8040*D8040</f>
        <v>200</v>
      </c>
    </row>
    <row r="8041" spans="1:5" ht="18" x14ac:dyDescent="0.35">
      <c r="A8041" s="5"/>
      <c r="B8041" s="5"/>
      <c r="C8041" s="54"/>
      <c r="D8041" s="54"/>
      <c r="E8041" s="85">
        <f>SUM(E8039:E8040)</f>
        <v>430.54796800000003</v>
      </c>
    </row>
    <row r="8043" spans="1:5" ht="21" x14ac:dyDescent="0.4">
      <c r="A8043" s="40" t="s">
        <v>1977</v>
      </c>
      <c r="B8043" s="40"/>
      <c r="C8043" s="40"/>
      <c r="D8043" s="12"/>
      <c r="E8043" s="12"/>
    </row>
    <row r="8044" spans="1:5" ht="18" x14ac:dyDescent="0.35">
      <c r="A8044" s="5" t="s">
        <v>1427</v>
      </c>
      <c r="B8044" s="5"/>
      <c r="C8044" s="7" t="s">
        <v>28</v>
      </c>
      <c r="D8044" s="7" t="s">
        <v>29</v>
      </c>
      <c r="E8044" s="7" t="s">
        <v>30</v>
      </c>
    </row>
    <row r="8045" spans="1:5" ht="18" x14ac:dyDescent="0.35">
      <c r="A8045" s="5" t="s">
        <v>1978</v>
      </c>
      <c r="B8045" s="50" t="s">
        <v>32</v>
      </c>
      <c r="C8045" s="7">
        <v>2.7629999999999999</v>
      </c>
      <c r="D8045" s="7">
        <v>10.34</v>
      </c>
      <c r="E8045" s="85">
        <f>C8045*D8045</f>
        <v>28.569419999999997</v>
      </c>
    </row>
    <row r="8046" spans="1:5" ht="18" x14ac:dyDescent="0.35">
      <c r="A8046" s="5" t="s">
        <v>1828</v>
      </c>
      <c r="B8046" s="50" t="s">
        <v>33</v>
      </c>
      <c r="C8046" s="7">
        <v>9.8279999999999994</v>
      </c>
      <c r="D8046" s="7">
        <v>10</v>
      </c>
      <c r="E8046" s="85">
        <f>C8046*D8046</f>
        <v>98.28</v>
      </c>
    </row>
    <row r="8047" spans="1:5" ht="18" x14ac:dyDescent="0.35">
      <c r="A8047" s="5" t="s">
        <v>623</v>
      </c>
      <c r="B8047" s="50" t="s">
        <v>137</v>
      </c>
      <c r="C8047" s="7">
        <v>0.42</v>
      </c>
      <c r="D8047" s="7">
        <v>15.25</v>
      </c>
      <c r="E8047" s="85">
        <f>C8047*D8047</f>
        <v>6.4049999999999994</v>
      </c>
    </row>
    <row r="8048" spans="1:5" ht="18" x14ac:dyDescent="0.35">
      <c r="A8048" s="5"/>
      <c r="B8048" s="50" t="s">
        <v>35</v>
      </c>
      <c r="C8048" s="7">
        <v>4</v>
      </c>
      <c r="D8048" s="7">
        <v>2.91</v>
      </c>
      <c r="E8048" s="85">
        <f>C8048*D8048</f>
        <v>11.64</v>
      </c>
    </row>
    <row r="8049" spans="1:5" ht="18" x14ac:dyDescent="0.35">
      <c r="A8049" s="5"/>
      <c r="B8049" s="50" t="s">
        <v>36</v>
      </c>
      <c r="C8049" s="7">
        <v>4</v>
      </c>
      <c r="D8049" s="7">
        <v>0.61</v>
      </c>
      <c r="E8049" s="85">
        <f>C8049*D8049</f>
        <v>2.44</v>
      </c>
    </row>
    <row r="8050" spans="1:5" ht="18" x14ac:dyDescent="0.35">
      <c r="A8050" s="5"/>
      <c r="B8050" s="50"/>
      <c r="C8050" s="87"/>
      <c r="D8050" s="88"/>
      <c r="E8050" s="85">
        <f>SUM(E8045:E8049)</f>
        <v>147.33441999999997</v>
      </c>
    </row>
    <row r="8051" spans="1:5" ht="18" x14ac:dyDescent="0.35">
      <c r="A8051" s="5"/>
      <c r="B8051" s="50"/>
      <c r="C8051" s="87"/>
      <c r="D8051" s="88" t="s">
        <v>1266</v>
      </c>
      <c r="E8051" s="85">
        <f>E8050+E8050*40%</f>
        <v>206.26818799999995</v>
      </c>
    </row>
    <row r="8052" spans="1:5" ht="18" x14ac:dyDescent="0.35">
      <c r="A8052" s="5"/>
      <c r="B8052" s="50" t="s">
        <v>37</v>
      </c>
      <c r="C8052" s="54">
        <v>1</v>
      </c>
      <c r="D8052" s="86">
        <v>200</v>
      </c>
      <c r="E8052" s="85">
        <f>C8052*D8052</f>
        <v>200</v>
      </c>
    </row>
    <row r="8053" spans="1:5" ht="18" x14ac:dyDescent="0.35">
      <c r="A8053" s="5"/>
      <c r="B8053" s="5"/>
      <c r="C8053" s="54"/>
      <c r="D8053" s="54"/>
      <c r="E8053" s="85">
        <f>SUM(E8051:E8052)</f>
        <v>406.26818799999995</v>
      </c>
    </row>
    <row r="8055" spans="1:5" ht="21" x14ac:dyDescent="0.4">
      <c r="A8055" s="40" t="s">
        <v>1980</v>
      </c>
      <c r="B8055" s="40"/>
      <c r="C8055" s="84"/>
    </row>
    <row r="8056" spans="1:5" x14ac:dyDescent="0.3">
      <c r="A8056" t="s">
        <v>1979</v>
      </c>
    </row>
    <row r="8057" spans="1:5" ht="18" x14ac:dyDescent="0.35">
      <c r="A8057" s="5" t="s">
        <v>108</v>
      </c>
      <c r="B8057" s="5"/>
      <c r="C8057" s="7" t="s">
        <v>28</v>
      </c>
      <c r="D8057" s="7" t="s">
        <v>29</v>
      </c>
      <c r="E8057" s="7" t="s">
        <v>30</v>
      </c>
    </row>
    <row r="8058" spans="1:5" ht="18" x14ac:dyDescent="0.35">
      <c r="A8058" s="5"/>
      <c r="B8058" s="50" t="s">
        <v>32</v>
      </c>
      <c r="C8058" s="7">
        <v>2.6589999999999998</v>
      </c>
      <c r="D8058" s="7">
        <v>11.37</v>
      </c>
      <c r="E8058" s="85">
        <f t="shared" ref="E8058:E8063" si="506">C8058*D8058</f>
        <v>30.232829999999996</v>
      </c>
    </row>
    <row r="8059" spans="1:5" ht="18" x14ac:dyDescent="0.35">
      <c r="A8059" s="5"/>
      <c r="B8059" s="50" t="s">
        <v>33</v>
      </c>
      <c r="C8059" s="7"/>
      <c r="D8059" s="7">
        <v>10</v>
      </c>
      <c r="E8059" s="85">
        <f t="shared" si="506"/>
        <v>0</v>
      </c>
    </row>
    <row r="8060" spans="1:5" ht="18" x14ac:dyDescent="0.35">
      <c r="A8060" s="102"/>
      <c r="B8060" s="50" t="s">
        <v>128</v>
      </c>
      <c r="C8060" s="7"/>
      <c r="D8060" s="7">
        <v>1.81</v>
      </c>
      <c r="E8060" s="85">
        <f t="shared" si="506"/>
        <v>0</v>
      </c>
    </row>
    <row r="8061" spans="1:5" ht="18" x14ac:dyDescent="0.35">
      <c r="A8061" s="5"/>
      <c r="B8061" s="50" t="s">
        <v>34</v>
      </c>
      <c r="C8061" s="7"/>
      <c r="D8061" s="7">
        <v>14.61</v>
      </c>
      <c r="E8061" s="85">
        <f t="shared" si="506"/>
        <v>0</v>
      </c>
    </row>
    <row r="8062" spans="1:5" ht="18" x14ac:dyDescent="0.35">
      <c r="A8062" s="5"/>
      <c r="B8062" s="50" t="s">
        <v>35</v>
      </c>
      <c r="C8062" s="7"/>
      <c r="D8062" s="7">
        <v>2.91</v>
      </c>
      <c r="E8062" s="85">
        <f t="shared" si="506"/>
        <v>0</v>
      </c>
    </row>
    <row r="8063" spans="1:5" ht="18" x14ac:dyDescent="0.35">
      <c r="A8063" s="5"/>
      <c r="B8063" s="50" t="s">
        <v>36</v>
      </c>
      <c r="C8063" s="7">
        <v>4</v>
      </c>
      <c r="D8063" s="7">
        <v>0.61</v>
      </c>
      <c r="E8063" s="85">
        <f t="shared" si="506"/>
        <v>2.44</v>
      </c>
    </row>
    <row r="8064" spans="1:5" ht="18" x14ac:dyDescent="0.35">
      <c r="A8064" s="5"/>
      <c r="B8064" s="5"/>
      <c r="C8064" s="54"/>
      <c r="D8064" s="54"/>
      <c r="E8064" s="89">
        <f>SUM(E8058:E8063)</f>
        <v>32.672829999999998</v>
      </c>
    </row>
    <row r="8065" spans="1:5" ht="18" x14ac:dyDescent="0.35">
      <c r="A8065" s="5"/>
      <c r="B8065" s="5"/>
      <c r="C8065" s="54"/>
      <c r="D8065" s="54" t="s">
        <v>1066</v>
      </c>
      <c r="E8065" s="89">
        <f>E8064+E8064*40%</f>
        <v>45.741962000000001</v>
      </c>
    </row>
    <row r="8066" spans="1:5" ht="18" x14ac:dyDescent="0.35">
      <c r="A8066" s="5"/>
      <c r="B8066" s="50" t="s">
        <v>37</v>
      </c>
      <c r="C8066" s="54">
        <v>1</v>
      </c>
      <c r="D8066" s="54">
        <v>200</v>
      </c>
      <c r="E8066" s="85">
        <f>C8066*D8066</f>
        <v>200</v>
      </c>
    </row>
    <row r="8067" spans="1:5" ht="18" x14ac:dyDescent="0.35">
      <c r="A8067" s="5"/>
      <c r="B8067" s="5"/>
      <c r="C8067" s="54"/>
      <c r="D8067" s="54"/>
      <c r="E8067" s="85">
        <f>SUM(E8065:E8066)</f>
        <v>245.741962</v>
      </c>
    </row>
    <row r="8069" spans="1:5" ht="21" x14ac:dyDescent="0.4">
      <c r="A8069" s="40" t="s">
        <v>1981</v>
      </c>
      <c r="B8069" s="40"/>
      <c r="C8069" s="40"/>
      <c r="D8069" s="12"/>
      <c r="E8069" s="12"/>
    </row>
    <row r="8070" spans="1:5" ht="18" x14ac:dyDescent="0.35">
      <c r="A8070" s="5" t="s">
        <v>1562</v>
      </c>
      <c r="B8070" s="5"/>
      <c r="C8070" s="7" t="s">
        <v>28</v>
      </c>
      <c r="D8070" s="7" t="s">
        <v>29</v>
      </c>
      <c r="E8070" s="7" t="s">
        <v>30</v>
      </c>
    </row>
    <row r="8071" spans="1:5" ht="18" x14ac:dyDescent="0.35">
      <c r="A8071" s="5" t="s">
        <v>118</v>
      </c>
      <c r="B8071" s="50" t="s">
        <v>32</v>
      </c>
      <c r="C8071" s="7">
        <v>2.028</v>
      </c>
      <c r="D8071" s="7">
        <v>10.34</v>
      </c>
      <c r="E8071" s="85">
        <f>C8071*D8071</f>
        <v>20.969519999999999</v>
      </c>
    </row>
    <row r="8072" spans="1:5" ht="18" x14ac:dyDescent="0.35">
      <c r="A8072" s="5" t="s">
        <v>819</v>
      </c>
      <c r="B8072" s="50" t="s">
        <v>33</v>
      </c>
      <c r="C8072" s="7">
        <v>14.92</v>
      </c>
      <c r="D8072" s="7">
        <v>10</v>
      </c>
      <c r="E8072" s="85">
        <f>C8072*D8072</f>
        <v>149.19999999999999</v>
      </c>
    </row>
    <row r="8073" spans="1:5" ht="18" x14ac:dyDescent="0.35">
      <c r="A8073" s="5" t="s">
        <v>659</v>
      </c>
      <c r="B8073" s="50" t="s">
        <v>137</v>
      </c>
      <c r="C8073" s="7">
        <v>0.84</v>
      </c>
      <c r="D8073" s="7">
        <v>15.25</v>
      </c>
      <c r="E8073" s="85">
        <f>C8073*D8073</f>
        <v>12.809999999999999</v>
      </c>
    </row>
    <row r="8074" spans="1:5" ht="18" x14ac:dyDescent="0.35">
      <c r="A8074" s="5"/>
      <c r="B8074" s="50" t="s">
        <v>35</v>
      </c>
      <c r="C8074" s="7">
        <v>4</v>
      </c>
      <c r="D8074" s="7">
        <v>2.91</v>
      </c>
      <c r="E8074" s="85">
        <f>C8074*D8074</f>
        <v>11.64</v>
      </c>
    </row>
    <row r="8075" spans="1:5" ht="18" x14ac:dyDescent="0.35">
      <c r="A8075" s="5"/>
      <c r="B8075" s="50" t="s">
        <v>36</v>
      </c>
      <c r="C8075" s="7">
        <v>4</v>
      </c>
      <c r="D8075" s="7">
        <v>0.61</v>
      </c>
      <c r="E8075" s="85">
        <f>C8075*D8075</f>
        <v>2.44</v>
      </c>
    </row>
    <row r="8076" spans="1:5" ht="18" x14ac:dyDescent="0.35">
      <c r="A8076" s="5"/>
      <c r="B8076" s="50"/>
      <c r="C8076" s="87"/>
      <c r="D8076" s="88"/>
      <c r="E8076" s="85">
        <f>SUM(E8071:E8075)</f>
        <v>197.05951999999996</v>
      </c>
    </row>
    <row r="8077" spans="1:5" ht="18" x14ac:dyDescent="0.35">
      <c r="A8077" s="5"/>
      <c r="B8077" s="50"/>
      <c r="C8077" s="87"/>
      <c r="D8077" s="88" t="s">
        <v>1266</v>
      </c>
      <c r="E8077" s="85">
        <f>E8076+E8076*40%</f>
        <v>275.88332799999995</v>
      </c>
    </row>
    <row r="8078" spans="1:5" ht="18" x14ac:dyDescent="0.35">
      <c r="A8078" s="5"/>
      <c r="B8078" s="50" t="s">
        <v>37</v>
      </c>
      <c r="C8078" s="54">
        <v>0.6</v>
      </c>
      <c r="D8078" s="86">
        <v>200</v>
      </c>
      <c r="E8078" s="85">
        <f>C8078*D8078</f>
        <v>120</v>
      </c>
    </row>
    <row r="8079" spans="1:5" ht="18" x14ac:dyDescent="0.35">
      <c r="A8079" s="5"/>
      <c r="B8079" s="5"/>
      <c r="C8079" s="54"/>
      <c r="D8079" s="54"/>
      <c r="E8079" s="85">
        <f>SUM(E8077:E8078)</f>
        <v>395.88332799999995</v>
      </c>
    </row>
    <row r="8081" spans="1:5" ht="21" x14ac:dyDescent="0.4">
      <c r="A8081" s="40" t="s">
        <v>602</v>
      </c>
      <c r="B8081" s="40"/>
      <c r="C8081" s="84"/>
    </row>
    <row r="8082" spans="1:5" ht="18" x14ac:dyDescent="0.35">
      <c r="A8082" t="s">
        <v>1202</v>
      </c>
      <c r="B8082" s="5"/>
      <c r="C8082" s="7" t="s">
        <v>28</v>
      </c>
      <c r="D8082" s="7" t="s">
        <v>29</v>
      </c>
      <c r="E8082" s="7" t="s">
        <v>30</v>
      </c>
    </row>
    <row r="8083" spans="1:5" ht="18" x14ac:dyDescent="0.35">
      <c r="A8083" s="5" t="s">
        <v>1982</v>
      </c>
      <c r="B8083" s="50" t="s">
        <v>32</v>
      </c>
      <c r="C8083" s="7">
        <v>2.5470000000000002</v>
      </c>
      <c r="D8083" s="7">
        <v>14.93</v>
      </c>
      <c r="E8083" s="85">
        <f t="shared" ref="E8083:E8090" si="507">C8083*D8083</f>
        <v>38.026710000000001</v>
      </c>
    </row>
    <row r="8084" spans="1:5" ht="18" x14ac:dyDescent="0.35">
      <c r="A8084" s="5" t="s">
        <v>143</v>
      </c>
      <c r="B8084" s="50" t="s">
        <v>33</v>
      </c>
      <c r="C8084" s="7">
        <v>6.3630000000000004</v>
      </c>
      <c r="D8084" s="7">
        <v>10</v>
      </c>
      <c r="E8084" s="85">
        <f t="shared" si="507"/>
        <v>63.63</v>
      </c>
    </row>
    <row r="8085" spans="1:5" ht="18" x14ac:dyDescent="0.35">
      <c r="A8085" s="5" t="s">
        <v>60</v>
      </c>
      <c r="B8085" s="50" t="s">
        <v>33</v>
      </c>
      <c r="C8085" s="7">
        <v>6.0190000000000001</v>
      </c>
      <c r="D8085" s="7">
        <v>10</v>
      </c>
      <c r="E8085" s="85">
        <f t="shared" si="507"/>
        <v>60.19</v>
      </c>
    </row>
    <row r="8086" spans="1:5" ht="18" x14ac:dyDescent="0.35">
      <c r="A8086" s="5" t="s">
        <v>1983</v>
      </c>
      <c r="B8086" s="50" t="s">
        <v>1984</v>
      </c>
      <c r="C8086" s="7">
        <v>2</v>
      </c>
      <c r="D8086" s="7">
        <v>1.1499999999999999</v>
      </c>
      <c r="E8086" s="85">
        <f t="shared" si="507"/>
        <v>2.2999999999999998</v>
      </c>
    </row>
    <row r="8087" spans="1:5" ht="18" x14ac:dyDescent="0.35">
      <c r="A8087" s="5" t="s">
        <v>1954</v>
      </c>
      <c r="B8087" s="50" t="s">
        <v>1985</v>
      </c>
      <c r="C8087" s="7">
        <v>2</v>
      </c>
      <c r="D8087" s="7">
        <v>4.4800000000000004</v>
      </c>
      <c r="E8087" s="85">
        <f t="shared" si="507"/>
        <v>8.9600000000000009</v>
      </c>
    </row>
    <row r="8088" spans="1:5" ht="18" x14ac:dyDescent="0.35">
      <c r="A8088" s="5"/>
      <c r="B8088" s="50" t="s">
        <v>34</v>
      </c>
      <c r="C8088" s="7">
        <v>0.4</v>
      </c>
      <c r="D8088" s="7">
        <v>14.61</v>
      </c>
      <c r="E8088" s="85">
        <f t="shared" si="507"/>
        <v>5.8440000000000003</v>
      </c>
    </row>
    <row r="8089" spans="1:5" ht="18" x14ac:dyDescent="0.35">
      <c r="A8089" s="5"/>
      <c r="B8089" s="50" t="s">
        <v>35</v>
      </c>
      <c r="C8089" s="7">
        <v>4</v>
      </c>
      <c r="D8089" s="7">
        <v>2.91</v>
      </c>
      <c r="E8089" s="85">
        <f t="shared" si="507"/>
        <v>11.64</v>
      </c>
    </row>
    <row r="8090" spans="1:5" ht="18" x14ac:dyDescent="0.35">
      <c r="A8090" s="5"/>
      <c r="B8090" s="50" t="s">
        <v>36</v>
      </c>
      <c r="C8090" s="7">
        <v>4</v>
      </c>
      <c r="D8090" s="7">
        <v>0.61</v>
      </c>
      <c r="E8090" s="85">
        <f t="shared" si="507"/>
        <v>2.44</v>
      </c>
    </row>
    <row r="8091" spans="1:5" ht="18" x14ac:dyDescent="0.35">
      <c r="A8091" s="5"/>
      <c r="B8091" s="5"/>
      <c r="C8091" s="54"/>
      <c r="D8091" s="54"/>
      <c r="E8091" s="89">
        <f>SUM(E8083:E8090)</f>
        <v>193.03071</v>
      </c>
    </row>
    <row r="8092" spans="1:5" ht="18" x14ac:dyDescent="0.35">
      <c r="A8092" s="5"/>
      <c r="B8092" s="5"/>
      <c r="C8092" s="54"/>
      <c r="D8092" s="54" t="s">
        <v>1063</v>
      </c>
      <c r="E8092" s="89">
        <f>E8091+E8091*40%</f>
        <v>270.24299400000001</v>
      </c>
    </row>
    <row r="8093" spans="1:5" ht="18" x14ac:dyDescent="0.35">
      <c r="A8093" s="5"/>
      <c r="B8093" s="50" t="s">
        <v>37</v>
      </c>
      <c r="C8093" s="54">
        <v>0.6</v>
      </c>
      <c r="D8093" s="54">
        <v>200</v>
      </c>
      <c r="E8093" s="85">
        <f>C8093*D8093</f>
        <v>120</v>
      </c>
    </row>
    <row r="8094" spans="1:5" ht="18" x14ac:dyDescent="0.35">
      <c r="E8094" s="85">
        <f>SUM(E8092:E8093)</f>
        <v>390.24299400000001</v>
      </c>
    </row>
    <row r="8097" spans="1:5" ht="21" x14ac:dyDescent="0.4">
      <c r="A8097" s="40" t="s">
        <v>602</v>
      </c>
      <c r="B8097" s="40"/>
      <c r="C8097" s="84"/>
    </row>
    <row r="8098" spans="1:5" ht="18" x14ac:dyDescent="0.35">
      <c r="A8098" t="s">
        <v>1202</v>
      </c>
      <c r="B8098" s="5"/>
      <c r="C8098" s="7" t="s">
        <v>28</v>
      </c>
      <c r="D8098" s="7" t="s">
        <v>29</v>
      </c>
      <c r="E8098" s="7" t="s">
        <v>30</v>
      </c>
    </row>
    <row r="8099" spans="1:5" ht="18" x14ac:dyDescent="0.35">
      <c r="A8099" s="5" t="s">
        <v>1986</v>
      </c>
      <c r="B8099" s="50" t="s">
        <v>32</v>
      </c>
      <c r="C8099" s="7">
        <v>2.5470000000000002</v>
      </c>
      <c r="D8099" s="7">
        <v>14.93</v>
      </c>
      <c r="E8099" s="85">
        <f t="shared" ref="E8099:E8106" si="508">C8099*D8099</f>
        <v>38.026710000000001</v>
      </c>
    </row>
    <row r="8100" spans="1:5" ht="18" x14ac:dyDescent="0.35">
      <c r="A8100" s="5" t="s">
        <v>143</v>
      </c>
      <c r="B8100" s="50" t="s">
        <v>33</v>
      </c>
      <c r="C8100" s="7">
        <v>6.3630000000000004</v>
      </c>
      <c r="D8100" s="7">
        <v>10</v>
      </c>
      <c r="E8100" s="85">
        <f t="shared" si="508"/>
        <v>63.63</v>
      </c>
    </row>
    <row r="8101" spans="1:5" ht="18" x14ac:dyDescent="0.35">
      <c r="A8101" s="5" t="s">
        <v>60</v>
      </c>
      <c r="B8101" s="50" t="s">
        <v>33</v>
      </c>
      <c r="C8101" s="7">
        <v>6.0190000000000001</v>
      </c>
      <c r="D8101" s="7">
        <v>10</v>
      </c>
      <c r="E8101" s="85">
        <f t="shared" si="508"/>
        <v>60.19</v>
      </c>
    </row>
    <row r="8102" spans="1:5" ht="18" x14ac:dyDescent="0.35">
      <c r="A8102" s="5" t="s">
        <v>1983</v>
      </c>
      <c r="B8102" s="50" t="s">
        <v>1984</v>
      </c>
      <c r="C8102" s="7">
        <v>2</v>
      </c>
      <c r="D8102" s="7">
        <v>1.1499999999999999</v>
      </c>
      <c r="E8102" s="85">
        <f t="shared" si="508"/>
        <v>2.2999999999999998</v>
      </c>
    </row>
    <row r="8103" spans="1:5" ht="18" x14ac:dyDescent="0.35">
      <c r="A8103" s="5" t="s">
        <v>1954</v>
      </c>
      <c r="B8103" s="50" t="s">
        <v>1987</v>
      </c>
      <c r="C8103" s="7">
        <v>2</v>
      </c>
      <c r="D8103" s="7">
        <v>7.88</v>
      </c>
      <c r="E8103" s="85">
        <f t="shared" si="508"/>
        <v>15.76</v>
      </c>
    </row>
    <row r="8104" spans="1:5" ht="18" x14ac:dyDescent="0.35">
      <c r="A8104" s="5"/>
      <c r="B8104" s="50" t="s">
        <v>34</v>
      </c>
      <c r="C8104" s="7">
        <v>0.8</v>
      </c>
      <c r="D8104" s="7">
        <v>14.61</v>
      </c>
      <c r="E8104" s="85">
        <f t="shared" si="508"/>
        <v>11.688000000000001</v>
      </c>
    </row>
    <row r="8105" spans="1:5" ht="18" x14ac:dyDescent="0.35">
      <c r="A8105" s="5"/>
      <c r="B8105" s="50" t="s">
        <v>35</v>
      </c>
      <c r="C8105" s="7">
        <v>4</v>
      </c>
      <c r="D8105" s="7">
        <v>2.91</v>
      </c>
      <c r="E8105" s="85">
        <f t="shared" si="508"/>
        <v>11.64</v>
      </c>
    </row>
    <row r="8106" spans="1:5" ht="18" x14ac:dyDescent="0.35">
      <c r="A8106" s="5"/>
      <c r="B8106" s="50" t="s">
        <v>36</v>
      </c>
      <c r="C8106" s="7">
        <v>4</v>
      </c>
      <c r="D8106" s="7">
        <v>0.61</v>
      </c>
      <c r="E8106" s="85">
        <f t="shared" si="508"/>
        <v>2.44</v>
      </c>
    </row>
    <row r="8107" spans="1:5" ht="18" x14ac:dyDescent="0.35">
      <c r="A8107" s="5"/>
      <c r="B8107" s="5"/>
      <c r="C8107" s="54"/>
      <c r="D8107" s="54"/>
      <c r="E8107" s="89">
        <f>SUM(E8099:E8106)</f>
        <v>205.67471</v>
      </c>
    </row>
    <row r="8108" spans="1:5" ht="18" x14ac:dyDescent="0.35">
      <c r="A8108" s="5"/>
      <c r="B8108" s="5"/>
      <c r="C8108" s="54"/>
      <c r="D8108" s="54" t="s">
        <v>1063</v>
      </c>
      <c r="E8108" s="89">
        <f>E8107+E8107*40%</f>
        <v>287.944594</v>
      </c>
    </row>
    <row r="8109" spans="1:5" ht="18" x14ac:dyDescent="0.35">
      <c r="A8109" s="5"/>
      <c r="B8109" s="50" t="s">
        <v>37</v>
      </c>
      <c r="C8109" s="54">
        <v>1</v>
      </c>
      <c r="D8109" s="54">
        <v>200</v>
      </c>
      <c r="E8109" s="85">
        <f>C8109*D8109</f>
        <v>200</v>
      </c>
    </row>
    <row r="8110" spans="1:5" ht="18" x14ac:dyDescent="0.35">
      <c r="E8110" s="85">
        <f>SUM(E8108:E8109)</f>
        <v>487.944594</v>
      </c>
    </row>
    <row r="8112" spans="1:5" ht="21" x14ac:dyDescent="0.4">
      <c r="A8112" s="40" t="s">
        <v>1923</v>
      </c>
      <c r="B8112" s="40"/>
      <c r="C8112" s="84"/>
    </row>
    <row r="8113" spans="1:5" x14ac:dyDescent="0.3">
      <c r="A8113" t="s">
        <v>1988</v>
      </c>
    </row>
    <row r="8114" spans="1:5" ht="18" x14ac:dyDescent="0.35">
      <c r="A8114" s="5" t="s">
        <v>1989</v>
      </c>
      <c r="B8114" s="5"/>
      <c r="C8114" s="7" t="s">
        <v>28</v>
      </c>
      <c r="D8114" s="7" t="s">
        <v>29</v>
      </c>
      <c r="E8114" s="7" t="s">
        <v>30</v>
      </c>
    </row>
    <row r="8115" spans="1:5" ht="18" x14ac:dyDescent="0.35">
      <c r="A8115" s="5" t="s">
        <v>57</v>
      </c>
      <c r="B8115" s="50" t="s">
        <v>32</v>
      </c>
      <c r="C8115" s="7">
        <v>4.4210000000000003</v>
      </c>
      <c r="D8115" s="7">
        <v>10.34</v>
      </c>
      <c r="E8115" s="85">
        <f t="shared" ref="E8115:E8120" si="509">C8115*D8115</f>
        <v>45.713140000000003</v>
      </c>
    </row>
    <row r="8116" spans="1:5" ht="18" x14ac:dyDescent="0.35">
      <c r="A8116" s="5">
        <v>0.93899999999999995</v>
      </c>
      <c r="B8116" s="50" t="s">
        <v>33</v>
      </c>
      <c r="C8116" s="7">
        <v>47.552</v>
      </c>
      <c r="D8116" s="7">
        <v>10</v>
      </c>
      <c r="E8116" s="85">
        <f t="shared" si="509"/>
        <v>475.52</v>
      </c>
    </row>
    <row r="8117" spans="1:5" ht="18" x14ac:dyDescent="0.35">
      <c r="A8117" s="102"/>
      <c r="B8117" s="50" t="s">
        <v>1990</v>
      </c>
      <c r="C8117" s="7">
        <v>2</v>
      </c>
      <c r="D8117" s="7">
        <v>3.75</v>
      </c>
      <c r="E8117" s="85">
        <f t="shared" si="509"/>
        <v>7.5</v>
      </c>
    </row>
    <row r="8118" spans="1:5" ht="18" x14ac:dyDescent="0.35">
      <c r="A8118" s="5"/>
      <c r="B8118" s="50" t="s">
        <v>34</v>
      </c>
      <c r="C8118" s="7">
        <v>1.5</v>
      </c>
      <c r="D8118" s="7">
        <v>14.61</v>
      </c>
      <c r="E8118" s="85">
        <f t="shared" si="509"/>
        <v>21.914999999999999</v>
      </c>
    </row>
    <row r="8119" spans="1:5" ht="18" x14ac:dyDescent="0.35">
      <c r="A8119" s="5"/>
      <c r="B8119" s="50" t="s">
        <v>35</v>
      </c>
      <c r="C8119" s="7">
        <v>4</v>
      </c>
      <c r="D8119" s="7">
        <v>2.91</v>
      </c>
      <c r="E8119" s="85">
        <f t="shared" si="509"/>
        <v>11.64</v>
      </c>
    </row>
    <row r="8120" spans="1:5" ht="18" x14ac:dyDescent="0.35">
      <c r="A8120" s="5"/>
      <c r="B8120" s="50" t="s">
        <v>36</v>
      </c>
      <c r="C8120" s="7">
        <v>4</v>
      </c>
      <c r="D8120" s="7">
        <v>0.61</v>
      </c>
      <c r="E8120" s="85">
        <f t="shared" si="509"/>
        <v>2.44</v>
      </c>
    </row>
    <row r="8121" spans="1:5" ht="18" x14ac:dyDescent="0.35">
      <c r="A8121" s="5"/>
      <c r="B8121" s="5"/>
      <c r="C8121" s="54"/>
      <c r="D8121" s="54"/>
      <c r="E8121" s="89">
        <f>SUM(E8115:E8120)</f>
        <v>564.72813999999994</v>
      </c>
    </row>
    <row r="8122" spans="1:5" ht="18" x14ac:dyDescent="0.35">
      <c r="A8122" s="5"/>
      <c r="B8122" s="5"/>
      <c r="C8122" s="54"/>
      <c r="D8122" s="54" t="s">
        <v>1066</v>
      </c>
      <c r="E8122" s="89">
        <f>E8121+E8121*40%</f>
        <v>790.61939599999994</v>
      </c>
    </row>
    <row r="8123" spans="1:5" ht="18" x14ac:dyDescent="0.35">
      <c r="A8123" s="5"/>
      <c r="B8123" s="50" t="s">
        <v>37</v>
      </c>
      <c r="C8123" s="54">
        <v>2</v>
      </c>
      <c r="D8123" s="54">
        <v>200</v>
      </c>
      <c r="E8123" s="85">
        <f>C8123*D8123</f>
        <v>400</v>
      </c>
    </row>
    <row r="8124" spans="1:5" ht="18" x14ac:dyDescent="0.35">
      <c r="A8124" s="5"/>
      <c r="B8124" s="5"/>
      <c r="C8124" s="54"/>
      <c r="D8124" s="54"/>
      <c r="E8124" s="85">
        <f>SUM(E8122:E8123)</f>
        <v>1190.6193960000001</v>
      </c>
    </row>
    <row r="8126" spans="1:5" ht="21" x14ac:dyDescent="0.4">
      <c r="A8126" s="40" t="s">
        <v>1923</v>
      </c>
      <c r="B8126" s="40"/>
      <c r="C8126" s="84"/>
    </row>
    <row r="8127" spans="1:5" x14ac:dyDescent="0.3">
      <c r="A8127" t="s">
        <v>1988</v>
      </c>
    </row>
    <row r="8128" spans="1:5" ht="18" x14ac:dyDescent="0.35">
      <c r="A8128" s="5" t="s">
        <v>1991</v>
      </c>
      <c r="B8128" s="5"/>
      <c r="C8128" s="7" t="s">
        <v>28</v>
      </c>
      <c r="D8128" s="7" t="s">
        <v>29</v>
      </c>
      <c r="E8128" s="7" t="s">
        <v>30</v>
      </c>
    </row>
    <row r="8129" spans="1:5" ht="18" x14ac:dyDescent="0.35">
      <c r="A8129" s="5" t="s">
        <v>465</v>
      </c>
      <c r="B8129" s="50" t="s">
        <v>32</v>
      </c>
      <c r="C8129" s="7">
        <v>4.048</v>
      </c>
      <c r="D8129" s="7">
        <v>10.34</v>
      </c>
      <c r="E8129" s="85">
        <f t="shared" ref="E8129:E8134" si="510">C8129*D8129</f>
        <v>41.856319999999997</v>
      </c>
    </row>
    <row r="8130" spans="1:5" ht="18" x14ac:dyDescent="0.35">
      <c r="A8130" s="5" t="s">
        <v>1993</v>
      </c>
      <c r="B8130" s="50" t="s">
        <v>33</v>
      </c>
      <c r="C8130" s="7">
        <v>34.965000000000003</v>
      </c>
      <c r="D8130" s="7">
        <v>10</v>
      </c>
      <c r="E8130" s="85">
        <f t="shared" si="510"/>
        <v>349.65000000000003</v>
      </c>
    </row>
    <row r="8131" spans="1:5" ht="18" x14ac:dyDescent="0.35">
      <c r="A8131" s="102"/>
      <c r="B8131" s="50" t="s">
        <v>1992</v>
      </c>
      <c r="C8131" s="7">
        <v>2</v>
      </c>
      <c r="D8131" s="7">
        <v>3.39</v>
      </c>
      <c r="E8131" s="85">
        <f t="shared" si="510"/>
        <v>6.78</v>
      </c>
    </row>
    <row r="8132" spans="1:5" ht="18" x14ac:dyDescent="0.35">
      <c r="A8132" s="5"/>
      <c r="B8132" s="50" t="s">
        <v>34</v>
      </c>
      <c r="C8132" s="7">
        <v>1.1000000000000001</v>
      </c>
      <c r="D8132" s="7">
        <v>14.61</v>
      </c>
      <c r="E8132" s="85">
        <f t="shared" si="510"/>
        <v>16.071000000000002</v>
      </c>
    </row>
    <row r="8133" spans="1:5" ht="18" x14ac:dyDescent="0.35">
      <c r="A8133" s="5"/>
      <c r="B8133" s="50" t="s">
        <v>35</v>
      </c>
      <c r="C8133" s="7">
        <v>4</v>
      </c>
      <c r="D8133" s="7">
        <v>2.91</v>
      </c>
      <c r="E8133" s="85">
        <f t="shared" si="510"/>
        <v>11.64</v>
      </c>
    </row>
    <row r="8134" spans="1:5" ht="18" x14ac:dyDescent="0.35">
      <c r="A8134" s="5"/>
      <c r="B8134" s="50" t="s">
        <v>36</v>
      </c>
      <c r="C8134" s="7">
        <v>4</v>
      </c>
      <c r="D8134" s="7">
        <v>0.61</v>
      </c>
      <c r="E8134" s="85">
        <f t="shared" si="510"/>
        <v>2.44</v>
      </c>
    </row>
    <row r="8135" spans="1:5" ht="18" x14ac:dyDescent="0.35">
      <c r="A8135" s="5"/>
      <c r="B8135" s="5"/>
      <c r="C8135" s="54"/>
      <c r="D8135" s="54"/>
      <c r="E8135" s="89">
        <f>SUM(E8129:E8134)</f>
        <v>428.43732</v>
      </c>
    </row>
    <row r="8136" spans="1:5" ht="18" x14ac:dyDescent="0.35">
      <c r="A8136" s="5"/>
      <c r="B8136" s="5"/>
      <c r="C8136" s="54"/>
      <c r="D8136" s="54" t="s">
        <v>1066</v>
      </c>
      <c r="E8136" s="89">
        <f>E8135+E8135*40%</f>
        <v>599.81224799999995</v>
      </c>
    </row>
    <row r="8137" spans="1:5" ht="18" x14ac:dyDescent="0.35">
      <c r="A8137" s="5"/>
      <c r="B8137" s="50" t="s">
        <v>37</v>
      </c>
      <c r="C8137" s="54">
        <v>1.5</v>
      </c>
      <c r="D8137" s="54">
        <v>200</v>
      </c>
      <c r="E8137" s="85">
        <f>C8137*D8137</f>
        <v>300</v>
      </c>
    </row>
    <row r="8138" spans="1:5" ht="18" x14ac:dyDescent="0.35">
      <c r="A8138" s="5"/>
      <c r="B8138" s="5"/>
      <c r="C8138" s="54"/>
      <c r="D8138" s="54"/>
      <c r="E8138" s="85">
        <f>SUM(E8136:E8137)</f>
        <v>899.81224799999995</v>
      </c>
    </row>
    <row r="8140" spans="1:5" ht="21" x14ac:dyDescent="0.4">
      <c r="A8140" s="40" t="s">
        <v>1980</v>
      </c>
      <c r="B8140" s="40"/>
      <c r="C8140" s="84"/>
    </row>
    <row r="8141" spans="1:5" x14ac:dyDescent="0.3">
      <c r="A8141" t="s">
        <v>1383</v>
      </c>
    </row>
    <row r="8142" spans="1:5" ht="18" x14ac:dyDescent="0.35">
      <c r="A8142" s="5" t="s">
        <v>1994</v>
      </c>
      <c r="B8142" s="5"/>
      <c r="C8142" s="7" t="s">
        <v>28</v>
      </c>
      <c r="D8142" s="7" t="s">
        <v>29</v>
      </c>
      <c r="E8142" s="7" t="s">
        <v>30</v>
      </c>
    </row>
    <row r="8143" spans="1:5" ht="18" x14ac:dyDescent="0.35">
      <c r="A8143" s="5" t="s">
        <v>780</v>
      </c>
      <c r="B8143" s="50" t="s">
        <v>32</v>
      </c>
      <c r="C8143" s="7">
        <v>1.9650000000000001</v>
      </c>
      <c r="D8143" s="7">
        <v>11.37</v>
      </c>
      <c r="E8143" s="85">
        <f t="shared" ref="E8143:E8148" si="511">C8143*D8143</f>
        <v>22.34205</v>
      </c>
    </row>
    <row r="8144" spans="1:5" ht="18" x14ac:dyDescent="0.35">
      <c r="A8144" s="5"/>
      <c r="B8144" s="50" t="s">
        <v>33</v>
      </c>
      <c r="C8144" s="7">
        <v>9.0299999999999994</v>
      </c>
      <c r="D8144" s="7">
        <v>10</v>
      </c>
      <c r="E8144" s="85">
        <f t="shared" si="511"/>
        <v>90.3</v>
      </c>
    </row>
    <row r="8145" spans="1:5" ht="18" x14ac:dyDescent="0.35">
      <c r="A8145" s="102"/>
      <c r="B8145" s="50" t="s">
        <v>128</v>
      </c>
      <c r="C8145" s="7">
        <v>2</v>
      </c>
      <c r="D8145" s="7">
        <v>1.81</v>
      </c>
      <c r="E8145" s="85">
        <f t="shared" si="511"/>
        <v>3.62</v>
      </c>
    </row>
    <row r="8146" spans="1:5" ht="18" x14ac:dyDescent="0.35">
      <c r="A8146" s="5"/>
      <c r="B8146" s="50" t="s">
        <v>34</v>
      </c>
      <c r="C8146" s="7"/>
      <c r="D8146" s="7">
        <v>14.61</v>
      </c>
      <c r="E8146" s="85">
        <f t="shared" si="511"/>
        <v>0</v>
      </c>
    </row>
    <row r="8147" spans="1:5" ht="18" x14ac:dyDescent="0.35">
      <c r="A8147" s="5"/>
      <c r="B8147" s="50" t="s">
        <v>35</v>
      </c>
      <c r="C8147" s="7">
        <v>4</v>
      </c>
      <c r="D8147" s="7">
        <v>2.91</v>
      </c>
      <c r="E8147" s="85">
        <f t="shared" si="511"/>
        <v>11.64</v>
      </c>
    </row>
    <row r="8148" spans="1:5" ht="18" x14ac:dyDescent="0.35">
      <c r="A8148" s="5"/>
      <c r="B8148" s="50" t="s">
        <v>36</v>
      </c>
      <c r="C8148" s="7">
        <v>4</v>
      </c>
      <c r="D8148" s="7">
        <v>0.61</v>
      </c>
      <c r="E8148" s="85">
        <f t="shared" si="511"/>
        <v>2.44</v>
      </c>
    </row>
    <row r="8149" spans="1:5" ht="18" x14ac:dyDescent="0.35">
      <c r="A8149" s="5"/>
      <c r="B8149" s="5"/>
      <c r="C8149" s="54"/>
      <c r="D8149" s="54"/>
      <c r="E8149" s="89">
        <f>SUM(E8143:E8148)</f>
        <v>130.34205</v>
      </c>
    </row>
    <row r="8150" spans="1:5" ht="18" x14ac:dyDescent="0.35">
      <c r="A8150" s="5"/>
      <c r="B8150" s="5"/>
      <c r="C8150" s="54"/>
      <c r="D8150" s="54" t="s">
        <v>1066</v>
      </c>
      <c r="E8150" s="89">
        <f>E8149+E8149*40%</f>
        <v>182.47887</v>
      </c>
    </row>
    <row r="8151" spans="1:5" ht="18" x14ac:dyDescent="0.35">
      <c r="A8151" s="5"/>
      <c r="B8151" s="50" t="s">
        <v>37</v>
      </c>
      <c r="C8151" s="54">
        <v>0.5</v>
      </c>
      <c r="D8151" s="54">
        <v>200</v>
      </c>
      <c r="E8151" s="85">
        <f>C8151*D8151</f>
        <v>100</v>
      </c>
    </row>
    <row r="8152" spans="1:5" ht="18" x14ac:dyDescent="0.35">
      <c r="A8152" s="5"/>
      <c r="B8152" s="5"/>
      <c r="C8152" s="54"/>
      <c r="D8152" s="54"/>
      <c r="E8152" s="85">
        <f>SUM(E8150:E8151)</f>
        <v>282.47887000000003</v>
      </c>
    </row>
    <row r="8154" spans="1:5" ht="21" x14ac:dyDescent="0.4">
      <c r="A8154" s="40" t="s">
        <v>1923</v>
      </c>
      <c r="B8154" s="40"/>
      <c r="C8154" s="84"/>
    </row>
    <row r="8155" spans="1:5" x14ac:dyDescent="0.3">
      <c r="A8155" t="s">
        <v>1963</v>
      </c>
    </row>
    <row r="8156" spans="1:5" ht="18" x14ac:dyDescent="0.35">
      <c r="A8156" s="5" t="s">
        <v>122</v>
      </c>
      <c r="B8156" s="5"/>
      <c r="C8156" s="7" t="s">
        <v>28</v>
      </c>
      <c r="D8156" s="7" t="s">
        <v>29</v>
      </c>
      <c r="E8156" s="7" t="s">
        <v>30</v>
      </c>
    </row>
    <row r="8157" spans="1:5" ht="18" x14ac:dyDescent="0.35">
      <c r="A8157" s="5" t="s">
        <v>54</v>
      </c>
      <c r="B8157" s="50" t="s">
        <v>32</v>
      </c>
      <c r="C8157" s="7">
        <v>2.8679999999999999</v>
      </c>
      <c r="D8157" s="7">
        <v>10.34</v>
      </c>
      <c r="E8157" s="85">
        <f t="shared" ref="E8157:E8162" si="512">C8157*D8157</f>
        <v>29.65512</v>
      </c>
    </row>
    <row r="8158" spans="1:5" ht="18" x14ac:dyDescent="0.35">
      <c r="A8158" s="5">
        <v>0.93899999999999995</v>
      </c>
      <c r="B8158" s="50" t="s">
        <v>33</v>
      </c>
      <c r="C8158" s="7">
        <v>17.754999999999999</v>
      </c>
      <c r="D8158" s="7">
        <v>10</v>
      </c>
      <c r="E8158" s="85">
        <f t="shared" si="512"/>
        <v>177.54999999999998</v>
      </c>
    </row>
    <row r="8159" spans="1:5" ht="18" x14ac:dyDescent="0.35">
      <c r="A8159" s="102"/>
      <c r="B8159" s="50" t="s">
        <v>1990</v>
      </c>
      <c r="C8159" s="7">
        <v>2</v>
      </c>
      <c r="D8159" s="7">
        <v>3.75</v>
      </c>
      <c r="E8159" s="85">
        <f t="shared" si="512"/>
        <v>7.5</v>
      </c>
    </row>
    <row r="8160" spans="1:5" ht="18" x14ac:dyDescent="0.35">
      <c r="A8160" s="5"/>
      <c r="B8160" s="50" t="s">
        <v>34</v>
      </c>
      <c r="C8160" s="7">
        <v>1</v>
      </c>
      <c r="D8160" s="7">
        <v>14.61</v>
      </c>
      <c r="E8160" s="85">
        <f t="shared" si="512"/>
        <v>14.61</v>
      </c>
    </row>
    <row r="8161" spans="1:5" ht="18" x14ac:dyDescent="0.35">
      <c r="A8161" s="5"/>
      <c r="B8161" s="50" t="s">
        <v>35</v>
      </c>
      <c r="C8161" s="7">
        <v>4</v>
      </c>
      <c r="D8161" s="7">
        <v>2.91</v>
      </c>
      <c r="E8161" s="85">
        <f t="shared" si="512"/>
        <v>11.64</v>
      </c>
    </row>
    <row r="8162" spans="1:5" ht="18" x14ac:dyDescent="0.35">
      <c r="A8162" s="5"/>
      <c r="B8162" s="50" t="s">
        <v>36</v>
      </c>
      <c r="C8162" s="7">
        <v>4</v>
      </c>
      <c r="D8162" s="7">
        <v>0.61</v>
      </c>
      <c r="E8162" s="85">
        <f t="shared" si="512"/>
        <v>2.44</v>
      </c>
    </row>
    <row r="8163" spans="1:5" ht="18" x14ac:dyDescent="0.35">
      <c r="A8163" s="5"/>
      <c r="B8163" s="5"/>
      <c r="C8163" s="54"/>
      <c r="D8163" s="54"/>
      <c r="E8163" s="89">
        <f>SUM(E8157:E8162)</f>
        <v>243.39511999999996</v>
      </c>
    </row>
    <row r="8164" spans="1:5" ht="18" x14ac:dyDescent="0.35">
      <c r="A8164" s="5"/>
      <c r="B8164" s="5"/>
      <c r="C8164" s="54"/>
      <c r="D8164" s="54" t="s">
        <v>1066</v>
      </c>
      <c r="E8164" s="89">
        <f>E8163+E8163*40%</f>
        <v>340.75316799999996</v>
      </c>
    </row>
    <row r="8165" spans="1:5" ht="18" x14ac:dyDescent="0.35">
      <c r="A8165" s="5"/>
      <c r="B8165" s="50" t="s">
        <v>37</v>
      </c>
      <c r="C8165" s="54">
        <v>1.5</v>
      </c>
      <c r="D8165" s="54">
        <v>200</v>
      </c>
      <c r="E8165" s="85">
        <f>C8165*D8165</f>
        <v>300</v>
      </c>
    </row>
    <row r="8166" spans="1:5" ht="18" x14ac:dyDescent="0.35">
      <c r="A8166" s="5"/>
      <c r="B8166" s="5"/>
      <c r="C8166" s="54"/>
      <c r="D8166" s="54"/>
      <c r="E8166" s="85">
        <f>SUM(E8164:E8165)</f>
        <v>640.75316799999996</v>
      </c>
    </row>
    <row r="8168" spans="1:5" ht="21" x14ac:dyDescent="0.4">
      <c r="A8168" s="40" t="s">
        <v>1026</v>
      </c>
      <c r="B8168" s="40"/>
      <c r="C8168" s="84"/>
    </row>
    <row r="8169" spans="1:5" x14ac:dyDescent="0.3">
      <c r="A8169" t="s">
        <v>1995</v>
      </c>
    </row>
    <row r="8170" spans="1:5" ht="18" x14ac:dyDescent="0.35">
      <c r="A8170" s="5" t="s">
        <v>292</v>
      </c>
      <c r="B8170" s="5"/>
      <c r="C8170" s="7" t="s">
        <v>28</v>
      </c>
      <c r="D8170" s="7" t="s">
        <v>29</v>
      </c>
      <c r="E8170" s="7" t="s">
        <v>30</v>
      </c>
    </row>
    <row r="8171" spans="1:5" ht="18" x14ac:dyDescent="0.35">
      <c r="A8171" s="5" t="s">
        <v>55</v>
      </c>
      <c r="B8171" s="50" t="s">
        <v>32</v>
      </c>
      <c r="C8171" s="7">
        <v>3.2879999999999998</v>
      </c>
      <c r="D8171" s="7">
        <v>10.34</v>
      </c>
      <c r="E8171" s="85">
        <f t="shared" ref="E8171:E8176" si="513">C8171*D8171</f>
        <v>33.997920000000001</v>
      </c>
    </row>
    <row r="8172" spans="1:5" ht="18" x14ac:dyDescent="0.35">
      <c r="A8172" s="5">
        <v>0.93899999999999995</v>
      </c>
      <c r="B8172" s="50" t="s">
        <v>33</v>
      </c>
      <c r="C8172" s="7">
        <v>24.948</v>
      </c>
      <c r="D8172" s="7">
        <v>10</v>
      </c>
      <c r="E8172" s="85">
        <f t="shared" si="513"/>
        <v>249.48000000000002</v>
      </c>
    </row>
    <row r="8173" spans="1:5" ht="18" x14ac:dyDescent="0.35">
      <c r="A8173" s="102"/>
      <c r="B8173" s="50" t="s">
        <v>88</v>
      </c>
      <c r="C8173" s="7">
        <v>2</v>
      </c>
      <c r="D8173" s="7">
        <v>2.2400000000000002</v>
      </c>
      <c r="E8173" s="85">
        <f t="shared" si="513"/>
        <v>4.4800000000000004</v>
      </c>
    </row>
    <row r="8174" spans="1:5" ht="18" x14ac:dyDescent="0.35">
      <c r="A8174" s="5"/>
      <c r="B8174" s="50" t="s">
        <v>34</v>
      </c>
      <c r="C8174" s="7">
        <v>1.05</v>
      </c>
      <c r="D8174" s="7">
        <v>14.61</v>
      </c>
      <c r="E8174" s="85">
        <f t="shared" si="513"/>
        <v>15.3405</v>
      </c>
    </row>
    <row r="8175" spans="1:5" ht="18" x14ac:dyDescent="0.35">
      <c r="A8175" s="5"/>
      <c r="B8175" s="50" t="s">
        <v>35</v>
      </c>
      <c r="C8175" s="7">
        <v>4</v>
      </c>
      <c r="D8175" s="7">
        <v>2.91</v>
      </c>
      <c r="E8175" s="85">
        <f t="shared" si="513"/>
        <v>11.64</v>
      </c>
    </row>
    <row r="8176" spans="1:5" ht="18" x14ac:dyDescent="0.35">
      <c r="A8176" s="5"/>
      <c r="B8176" s="50" t="s">
        <v>36</v>
      </c>
      <c r="C8176" s="7">
        <v>4</v>
      </c>
      <c r="D8176" s="7">
        <v>0.61</v>
      </c>
      <c r="E8176" s="85">
        <f t="shared" si="513"/>
        <v>2.44</v>
      </c>
    </row>
    <row r="8177" spans="1:5" ht="18" x14ac:dyDescent="0.35">
      <c r="A8177" s="5"/>
      <c r="B8177" s="5"/>
      <c r="C8177" s="54"/>
      <c r="D8177" s="54"/>
      <c r="E8177" s="89">
        <f>SUM(E8171:E8176)</f>
        <v>317.37842000000006</v>
      </c>
    </row>
    <row r="8178" spans="1:5" ht="18" x14ac:dyDescent="0.35">
      <c r="A8178" s="5"/>
      <c r="B8178" s="5"/>
      <c r="C8178" s="54"/>
      <c r="D8178" s="54" t="s">
        <v>1066</v>
      </c>
      <c r="E8178" s="89">
        <f>E8177+E8177*40%</f>
        <v>444.32978800000012</v>
      </c>
    </row>
    <row r="8179" spans="1:5" ht="18" x14ac:dyDescent="0.35">
      <c r="A8179" s="5"/>
      <c r="B8179" s="50" t="s">
        <v>37</v>
      </c>
      <c r="C8179" s="54">
        <v>1.5</v>
      </c>
      <c r="D8179" s="54">
        <v>200</v>
      </c>
      <c r="E8179" s="85">
        <f>C8179*D8179</f>
        <v>300</v>
      </c>
    </row>
    <row r="8180" spans="1:5" ht="18" x14ac:dyDescent="0.35">
      <c r="A8180" s="5"/>
      <c r="B8180" s="5"/>
      <c r="C8180" s="54"/>
      <c r="D8180" s="54"/>
      <c r="E8180" s="85">
        <f>SUM(E8178:E8179)</f>
        <v>744.32978800000012</v>
      </c>
    </row>
    <row r="8182" spans="1:5" ht="21" x14ac:dyDescent="0.4">
      <c r="A8182" s="40" t="s">
        <v>1996</v>
      </c>
      <c r="B8182" s="40"/>
      <c r="C8182" s="40"/>
      <c r="D8182" s="12"/>
      <c r="E8182" s="12"/>
    </row>
    <row r="8183" spans="1:5" ht="18" x14ac:dyDescent="0.35">
      <c r="A8183" s="5" t="s">
        <v>1997</v>
      </c>
      <c r="B8183" s="5"/>
      <c r="C8183" s="7" t="s">
        <v>28</v>
      </c>
      <c r="D8183" s="7" t="s">
        <v>29</v>
      </c>
      <c r="E8183" s="7" t="s">
        <v>30</v>
      </c>
    </row>
    <row r="8184" spans="1:5" ht="18" x14ac:dyDescent="0.35">
      <c r="A8184" s="5" t="s">
        <v>1998</v>
      </c>
      <c r="B8184" s="50" t="s">
        <v>32</v>
      </c>
      <c r="C8184" s="7">
        <v>0.76800000000000002</v>
      </c>
      <c r="D8184" s="7">
        <v>10.34</v>
      </c>
      <c r="E8184" s="85">
        <f>C8184*D8184</f>
        <v>7.9411199999999997</v>
      </c>
    </row>
    <row r="8185" spans="1:5" ht="18" x14ac:dyDescent="0.35">
      <c r="A8185" s="5" t="s">
        <v>904</v>
      </c>
      <c r="B8185" s="50" t="s">
        <v>33</v>
      </c>
      <c r="C8185" s="7">
        <v>1.47</v>
      </c>
      <c r="D8185" s="7">
        <v>10</v>
      </c>
      <c r="E8185" s="85">
        <f>C8185*D8185</f>
        <v>14.7</v>
      </c>
    </row>
    <row r="8186" spans="1:5" ht="18" x14ac:dyDescent="0.35">
      <c r="A8186" s="5" t="s">
        <v>1999</v>
      </c>
      <c r="B8186" s="50" t="s">
        <v>137</v>
      </c>
      <c r="C8186" s="7">
        <v>0.315</v>
      </c>
      <c r="D8186" s="7">
        <v>15.25</v>
      </c>
      <c r="E8186" s="85">
        <f>C8186*D8186</f>
        <v>4.80375</v>
      </c>
    </row>
    <row r="8187" spans="1:5" ht="18" x14ac:dyDescent="0.35">
      <c r="A8187" s="5"/>
      <c r="B8187" s="50" t="s">
        <v>35</v>
      </c>
      <c r="C8187" s="7">
        <v>4</v>
      </c>
      <c r="D8187" s="7">
        <v>2.91</v>
      </c>
      <c r="E8187" s="85">
        <f>C8187*D8187</f>
        <v>11.64</v>
      </c>
    </row>
    <row r="8188" spans="1:5" ht="18" x14ac:dyDescent="0.35">
      <c r="A8188" s="5"/>
      <c r="B8188" s="50" t="s">
        <v>36</v>
      </c>
      <c r="C8188" s="7">
        <v>4</v>
      </c>
      <c r="D8188" s="7">
        <v>0.61</v>
      </c>
      <c r="E8188" s="85">
        <f>C8188*D8188</f>
        <v>2.44</v>
      </c>
    </row>
    <row r="8189" spans="1:5" ht="18" x14ac:dyDescent="0.35">
      <c r="A8189" s="5"/>
      <c r="B8189" s="50"/>
      <c r="C8189" s="87"/>
      <c r="D8189" s="88"/>
      <c r="E8189" s="85">
        <f>SUM(E8184:E8188)</f>
        <v>41.52487</v>
      </c>
    </row>
    <row r="8190" spans="1:5" ht="18" x14ac:dyDescent="0.35">
      <c r="A8190" s="5"/>
      <c r="B8190" s="50"/>
      <c r="C8190" s="87"/>
      <c r="D8190" s="88" t="s">
        <v>1266</v>
      </c>
      <c r="E8190" s="85">
        <f>E8189+E8189*40%</f>
        <v>58.134817999999996</v>
      </c>
    </row>
    <row r="8191" spans="1:5" ht="18" x14ac:dyDescent="0.35">
      <c r="A8191" s="5"/>
      <c r="B8191" s="50" t="s">
        <v>37</v>
      </c>
      <c r="C8191" s="54">
        <v>0.2</v>
      </c>
      <c r="D8191" s="86">
        <v>200</v>
      </c>
      <c r="E8191" s="85">
        <f>C8191*D8191</f>
        <v>40</v>
      </c>
    </row>
    <row r="8192" spans="1:5" ht="18" x14ac:dyDescent="0.35">
      <c r="A8192" s="5"/>
      <c r="B8192" s="5"/>
      <c r="C8192" s="54"/>
      <c r="D8192" s="54"/>
      <c r="E8192" s="85">
        <f>SUM(E8190:E8191)</f>
        <v>98.134817999999996</v>
      </c>
    </row>
    <row r="8194" spans="1:5" ht="21" x14ac:dyDescent="0.4">
      <c r="A8194" s="40" t="s">
        <v>1923</v>
      </c>
      <c r="B8194" s="40"/>
      <c r="C8194" s="84"/>
    </row>
    <row r="8195" spans="1:5" x14ac:dyDescent="0.3">
      <c r="A8195" t="s">
        <v>1383</v>
      </c>
    </row>
    <row r="8196" spans="1:5" ht="18" x14ac:dyDescent="0.35">
      <c r="A8196" s="5" t="s">
        <v>2002</v>
      </c>
      <c r="B8196" s="5"/>
      <c r="C8196" s="7" t="s">
        <v>28</v>
      </c>
      <c r="D8196" s="7" t="s">
        <v>29</v>
      </c>
      <c r="E8196" s="7" t="s">
        <v>30</v>
      </c>
    </row>
    <row r="8197" spans="1:5" ht="18" x14ac:dyDescent="0.35">
      <c r="A8197" s="5" t="s">
        <v>219</v>
      </c>
      <c r="B8197" s="50" t="s">
        <v>32</v>
      </c>
      <c r="C8197" s="7">
        <v>0.76800000000000002</v>
      </c>
      <c r="D8197" s="7">
        <v>10.34</v>
      </c>
      <c r="E8197" s="85">
        <f t="shared" ref="E8197:E8202" si="514">C8197*D8197</f>
        <v>7.9411199999999997</v>
      </c>
    </row>
    <row r="8198" spans="1:5" ht="18" x14ac:dyDescent="0.35">
      <c r="A8198" s="5"/>
      <c r="B8198" s="50" t="s">
        <v>33</v>
      </c>
      <c r="C8198" s="7">
        <v>0.26200000000000001</v>
      </c>
      <c r="D8198" s="7">
        <v>10</v>
      </c>
      <c r="E8198" s="85">
        <f t="shared" si="514"/>
        <v>2.62</v>
      </c>
    </row>
    <row r="8199" spans="1:5" ht="18" x14ac:dyDescent="0.35">
      <c r="A8199" s="102"/>
      <c r="B8199" s="50" t="s">
        <v>760</v>
      </c>
      <c r="C8199" s="7">
        <v>2</v>
      </c>
      <c r="D8199" s="7">
        <v>1.1499999999999999</v>
      </c>
      <c r="E8199" s="85">
        <f t="shared" si="514"/>
        <v>2.2999999999999998</v>
      </c>
    </row>
    <row r="8200" spans="1:5" ht="18" x14ac:dyDescent="0.35">
      <c r="A8200" s="5"/>
      <c r="B8200" s="50" t="s">
        <v>34</v>
      </c>
      <c r="C8200" s="7"/>
      <c r="D8200" s="7">
        <v>14.61</v>
      </c>
      <c r="E8200" s="85">
        <f t="shared" si="514"/>
        <v>0</v>
      </c>
    </row>
    <row r="8201" spans="1:5" ht="18" x14ac:dyDescent="0.35">
      <c r="A8201" s="5"/>
      <c r="B8201" s="50" t="s">
        <v>35</v>
      </c>
      <c r="C8201" s="7">
        <v>4</v>
      </c>
      <c r="D8201" s="7">
        <v>2.91</v>
      </c>
      <c r="E8201" s="85">
        <f t="shared" si="514"/>
        <v>11.64</v>
      </c>
    </row>
    <row r="8202" spans="1:5" ht="18" x14ac:dyDescent="0.35">
      <c r="A8202" s="5"/>
      <c r="B8202" s="50" t="s">
        <v>36</v>
      </c>
      <c r="C8202" s="7">
        <v>4</v>
      </c>
      <c r="D8202" s="7">
        <v>0.61</v>
      </c>
      <c r="E8202" s="85">
        <f t="shared" si="514"/>
        <v>2.44</v>
      </c>
    </row>
    <row r="8203" spans="1:5" ht="18" x14ac:dyDescent="0.35">
      <c r="A8203" s="5"/>
      <c r="B8203" s="5"/>
      <c r="C8203" s="54"/>
      <c r="D8203" s="54"/>
      <c r="E8203" s="89">
        <f>SUM(E8197:E8202)</f>
        <v>26.941120000000002</v>
      </c>
    </row>
    <row r="8204" spans="1:5" ht="18" x14ac:dyDescent="0.35">
      <c r="A8204" s="5"/>
      <c r="B8204" s="5"/>
      <c r="C8204" s="54"/>
      <c r="D8204" s="54" t="s">
        <v>1066</v>
      </c>
      <c r="E8204" s="89">
        <f>E8203+E8203*40%</f>
        <v>37.717568</v>
      </c>
    </row>
    <row r="8205" spans="1:5" ht="18" x14ac:dyDescent="0.35">
      <c r="A8205" s="5"/>
      <c r="B8205" s="50" t="s">
        <v>37</v>
      </c>
      <c r="C8205" s="54">
        <v>0.2</v>
      </c>
      <c r="D8205" s="54">
        <v>200</v>
      </c>
      <c r="E8205" s="85">
        <f>C8205*D8205</f>
        <v>40</v>
      </c>
    </row>
    <row r="8206" spans="1:5" ht="18" x14ac:dyDescent="0.35">
      <c r="A8206" s="5"/>
      <c r="B8206" s="5"/>
      <c r="C8206" s="54"/>
      <c r="D8206" s="54"/>
      <c r="E8206" s="85">
        <f>SUM(E8204:E8205)</f>
        <v>77.717568</v>
      </c>
    </row>
    <row r="8208" spans="1:5" ht="21" x14ac:dyDescent="0.4">
      <c r="A8208" s="40" t="s">
        <v>2005</v>
      </c>
      <c r="B8208" s="40"/>
      <c r="C8208" s="40"/>
      <c r="D8208" s="12"/>
      <c r="E8208" s="12"/>
    </row>
    <row r="8209" spans="1:5" ht="18" x14ac:dyDescent="0.35">
      <c r="A8209" s="5" t="s">
        <v>1416</v>
      </c>
      <c r="B8209" s="5"/>
      <c r="C8209" s="7" t="s">
        <v>28</v>
      </c>
      <c r="D8209" s="7" t="s">
        <v>29</v>
      </c>
      <c r="E8209" s="7" t="s">
        <v>30</v>
      </c>
    </row>
    <row r="8210" spans="1:5" ht="18" x14ac:dyDescent="0.35">
      <c r="A8210" s="5" t="s">
        <v>2006</v>
      </c>
      <c r="B8210" s="50" t="s">
        <v>32</v>
      </c>
      <c r="C8210" s="7">
        <v>1.6930000000000001</v>
      </c>
      <c r="D8210" s="7">
        <v>10.34</v>
      </c>
      <c r="E8210" s="85">
        <f>C8210*D8210</f>
        <v>17.50562</v>
      </c>
    </row>
    <row r="8211" spans="1:5" ht="18" x14ac:dyDescent="0.35">
      <c r="A8211" s="5"/>
      <c r="B8211" s="50" t="s">
        <v>33</v>
      </c>
      <c r="C8211" s="7"/>
      <c r="D8211" s="7">
        <v>10</v>
      </c>
      <c r="E8211" s="85">
        <f>C8211*D8211</f>
        <v>0</v>
      </c>
    </row>
    <row r="8212" spans="1:5" ht="18" x14ac:dyDescent="0.35">
      <c r="A8212" s="5" t="s">
        <v>2009</v>
      </c>
      <c r="B8212" s="50" t="s">
        <v>137</v>
      </c>
      <c r="C8212" s="7">
        <v>0.15</v>
      </c>
      <c r="D8212" s="7">
        <v>15.25</v>
      </c>
      <c r="E8212" s="85">
        <f>C8212*D8212</f>
        <v>2.2875000000000001</v>
      </c>
    </row>
    <row r="8213" spans="1:5" ht="18" x14ac:dyDescent="0.35">
      <c r="A8213" s="5"/>
      <c r="B8213" s="50" t="s">
        <v>35</v>
      </c>
      <c r="C8213" s="7">
        <v>4</v>
      </c>
      <c r="D8213" s="7">
        <v>2.91</v>
      </c>
      <c r="E8213" s="85">
        <f>C8213*D8213</f>
        <v>11.64</v>
      </c>
    </row>
    <row r="8214" spans="1:5" ht="18" x14ac:dyDescent="0.35">
      <c r="A8214" s="5"/>
      <c r="B8214" s="50" t="s">
        <v>36</v>
      </c>
      <c r="C8214" s="7">
        <v>4</v>
      </c>
      <c r="D8214" s="7">
        <v>0.61</v>
      </c>
      <c r="E8214" s="85">
        <f>C8214*D8214</f>
        <v>2.44</v>
      </c>
    </row>
    <row r="8215" spans="1:5" ht="18" x14ac:dyDescent="0.35">
      <c r="A8215" s="5"/>
      <c r="B8215" s="50"/>
      <c r="C8215" s="87"/>
      <c r="D8215" s="88"/>
      <c r="E8215" s="85">
        <f>SUM(E8210:E8214)</f>
        <v>33.87312</v>
      </c>
    </row>
    <row r="8216" spans="1:5" ht="18" x14ac:dyDescent="0.35">
      <c r="A8216" s="5"/>
      <c r="B8216" s="50"/>
      <c r="C8216" s="87"/>
      <c r="D8216" s="88" t="s">
        <v>1266</v>
      </c>
      <c r="E8216" s="85">
        <f>E8215+E8215*40%</f>
        <v>47.422367999999999</v>
      </c>
    </row>
    <row r="8217" spans="1:5" ht="18" x14ac:dyDescent="0.35">
      <c r="A8217" s="5"/>
      <c r="B8217" s="50" t="s">
        <v>37</v>
      </c>
      <c r="C8217" s="54">
        <v>0.2</v>
      </c>
      <c r="D8217" s="86">
        <v>200</v>
      </c>
      <c r="E8217" s="85">
        <f>C8217*D8217</f>
        <v>40</v>
      </c>
    </row>
    <row r="8218" spans="1:5" ht="18" x14ac:dyDescent="0.35">
      <c r="A8218" s="5"/>
      <c r="B8218" s="5"/>
      <c r="C8218" s="54"/>
      <c r="D8218" s="54"/>
      <c r="E8218" s="85">
        <f>SUM(E8216:E8217)</f>
        <v>87.422368000000006</v>
      </c>
    </row>
    <row r="8220" spans="1:5" ht="21" x14ac:dyDescent="0.4">
      <c r="A8220" s="40" t="s">
        <v>2005</v>
      </c>
      <c r="B8220" s="40"/>
      <c r="C8220" s="40"/>
      <c r="D8220" s="12"/>
      <c r="E8220" s="12"/>
    </row>
    <row r="8221" spans="1:5" ht="18" x14ac:dyDescent="0.35">
      <c r="A8221" s="5" t="s">
        <v>1416</v>
      </c>
      <c r="B8221" s="5"/>
      <c r="C8221" s="7" t="s">
        <v>28</v>
      </c>
      <c r="D8221" s="7" t="s">
        <v>29</v>
      </c>
      <c r="E8221" s="7" t="s">
        <v>30</v>
      </c>
    </row>
    <row r="8222" spans="1:5" ht="18" x14ac:dyDescent="0.35">
      <c r="A8222" s="5" t="s">
        <v>2007</v>
      </c>
      <c r="B8222" s="50" t="s">
        <v>32</v>
      </c>
      <c r="C8222" s="7">
        <v>2.4900000000000002</v>
      </c>
      <c r="D8222" s="7">
        <v>10.34</v>
      </c>
      <c r="E8222" s="85">
        <f>C8222*D8222</f>
        <v>25.746600000000001</v>
      </c>
    </row>
    <row r="8223" spans="1:5" ht="18" x14ac:dyDescent="0.35">
      <c r="A8223" s="5"/>
      <c r="B8223" s="50" t="s">
        <v>33</v>
      </c>
      <c r="C8223" s="7"/>
      <c r="D8223" s="7">
        <v>10</v>
      </c>
      <c r="E8223" s="85">
        <f>C8223*D8223</f>
        <v>0</v>
      </c>
    </row>
    <row r="8224" spans="1:5" ht="18" x14ac:dyDescent="0.35">
      <c r="A8224" s="5" t="s">
        <v>2008</v>
      </c>
      <c r="B8224" s="50" t="s">
        <v>137</v>
      </c>
      <c r="C8224" s="7">
        <v>0.28000000000000003</v>
      </c>
      <c r="D8224" s="7">
        <v>15.25</v>
      </c>
      <c r="E8224" s="85">
        <f>C8224*D8224</f>
        <v>4.2700000000000005</v>
      </c>
    </row>
    <row r="8225" spans="1:5" ht="18" x14ac:dyDescent="0.35">
      <c r="A8225" s="5"/>
      <c r="B8225" s="50" t="s">
        <v>35</v>
      </c>
      <c r="C8225" s="7">
        <v>4</v>
      </c>
      <c r="D8225" s="7">
        <v>2.91</v>
      </c>
      <c r="E8225" s="85">
        <f>C8225*D8225</f>
        <v>11.64</v>
      </c>
    </row>
    <row r="8226" spans="1:5" ht="18" x14ac:dyDescent="0.35">
      <c r="A8226" s="5"/>
      <c r="B8226" s="50" t="s">
        <v>36</v>
      </c>
      <c r="C8226" s="7">
        <v>4</v>
      </c>
      <c r="D8226" s="7">
        <v>0.61</v>
      </c>
      <c r="E8226" s="85">
        <f>C8226*D8226</f>
        <v>2.44</v>
      </c>
    </row>
    <row r="8227" spans="1:5" ht="18" x14ac:dyDescent="0.35">
      <c r="A8227" s="5"/>
      <c r="B8227" s="50"/>
      <c r="C8227" s="87"/>
      <c r="D8227" s="88"/>
      <c r="E8227" s="85">
        <f>SUM(E8222:E8226)</f>
        <v>44.096599999999995</v>
      </c>
    </row>
    <row r="8228" spans="1:5" ht="18" x14ac:dyDescent="0.35">
      <c r="A8228" s="5"/>
      <c r="B8228" s="50"/>
      <c r="C8228" s="87"/>
      <c r="D8228" s="88" t="s">
        <v>1266</v>
      </c>
      <c r="E8228" s="85">
        <f>E8227+E8227*40%</f>
        <v>61.73523999999999</v>
      </c>
    </row>
    <row r="8229" spans="1:5" ht="18" x14ac:dyDescent="0.35">
      <c r="A8229" s="5"/>
      <c r="B8229" s="50" t="s">
        <v>37</v>
      </c>
      <c r="C8229" s="54">
        <v>0.2</v>
      </c>
      <c r="D8229" s="86">
        <v>200</v>
      </c>
      <c r="E8229" s="85">
        <f>C8229*D8229</f>
        <v>40</v>
      </c>
    </row>
    <row r="8230" spans="1:5" ht="18" x14ac:dyDescent="0.35">
      <c r="A8230" s="5"/>
      <c r="B8230" s="5"/>
      <c r="C8230" s="54"/>
      <c r="D8230" s="54"/>
      <c r="E8230" s="85">
        <f>SUM(E8228:E8229)</f>
        <v>101.73523999999999</v>
      </c>
    </row>
    <row r="8232" spans="1:5" ht="21" x14ac:dyDescent="0.4">
      <c r="A8232" s="40" t="s">
        <v>1923</v>
      </c>
      <c r="B8232" s="40"/>
      <c r="C8232" s="84"/>
    </row>
    <row r="8233" spans="1:5" x14ac:dyDescent="0.3">
      <c r="A8233" t="s">
        <v>1847</v>
      </c>
    </row>
    <row r="8234" spans="1:5" ht="18" x14ac:dyDescent="0.35">
      <c r="A8234" s="5" t="s">
        <v>924</v>
      </c>
      <c r="B8234" s="5"/>
      <c r="C8234" s="7" t="s">
        <v>28</v>
      </c>
      <c r="D8234" s="7" t="s">
        <v>29</v>
      </c>
      <c r="E8234" s="7" t="s">
        <v>30</v>
      </c>
    </row>
    <row r="8235" spans="1:5" ht="18" x14ac:dyDescent="0.35">
      <c r="A8235" s="5" t="s">
        <v>377</v>
      </c>
      <c r="B8235" s="50" t="s">
        <v>32</v>
      </c>
      <c r="C8235" s="7">
        <v>5.6</v>
      </c>
      <c r="D8235" s="7">
        <v>10.34</v>
      </c>
      <c r="E8235" s="85">
        <f t="shared" ref="E8235:E8240" si="515">C8235*D8235</f>
        <v>57.903999999999996</v>
      </c>
    </row>
    <row r="8236" spans="1:5" ht="18" x14ac:dyDescent="0.35">
      <c r="A8236" s="5"/>
      <c r="B8236" s="50" t="s">
        <v>33</v>
      </c>
      <c r="C8236" s="7">
        <v>83.474999999999994</v>
      </c>
      <c r="D8236" s="7">
        <v>10</v>
      </c>
      <c r="E8236" s="85">
        <f t="shared" si="515"/>
        <v>834.75</v>
      </c>
    </row>
    <row r="8237" spans="1:5" ht="18" x14ac:dyDescent="0.35">
      <c r="A8237" s="102"/>
      <c r="B8237" s="50" t="s">
        <v>94</v>
      </c>
      <c r="C8237" s="7">
        <v>2</v>
      </c>
      <c r="D8237" s="7">
        <v>4.4800000000000004</v>
      </c>
      <c r="E8237" s="85">
        <f t="shared" si="515"/>
        <v>8.9600000000000009</v>
      </c>
    </row>
    <row r="8238" spans="1:5" ht="18" x14ac:dyDescent="0.35">
      <c r="A8238" s="5"/>
      <c r="B8238" s="50" t="s">
        <v>34</v>
      </c>
      <c r="C8238" s="7">
        <v>2.1</v>
      </c>
      <c r="D8238" s="7">
        <v>14.61</v>
      </c>
      <c r="E8238" s="85">
        <f t="shared" si="515"/>
        <v>30.681000000000001</v>
      </c>
    </row>
    <row r="8239" spans="1:5" ht="18" x14ac:dyDescent="0.35">
      <c r="A8239" s="5"/>
      <c r="B8239" s="50" t="s">
        <v>35</v>
      </c>
      <c r="C8239" s="7">
        <v>4</v>
      </c>
      <c r="D8239" s="7">
        <v>2.91</v>
      </c>
      <c r="E8239" s="85">
        <f t="shared" si="515"/>
        <v>11.64</v>
      </c>
    </row>
    <row r="8240" spans="1:5" ht="18" x14ac:dyDescent="0.35">
      <c r="A8240" s="5"/>
      <c r="B8240" s="50" t="s">
        <v>36</v>
      </c>
      <c r="C8240" s="7">
        <v>4</v>
      </c>
      <c r="D8240" s="7">
        <v>0.61</v>
      </c>
      <c r="E8240" s="85">
        <f t="shared" si="515"/>
        <v>2.44</v>
      </c>
    </row>
    <row r="8241" spans="1:5" ht="18" x14ac:dyDescent="0.35">
      <c r="A8241" s="5"/>
      <c r="B8241" s="5"/>
      <c r="C8241" s="54"/>
      <c r="D8241" s="54"/>
      <c r="E8241" s="89">
        <f>SUM(E8235:E8240)</f>
        <v>946.37500000000011</v>
      </c>
    </row>
    <row r="8242" spans="1:5" ht="18" x14ac:dyDescent="0.35">
      <c r="A8242" s="5"/>
      <c r="B8242" s="5"/>
      <c r="C8242" s="54"/>
      <c r="D8242" s="54" t="s">
        <v>1066</v>
      </c>
      <c r="E8242" s="89">
        <f>E8241+E8241*40%</f>
        <v>1324.9250000000002</v>
      </c>
    </row>
    <row r="8243" spans="1:5" ht="18" x14ac:dyDescent="0.35">
      <c r="A8243" s="5"/>
      <c r="B8243" s="50" t="s">
        <v>37</v>
      </c>
      <c r="C8243" s="54">
        <v>3</v>
      </c>
      <c r="D8243" s="54">
        <v>200</v>
      </c>
      <c r="E8243" s="85">
        <f>C8243*D8243</f>
        <v>600</v>
      </c>
    </row>
    <row r="8244" spans="1:5" ht="18" x14ac:dyDescent="0.35">
      <c r="A8244" s="5"/>
      <c r="B8244" s="5"/>
      <c r="C8244" s="54"/>
      <c r="D8244" s="54"/>
      <c r="E8244" s="85">
        <f>SUM(E8242:E8243)</f>
        <v>1924.9250000000002</v>
      </c>
    </row>
    <row r="8246" spans="1:5" ht="21" x14ac:dyDescent="0.4">
      <c r="A8246" s="40" t="s">
        <v>2005</v>
      </c>
      <c r="B8246" s="40"/>
      <c r="C8246" s="40"/>
      <c r="D8246" s="12"/>
      <c r="E8246" s="12"/>
    </row>
    <row r="8247" spans="1:5" ht="18" x14ac:dyDescent="0.35">
      <c r="A8247" s="5" t="s">
        <v>2010</v>
      </c>
      <c r="B8247" s="5"/>
      <c r="C8247" s="7" t="s">
        <v>28</v>
      </c>
      <c r="D8247" s="7" t="s">
        <v>29</v>
      </c>
      <c r="E8247" s="7" t="s">
        <v>30</v>
      </c>
    </row>
    <row r="8248" spans="1:5" ht="18" x14ac:dyDescent="0.35">
      <c r="A8248" s="5" t="s">
        <v>2012</v>
      </c>
      <c r="B8248" s="50" t="s">
        <v>32</v>
      </c>
      <c r="C8248" s="7">
        <v>4.1280000000000001</v>
      </c>
      <c r="D8248" s="7">
        <v>10.34</v>
      </c>
      <c r="E8248" s="85">
        <f>C8248*D8248</f>
        <v>42.683520000000001</v>
      </c>
    </row>
    <row r="8249" spans="1:5" ht="18" x14ac:dyDescent="0.35">
      <c r="A8249" s="5" t="s">
        <v>538</v>
      </c>
      <c r="B8249" s="50" t="s">
        <v>33</v>
      </c>
      <c r="C8249" s="7">
        <v>51.082000000000001</v>
      </c>
      <c r="D8249" s="7">
        <v>10</v>
      </c>
      <c r="E8249" s="85">
        <f>C8249*D8249</f>
        <v>510.82</v>
      </c>
    </row>
    <row r="8250" spans="1:5" ht="18" x14ac:dyDescent="0.35">
      <c r="A8250" s="5" t="s">
        <v>2011</v>
      </c>
      <c r="B8250" s="50" t="s">
        <v>137</v>
      </c>
      <c r="C8250" s="7">
        <v>2.1</v>
      </c>
      <c r="D8250" s="7">
        <v>15.25</v>
      </c>
      <c r="E8250" s="85">
        <f>C8250*D8250</f>
        <v>32.024999999999999</v>
      </c>
    </row>
    <row r="8251" spans="1:5" ht="18" x14ac:dyDescent="0.35">
      <c r="A8251" s="5"/>
      <c r="B8251" s="50" t="s">
        <v>35</v>
      </c>
      <c r="C8251" s="7">
        <v>4</v>
      </c>
      <c r="D8251" s="7">
        <v>2.91</v>
      </c>
      <c r="E8251" s="85">
        <f>C8251*D8251</f>
        <v>11.64</v>
      </c>
    </row>
    <row r="8252" spans="1:5" ht="18" x14ac:dyDescent="0.35">
      <c r="A8252" s="5"/>
      <c r="B8252" s="50" t="s">
        <v>36</v>
      </c>
      <c r="C8252" s="7">
        <v>4</v>
      </c>
      <c r="D8252" s="7">
        <v>0.61</v>
      </c>
      <c r="E8252" s="85">
        <f>C8252*D8252</f>
        <v>2.44</v>
      </c>
    </row>
    <row r="8253" spans="1:5" ht="18" x14ac:dyDescent="0.35">
      <c r="A8253" s="5"/>
      <c r="B8253" s="50"/>
      <c r="C8253" s="87"/>
      <c r="D8253" s="88"/>
      <c r="E8253" s="85">
        <f>SUM(E8248:E8252)</f>
        <v>599.60852</v>
      </c>
    </row>
    <row r="8254" spans="1:5" ht="18" x14ac:dyDescent="0.35">
      <c r="A8254" s="5"/>
      <c r="B8254" s="50"/>
      <c r="C8254" s="87"/>
      <c r="D8254" s="88" t="s">
        <v>1266</v>
      </c>
      <c r="E8254" s="85">
        <f>E8253+E8253*40%</f>
        <v>839.45192799999995</v>
      </c>
    </row>
    <row r="8255" spans="1:5" ht="18" x14ac:dyDescent="0.35">
      <c r="A8255" s="5"/>
      <c r="B8255" s="50" t="s">
        <v>37</v>
      </c>
      <c r="C8255" s="54">
        <v>0.2</v>
      </c>
      <c r="D8255" s="86">
        <v>200</v>
      </c>
      <c r="E8255" s="85">
        <f>C8255*D8255</f>
        <v>40</v>
      </c>
    </row>
    <row r="8256" spans="1:5" ht="18" x14ac:dyDescent="0.35">
      <c r="A8256" s="5"/>
      <c r="B8256" s="5"/>
      <c r="C8256" s="54"/>
      <c r="D8256" s="54"/>
      <c r="E8256" s="85">
        <f>SUM(E8254:E8255)</f>
        <v>879.45192799999995</v>
      </c>
    </row>
    <row r="8259" spans="1:5" ht="21" x14ac:dyDescent="0.4">
      <c r="A8259" s="40" t="s">
        <v>2013</v>
      </c>
      <c r="B8259" s="40"/>
      <c r="C8259" s="40"/>
      <c r="D8259" s="12"/>
      <c r="E8259" s="12"/>
    </row>
    <row r="8260" spans="1:5" ht="18" x14ac:dyDescent="0.35">
      <c r="A8260" s="5" t="s">
        <v>2014</v>
      </c>
      <c r="B8260" s="5"/>
      <c r="C8260" s="7" t="s">
        <v>28</v>
      </c>
      <c r="D8260" s="7" t="s">
        <v>29</v>
      </c>
      <c r="E8260" s="7" t="s">
        <v>30</v>
      </c>
    </row>
    <row r="8261" spans="1:5" ht="18" x14ac:dyDescent="0.35">
      <c r="A8261" s="5" t="s">
        <v>124</v>
      </c>
      <c r="B8261" s="50" t="s">
        <v>32</v>
      </c>
      <c r="C8261" s="7">
        <v>3.4980000000000002</v>
      </c>
      <c r="D8261" s="7">
        <v>10.34</v>
      </c>
      <c r="E8261" s="85">
        <f>C8261*D8261</f>
        <v>36.169319999999999</v>
      </c>
    </row>
    <row r="8262" spans="1:5" ht="18" x14ac:dyDescent="0.35">
      <c r="A8262" s="5" t="s">
        <v>56</v>
      </c>
      <c r="B8262" s="50" t="s">
        <v>33</v>
      </c>
      <c r="C8262" s="7">
        <v>36.234999999999999</v>
      </c>
      <c r="D8262" s="7">
        <v>10</v>
      </c>
      <c r="E8262" s="85">
        <f>C8262*D8262</f>
        <v>362.35</v>
      </c>
    </row>
    <row r="8263" spans="1:5" ht="18" x14ac:dyDescent="0.35">
      <c r="A8263" s="5" t="s">
        <v>615</v>
      </c>
      <c r="B8263" s="50" t="s">
        <v>137</v>
      </c>
      <c r="C8263" s="7">
        <v>1.26</v>
      </c>
      <c r="D8263" s="7">
        <v>15.25</v>
      </c>
      <c r="E8263" s="85">
        <f>C8263*D8263</f>
        <v>19.215</v>
      </c>
    </row>
    <row r="8264" spans="1:5" ht="18" x14ac:dyDescent="0.35">
      <c r="A8264" s="5"/>
      <c r="B8264" s="50" t="s">
        <v>35</v>
      </c>
      <c r="C8264" s="7">
        <v>4</v>
      </c>
      <c r="D8264" s="7">
        <v>2.91</v>
      </c>
      <c r="E8264" s="85">
        <f>C8264*D8264</f>
        <v>11.64</v>
      </c>
    </row>
    <row r="8265" spans="1:5" ht="18" x14ac:dyDescent="0.35">
      <c r="A8265" s="5"/>
      <c r="B8265" s="50" t="s">
        <v>36</v>
      </c>
      <c r="C8265" s="7">
        <v>4</v>
      </c>
      <c r="D8265" s="7">
        <v>0.61</v>
      </c>
      <c r="E8265" s="85">
        <f>C8265*D8265</f>
        <v>2.44</v>
      </c>
    </row>
    <row r="8266" spans="1:5" ht="18" x14ac:dyDescent="0.35">
      <c r="A8266" s="5"/>
      <c r="B8266" s="50"/>
      <c r="C8266" s="87"/>
      <c r="D8266" s="88"/>
      <c r="E8266" s="85">
        <f>SUM(E8261:E8265)</f>
        <v>431.81431999999995</v>
      </c>
    </row>
    <row r="8267" spans="1:5" ht="18" x14ac:dyDescent="0.35">
      <c r="A8267" s="5"/>
      <c r="B8267" s="50"/>
      <c r="C8267" s="87"/>
      <c r="D8267" s="88" t="s">
        <v>1266</v>
      </c>
      <c r="E8267" s="85">
        <f>E8266+E8266*40%</f>
        <v>604.54004799999996</v>
      </c>
    </row>
    <row r="8268" spans="1:5" ht="18" x14ac:dyDescent="0.35">
      <c r="A8268" s="5"/>
      <c r="B8268" s="50" t="s">
        <v>37</v>
      </c>
      <c r="C8268" s="54">
        <v>1.5</v>
      </c>
      <c r="D8268" s="86">
        <v>200</v>
      </c>
      <c r="E8268" s="85">
        <f>C8268*D8268</f>
        <v>300</v>
      </c>
    </row>
    <row r="8269" spans="1:5" ht="18" x14ac:dyDescent="0.35">
      <c r="A8269" s="5"/>
      <c r="B8269" s="5"/>
      <c r="C8269" s="54"/>
      <c r="D8269" s="54"/>
      <c r="E8269" s="85">
        <f>SUM(E8267:E8268)</f>
        <v>904.54004799999996</v>
      </c>
    </row>
    <row r="8272" spans="1:5" ht="21" x14ac:dyDescent="0.4">
      <c r="A8272" s="40" t="s">
        <v>2016</v>
      </c>
      <c r="B8272" s="40"/>
      <c r="C8272" s="40"/>
      <c r="D8272" s="12"/>
      <c r="E8272" s="12"/>
    </row>
    <row r="8273" spans="1:5" ht="18" x14ac:dyDescent="0.35">
      <c r="A8273" s="5" t="s">
        <v>1416</v>
      </c>
      <c r="B8273" s="5"/>
      <c r="C8273" s="7" t="s">
        <v>28</v>
      </c>
      <c r="D8273" s="7" t="s">
        <v>29</v>
      </c>
      <c r="E8273" s="7" t="s">
        <v>30</v>
      </c>
    </row>
    <row r="8274" spans="1:5" ht="18" x14ac:dyDescent="0.35">
      <c r="A8274" s="5" t="s">
        <v>2015</v>
      </c>
      <c r="B8274" s="50" t="s">
        <v>32</v>
      </c>
      <c r="C8274" s="7"/>
      <c r="D8274" s="7">
        <v>10.34</v>
      </c>
      <c r="E8274" s="85">
        <f>C8274*D8274</f>
        <v>0</v>
      </c>
    </row>
    <row r="8275" spans="1:5" ht="18" x14ac:dyDescent="0.35">
      <c r="A8275" s="5" t="s">
        <v>238</v>
      </c>
      <c r="B8275" s="50" t="s">
        <v>33</v>
      </c>
      <c r="C8275" s="7">
        <v>4.3680000000000003</v>
      </c>
      <c r="D8275" s="7">
        <v>10.5</v>
      </c>
      <c r="E8275" s="85">
        <f>C8275*D8275</f>
        <v>45.864000000000004</v>
      </c>
    </row>
    <row r="8276" spans="1:5" ht="18" x14ac:dyDescent="0.35">
      <c r="A8276" s="5" t="s">
        <v>615</v>
      </c>
      <c r="B8276" s="50" t="s">
        <v>137</v>
      </c>
      <c r="C8276" s="7">
        <v>0.4</v>
      </c>
      <c r="D8276" s="7">
        <v>15.25</v>
      </c>
      <c r="E8276" s="85">
        <f>C8276*D8276</f>
        <v>6.1000000000000005</v>
      </c>
    </row>
    <row r="8277" spans="1:5" ht="18" x14ac:dyDescent="0.35">
      <c r="A8277" s="5"/>
      <c r="B8277" s="50" t="s">
        <v>35</v>
      </c>
      <c r="C8277" s="7">
        <v>4</v>
      </c>
      <c r="D8277" s="7">
        <v>2.91</v>
      </c>
      <c r="E8277" s="85">
        <f>C8277*D8277</f>
        <v>11.64</v>
      </c>
    </row>
    <row r="8278" spans="1:5" ht="18" x14ac:dyDescent="0.35">
      <c r="A8278" s="5"/>
      <c r="B8278" s="50" t="s">
        <v>36</v>
      </c>
      <c r="C8278" s="7">
        <v>4</v>
      </c>
      <c r="D8278" s="7">
        <v>0.61</v>
      </c>
      <c r="E8278" s="85">
        <f>C8278*D8278</f>
        <v>2.44</v>
      </c>
    </row>
    <row r="8279" spans="1:5" ht="18" x14ac:dyDescent="0.35">
      <c r="A8279" s="5"/>
      <c r="B8279" s="50"/>
      <c r="C8279" s="87"/>
      <c r="D8279" s="88"/>
      <c r="E8279" s="85">
        <f>SUM(E8274:E8278)</f>
        <v>66.044000000000011</v>
      </c>
    </row>
    <row r="8280" spans="1:5" ht="18" x14ac:dyDescent="0.35">
      <c r="A8280" s="5"/>
      <c r="B8280" s="50"/>
      <c r="C8280" s="87"/>
      <c r="D8280" s="88" t="s">
        <v>1266</v>
      </c>
      <c r="E8280" s="85">
        <f>E8279+E8279*40%</f>
        <v>92.461600000000018</v>
      </c>
    </row>
    <row r="8281" spans="1:5" ht="18" x14ac:dyDescent="0.35">
      <c r="A8281" s="5"/>
      <c r="B8281" s="50" t="s">
        <v>37</v>
      </c>
      <c r="C8281" s="54">
        <v>0.5</v>
      </c>
      <c r="D8281" s="86">
        <v>200</v>
      </c>
      <c r="E8281" s="85">
        <f>C8281*D8281</f>
        <v>100</v>
      </c>
    </row>
    <row r="8282" spans="1:5" ht="18" x14ac:dyDescent="0.35">
      <c r="A8282" s="5"/>
      <c r="B8282" s="5"/>
      <c r="C8282" s="54"/>
      <c r="D8282" s="54"/>
      <c r="E8282" s="85">
        <f>SUM(E8280:E8281)</f>
        <v>192.46160000000003</v>
      </c>
    </row>
    <row r="8284" spans="1:5" ht="21" x14ac:dyDescent="0.4">
      <c r="A8284" s="40" t="s">
        <v>2016</v>
      </c>
      <c r="B8284" s="40"/>
      <c r="C8284" s="40"/>
      <c r="D8284" s="12"/>
      <c r="E8284" s="12"/>
    </row>
    <row r="8285" spans="1:5" ht="18" x14ac:dyDescent="0.35">
      <c r="A8285" s="5" t="s">
        <v>1416</v>
      </c>
      <c r="B8285" s="5"/>
      <c r="C8285" s="7" t="s">
        <v>28</v>
      </c>
      <c r="D8285" s="7" t="s">
        <v>29</v>
      </c>
      <c r="E8285" s="7" t="s">
        <v>30</v>
      </c>
    </row>
    <row r="8286" spans="1:5" ht="18" x14ac:dyDescent="0.35">
      <c r="A8286" s="5" t="s">
        <v>2017</v>
      </c>
      <c r="B8286" s="50" t="s">
        <v>32</v>
      </c>
      <c r="C8286" s="7"/>
      <c r="D8286" s="7">
        <v>10.34</v>
      </c>
      <c r="E8286" s="85">
        <f>C8286*D8286</f>
        <v>0</v>
      </c>
    </row>
    <row r="8287" spans="1:5" ht="18" x14ac:dyDescent="0.35">
      <c r="A8287" s="5" t="s">
        <v>238</v>
      </c>
      <c r="B8287" s="50" t="s">
        <v>33</v>
      </c>
      <c r="C8287" s="7">
        <v>7.0140000000000002</v>
      </c>
      <c r="D8287" s="7">
        <v>10.5</v>
      </c>
      <c r="E8287" s="85">
        <f>C8287*D8287</f>
        <v>73.647000000000006</v>
      </c>
    </row>
    <row r="8288" spans="1:5" ht="18" x14ac:dyDescent="0.35">
      <c r="A8288" s="5" t="s">
        <v>615</v>
      </c>
      <c r="B8288" s="50" t="s">
        <v>137</v>
      </c>
      <c r="C8288" s="7">
        <v>0.4</v>
      </c>
      <c r="D8288" s="7">
        <v>15.25</v>
      </c>
      <c r="E8288" s="85">
        <f>C8288*D8288</f>
        <v>6.1000000000000005</v>
      </c>
    </row>
    <row r="8289" spans="1:5" ht="18" x14ac:dyDescent="0.35">
      <c r="A8289" s="5"/>
      <c r="B8289" s="50" t="s">
        <v>35</v>
      </c>
      <c r="C8289" s="7">
        <v>4</v>
      </c>
      <c r="D8289" s="7">
        <v>2.91</v>
      </c>
      <c r="E8289" s="85">
        <f>C8289*D8289</f>
        <v>11.64</v>
      </c>
    </row>
    <row r="8290" spans="1:5" ht="18" x14ac:dyDescent="0.35">
      <c r="A8290" s="5"/>
      <c r="B8290" s="50" t="s">
        <v>36</v>
      </c>
      <c r="C8290" s="7">
        <v>4</v>
      </c>
      <c r="D8290" s="7">
        <v>0.61</v>
      </c>
      <c r="E8290" s="85">
        <f>C8290*D8290</f>
        <v>2.44</v>
      </c>
    </row>
    <row r="8291" spans="1:5" ht="18" x14ac:dyDescent="0.35">
      <c r="A8291" s="5"/>
      <c r="B8291" s="50"/>
      <c r="C8291" s="87"/>
      <c r="D8291" s="88"/>
      <c r="E8291" s="85">
        <f>SUM(E8286:E8290)</f>
        <v>93.826999999999998</v>
      </c>
    </row>
    <row r="8292" spans="1:5" ht="18" x14ac:dyDescent="0.35">
      <c r="A8292" s="5"/>
      <c r="B8292" s="50"/>
      <c r="C8292" s="87"/>
      <c r="D8292" s="88" t="s">
        <v>1266</v>
      </c>
      <c r="E8292" s="85">
        <f>E8291+E8291*40%</f>
        <v>131.3578</v>
      </c>
    </row>
    <row r="8293" spans="1:5" ht="18" x14ac:dyDescent="0.35">
      <c r="A8293" s="5"/>
      <c r="B8293" s="50" t="s">
        <v>37</v>
      </c>
      <c r="C8293" s="54">
        <v>0.5</v>
      </c>
      <c r="D8293" s="86">
        <v>200</v>
      </c>
      <c r="E8293" s="85">
        <f>C8293*D8293</f>
        <v>100</v>
      </c>
    </row>
    <row r="8294" spans="1:5" ht="18" x14ac:dyDescent="0.35">
      <c r="A8294" s="5"/>
      <c r="B8294" s="5"/>
      <c r="C8294" s="54"/>
      <c r="D8294" s="54"/>
      <c r="E8294" s="85">
        <f>SUM(E8292:E8293)</f>
        <v>231.3578</v>
      </c>
    </row>
    <row r="8296" spans="1:5" ht="21" x14ac:dyDescent="0.4">
      <c r="A8296" s="40" t="s">
        <v>2005</v>
      </c>
      <c r="B8296" s="40"/>
      <c r="C8296" s="40"/>
      <c r="D8296" s="12"/>
      <c r="E8296" s="12"/>
    </row>
    <row r="8297" spans="1:5" ht="18" x14ac:dyDescent="0.35">
      <c r="A8297" s="5" t="s">
        <v>2018</v>
      </c>
      <c r="B8297" s="5"/>
      <c r="C8297" s="7" t="s">
        <v>28</v>
      </c>
      <c r="D8297" s="7" t="s">
        <v>29</v>
      </c>
      <c r="E8297" s="7" t="s">
        <v>30</v>
      </c>
    </row>
    <row r="8298" spans="1:5" ht="18" x14ac:dyDescent="0.35">
      <c r="A8298" s="5" t="s">
        <v>210</v>
      </c>
      <c r="B8298" s="50" t="s">
        <v>32</v>
      </c>
      <c r="C8298" s="7">
        <v>2.343</v>
      </c>
      <c r="D8298" s="7">
        <v>10.34</v>
      </c>
      <c r="E8298" s="85">
        <f>C8298*D8298</f>
        <v>24.22662</v>
      </c>
    </row>
    <row r="8299" spans="1:5" ht="18" x14ac:dyDescent="0.35">
      <c r="A8299" s="5" t="s">
        <v>221</v>
      </c>
      <c r="B8299" s="50" t="s">
        <v>33</v>
      </c>
      <c r="C8299" s="7">
        <v>14.101000000000001</v>
      </c>
      <c r="D8299" s="7">
        <v>10</v>
      </c>
      <c r="E8299" s="85">
        <f>C8299*D8299</f>
        <v>141.01000000000002</v>
      </c>
    </row>
    <row r="8300" spans="1:5" ht="18" x14ac:dyDescent="0.35">
      <c r="A8300" s="5" t="s">
        <v>2011</v>
      </c>
      <c r="B8300" s="50" t="s">
        <v>137</v>
      </c>
      <c r="C8300" s="7">
        <v>0.52500000000000002</v>
      </c>
      <c r="D8300" s="7">
        <v>15.25</v>
      </c>
      <c r="E8300" s="85">
        <f>C8300*D8300</f>
        <v>8.0062499999999996</v>
      </c>
    </row>
    <row r="8301" spans="1:5" ht="18" x14ac:dyDescent="0.35">
      <c r="A8301" s="5"/>
      <c r="B8301" s="50" t="s">
        <v>35</v>
      </c>
      <c r="C8301" s="7">
        <v>4</v>
      </c>
      <c r="D8301" s="7">
        <v>2.91</v>
      </c>
      <c r="E8301" s="85">
        <f>C8301*D8301</f>
        <v>11.64</v>
      </c>
    </row>
    <row r="8302" spans="1:5" ht="18" x14ac:dyDescent="0.35">
      <c r="A8302" s="5"/>
      <c r="B8302" s="50" t="s">
        <v>36</v>
      </c>
      <c r="C8302" s="7">
        <v>4</v>
      </c>
      <c r="D8302" s="7">
        <v>0.61</v>
      </c>
      <c r="E8302" s="85">
        <f>C8302*D8302</f>
        <v>2.44</v>
      </c>
    </row>
    <row r="8303" spans="1:5" ht="18" x14ac:dyDescent="0.35">
      <c r="A8303" s="5"/>
      <c r="B8303" s="50"/>
      <c r="C8303" s="87"/>
      <c r="D8303" s="88"/>
      <c r="E8303" s="85">
        <f>SUM(E8298:E8302)</f>
        <v>187.32287000000002</v>
      </c>
    </row>
    <row r="8304" spans="1:5" ht="18" x14ac:dyDescent="0.35">
      <c r="A8304" s="5"/>
      <c r="B8304" s="50"/>
      <c r="C8304" s="87"/>
      <c r="D8304" s="88" t="s">
        <v>1266</v>
      </c>
      <c r="E8304" s="85">
        <f>E8303+E8303*40%</f>
        <v>262.25201800000002</v>
      </c>
    </row>
    <row r="8305" spans="1:5" ht="18" x14ac:dyDescent="0.35">
      <c r="A8305" s="5"/>
      <c r="B8305" s="50" t="s">
        <v>37</v>
      </c>
      <c r="C8305" s="54">
        <v>0.5</v>
      </c>
      <c r="D8305" s="86">
        <v>200</v>
      </c>
      <c r="E8305" s="85">
        <f>C8305*D8305</f>
        <v>100</v>
      </c>
    </row>
    <row r="8306" spans="1:5" ht="18" x14ac:dyDescent="0.35">
      <c r="A8306" s="5"/>
      <c r="B8306" s="5"/>
      <c r="C8306" s="54"/>
      <c r="D8306" s="54"/>
      <c r="E8306" s="85">
        <f>SUM(E8304:E8305)</f>
        <v>362.25201800000002</v>
      </c>
    </row>
    <row r="8308" spans="1:5" ht="21" x14ac:dyDescent="0.4">
      <c r="A8308" s="40" t="s">
        <v>602</v>
      </c>
      <c r="B8308" s="40"/>
      <c r="C8308" s="84"/>
    </row>
    <row r="8309" spans="1:5" ht="18" x14ac:dyDescent="0.35">
      <c r="B8309" s="5"/>
      <c r="C8309" s="7" t="s">
        <v>28</v>
      </c>
      <c r="D8309" s="7" t="s">
        <v>29</v>
      </c>
      <c r="E8309" s="7" t="s">
        <v>30</v>
      </c>
    </row>
    <row r="8310" spans="1:5" ht="18" x14ac:dyDescent="0.35">
      <c r="A8310" s="5" t="s">
        <v>2019</v>
      </c>
      <c r="B8310" s="50" t="s">
        <v>32</v>
      </c>
      <c r="C8310" s="7">
        <v>2.133</v>
      </c>
      <c r="D8310" s="7">
        <v>14.93</v>
      </c>
      <c r="E8310" s="85">
        <f t="shared" ref="E8310:E8317" si="516">C8310*D8310</f>
        <v>31.845690000000001</v>
      </c>
    </row>
    <row r="8311" spans="1:5" ht="18" x14ac:dyDescent="0.35">
      <c r="A8311" s="5" t="s">
        <v>54</v>
      </c>
      <c r="B8311" s="50" t="s">
        <v>33</v>
      </c>
      <c r="C8311" s="7">
        <v>10.773</v>
      </c>
      <c r="D8311" s="7">
        <v>10</v>
      </c>
      <c r="E8311" s="85">
        <f t="shared" si="516"/>
        <v>107.72999999999999</v>
      </c>
    </row>
    <row r="8312" spans="1:5" ht="18" x14ac:dyDescent="0.35">
      <c r="A8312" s="5" t="s">
        <v>699</v>
      </c>
      <c r="B8312" s="50" t="s">
        <v>33</v>
      </c>
      <c r="C8312" s="7">
        <v>10.647</v>
      </c>
      <c r="D8312" s="7">
        <v>10</v>
      </c>
      <c r="E8312" s="85">
        <f t="shared" si="516"/>
        <v>106.47</v>
      </c>
    </row>
    <row r="8313" spans="1:5" ht="18" x14ac:dyDescent="0.35">
      <c r="A8313" s="5" t="s">
        <v>891</v>
      </c>
      <c r="B8313" s="50" t="s">
        <v>1208</v>
      </c>
      <c r="C8313" s="7">
        <v>2</v>
      </c>
      <c r="D8313" s="7">
        <v>2.2400000000000002</v>
      </c>
      <c r="E8313" s="85">
        <f t="shared" si="516"/>
        <v>4.4800000000000004</v>
      </c>
    </row>
    <row r="8314" spans="1:5" ht="18" x14ac:dyDescent="0.35">
      <c r="A8314" s="5" t="s">
        <v>1954</v>
      </c>
      <c r="B8314" s="50" t="s">
        <v>87</v>
      </c>
      <c r="C8314" s="7">
        <v>2</v>
      </c>
      <c r="D8314" s="7">
        <v>1.81</v>
      </c>
      <c r="E8314" s="85">
        <f t="shared" si="516"/>
        <v>3.62</v>
      </c>
    </row>
    <row r="8315" spans="1:5" ht="18" x14ac:dyDescent="0.35">
      <c r="A8315" s="5"/>
      <c r="B8315" s="50" t="s">
        <v>34</v>
      </c>
      <c r="C8315" s="7"/>
      <c r="D8315" s="7">
        <v>14.61</v>
      </c>
      <c r="E8315" s="85">
        <f t="shared" si="516"/>
        <v>0</v>
      </c>
    </row>
    <row r="8316" spans="1:5" ht="18" x14ac:dyDescent="0.35">
      <c r="A8316" s="5"/>
      <c r="B8316" s="50" t="s">
        <v>35</v>
      </c>
      <c r="C8316" s="7">
        <v>4</v>
      </c>
      <c r="D8316" s="7">
        <v>2.91</v>
      </c>
      <c r="E8316" s="85">
        <f t="shared" si="516"/>
        <v>11.64</v>
      </c>
    </row>
    <row r="8317" spans="1:5" ht="18" x14ac:dyDescent="0.35">
      <c r="A8317" s="5"/>
      <c r="B8317" s="50" t="s">
        <v>36</v>
      </c>
      <c r="C8317" s="7">
        <v>4</v>
      </c>
      <c r="D8317" s="7">
        <v>0.61</v>
      </c>
      <c r="E8317" s="85">
        <f t="shared" si="516"/>
        <v>2.44</v>
      </c>
    </row>
    <row r="8318" spans="1:5" ht="18" x14ac:dyDescent="0.35">
      <c r="A8318" s="5"/>
      <c r="B8318" s="5"/>
      <c r="C8318" s="54"/>
      <c r="D8318" s="54"/>
      <c r="E8318" s="89">
        <f>SUM(E8310:E8317)</f>
        <v>268.22568999999999</v>
      </c>
    </row>
    <row r="8319" spans="1:5" ht="18" x14ac:dyDescent="0.35">
      <c r="A8319" s="5"/>
      <c r="B8319" s="5"/>
      <c r="C8319" s="54"/>
      <c r="D8319" s="54" t="s">
        <v>1063</v>
      </c>
      <c r="E8319" s="89">
        <f>E8318+E8318*40%</f>
        <v>375.51596599999999</v>
      </c>
    </row>
    <row r="8320" spans="1:5" ht="18" x14ac:dyDescent="0.35">
      <c r="A8320" s="5"/>
      <c r="B8320" s="50" t="s">
        <v>37</v>
      </c>
      <c r="C8320" s="54">
        <v>1</v>
      </c>
      <c r="D8320" s="54">
        <v>200</v>
      </c>
      <c r="E8320" s="85">
        <f>C8320*D8320</f>
        <v>200</v>
      </c>
    </row>
    <row r="8321" spans="1:5" ht="18" x14ac:dyDescent="0.35">
      <c r="E8321" s="85">
        <f>SUM(E8319:E8320)</f>
        <v>575.51596599999993</v>
      </c>
    </row>
    <row r="8322" spans="1:5" ht="21" x14ac:dyDescent="0.4">
      <c r="A8322" s="40" t="s">
        <v>1923</v>
      </c>
      <c r="B8322" s="40"/>
      <c r="C8322" s="84"/>
    </row>
    <row r="8324" spans="1:5" ht="18" x14ac:dyDescent="0.35">
      <c r="A8324" s="5" t="s">
        <v>2020</v>
      </c>
      <c r="B8324" s="5"/>
      <c r="C8324" s="7" t="s">
        <v>28</v>
      </c>
      <c r="D8324" s="7" t="s">
        <v>29</v>
      </c>
      <c r="E8324" s="7" t="s">
        <v>30</v>
      </c>
    </row>
    <row r="8325" spans="1:5" ht="18" x14ac:dyDescent="0.35">
      <c r="A8325" s="5" t="s">
        <v>54</v>
      </c>
      <c r="B8325" s="50" t="s">
        <v>32</v>
      </c>
      <c r="C8325" s="7">
        <v>2.133</v>
      </c>
      <c r="D8325" s="7">
        <v>10.34</v>
      </c>
      <c r="E8325" s="85">
        <f t="shared" ref="E8325:E8330" si="517">C8325*D8325</f>
        <v>22.055219999999998</v>
      </c>
    </row>
    <row r="8326" spans="1:5" ht="18" x14ac:dyDescent="0.35">
      <c r="A8326" s="5"/>
      <c r="B8326" s="50" t="s">
        <v>33</v>
      </c>
      <c r="C8326" s="7">
        <v>10.773</v>
      </c>
      <c r="D8326" s="7">
        <v>10</v>
      </c>
      <c r="E8326" s="85">
        <f t="shared" si="517"/>
        <v>107.72999999999999</v>
      </c>
    </row>
    <row r="8327" spans="1:5" ht="18" x14ac:dyDescent="0.35">
      <c r="A8327" s="102"/>
      <c r="B8327" s="50" t="s">
        <v>128</v>
      </c>
      <c r="C8327" s="7">
        <v>2</v>
      </c>
      <c r="D8327" s="7">
        <v>1.81</v>
      </c>
      <c r="E8327" s="85">
        <f t="shared" si="517"/>
        <v>3.62</v>
      </c>
    </row>
    <row r="8328" spans="1:5" ht="18" x14ac:dyDescent="0.35">
      <c r="A8328" s="5"/>
      <c r="B8328" s="50" t="s">
        <v>34</v>
      </c>
      <c r="C8328" s="7"/>
      <c r="D8328" s="7">
        <v>14.61</v>
      </c>
      <c r="E8328" s="85">
        <f t="shared" si="517"/>
        <v>0</v>
      </c>
    </row>
    <row r="8329" spans="1:5" ht="18" x14ac:dyDescent="0.35">
      <c r="A8329" s="5"/>
      <c r="B8329" s="50" t="s">
        <v>35</v>
      </c>
      <c r="C8329" s="7">
        <v>4</v>
      </c>
      <c r="D8329" s="7">
        <v>2.91</v>
      </c>
      <c r="E8329" s="85">
        <f t="shared" si="517"/>
        <v>11.64</v>
      </c>
    </row>
    <row r="8330" spans="1:5" ht="18" x14ac:dyDescent="0.35">
      <c r="A8330" s="5"/>
      <c r="B8330" s="50" t="s">
        <v>36</v>
      </c>
      <c r="C8330" s="7">
        <v>4</v>
      </c>
      <c r="D8330" s="7">
        <v>0.61</v>
      </c>
      <c r="E8330" s="85">
        <f t="shared" si="517"/>
        <v>2.44</v>
      </c>
    </row>
    <row r="8331" spans="1:5" ht="18" x14ac:dyDescent="0.35">
      <c r="A8331" s="5"/>
      <c r="B8331" s="5"/>
      <c r="C8331" s="54"/>
      <c r="D8331" s="54"/>
      <c r="E8331" s="89">
        <f>SUM(E8325:E8330)</f>
        <v>147.48521999999997</v>
      </c>
    </row>
    <row r="8332" spans="1:5" ht="18" x14ac:dyDescent="0.35">
      <c r="A8332" s="5"/>
      <c r="B8332" s="5"/>
      <c r="C8332" s="54"/>
      <c r="D8332" s="54" t="s">
        <v>1066</v>
      </c>
      <c r="E8332" s="89">
        <f>E8331+E8331*40%</f>
        <v>206.47930799999995</v>
      </c>
    </row>
    <row r="8333" spans="1:5" ht="18" x14ac:dyDescent="0.35">
      <c r="A8333" s="5"/>
      <c r="B8333" s="50" t="s">
        <v>37</v>
      </c>
      <c r="C8333" s="54">
        <v>0.5</v>
      </c>
      <c r="D8333" s="54">
        <v>200</v>
      </c>
      <c r="E8333" s="85">
        <f>C8333*D8333</f>
        <v>100</v>
      </c>
    </row>
    <row r="8334" spans="1:5" ht="18" x14ac:dyDescent="0.35">
      <c r="A8334" s="5"/>
      <c r="B8334" s="5"/>
      <c r="C8334" s="54"/>
      <c r="D8334" s="54"/>
      <c r="E8334" s="85">
        <f>SUM(E8332:E8333)</f>
        <v>306.47930799999995</v>
      </c>
    </row>
    <row r="8336" spans="1:5" ht="21" x14ac:dyDescent="0.4">
      <c r="A8336" s="40" t="s">
        <v>2005</v>
      </c>
      <c r="B8336" s="40"/>
      <c r="C8336" s="40"/>
      <c r="D8336" s="12"/>
      <c r="E8336" s="12"/>
    </row>
    <row r="8337" spans="1:5" ht="18" x14ac:dyDescent="0.35">
      <c r="A8337" s="5" t="s">
        <v>2021</v>
      </c>
      <c r="B8337" s="5"/>
      <c r="C8337" s="7" t="s">
        <v>28</v>
      </c>
      <c r="D8337" s="7" t="s">
        <v>29</v>
      </c>
      <c r="E8337" s="7" t="s">
        <v>30</v>
      </c>
    </row>
    <row r="8338" spans="1:5" ht="18" x14ac:dyDescent="0.35">
      <c r="A8338" s="5" t="s">
        <v>1892</v>
      </c>
      <c r="B8338" s="50" t="s">
        <v>32</v>
      </c>
      <c r="C8338" s="7">
        <v>3.0779999999999998</v>
      </c>
      <c r="D8338" s="7">
        <v>10.34</v>
      </c>
      <c r="E8338" s="85">
        <f>C8338*D8338</f>
        <v>31.826519999999999</v>
      </c>
    </row>
    <row r="8339" spans="1:5" ht="18" x14ac:dyDescent="0.35">
      <c r="A8339" s="5" t="s">
        <v>2022</v>
      </c>
      <c r="B8339" s="50" t="s">
        <v>33</v>
      </c>
      <c r="C8339" s="7">
        <v>33.642000000000003</v>
      </c>
      <c r="D8339" s="7">
        <v>10</v>
      </c>
      <c r="E8339" s="85">
        <f>C8339*D8339</f>
        <v>336.42</v>
      </c>
    </row>
    <row r="8340" spans="1:5" ht="18" x14ac:dyDescent="0.35">
      <c r="A8340" s="5" t="s">
        <v>2023</v>
      </c>
      <c r="B8340" s="50" t="s">
        <v>137</v>
      </c>
      <c r="C8340" s="7">
        <v>1</v>
      </c>
      <c r="D8340" s="7">
        <v>15.25</v>
      </c>
      <c r="E8340" s="85">
        <f>C8340*D8340</f>
        <v>15.25</v>
      </c>
    </row>
    <row r="8341" spans="1:5" ht="18" x14ac:dyDescent="0.35">
      <c r="A8341" s="5"/>
      <c r="B8341" s="50" t="s">
        <v>35</v>
      </c>
      <c r="C8341" s="7">
        <v>4</v>
      </c>
      <c r="D8341" s="7">
        <v>2.91</v>
      </c>
      <c r="E8341" s="85">
        <f>C8341*D8341</f>
        <v>11.64</v>
      </c>
    </row>
    <row r="8342" spans="1:5" ht="18" x14ac:dyDescent="0.35">
      <c r="A8342" s="5"/>
      <c r="B8342" s="50" t="s">
        <v>36</v>
      </c>
      <c r="C8342" s="7">
        <v>4</v>
      </c>
      <c r="D8342" s="7">
        <v>0.61</v>
      </c>
      <c r="E8342" s="85">
        <f>C8342*D8342</f>
        <v>2.44</v>
      </c>
    </row>
    <row r="8343" spans="1:5" ht="18" x14ac:dyDescent="0.35">
      <c r="A8343" s="5"/>
      <c r="B8343" s="50"/>
      <c r="C8343" s="87"/>
      <c r="D8343" s="88"/>
      <c r="E8343" s="85">
        <f>SUM(E8338:E8342)</f>
        <v>397.57652000000002</v>
      </c>
    </row>
    <row r="8344" spans="1:5" ht="18" x14ac:dyDescent="0.35">
      <c r="A8344" s="5"/>
      <c r="B8344" s="50"/>
      <c r="C8344" s="87"/>
      <c r="D8344" s="88" t="s">
        <v>1266</v>
      </c>
      <c r="E8344" s="85">
        <f>E8343+E8343*40%</f>
        <v>556.6071280000001</v>
      </c>
    </row>
    <row r="8345" spans="1:5" ht="18" x14ac:dyDescent="0.35">
      <c r="A8345" s="5"/>
      <c r="B8345" s="50" t="s">
        <v>37</v>
      </c>
      <c r="C8345" s="54">
        <v>1</v>
      </c>
      <c r="D8345" s="86">
        <v>200</v>
      </c>
      <c r="E8345" s="85">
        <f>C8345*D8345</f>
        <v>200</v>
      </c>
    </row>
    <row r="8346" spans="1:5" ht="18" x14ac:dyDescent="0.35">
      <c r="A8346" s="5"/>
      <c r="B8346" s="5"/>
      <c r="C8346" s="54"/>
      <c r="D8346" s="54"/>
      <c r="E8346" s="85">
        <f>SUM(E8344:E8345)</f>
        <v>756.6071280000001</v>
      </c>
    </row>
    <row r="8348" spans="1:5" ht="21" x14ac:dyDescent="0.4">
      <c r="A8348" s="40" t="s">
        <v>602</v>
      </c>
      <c r="B8348" s="40"/>
      <c r="C8348" s="84"/>
    </row>
    <row r="8349" spans="1:5" ht="18" x14ac:dyDescent="0.35">
      <c r="B8349" s="5"/>
      <c r="C8349" s="7" t="s">
        <v>28</v>
      </c>
      <c r="D8349" s="7" t="s">
        <v>29</v>
      </c>
      <c r="E8349" s="7" t="s">
        <v>30</v>
      </c>
    </row>
    <row r="8350" spans="1:5" ht="18" x14ac:dyDescent="0.35">
      <c r="A8350" s="5" t="s">
        <v>2028</v>
      </c>
      <c r="B8350" s="50" t="s">
        <v>32</v>
      </c>
      <c r="C8350" s="7">
        <v>3.4980000000000002</v>
      </c>
      <c r="D8350" s="7">
        <v>14.93</v>
      </c>
      <c r="E8350" s="85">
        <f t="shared" ref="E8350:E8357" si="518">C8350*D8350</f>
        <v>52.225140000000003</v>
      </c>
    </row>
    <row r="8351" spans="1:5" ht="18" x14ac:dyDescent="0.35">
      <c r="A8351" s="5" t="s">
        <v>397</v>
      </c>
      <c r="B8351" s="50" t="s">
        <v>33</v>
      </c>
      <c r="C8351" s="7">
        <v>33.18</v>
      </c>
      <c r="D8351" s="7">
        <v>10</v>
      </c>
      <c r="E8351" s="85">
        <f t="shared" si="518"/>
        <v>331.8</v>
      </c>
    </row>
    <row r="8352" spans="1:5" ht="18" x14ac:dyDescent="0.35">
      <c r="A8352" s="5" t="s">
        <v>397</v>
      </c>
      <c r="B8352" s="50" t="s">
        <v>33</v>
      </c>
      <c r="C8352" s="7">
        <v>33.18</v>
      </c>
      <c r="D8352" s="7">
        <v>10</v>
      </c>
      <c r="E8352" s="85">
        <f t="shared" si="518"/>
        <v>331.8</v>
      </c>
    </row>
    <row r="8353" spans="1:5" ht="18" x14ac:dyDescent="0.35">
      <c r="A8353" s="5" t="s">
        <v>2029</v>
      </c>
      <c r="B8353" s="50" t="s">
        <v>92</v>
      </c>
      <c r="C8353" s="7">
        <v>2</v>
      </c>
      <c r="D8353" s="7">
        <v>3.62</v>
      </c>
      <c r="E8353" s="85">
        <f t="shared" si="518"/>
        <v>7.24</v>
      </c>
    </row>
    <row r="8354" spans="1:5" ht="18" x14ac:dyDescent="0.35">
      <c r="A8354" s="5" t="s">
        <v>1954</v>
      </c>
      <c r="B8354" s="50" t="s">
        <v>92</v>
      </c>
      <c r="C8354" s="7">
        <v>2</v>
      </c>
      <c r="D8354" s="7">
        <v>3.62</v>
      </c>
      <c r="E8354" s="85">
        <f t="shared" si="518"/>
        <v>7.24</v>
      </c>
    </row>
    <row r="8355" spans="1:5" ht="18" x14ac:dyDescent="0.35">
      <c r="A8355" s="5"/>
      <c r="B8355" s="50" t="s">
        <v>34</v>
      </c>
      <c r="C8355" s="7">
        <v>0.88</v>
      </c>
      <c r="D8355" s="7">
        <v>14.61</v>
      </c>
      <c r="E8355" s="85">
        <f t="shared" si="518"/>
        <v>12.8568</v>
      </c>
    </row>
    <row r="8356" spans="1:5" ht="18" x14ac:dyDescent="0.35">
      <c r="A8356" s="5"/>
      <c r="B8356" s="50" t="s">
        <v>35</v>
      </c>
      <c r="C8356" s="7">
        <v>4</v>
      </c>
      <c r="D8356" s="7">
        <v>2.91</v>
      </c>
      <c r="E8356" s="85">
        <f t="shared" si="518"/>
        <v>11.64</v>
      </c>
    </row>
    <row r="8357" spans="1:5" ht="18" x14ac:dyDescent="0.35">
      <c r="A8357" s="5"/>
      <c r="B8357" s="50" t="s">
        <v>36</v>
      </c>
      <c r="C8357" s="7">
        <v>4</v>
      </c>
      <c r="D8357" s="7">
        <v>0.61</v>
      </c>
      <c r="E8357" s="85">
        <f t="shared" si="518"/>
        <v>2.44</v>
      </c>
    </row>
    <row r="8358" spans="1:5" ht="18" x14ac:dyDescent="0.35">
      <c r="A8358" s="5"/>
      <c r="B8358" s="5"/>
      <c r="C8358" s="54"/>
      <c r="D8358" s="54"/>
      <c r="E8358" s="89">
        <f>SUM(E8350:E8357)</f>
        <v>757.24194000000011</v>
      </c>
    </row>
    <row r="8359" spans="1:5" ht="18" x14ac:dyDescent="0.35">
      <c r="A8359" s="5"/>
      <c r="B8359" s="5"/>
      <c r="C8359" s="54"/>
      <c r="D8359" s="54" t="s">
        <v>1063</v>
      </c>
      <c r="E8359" s="89">
        <f>E8358+E8358*40%</f>
        <v>1060.1387160000002</v>
      </c>
    </row>
    <row r="8360" spans="1:5" ht="18" x14ac:dyDescent="0.35">
      <c r="A8360" s="5"/>
      <c r="B8360" s="50" t="s">
        <v>37</v>
      </c>
      <c r="C8360" s="54">
        <v>1.5</v>
      </c>
      <c r="D8360" s="54">
        <v>200</v>
      </c>
      <c r="E8360" s="85">
        <f>C8360*D8360</f>
        <v>300</v>
      </c>
    </row>
    <row r="8361" spans="1:5" ht="18" x14ac:dyDescent="0.35">
      <c r="E8361" s="85">
        <f>SUM(E8359:E8360)</f>
        <v>1360.1387160000002</v>
      </c>
    </row>
    <row r="8363" spans="1:5" ht="21" x14ac:dyDescent="0.4">
      <c r="A8363" s="40" t="s">
        <v>2005</v>
      </c>
      <c r="B8363" s="40"/>
      <c r="C8363" s="40"/>
      <c r="D8363" s="12"/>
      <c r="E8363" s="12"/>
    </row>
    <row r="8364" spans="1:5" ht="18" x14ac:dyDescent="0.35">
      <c r="A8364" s="5" t="s">
        <v>2030</v>
      </c>
      <c r="B8364" s="5"/>
      <c r="C8364" s="7" t="s">
        <v>28</v>
      </c>
      <c r="D8364" s="7" t="s">
        <v>29</v>
      </c>
      <c r="E8364" s="7" t="s">
        <v>30</v>
      </c>
    </row>
    <row r="8365" spans="1:5" ht="18" x14ac:dyDescent="0.35">
      <c r="A8365" s="5" t="s">
        <v>2031</v>
      </c>
      <c r="B8365" s="50" t="s">
        <v>32</v>
      </c>
      <c r="C8365" s="7">
        <v>4.758</v>
      </c>
      <c r="D8365" s="7">
        <v>10.34</v>
      </c>
      <c r="E8365" s="85">
        <f>C8365*D8365</f>
        <v>49.197719999999997</v>
      </c>
    </row>
    <row r="8366" spans="1:5" ht="18" x14ac:dyDescent="0.35">
      <c r="A8366" s="5" t="s">
        <v>1591</v>
      </c>
      <c r="B8366" s="50" t="s">
        <v>33</v>
      </c>
      <c r="C8366" s="7">
        <v>75.126999999999995</v>
      </c>
      <c r="D8366" s="7">
        <v>10</v>
      </c>
      <c r="E8366" s="85">
        <f>C8366*D8366</f>
        <v>751.27</v>
      </c>
    </row>
    <row r="8367" spans="1:5" ht="18" x14ac:dyDescent="0.35">
      <c r="A8367" s="5" t="s">
        <v>2032</v>
      </c>
      <c r="B8367" s="50" t="s">
        <v>137</v>
      </c>
      <c r="C8367" s="7">
        <v>1.32</v>
      </c>
      <c r="D8367" s="7">
        <v>15.25</v>
      </c>
      <c r="E8367" s="85">
        <f>C8367*D8367</f>
        <v>20.130000000000003</v>
      </c>
    </row>
    <row r="8368" spans="1:5" ht="18" x14ac:dyDescent="0.35">
      <c r="A8368" s="5"/>
      <c r="B8368" s="50" t="s">
        <v>35</v>
      </c>
      <c r="C8368" s="7">
        <v>8</v>
      </c>
      <c r="D8368" s="7">
        <v>2.91</v>
      </c>
      <c r="E8368" s="85">
        <f>C8368*D8368</f>
        <v>23.28</v>
      </c>
    </row>
    <row r="8369" spans="1:5" ht="18" x14ac:dyDescent="0.35">
      <c r="A8369" s="5"/>
      <c r="B8369" s="50" t="s">
        <v>36</v>
      </c>
      <c r="C8369" s="7">
        <v>4</v>
      </c>
      <c r="D8369" s="7">
        <v>0.61</v>
      </c>
      <c r="E8369" s="85">
        <f>C8369*D8369</f>
        <v>2.44</v>
      </c>
    </row>
    <row r="8370" spans="1:5" ht="18" x14ac:dyDescent="0.35">
      <c r="A8370" s="5"/>
      <c r="B8370" s="50"/>
      <c r="C8370" s="87"/>
      <c r="D8370" s="88"/>
      <c r="E8370" s="85">
        <f>SUM(E8365:E8369)</f>
        <v>846.31772000000001</v>
      </c>
    </row>
    <row r="8371" spans="1:5" ht="18" x14ac:dyDescent="0.35">
      <c r="A8371" s="5"/>
      <c r="B8371" s="50"/>
      <c r="C8371" s="87"/>
      <c r="D8371" s="88" t="s">
        <v>1266</v>
      </c>
      <c r="E8371" s="85">
        <f>E8370+E8370*40%</f>
        <v>1184.8448080000001</v>
      </c>
    </row>
    <row r="8372" spans="1:5" ht="18" x14ac:dyDescent="0.35">
      <c r="A8372" s="5"/>
      <c r="B8372" s="50" t="s">
        <v>37</v>
      </c>
      <c r="C8372" s="54">
        <v>3</v>
      </c>
      <c r="D8372" s="86">
        <v>200</v>
      </c>
      <c r="E8372" s="85">
        <f>C8372*D8372</f>
        <v>600</v>
      </c>
    </row>
    <row r="8373" spans="1:5" ht="18" x14ac:dyDescent="0.35">
      <c r="A8373" s="5"/>
      <c r="B8373" s="5"/>
      <c r="C8373" s="54"/>
      <c r="D8373" s="54"/>
      <c r="E8373" s="85">
        <f>SUM(E8371:E8372)</f>
        <v>1784.8448080000001</v>
      </c>
    </row>
    <row r="8375" spans="1:5" ht="21" x14ac:dyDescent="0.4">
      <c r="A8375" s="40" t="s">
        <v>2005</v>
      </c>
      <c r="B8375" s="40"/>
      <c r="C8375" s="40"/>
      <c r="D8375" s="12"/>
      <c r="E8375" s="12"/>
    </row>
    <row r="8376" spans="1:5" ht="18" x14ac:dyDescent="0.35">
      <c r="A8376" s="5" t="s">
        <v>2033</v>
      </c>
      <c r="B8376" s="5"/>
      <c r="C8376" s="7" t="s">
        <v>28</v>
      </c>
      <c r="D8376" s="7" t="s">
        <v>29</v>
      </c>
      <c r="E8376" s="7" t="s">
        <v>30</v>
      </c>
    </row>
    <row r="8377" spans="1:5" ht="18" x14ac:dyDescent="0.35">
      <c r="A8377" s="5" t="s">
        <v>104</v>
      </c>
      <c r="B8377" s="50" t="s">
        <v>32</v>
      </c>
      <c r="C8377" s="7">
        <v>1.8180000000000001</v>
      </c>
      <c r="D8377" s="7">
        <v>10.34</v>
      </c>
      <c r="E8377" s="85">
        <f>C8377*D8377</f>
        <v>18.798120000000001</v>
      </c>
    </row>
    <row r="8378" spans="1:5" ht="18" x14ac:dyDescent="0.35">
      <c r="A8378" s="5" t="s">
        <v>213</v>
      </c>
      <c r="B8378" s="50" t="s">
        <v>33</v>
      </c>
      <c r="C8378" s="7">
        <v>10.804</v>
      </c>
      <c r="D8378" s="7">
        <v>10</v>
      </c>
      <c r="E8378" s="85">
        <f>C8378*D8378</f>
        <v>108.04</v>
      </c>
    </row>
    <row r="8379" spans="1:5" ht="18" x14ac:dyDescent="0.35">
      <c r="A8379" s="5" t="s">
        <v>2032</v>
      </c>
      <c r="B8379" s="50" t="s">
        <v>137</v>
      </c>
      <c r="C8379" s="7">
        <v>0.63</v>
      </c>
      <c r="D8379" s="7">
        <v>15.25</v>
      </c>
      <c r="E8379" s="85">
        <f>C8379*D8379</f>
        <v>9.6074999999999999</v>
      </c>
    </row>
    <row r="8380" spans="1:5" ht="18" x14ac:dyDescent="0.35">
      <c r="A8380" s="5"/>
      <c r="B8380" s="50" t="s">
        <v>35</v>
      </c>
      <c r="C8380" s="7">
        <v>4</v>
      </c>
      <c r="D8380" s="7">
        <v>2.91</v>
      </c>
      <c r="E8380" s="85">
        <f>C8380*D8380</f>
        <v>11.64</v>
      </c>
    </row>
    <row r="8381" spans="1:5" ht="18" x14ac:dyDescent="0.35">
      <c r="A8381" s="5"/>
      <c r="B8381" s="50" t="s">
        <v>36</v>
      </c>
      <c r="C8381" s="7">
        <v>4</v>
      </c>
      <c r="D8381" s="7">
        <v>0.61</v>
      </c>
      <c r="E8381" s="85">
        <f>C8381*D8381</f>
        <v>2.44</v>
      </c>
    </row>
    <row r="8382" spans="1:5" ht="18" x14ac:dyDescent="0.35">
      <c r="A8382" s="5"/>
      <c r="B8382" s="50"/>
      <c r="C8382" s="87"/>
      <c r="D8382" s="88"/>
      <c r="E8382" s="85">
        <f>SUM(E8377:E8381)</f>
        <v>150.52562</v>
      </c>
    </row>
    <row r="8383" spans="1:5" ht="18" x14ac:dyDescent="0.35">
      <c r="A8383" s="5"/>
      <c r="B8383" s="50"/>
      <c r="C8383" s="87"/>
      <c r="D8383" s="88" t="s">
        <v>1266</v>
      </c>
      <c r="E8383" s="85">
        <f>E8382+E8382*40%</f>
        <v>210.73586800000001</v>
      </c>
    </row>
    <row r="8384" spans="1:5" ht="18" x14ac:dyDescent="0.35">
      <c r="A8384" s="5"/>
      <c r="B8384" s="50" t="s">
        <v>37</v>
      </c>
      <c r="C8384" s="54">
        <v>0.5</v>
      </c>
      <c r="D8384" s="86">
        <v>200</v>
      </c>
      <c r="E8384" s="85">
        <f>C8384*D8384</f>
        <v>100</v>
      </c>
    </row>
    <row r="8385" spans="1:5" ht="18" x14ac:dyDescent="0.35">
      <c r="A8385" s="5"/>
      <c r="B8385" s="5"/>
      <c r="C8385" s="54"/>
      <c r="D8385" s="54"/>
      <c r="E8385" s="85">
        <f>SUM(E8383:E8384)</f>
        <v>310.73586799999998</v>
      </c>
    </row>
    <row r="8387" spans="1:5" ht="21" x14ac:dyDescent="0.4">
      <c r="A8387" s="40" t="s">
        <v>2005</v>
      </c>
      <c r="B8387" s="40"/>
      <c r="C8387" s="40"/>
      <c r="D8387" s="12"/>
      <c r="E8387" s="12"/>
    </row>
    <row r="8388" spans="1:5" ht="18" x14ac:dyDescent="0.35">
      <c r="A8388" s="5" t="s">
        <v>2033</v>
      </c>
      <c r="B8388" s="5"/>
      <c r="C8388" s="7" t="s">
        <v>28</v>
      </c>
      <c r="D8388" s="7" t="s">
        <v>29</v>
      </c>
      <c r="E8388" s="7" t="s">
        <v>30</v>
      </c>
    </row>
    <row r="8389" spans="1:5" ht="18" x14ac:dyDescent="0.35">
      <c r="A8389" s="5" t="s">
        <v>103</v>
      </c>
      <c r="B8389" s="50" t="s">
        <v>32</v>
      </c>
      <c r="C8389" s="7">
        <v>1.6080000000000001</v>
      </c>
      <c r="D8389" s="7">
        <v>10.34</v>
      </c>
      <c r="E8389" s="85">
        <f>C8389*D8389</f>
        <v>16.626720000000002</v>
      </c>
    </row>
    <row r="8390" spans="1:5" ht="18" x14ac:dyDescent="0.35">
      <c r="A8390" s="5" t="s">
        <v>213</v>
      </c>
      <c r="B8390" s="50" t="s">
        <v>33</v>
      </c>
      <c r="C8390" s="7">
        <v>8.5990000000000002</v>
      </c>
      <c r="D8390" s="7">
        <v>10</v>
      </c>
      <c r="E8390" s="85">
        <f>C8390*D8390</f>
        <v>85.990000000000009</v>
      </c>
    </row>
    <row r="8391" spans="1:5" ht="18" x14ac:dyDescent="0.35">
      <c r="A8391" s="5" t="s">
        <v>2032</v>
      </c>
      <c r="B8391" s="50" t="s">
        <v>137</v>
      </c>
      <c r="C8391" s="7">
        <v>0.63</v>
      </c>
      <c r="D8391" s="7">
        <v>15.25</v>
      </c>
      <c r="E8391" s="85">
        <f>C8391*D8391</f>
        <v>9.6074999999999999</v>
      </c>
    </row>
    <row r="8392" spans="1:5" ht="18" x14ac:dyDescent="0.35">
      <c r="A8392" s="5"/>
      <c r="B8392" s="50" t="s">
        <v>35</v>
      </c>
      <c r="C8392" s="7">
        <v>4</v>
      </c>
      <c r="D8392" s="7">
        <v>2.91</v>
      </c>
      <c r="E8392" s="85">
        <f>C8392*D8392</f>
        <v>11.64</v>
      </c>
    </row>
    <row r="8393" spans="1:5" ht="18" x14ac:dyDescent="0.35">
      <c r="A8393" s="5"/>
      <c r="B8393" s="50" t="s">
        <v>36</v>
      </c>
      <c r="C8393" s="7">
        <v>4</v>
      </c>
      <c r="D8393" s="7">
        <v>0.61</v>
      </c>
      <c r="E8393" s="85">
        <f>C8393*D8393</f>
        <v>2.44</v>
      </c>
    </row>
    <row r="8394" spans="1:5" ht="18" x14ac:dyDescent="0.35">
      <c r="A8394" s="5"/>
      <c r="B8394" s="50"/>
      <c r="C8394" s="87"/>
      <c r="D8394" s="88"/>
      <c r="E8394" s="85">
        <f>SUM(E8389:E8393)</f>
        <v>126.30422000000002</v>
      </c>
    </row>
    <row r="8395" spans="1:5" ht="18" x14ac:dyDescent="0.35">
      <c r="A8395" s="5"/>
      <c r="B8395" s="50"/>
      <c r="C8395" s="87"/>
      <c r="D8395" s="88" t="s">
        <v>1266</v>
      </c>
      <c r="E8395" s="85">
        <f>E8394+E8394*40%</f>
        <v>176.82590800000003</v>
      </c>
    </row>
    <row r="8396" spans="1:5" ht="18" x14ac:dyDescent="0.35">
      <c r="A8396" s="5"/>
      <c r="B8396" s="50" t="s">
        <v>37</v>
      </c>
      <c r="C8396" s="54">
        <v>0.5</v>
      </c>
      <c r="D8396" s="86">
        <v>200</v>
      </c>
      <c r="E8396" s="85">
        <f>C8396*D8396</f>
        <v>100</v>
      </c>
    </row>
    <row r="8397" spans="1:5" ht="18" x14ac:dyDescent="0.35">
      <c r="A8397" s="5"/>
      <c r="B8397" s="5"/>
      <c r="C8397" s="54"/>
      <c r="D8397" s="54"/>
      <c r="E8397" s="85">
        <f>SUM(E8395:E8396)</f>
        <v>276.82590800000003</v>
      </c>
    </row>
    <row r="8399" spans="1:5" ht="21" x14ac:dyDescent="0.4">
      <c r="A8399" s="40" t="s">
        <v>2005</v>
      </c>
      <c r="B8399" s="40"/>
      <c r="C8399" s="40"/>
      <c r="D8399" s="12"/>
      <c r="E8399" s="12"/>
    </row>
    <row r="8400" spans="1:5" ht="18" x14ac:dyDescent="0.35">
      <c r="A8400" s="5" t="s">
        <v>2033</v>
      </c>
      <c r="B8400" s="5"/>
      <c r="C8400" s="7" t="s">
        <v>28</v>
      </c>
      <c r="D8400" s="7" t="s">
        <v>29</v>
      </c>
      <c r="E8400" s="7" t="s">
        <v>30</v>
      </c>
    </row>
    <row r="8401" spans="1:5" ht="18" x14ac:dyDescent="0.35">
      <c r="A8401" s="5" t="s">
        <v>74</v>
      </c>
      <c r="B8401" s="50" t="s">
        <v>32</v>
      </c>
      <c r="C8401" s="7">
        <v>1.1879999999999999</v>
      </c>
      <c r="D8401" s="7">
        <v>10.34</v>
      </c>
      <c r="E8401" s="85">
        <f>C8401*D8401</f>
        <v>12.283919999999998</v>
      </c>
    </row>
    <row r="8402" spans="1:5" ht="18" x14ac:dyDescent="0.35">
      <c r="A8402" s="5" t="s">
        <v>217</v>
      </c>
      <c r="B8402" s="50" t="s">
        <v>33</v>
      </c>
      <c r="C8402" s="7">
        <v>4.2629999999999999</v>
      </c>
      <c r="D8402" s="7">
        <v>10</v>
      </c>
      <c r="E8402" s="85">
        <f>C8402*D8402</f>
        <v>42.629999999999995</v>
      </c>
    </row>
    <row r="8403" spans="1:5" ht="18" x14ac:dyDescent="0.35">
      <c r="A8403" s="5" t="s">
        <v>2032</v>
      </c>
      <c r="B8403" s="50" t="s">
        <v>137</v>
      </c>
      <c r="C8403" s="7">
        <v>0.42</v>
      </c>
      <c r="D8403" s="7">
        <v>15.25</v>
      </c>
      <c r="E8403" s="85">
        <f>C8403*D8403</f>
        <v>6.4049999999999994</v>
      </c>
    </row>
    <row r="8404" spans="1:5" ht="18" x14ac:dyDescent="0.35">
      <c r="A8404" s="5"/>
      <c r="B8404" s="50" t="s">
        <v>35</v>
      </c>
      <c r="C8404" s="7">
        <v>4</v>
      </c>
      <c r="D8404" s="7">
        <v>2.91</v>
      </c>
      <c r="E8404" s="85">
        <f>C8404*D8404</f>
        <v>11.64</v>
      </c>
    </row>
    <row r="8405" spans="1:5" ht="18" x14ac:dyDescent="0.35">
      <c r="A8405" s="5"/>
      <c r="B8405" s="50" t="s">
        <v>36</v>
      </c>
      <c r="C8405" s="7">
        <v>4</v>
      </c>
      <c r="D8405" s="7">
        <v>0.61</v>
      </c>
      <c r="E8405" s="85">
        <f>C8405*D8405</f>
        <v>2.44</v>
      </c>
    </row>
    <row r="8406" spans="1:5" ht="18" x14ac:dyDescent="0.35">
      <c r="A8406" s="5"/>
      <c r="B8406" s="50"/>
      <c r="C8406" s="87"/>
      <c r="D8406" s="88"/>
      <c r="E8406" s="85">
        <f>SUM(E8401:E8405)</f>
        <v>75.39891999999999</v>
      </c>
    </row>
    <row r="8407" spans="1:5" ht="18" x14ac:dyDescent="0.35">
      <c r="A8407" s="5"/>
      <c r="B8407" s="50"/>
      <c r="C8407" s="87"/>
      <c r="D8407" s="88" t="s">
        <v>1266</v>
      </c>
      <c r="E8407" s="85">
        <f>E8406+E8406*40%</f>
        <v>105.55848799999998</v>
      </c>
    </row>
    <row r="8408" spans="1:5" ht="18" x14ac:dyDescent="0.35">
      <c r="A8408" s="5"/>
      <c r="B8408" s="50" t="s">
        <v>37</v>
      </c>
      <c r="C8408" s="54">
        <v>0.5</v>
      </c>
      <c r="D8408" s="86">
        <v>200</v>
      </c>
      <c r="E8408" s="85">
        <f>C8408*D8408</f>
        <v>100</v>
      </c>
    </row>
    <row r="8409" spans="1:5" ht="18" x14ac:dyDescent="0.35">
      <c r="A8409" s="5"/>
      <c r="B8409" s="5"/>
      <c r="C8409" s="54"/>
      <c r="D8409" s="54"/>
      <c r="E8409" s="85">
        <f>SUM(E8407:E8408)</f>
        <v>205.55848799999998</v>
      </c>
    </row>
    <row r="8411" spans="1:5" ht="21" x14ac:dyDescent="0.4">
      <c r="A8411" s="40" t="s">
        <v>2005</v>
      </c>
      <c r="B8411" s="40"/>
      <c r="C8411" s="40"/>
      <c r="D8411" s="12"/>
      <c r="E8411" s="12"/>
    </row>
    <row r="8412" spans="1:5" ht="18" x14ac:dyDescent="0.35">
      <c r="A8412" s="5" t="s">
        <v>2033</v>
      </c>
      <c r="B8412" s="5"/>
      <c r="C8412" s="7" t="s">
        <v>28</v>
      </c>
      <c r="D8412" s="7" t="s">
        <v>29</v>
      </c>
      <c r="E8412" s="7" t="s">
        <v>30</v>
      </c>
    </row>
    <row r="8413" spans="1:5" ht="18" x14ac:dyDescent="0.35">
      <c r="A8413" s="5" t="s">
        <v>1854</v>
      </c>
      <c r="B8413" s="50" t="s">
        <v>32</v>
      </c>
      <c r="C8413" s="7">
        <v>0.97799999999999998</v>
      </c>
      <c r="D8413" s="7">
        <v>10.34</v>
      </c>
      <c r="E8413" s="85">
        <f>C8413*D8413</f>
        <v>10.11252</v>
      </c>
    </row>
    <row r="8414" spans="1:5" ht="18" x14ac:dyDescent="0.35">
      <c r="A8414" s="5" t="s">
        <v>232</v>
      </c>
      <c r="B8414" s="50" t="s">
        <v>33</v>
      </c>
      <c r="C8414" s="7">
        <v>2.52</v>
      </c>
      <c r="D8414" s="7">
        <v>10</v>
      </c>
      <c r="E8414" s="85">
        <f>C8414*D8414</f>
        <v>25.2</v>
      </c>
    </row>
    <row r="8415" spans="1:5" ht="18" x14ac:dyDescent="0.35">
      <c r="A8415" s="5" t="s">
        <v>2032</v>
      </c>
      <c r="B8415" s="50" t="s">
        <v>137</v>
      </c>
      <c r="C8415" s="7">
        <v>0.315</v>
      </c>
      <c r="D8415" s="7">
        <v>15.25</v>
      </c>
      <c r="E8415" s="85">
        <f>C8415*D8415</f>
        <v>4.80375</v>
      </c>
    </row>
    <row r="8416" spans="1:5" ht="18" x14ac:dyDescent="0.35">
      <c r="A8416" s="5"/>
      <c r="B8416" s="50" t="s">
        <v>35</v>
      </c>
      <c r="C8416" s="7">
        <v>4</v>
      </c>
      <c r="D8416" s="7">
        <v>2.91</v>
      </c>
      <c r="E8416" s="85">
        <f>C8416*D8416</f>
        <v>11.64</v>
      </c>
    </row>
    <row r="8417" spans="1:5" ht="18" x14ac:dyDescent="0.35">
      <c r="A8417" s="5"/>
      <c r="B8417" s="50" t="s">
        <v>36</v>
      </c>
      <c r="C8417" s="7">
        <v>4</v>
      </c>
      <c r="D8417" s="7">
        <v>0.61</v>
      </c>
      <c r="E8417" s="85">
        <f>C8417*D8417</f>
        <v>2.44</v>
      </c>
    </row>
    <row r="8418" spans="1:5" ht="18" x14ac:dyDescent="0.35">
      <c r="A8418" s="5"/>
      <c r="B8418" s="50"/>
      <c r="C8418" s="87"/>
      <c r="D8418" s="88"/>
      <c r="E8418" s="85">
        <f>SUM(E8413:E8417)</f>
        <v>54.196269999999998</v>
      </c>
    </row>
    <row r="8419" spans="1:5" ht="18" x14ac:dyDescent="0.35">
      <c r="A8419" s="5"/>
      <c r="B8419" s="50"/>
      <c r="C8419" s="87"/>
      <c r="D8419" s="88" t="s">
        <v>1266</v>
      </c>
      <c r="E8419" s="85">
        <f>E8418+E8418*40%</f>
        <v>75.874777999999992</v>
      </c>
    </row>
    <row r="8420" spans="1:5" ht="18" x14ac:dyDescent="0.35">
      <c r="A8420" s="5"/>
      <c r="B8420" s="50" t="s">
        <v>37</v>
      </c>
      <c r="C8420" s="54">
        <v>0.5</v>
      </c>
      <c r="D8420" s="86">
        <v>200</v>
      </c>
      <c r="E8420" s="85">
        <f>C8420*D8420</f>
        <v>100</v>
      </c>
    </row>
    <row r="8421" spans="1:5" ht="18" x14ac:dyDescent="0.35">
      <c r="A8421" s="5"/>
      <c r="B8421" s="5"/>
      <c r="C8421" s="54"/>
      <c r="D8421" s="54"/>
      <c r="E8421" s="85">
        <f>SUM(E8419:E8420)</f>
        <v>175.87477799999999</v>
      </c>
    </row>
    <row r="8423" spans="1:5" ht="21" x14ac:dyDescent="0.4">
      <c r="A8423" s="40" t="s">
        <v>602</v>
      </c>
      <c r="B8423" s="40"/>
      <c r="C8423" s="84"/>
    </row>
    <row r="8424" spans="1:5" ht="18" x14ac:dyDescent="0.35">
      <c r="B8424" s="5"/>
      <c r="C8424" s="7" t="s">
        <v>28</v>
      </c>
      <c r="D8424" s="7" t="s">
        <v>29</v>
      </c>
      <c r="E8424" s="7" t="s">
        <v>30</v>
      </c>
    </row>
    <row r="8425" spans="1:5" ht="18" x14ac:dyDescent="0.35">
      <c r="A8425" s="5" t="s">
        <v>209</v>
      </c>
      <c r="B8425" s="50" t="s">
        <v>32</v>
      </c>
      <c r="C8425" s="7">
        <v>2.0699999999999998</v>
      </c>
      <c r="D8425" s="7">
        <v>14.93</v>
      </c>
      <c r="E8425" s="85">
        <f t="shared" ref="E8425:E8432" si="519">C8425*D8425</f>
        <v>30.905099999999997</v>
      </c>
    </row>
    <row r="8426" spans="1:5" ht="18" x14ac:dyDescent="0.35">
      <c r="A8426" s="5" t="s">
        <v>143</v>
      </c>
      <c r="B8426" s="50" t="s">
        <v>33</v>
      </c>
      <c r="C8426" s="7">
        <v>4.9770000000000003</v>
      </c>
      <c r="D8426" s="7">
        <v>10</v>
      </c>
      <c r="E8426" s="85">
        <f t="shared" si="519"/>
        <v>49.77</v>
      </c>
    </row>
    <row r="8427" spans="1:5" ht="18" x14ac:dyDescent="0.35">
      <c r="A8427" s="5" t="s">
        <v>397</v>
      </c>
      <c r="B8427" s="50" t="s">
        <v>33</v>
      </c>
      <c r="C8427" s="7">
        <v>4.62</v>
      </c>
      <c r="D8427" s="7">
        <v>10</v>
      </c>
      <c r="E8427" s="85">
        <f t="shared" si="519"/>
        <v>46.2</v>
      </c>
    </row>
    <row r="8428" spans="1:5" ht="18" x14ac:dyDescent="0.35">
      <c r="A8428" s="5" t="s">
        <v>2048</v>
      </c>
      <c r="B8428" s="50" t="s">
        <v>1625</v>
      </c>
      <c r="C8428" s="7">
        <v>2</v>
      </c>
      <c r="D8428" s="7">
        <v>1.1499999999999999</v>
      </c>
      <c r="E8428" s="85">
        <f t="shared" si="519"/>
        <v>2.2999999999999998</v>
      </c>
    </row>
    <row r="8429" spans="1:5" ht="18" x14ac:dyDescent="0.35">
      <c r="A8429" s="5" t="s">
        <v>1954</v>
      </c>
      <c r="B8429" s="50" t="s">
        <v>92</v>
      </c>
      <c r="C8429" s="7">
        <v>2</v>
      </c>
      <c r="D8429" s="7">
        <v>3.6</v>
      </c>
      <c r="E8429" s="85">
        <f t="shared" si="519"/>
        <v>7.2</v>
      </c>
    </row>
    <row r="8430" spans="1:5" ht="18" x14ac:dyDescent="0.35">
      <c r="A8430" s="5"/>
      <c r="B8430" s="50" t="s">
        <v>34</v>
      </c>
      <c r="C8430" s="7">
        <v>0.252</v>
      </c>
      <c r="D8430" s="7">
        <v>14.61</v>
      </c>
      <c r="E8430" s="85">
        <f t="shared" si="519"/>
        <v>3.6817199999999999</v>
      </c>
    </row>
    <row r="8431" spans="1:5" ht="18" x14ac:dyDescent="0.35">
      <c r="A8431" s="5"/>
      <c r="B8431" s="50" t="s">
        <v>35</v>
      </c>
      <c r="C8431" s="7">
        <v>4</v>
      </c>
      <c r="D8431" s="7">
        <v>2.91</v>
      </c>
      <c r="E8431" s="85">
        <f t="shared" si="519"/>
        <v>11.64</v>
      </c>
    </row>
    <row r="8432" spans="1:5" ht="18" x14ac:dyDescent="0.35">
      <c r="A8432" s="5"/>
      <c r="B8432" s="50" t="s">
        <v>36</v>
      </c>
      <c r="C8432" s="7">
        <v>4</v>
      </c>
      <c r="D8432" s="7">
        <v>0.61</v>
      </c>
      <c r="E8432" s="85">
        <f t="shared" si="519"/>
        <v>2.44</v>
      </c>
    </row>
    <row r="8433" spans="1:5" ht="18" x14ac:dyDescent="0.35">
      <c r="A8433" s="5"/>
      <c r="B8433" s="5"/>
      <c r="C8433" s="54"/>
      <c r="D8433" s="54"/>
      <c r="E8433" s="89">
        <f>SUM(E8425:E8432)</f>
        <v>154.13682</v>
      </c>
    </row>
    <row r="8434" spans="1:5" ht="18" x14ac:dyDescent="0.35">
      <c r="A8434" s="5"/>
      <c r="B8434" s="5"/>
      <c r="C8434" s="54"/>
      <c r="D8434" s="54" t="s">
        <v>1063</v>
      </c>
      <c r="E8434" s="89">
        <f>E8433+E8433*40%</f>
        <v>215.79154800000001</v>
      </c>
    </row>
    <row r="8435" spans="1:5" ht="18" x14ac:dyDescent="0.35">
      <c r="A8435" s="5"/>
      <c r="B8435" s="50" t="s">
        <v>37</v>
      </c>
      <c r="C8435" s="54">
        <v>0.5</v>
      </c>
      <c r="D8435" s="54">
        <v>200</v>
      </c>
      <c r="E8435" s="85">
        <f>C8435*D8435</f>
        <v>100</v>
      </c>
    </row>
    <row r="8436" spans="1:5" ht="18" x14ac:dyDescent="0.35">
      <c r="E8436" s="85">
        <f>SUM(E8434:E8435)</f>
        <v>315.79154800000003</v>
      </c>
    </row>
    <row r="8438" spans="1:5" ht="21" x14ac:dyDescent="0.4">
      <c r="A8438" s="40" t="s">
        <v>2005</v>
      </c>
      <c r="B8438" s="40"/>
      <c r="C8438" s="40"/>
      <c r="D8438" s="12"/>
      <c r="E8438" s="12"/>
    </row>
    <row r="8439" spans="1:5" ht="18" x14ac:dyDescent="0.35">
      <c r="A8439" s="5" t="s">
        <v>1427</v>
      </c>
      <c r="B8439" s="5"/>
      <c r="C8439" s="7" t="s">
        <v>28</v>
      </c>
      <c r="D8439" s="7" t="s">
        <v>29</v>
      </c>
      <c r="E8439" s="7" t="s">
        <v>30</v>
      </c>
    </row>
    <row r="8440" spans="1:5" ht="18" x14ac:dyDescent="0.35">
      <c r="A8440" s="5" t="s">
        <v>2037</v>
      </c>
      <c r="B8440" s="50" t="s">
        <v>32</v>
      </c>
      <c r="C8440" s="7">
        <v>3.246</v>
      </c>
      <c r="D8440" s="7">
        <v>10.34</v>
      </c>
      <c r="E8440" s="85">
        <f>C8440*D8440</f>
        <v>33.563639999999999</v>
      </c>
    </row>
    <row r="8441" spans="1:5" ht="18" x14ac:dyDescent="0.35">
      <c r="A8441" s="5" t="s">
        <v>876</v>
      </c>
      <c r="B8441" s="50" t="s">
        <v>33</v>
      </c>
      <c r="C8441" s="7">
        <v>37.536999999999999</v>
      </c>
      <c r="D8441" s="7">
        <v>10</v>
      </c>
      <c r="E8441" s="85">
        <f>C8441*D8441</f>
        <v>375.37</v>
      </c>
    </row>
    <row r="8442" spans="1:5" ht="18" x14ac:dyDescent="0.35">
      <c r="A8442" s="5" t="s">
        <v>2032</v>
      </c>
      <c r="B8442" s="50" t="s">
        <v>137</v>
      </c>
      <c r="C8442" s="7">
        <v>1.85</v>
      </c>
      <c r="D8442" s="7">
        <v>15.25</v>
      </c>
      <c r="E8442" s="85">
        <f>C8442*D8442</f>
        <v>28.212500000000002</v>
      </c>
    </row>
    <row r="8443" spans="1:5" ht="18" x14ac:dyDescent="0.35">
      <c r="A8443" s="5"/>
      <c r="B8443" s="50" t="s">
        <v>35</v>
      </c>
      <c r="C8443" s="7">
        <v>4</v>
      </c>
      <c r="D8443" s="7">
        <v>2.91</v>
      </c>
      <c r="E8443" s="85">
        <f>C8443*D8443</f>
        <v>11.64</v>
      </c>
    </row>
    <row r="8444" spans="1:5" ht="18" x14ac:dyDescent="0.35">
      <c r="A8444" s="5"/>
      <c r="B8444" s="50" t="s">
        <v>36</v>
      </c>
      <c r="C8444" s="7">
        <v>4</v>
      </c>
      <c r="D8444" s="7">
        <v>0.61</v>
      </c>
      <c r="E8444" s="85">
        <f>C8444*D8444</f>
        <v>2.44</v>
      </c>
    </row>
    <row r="8445" spans="1:5" ht="18" x14ac:dyDescent="0.35">
      <c r="A8445" s="5"/>
      <c r="B8445" s="50"/>
      <c r="C8445" s="87"/>
      <c r="D8445" s="88"/>
      <c r="E8445" s="85">
        <f>SUM(E8440:E8444)</f>
        <v>451.22613999999999</v>
      </c>
    </row>
    <row r="8446" spans="1:5" ht="18" x14ac:dyDescent="0.35">
      <c r="A8446" s="5"/>
      <c r="B8446" s="50"/>
      <c r="C8446" s="87"/>
      <c r="D8446" s="88" t="s">
        <v>1266</v>
      </c>
      <c r="E8446" s="85">
        <f>E8445+E8445*40%</f>
        <v>631.71659599999998</v>
      </c>
    </row>
    <row r="8447" spans="1:5" ht="18" x14ac:dyDescent="0.35">
      <c r="A8447" s="5"/>
      <c r="B8447" s="50" t="s">
        <v>37</v>
      </c>
      <c r="C8447" s="54">
        <v>1</v>
      </c>
      <c r="D8447" s="86">
        <v>200</v>
      </c>
      <c r="E8447" s="85">
        <f>C8447*D8447</f>
        <v>200</v>
      </c>
    </row>
    <row r="8448" spans="1:5" ht="18" x14ac:dyDescent="0.35">
      <c r="A8448" s="5"/>
      <c r="B8448" s="5"/>
      <c r="C8448" s="54"/>
      <c r="D8448" s="54"/>
      <c r="E8448" s="85">
        <f>SUM(E8446:E8447)</f>
        <v>831.71659599999998</v>
      </c>
    </row>
    <row r="8450" spans="1:5" ht="21" x14ac:dyDescent="0.4">
      <c r="A8450" s="40" t="s">
        <v>2005</v>
      </c>
      <c r="B8450" s="40"/>
      <c r="C8450" s="40"/>
      <c r="D8450" s="12"/>
      <c r="E8450" s="12"/>
    </row>
    <row r="8451" spans="1:5" ht="18" x14ac:dyDescent="0.35">
      <c r="A8451" s="5" t="s">
        <v>2038</v>
      </c>
      <c r="B8451" s="5"/>
      <c r="C8451" s="7" t="s">
        <v>28</v>
      </c>
      <c r="D8451" s="7" t="s">
        <v>29</v>
      </c>
      <c r="E8451" s="7" t="s">
        <v>30</v>
      </c>
    </row>
    <row r="8452" spans="1:5" ht="18" x14ac:dyDescent="0.35">
      <c r="A8452" s="5" t="s">
        <v>2039</v>
      </c>
      <c r="B8452" s="50" t="s">
        <v>32</v>
      </c>
      <c r="C8452" s="7">
        <v>1.3979999999999999</v>
      </c>
      <c r="D8452" s="7">
        <v>10.34</v>
      </c>
      <c r="E8452" s="85">
        <f>C8452*D8452</f>
        <v>14.455319999999999</v>
      </c>
    </row>
    <row r="8453" spans="1:5" ht="18" x14ac:dyDescent="0.35">
      <c r="A8453" s="5" t="s">
        <v>56</v>
      </c>
      <c r="B8453" s="50" t="s">
        <v>33</v>
      </c>
      <c r="C8453" s="7">
        <v>5.7850000000000001</v>
      </c>
      <c r="D8453" s="7">
        <v>10</v>
      </c>
      <c r="E8453" s="85">
        <f>C8453*D8453</f>
        <v>57.85</v>
      </c>
    </row>
    <row r="8454" spans="1:5" ht="18" x14ac:dyDescent="0.35">
      <c r="A8454" s="5" t="s">
        <v>2032</v>
      </c>
      <c r="B8454" s="50" t="s">
        <v>137</v>
      </c>
      <c r="C8454" s="7">
        <v>0.84</v>
      </c>
      <c r="D8454" s="7">
        <v>15.25</v>
      </c>
      <c r="E8454" s="85">
        <f>C8454*D8454</f>
        <v>12.809999999999999</v>
      </c>
    </row>
    <row r="8455" spans="1:5" ht="18" x14ac:dyDescent="0.35">
      <c r="A8455" s="5"/>
      <c r="B8455" s="50" t="s">
        <v>35</v>
      </c>
      <c r="C8455" s="7">
        <v>4</v>
      </c>
      <c r="D8455" s="7">
        <v>2.91</v>
      </c>
      <c r="E8455" s="85">
        <f>C8455*D8455</f>
        <v>11.64</v>
      </c>
    </row>
    <row r="8456" spans="1:5" ht="18" x14ac:dyDescent="0.35">
      <c r="A8456" s="5"/>
      <c r="B8456" s="50" t="s">
        <v>36</v>
      </c>
      <c r="C8456" s="7">
        <v>4</v>
      </c>
      <c r="D8456" s="7">
        <v>0.61</v>
      </c>
      <c r="E8456" s="85">
        <f>C8456*D8456</f>
        <v>2.44</v>
      </c>
    </row>
    <row r="8457" spans="1:5" ht="18" x14ac:dyDescent="0.35">
      <c r="A8457" s="5"/>
      <c r="B8457" s="50"/>
      <c r="C8457" s="87"/>
      <c r="D8457" s="88"/>
      <c r="E8457" s="85">
        <f>SUM(E8452:E8456)</f>
        <v>99.195319999999995</v>
      </c>
    </row>
    <row r="8458" spans="1:5" ht="18" x14ac:dyDescent="0.35">
      <c r="A8458" s="5"/>
      <c r="B8458" s="50"/>
      <c r="C8458" s="87"/>
      <c r="D8458" s="88" t="s">
        <v>1266</v>
      </c>
      <c r="E8458" s="85">
        <f>E8457+E8457*40%</f>
        <v>138.873448</v>
      </c>
    </row>
    <row r="8459" spans="1:5" ht="18" x14ac:dyDescent="0.35">
      <c r="A8459" s="5"/>
      <c r="B8459" s="50" t="s">
        <v>37</v>
      </c>
      <c r="C8459" s="54">
        <v>0.5</v>
      </c>
      <c r="D8459" s="86">
        <v>200</v>
      </c>
      <c r="E8459" s="85">
        <f>C8459*D8459</f>
        <v>100</v>
      </c>
    </row>
    <row r="8460" spans="1:5" ht="18" x14ac:dyDescent="0.35">
      <c r="A8460" s="5"/>
      <c r="B8460" s="5"/>
      <c r="C8460" s="54"/>
      <c r="D8460" s="54"/>
      <c r="E8460" s="85">
        <f>SUM(E8458:E8459)</f>
        <v>238.873448</v>
      </c>
    </row>
    <row r="8462" spans="1:5" ht="21" x14ac:dyDescent="0.4">
      <c r="A8462" s="40" t="s">
        <v>2005</v>
      </c>
      <c r="B8462" s="40"/>
      <c r="C8462" s="40"/>
      <c r="D8462" s="12"/>
      <c r="E8462" s="12"/>
    </row>
    <row r="8463" spans="1:5" ht="18" x14ac:dyDescent="0.35">
      <c r="A8463" s="5" t="s">
        <v>2040</v>
      </c>
      <c r="B8463" s="5"/>
      <c r="C8463" s="7" t="s">
        <v>28</v>
      </c>
      <c r="D8463" s="7" t="s">
        <v>29</v>
      </c>
      <c r="E8463" s="7" t="s">
        <v>30</v>
      </c>
    </row>
    <row r="8464" spans="1:5" ht="18" x14ac:dyDescent="0.35">
      <c r="A8464" s="5" t="s">
        <v>1001</v>
      </c>
      <c r="B8464" s="50" t="s">
        <v>32</v>
      </c>
      <c r="C8464" s="7">
        <v>2.952</v>
      </c>
      <c r="D8464" s="7">
        <v>10.34</v>
      </c>
      <c r="E8464" s="85">
        <f>C8464*D8464</f>
        <v>30.523679999999999</v>
      </c>
    </row>
    <row r="8465" spans="1:5" ht="18" x14ac:dyDescent="0.35">
      <c r="A8465" s="5" t="s">
        <v>337</v>
      </c>
      <c r="B8465" s="50" t="s">
        <v>33</v>
      </c>
      <c r="C8465" s="7">
        <v>1.3540000000000001</v>
      </c>
      <c r="D8465" s="7">
        <v>10</v>
      </c>
      <c r="E8465" s="85">
        <f>C8465*D8465</f>
        <v>13.540000000000001</v>
      </c>
    </row>
    <row r="8466" spans="1:5" ht="18" x14ac:dyDescent="0.35">
      <c r="A8466" s="5" t="s">
        <v>2041</v>
      </c>
      <c r="B8466" s="50" t="s">
        <v>137</v>
      </c>
      <c r="C8466" s="7">
        <v>0.2</v>
      </c>
      <c r="D8466" s="7">
        <v>15.25</v>
      </c>
      <c r="E8466" s="85">
        <f>C8466*D8466</f>
        <v>3.0500000000000003</v>
      </c>
    </row>
    <row r="8467" spans="1:5" ht="18" x14ac:dyDescent="0.35">
      <c r="A8467" s="5"/>
      <c r="B8467" s="50" t="s">
        <v>35</v>
      </c>
      <c r="C8467" s="7">
        <v>4</v>
      </c>
      <c r="D8467" s="7">
        <v>2.91</v>
      </c>
      <c r="E8467" s="85">
        <f>C8467*D8467</f>
        <v>11.64</v>
      </c>
    </row>
    <row r="8468" spans="1:5" ht="18" x14ac:dyDescent="0.35">
      <c r="A8468" s="5"/>
      <c r="B8468" s="50" t="s">
        <v>36</v>
      </c>
      <c r="C8468" s="7">
        <v>4</v>
      </c>
      <c r="D8468" s="7">
        <v>0.61</v>
      </c>
      <c r="E8468" s="85">
        <f>C8468*D8468</f>
        <v>2.44</v>
      </c>
    </row>
    <row r="8469" spans="1:5" ht="18" x14ac:dyDescent="0.35">
      <c r="A8469" s="5"/>
      <c r="B8469" s="50"/>
      <c r="C8469" s="87"/>
      <c r="D8469" s="88"/>
      <c r="E8469" s="85">
        <f>SUM(E8464:E8468)</f>
        <v>61.193679999999993</v>
      </c>
    </row>
    <row r="8470" spans="1:5" ht="18" x14ac:dyDescent="0.35">
      <c r="A8470" s="5"/>
      <c r="B8470" s="50"/>
      <c r="C8470" s="87"/>
      <c r="D8470" s="88" t="s">
        <v>1266</v>
      </c>
      <c r="E8470" s="85">
        <f>E8469+E8469*40%</f>
        <v>85.671151999999992</v>
      </c>
    </row>
    <row r="8471" spans="1:5" ht="18" x14ac:dyDescent="0.35">
      <c r="A8471" s="5"/>
      <c r="B8471" s="50" t="s">
        <v>37</v>
      </c>
      <c r="C8471" s="54">
        <v>0.5</v>
      </c>
      <c r="D8471" s="86">
        <v>200</v>
      </c>
      <c r="E8471" s="85">
        <f>C8471*D8471</f>
        <v>100</v>
      </c>
    </row>
    <row r="8472" spans="1:5" ht="18" x14ac:dyDescent="0.35">
      <c r="A8472" s="5"/>
      <c r="B8472" s="5"/>
      <c r="C8472" s="54"/>
      <c r="D8472" s="54"/>
      <c r="E8472" s="85">
        <f>SUM(E8470:E8471)</f>
        <v>185.67115200000001</v>
      </c>
    </row>
    <row r="8474" spans="1:5" ht="21" x14ac:dyDescent="0.4">
      <c r="A8474" s="40" t="s">
        <v>1923</v>
      </c>
      <c r="B8474" s="40"/>
      <c r="C8474" s="84"/>
    </row>
    <row r="8476" spans="1:5" ht="18" x14ac:dyDescent="0.35">
      <c r="A8476" s="5" t="s">
        <v>2042</v>
      </c>
      <c r="B8476" s="5"/>
      <c r="C8476" s="7" t="s">
        <v>28</v>
      </c>
      <c r="D8476" s="7" t="s">
        <v>29</v>
      </c>
      <c r="E8476" s="7" t="s">
        <v>30</v>
      </c>
    </row>
    <row r="8477" spans="1:5" ht="18" x14ac:dyDescent="0.35">
      <c r="A8477" s="5" t="s">
        <v>56</v>
      </c>
      <c r="B8477" s="50" t="s">
        <v>32</v>
      </c>
      <c r="C8477" s="7">
        <v>3.141</v>
      </c>
      <c r="D8477" s="7">
        <v>10.34</v>
      </c>
      <c r="E8477" s="85">
        <f t="shared" ref="E8477:E8482" si="520">C8477*D8477</f>
        <v>32.477939999999997</v>
      </c>
    </row>
    <row r="8478" spans="1:5" ht="18" x14ac:dyDescent="0.35">
      <c r="A8478" s="5"/>
      <c r="B8478" s="50" t="s">
        <v>33</v>
      </c>
      <c r="C8478" s="7">
        <v>25.273</v>
      </c>
      <c r="D8478" s="7">
        <v>10</v>
      </c>
      <c r="E8478" s="85">
        <f t="shared" si="520"/>
        <v>252.73</v>
      </c>
    </row>
    <row r="8479" spans="1:5" ht="18" x14ac:dyDescent="0.35">
      <c r="A8479" s="102"/>
      <c r="B8479" s="50" t="s">
        <v>2043</v>
      </c>
      <c r="C8479" s="7">
        <v>2</v>
      </c>
      <c r="D8479" s="7">
        <v>1.81</v>
      </c>
      <c r="E8479" s="85">
        <f t="shared" si="520"/>
        <v>3.62</v>
      </c>
    </row>
    <row r="8480" spans="1:5" ht="18" x14ac:dyDescent="0.35">
      <c r="A8480" s="5"/>
      <c r="B8480" s="50" t="s">
        <v>34</v>
      </c>
      <c r="C8480" s="7">
        <v>2</v>
      </c>
      <c r="D8480" s="7">
        <v>3.4</v>
      </c>
      <c r="E8480" s="85">
        <f t="shared" si="520"/>
        <v>6.8</v>
      </c>
    </row>
    <row r="8481" spans="1:5" ht="18" x14ac:dyDescent="0.35">
      <c r="A8481" s="5"/>
      <c r="B8481" s="50" t="s">
        <v>35</v>
      </c>
      <c r="C8481" s="7">
        <v>4</v>
      </c>
      <c r="D8481" s="7">
        <v>2.91</v>
      </c>
      <c r="E8481" s="85">
        <f t="shared" si="520"/>
        <v>11.64</v>
      </c>
    </row>
    <row r="8482" spans="1:5" ht="18" x14ac:dyDescent="0.35">
      <c r="A8482" s="5"/>
      <c r="B8482" s="50" t="s">
        <v>36</v>
      </c>
      <c r="C8482" s="7">
        <v>4</v>
      </c>
      <c r="D8482" s="7">
        <v>0.61</v>
      </c>
      <c r="E8482" s="85">
        <f t="shared" si="520"/>
        <v>2.44</v>
      </c>
    </row>
    <row r="8483" spans="1:5" ht="18" x14ac:dyDescent="0.35">
      <c r="A8483" s="5"/>
      <c r="B8483" s="5"/>
      <c r="C8483" s="54"/>
      <c r="D8483" s="54"/>
      <c r="E8483" s="89">
        <f>SUM(E8477:E8482)</f>
        <v>309.70794000000001</v>
      </c>
    </row>
    <row r="8484" spans="1:5" ht="18" x14ac:dyDescent="0.35">
      <c r="A8484" s="5"/>
      <c r="B8484" s="5"/>
      <c r="C8484" s="54"/>
      <c r="D8484" s="54" t="s">
        <v>1066</v>
      </c>
      <c r="E8484" s="89">
        <f>E8483+E8483*40%</f>
        <v>433.591116</v>
      </c>
    </row>
    <row r="8485" spans="1:5" ht="18" x14ac:dyDescent="0.35">
      <c r="A8485" s="5"/>
      <c r="B8485" s="50" t="s">
        <v>37</v>
      </c>
      <c r="C8485" s="54">
        <v>1</v>
      </c>
      <c r="D8485" s="54">
        <v>200</v>
      </c>
      <c r="E8485" s="85">
        <f>C8485*D8485</f>
        <v>200</v>
      </c>
    </row>
    <row r="8486" spans="1:5" ht="18" x14ac:dyDescent="0.35">
      <c r="A8486" s="5"/>
      <c r="B8486" s="5"/>
      <c r="C8486" s="54"/>
      <c r="D8486" s="54"/>
      <c r="E8486" s="85">
        <f>SUM(E8484:E8485)</f>
        <v>633.59111600000006</v>
      </c>
    </row>
    <row r="8488" spans="1:5" ht="21" x14ac:dyDescent="0.4">
      <c r="A8488" s="40" t="s">
        <v>1923</v>
      </c>
      <c r="B8488" s="40"/>
      <c r="C8488" s="84"/>
    </row>
    <row r="8490" spans="1:5" ht="18" x14ac:dyDescent="0.35">
      <c r="A8490" s="5" t="s">
        <v>2044</v>
      </c>
      <c r="B8490" s="5"/>
      <c r="C8490" s="7" t="s">
        <v>28</v>
      </c>
      <c r="D8490" s="7" t="s">
        <v>29</v>
      </c>
      <c r="E8490" s="7" t="s">
        <v>30</v>
      </c>
    </row>
    <row r="8491" spans="1:5" ht="18" x14ac:dyDescent="0.35">
      <c r="A8491" s="5" t="s">
        <v>397</v>
      </c>
      <c r="B8491" s="50" t="s">
        <v>32</v>
      </c>
      <c r="C8491" s="7">
        <v>3.141</v>
      </c>
      <c r="D8491" s="7">
        <v>10.34</v>
      </c>
      <c r="E8491" s="85">
        <f t="shared" ref="E8491:E8496" si="521">C8491*D8491</f>
        <v>32.477939999999997</v>
      </c>
    </row>
    <row r="8492" spans="1:5" ht="18" x14ac:dyDescent="0.35">
      <c r="A8492" s="5"/>
      <c r="B8492" s="50" t="s">
        <v>33</v>
      </c>
      <c r="C8492" s="7">
        <v>24.36</v>
      </c>
      <c r="D8492" s="7">
        <v>10</v>
      </c>
      <c r="E8492" s="85">
        <f t="shared" si="521"/>
        <v>243.6</v>
      </c>
    </row>
    <row r="8493" spans="1:5" ht="18" x14ac:dyDescent="0.35">
      <c r="A8493" s="102"/>
      <c r="B8493" s="50" t="s">
        <v>2043</v>
      </c>
      <c r="C8493" s="7">
        <v>2</v>
      </c>
      <c r="D8493" s="7">
        <v>1.81</v>
      </c>
      <c r="E8493" s="85">
        <f t="shared" si="521"/>
        <v>3.62</v>
      </c>
    </row>
    <row r="8494" spans="1:5" ht="18" x14ac:dyDescent="0.35">
      <c r="A8494" s="5"/>
      <c r="B8494" s="50" t="s">
        <v>34</v>
      </c>
      <c r="C8494" s="7">
        <v>2</v>
      </c>
      <c r="D8494" s="7">
        <v>3.4</v>
      </c>
      <c r="E8494" s="85">
        <f t="shared" si="521"/>
        <v>6.8</v>
      </c>
    </row>
    <row r="8495" spans="1:5" ht="18" x14ac:dyDescent="0.35">
      <c r="A8495" s="5"/>
      <c r="B8495" s="50" t="s">
        <v>35</v>
      </c>
      <c r="C8495" s="7">
        <v>4</v>
      </c>
      <c r="D8495" s="7">
        <v>2.91</v>
      </c>
      <c r="E8495" s="85">
        <f t="shared" si="521"/>
        <v>11.64</v>
      </c>
    </row>
    <row r="8496" spans="1:5" ht="18" x14ac:dyDescent="0.35">
      <c r="A8496" s="5"/>
      <c r="B8496" s="50" t="s">
        <v>36</v>
      </c>
      <c r="C8496" s="7">
        <v>4</v>
      </c>
      <c r="D8496" s="7">
        <v>0.61</v>
      </c>
      <c r="E8496" s="85">
        <f t="shared" si="521"/>
        <v>2.44</v>
      </c>
    </row>
    <row r="8497" spans="1:5" ht="18" x14ac:dyDescent="0.35">
      <c r="A8497" s="5"/>
      <c r="B8497" s="5"/>
      <c r="C8497" s="54"/>
      <c r="D8497" s="54"/>
      <c r="E8497" s="89">
        <f>SUM(E8491:E8496)</f>
        <v>300.57794000000001</v>
      </c>
    </row>
    <row r="8498" spans="1:5" ht="18" x14ac:dyDescent="0.35">
      <c r="A8498" s="5"/>
      <c r="B8498" s="5"/>
      <c r="C8498" s="54"/>
      <c r="D8498" s="54" t="s">
        <v>1066</v>
      </c>
      <c r="E8498" s="89">
        <f>E8497+E8497*40%</f>
        <v>420.80911600000002</v>
      </c>
    </row>
    <row r="8499" spans="1:5" ht="18" x14ac:dyDescent="0.35">
      <c r="A8499" s="5"/>
      <c r="B8499" s="50" t="s">
        <v>37</v>
      </c>
      <c r="C8499" s="54">
        <v>1</v>
      </c>
      <c r="D8499" s="54">
        <v>200</v>
      </c>
      <c r="E8499" s="85">
        <f>C8499*D8499</f>
        <v>200</v>
      </c>
    </row>
    <row r="8500" spans="1:5" ht="18" x14ac:dyDescent="0.35">
      <c r="A8500" s="5"/>
      <c r="B8500" s="5"/>
      <c r="C8500" s="54"/>
      <c r="D8500" s="54"/>
      <c r="E8500" s="85">
        <f>SUM(E8498:E8499)</f>
        <v>620.80911600000002</v>
      </c>
    </row>
    <row r="8502" spans="1:5" ht="21" x14ac:dyDescent="0.4">
      <c r="A8502" s="40" t="s">
        <v>2005</v>
      </c>
      <c r="B8502" s="40"/>
      <c r="C8502" s="40"/>
      <c r="D8502" s="12"/>
      <c r="E8502" s="12"/>
    </row>
    <row r="8503" spans="1:5" ht="18" x14ac:dyDescent="0.35">
      <c r="A8503" s="5" t="s">
        <v>2045</v>
      </c>
      <c r="B8503" s="5"/>
      <c r="C8503" s="7" t="s">
        <v>28</v>
      </c>
      <c r="D8503" s="7" t="s">
        <v>29</v>
      </c>
      <c r="E8503" s="7" t="s">
        <v>30</v>
      </c>
    </row>
    <row r="8504" spans="1:5" ht="18" x14ac:dyDescent="0.35">
      <c r="A8504" s="5" t="s">
        <v>120</v>
      </c>
      <c r="B8504" s="50" t="s">
        <v>32</v>
      </c>
      <c r="C8504" s="7">
        <v>2.448</v>
      </c>
      <c r="D8504" s="7">
        <v>10.34</v>
      </c>
      <c r="E8504" s="85">
        <f>C8504*D8504</f>
        <v>25.31232</v>
      </c>
    </row>
    <row r="8505" spans="1:5" ht="18" x14ac:dyDescent="0.35">
      <c r="A8505" s="5" t="s">
        <v>56</v>
      </c>
      <c r="B8505" s="50" t="s">
        <v>33</v>
      </c>
      <c r="C8505" s="7">
        <v>21.01</v>
      </c>
      <c r="D8505" s="7">
        <v>10</v>
      </c>
      <c r="E8505" s="85">
        <f>C8505*D8505</f>
        <v>210.10000000000002</v>
      </c>
    </row>
    <row r="8506" spans="1:5" ht="18" x14ac:dyDescent="0.35">
      <c r="A8506" s="5" t="s">
        <v>649</v>
      </c>
      <c r="B8506" s="50" t="s">
        <v>137</v>
      </c>
      <c r="C8506" s="7">
        <v>0.84</v>
      </c>
      <c r="D8506" s="7">
        <v>15.25</v>
      </c>
      <c r="E8506" s="85">
        <f>C8506*D8506</f>
        <v>12.809999999999999</v>
      </c>
    </row>
    <row r="8507" spans="1:5" ht="18" x14ac:dyDescent="0.35">
      <c r="A8507" s="5"/>
      <c r="B8507" s="50" t="s">
        <v>35</v>
      </c>
      <c r="C8507" s="7">
        <v>4</v>
      </c>
      <c r="D8507" s="7">
        <v>2.91</v>
      </c>
      <c r="E8507" s="85">
        <f>C8507*D8507</f>
        <v>11.64</v>
      </c>
    </row>
    <row r="8508" spans="1:5" ht="18" x14ac:dyDescent="0.35">
      <c r="A8508" s="5"/>
      <c r="B8508" s="50" t="s">
        <v>36</v>
      </c>
      <c r="C8508" s="7">
        <v>4</v>
      </c>
      <c r="D8508" s="7">
        <v>0.61</v>
      </c>
      <c r="E8508" s="85">
        <f>C8508*D8508</f>
        <v>2.44</v>
      </c>
    </row>
    <row r="8509" spans="1:5" ht="18" x14ac:dyDescent="0.35">
      <c r="A8509" s="5"/>
      <c r="B8509" s="50"/>
      <c r="C8509" s="87"/>
      <c r="D8509" s="88"/>
      <c r="E8509" s="85">
        <f>SUM(E8504:E8508)</f>
        <v>262.30232000000001</v>
      </c>
    </row>
    <row r="8510" spans="1:5" ht="18" x14ac:dyDescent="0.35">
      <c r="A8510" s="5"/>
      <c r="B8510" s="50"/>
      <c r="C8510" s="87"/>
      <c r="D8510" s="88" t="s">
        <v>1266</v>
      </c>
      <c r="E8510" s="85">
        <f>E8509+E8509*40%</f>
        <v>367.22324800000001</v>
      </c>
    </row>
    <row r="8511" spans="1:5" ht="18" x14ac:dyDescent="0.35">
      <c r="A8511" s="5"/>
      <c r="B8511" s="50" t="s">
        <v>37</v>
      </c>
      <c r="C8511" s="54">
        <v>1</v>
      </c>
      <c r="D8511" s="86">
        <v>200</v>
      </c>
      <c r="E8511" s="85">
        <f>C8511*D8511</f>
        <v>200</v>
      </c>
    </row>
    <row r="8512" spans="1:5" ht="18" x14ac:dyDescent="0.35">
      <c r="A8512" s="5"/>
      <c r="B8512" s="5"/>
      <c r="C8512" s="54"/>
      <c r="D8512" s="54"/>
      <c r="E8512" s="85">
        <f>SUM(E8510:E8511)</f>
        <v>567.22324800000001</v>
      </c>
    </row>
    <row r="8514" spans="1:5" ht="21" x14ac:dyDescent="0.4">
      <c r="A8514" s="40" t="s">
        <v>2005</v>
      </c>
      <c r="B8514" s="40"/>
      <c r="C8514" s="40"/>
      <c r="D8514" s="12"/>
      <c r="E8514" s="12"/>
    </row>
    <row r="8515" spans="1:5" ht="18" x14ac:dyDescent="0.35">
      <c r="A8515" s="5" t="s">
        <v>2045</v>
      </c>
      <c r="B8515" s="5"/>
      <c r="C8515" s="7" t="s">
        <v>28</v>
      </c>
      <c r="D8515" s="7" t="s">
        <v>29</v>
      </c>
      <c r="E8515" s="7" t="s">
        <v>30</v>
      </c>
    </row>
    <row r="8516" spans="1:5" ht="18" x14ac:dyDescent="0.35">
      <c r="A8516" s="5" t="s">
        <v>105</v>
      </c>
      <c r="B8516" s="50" t="s">
        <v>32</v>
      </c>
      <c r="C8516" s="7">
        <v>2.028</v>
      </c>
      <c r="D8516" s="7">
        <v>10.34</v>
      </c>
      <c r="E8516" s="85">
        <f>C8516*D8516</f>
        <v>20.969519999999999</v>
      </c>
    </row>
    <row r="8517" spans="1:5" ht="18" x14ac:dyDescent="0.35">
      <c r="A8517" s="5" t="s">
        <v>213</v>
      </c>
      <c r="B8517" s="50" t="s">
        <v>33</v>
      </c>
      <c r="C8517" s="7">
        <v>13.009</v>
      </c>
      <c r="D8517" s="7">
        <v>10</v>
      </c>
      <c r="E8517" s="85">
        <f>C8517*D8517</f>
        <v>130.09</v>
      </c>
    </row>
    <row r="8518" spans="1:5" ht="18" x14ac:dyDescent="0.35">
      <c r="A8518" s="5" t="s">
        <v>427</v>
      </c>
      <c r="B8518" s="50" t="s">
        <v>137</v>
      </c>
      <c r="C8518" s="7">
        <v>0.63</v>
      </c>
      <c r="D8518" s="7">
        <v>15.25</v>
      </c>
      <c r="E8518" s="85">
        <f>C8518*D8518</f>
        <v>9.6074999999999999</v>
      </c>
    </row>
    <row r="8519" spans="1:5" ht="18" x14ac:dyDescent="0.35">
      <c r="A8519" s="5"/>
      <c r="B8519" s="50" t="s">
        <v>35</v>
      </c>
      <c r="C8519" s="7">
        <v>4</v>
      </c>
      <c r="D8519" s="7">
        <v>2.91</v>
      </c>
      <c r="E8519" s="85">
        <f>C8519*D8519</f>
        <v>11.64</v>
      </c>
    </row>
    <row r="8520" spans="1:5" ht="18" x14ac:dyDescent="0.35">
      <c r="A8520" s="5"/>
      <c r="B8520" s="50" t="s">
        <v>36</v>
      </c>
      <c r="C8520" s="7">
        <v>4</v>
      </c>
      <c r="D8520" s="7">
        <v>0.61</v>
      </c>
      <c r="E8520" s="85">
        <f>C8520*D8520</f>
        <v>2.44</v>
      </c>
    </row>
    <row r="8521" spans="1:5" ht="18" x14ac:dyDescent="0.35">
      <c r="A8521" s="5"/>
      <c r="B8521" s="50"/>
      <c r="C8521" s="87"/>
      <c r="D8521" s="88"/>
      <c r="E8521" s="85">
        <f>SUM(E8516:E8520)</f>
        <v>174.74701999999996</v>
      </c>
    </row>
    <row r="8522" spans="1:5" ht="18" x14ac:dyDescent="0.35">
      <c r="A8522" s="5"/>
      <c r="B8522" s="50"/>
      <c r="C8522" s="87"/>
      <c r="D8522" s="88" t="s">
        <v>1266</v>
      </c>
      <c r="E8522" s="85">
        <f>E8521+E8521*40%</f>
        <v>244.64582799999994</v>
      </c>
    </row>
    <row r="8523" spans="1:5" ht="18" x14ac:dyDescent="0.35">
      <c r="A8523" s="5"/>
      <c r="B8523" s="50" t="s">
        <v>37</v>
      </c>
      <c r="C8523" s="54">
        <v>1</v>
      </c>
      <c r="D8523" s="86">
        <v>200</v>
      </c>
      <c r="E8523" s="85">
        <f>C8523*D8523</f>
        <v>200</v>
      </c>
    </row>
    <row r="8524" spans="1:5" ht="18" x14ac:dyDescent="0.35">
      <c r="A8524" s="5"/>
      <c r="B8524" s="5"/>
      <c r="C8524" s="54"/>
      <c r="D8524" s="54"/>
      <c r="E8524" s="85">
        <f>SUM(E8522:E8523)</f>
        <v>444.64582799999994</v>
      </c>
    </row>
    <row r="8526" spans="1:5" ht="21" x14ac:dyDescent="0.4">
      <c r="A8526" s="40" t="s">
        <v>1923</v>
      </c>
      <c r="B8526" s="40"/>
      <c r="C8526" s="84"/>
    </row>
    <row r="8528" spans="1:5" ht="18" x14ac:dyDescent="0.35">
      <c r="A8528" s="5" t="s">
        <v>1001</v>
      </c>
      <c r="B8528" s="5"/>
      <c r="C8528" s="7" t="s">
        <v>28</v>
      </c>
      <c r="D8528" s="7" t="s">
        <v>29</v>
      </c>
      <c r="E8528" s="7" t="s">
        <v>30</v>
      </c>
    </row>
    <row r="8529" spans="1:5" ht="18" x14ac:dyDescent="0.35">
      <c r="A8529" s="5" t="s">
        <v>337</v>
      </c>
      <c r="B8529" s="50" t="s">
        <v>32</v>
      </c>
      <c r="C8529" s="7">
        <v>2.952</v>
      </c>
      <c r="D8529" s="7">
        <v>10.34</v>
      </c>
      <c r="E8529" s="85">
        <f t="shared" ref="E8529:E8534" si="522">C8529*D8529</f>
        <v>30.523679999999999</v>
      </c>
    </row>
    <row r="8530" spans="1:5" ht="18" x14ac:dyDescent="0.35">
      <c r="A8530" s="5"/>
      <c r="B8530" s="50" t="s">
        <v>33</v>
      </c>
      <c r="C8530" s="7">
        <v>1.3540000000000001</v>
      </c>
      <c r="D8530" s="7">
        <v>10</v>
      </c>
      <c r="E8530" s="85">
        <f t="shared" si="522"/>
        <v>13.540000000000001</v>
      </c>
    </row>
    <row r="8531" spans="1:5" ht="18" x14ac:dyDescent="0.35">
      <c r="A8531" s="102"/>
      <c r="B8531" s="50" t="s">
        <v>911</v>
      </c>
      <c r="C8531" s="7">
        <v>2</v>
      </c>
      <c r="D8531" s="7">
        <v>1.1499999999999999</v>
      </c>
      <c r="E8531" s="85">
        <f t="shared" si="522"/>
        <v>2.2999999999999998</v>
      </c>
    </row>
    <row r="8532" spans="1:5" ht="18" x14ac:dyDescent="0.35">
      <c r="A8532" s="5"/>
      <c r="B8532" s="50" t="s">
        <v>34</v>
      </c>
      <c r="C8532" s="7">
        <v>0.24</v>
      </c>
      <c r="D8532" s="7">
        <v>3.4</v>
      </c>
      <c r="E8532" s="85">
        <f t="shared" si="522"/>
        <v>0.81599999999999995</v>
      </c>
    </row>
    <row r="8533" spans="1:5" ht="18" x14ac:dyDescent="0.35">
      <c r="A8533" s="5"/>
      <c r="B8533" s="50" t="s">
        <v>35</v>
      </c>
      <c r="C8533" s="7">
        <v>4</v>
      </c>
      <c r="D8533" s="7">
        <v>2.91</v>
      </c>
      <c r="E8533" s="85">
        <f t="shared" si="522"/>
        <v>11.64</v>
      </c>
    </row>
    <row r="8534" spans="1:5" ht="18" x14ac:dyDescent="0.35">
      <c r="A8534" s="5"/>
      <c r="B8534" s="50" t="s">
        <v>36</v>
      </c>
      <c r="C8534" s="7">
        <v>4</v>
      </c>
      <c r="D8534" s="7">
        <v>0.61</v>
      </c>
      <c r="E8534" s="85">
        <f t="shared" si="522"/>
        <v>2.44</v>
      </c>
    </row>
    <row r="8535" spans="1:5" ht="18" x14ac:dyDescent="0.35">
      <c r="A8535" s="5"/>
      <c r="B8535" s="5"/>
      <c r="C8535" s="54"/>
      <c r="D8535" s="54"/>
      <c r="E8535" s="89">
        <f>SUM(E8529:E8534)</f>
        <v>61.259679999999996</v>
      </c>
    </row>
    <row r="8536" spans="1:5" ht="18" x14ac:dyDescent="0.35">
      <c r="A8536" s="5"/>
      <c r="B8536" s="5"/>
      <c r="C8536" s="54"/>
      <c r="D8536" s="54" t="s">
        <v>1066</v>
      </c>
      <c r="E8536" s="89">
        <f>E8535+E8535*40%</f>
        <v>85.763552000000004</v>
      </c>
    </row>
    <row r="8537" spans="1:5" ht="18" x14ac:dyDescent="0.35">
      <c r="A8537" s="5"/>
      <c r="B8537" s="50" t="s">
        <v>37</v>
      </c>
      <c r="C8537" s="54">
        <v>0.5</v>
      </c>
      <c r="D8537" s="54">
        <v>200</v>
      </c>
      <c r="E8537" s="85">
        <f>C8537*D8537</f>
        <v>100</v>
      </c>
    </row>
    <row r="8538" spans="1:5" ht="18" x14ac:dyDescent="0.35">
      <c r="A8538" s="5"/>
      <c r="B8538" s="5"/>
      <c r="C8538" s="54"/>
      <c r="D8538" s="54"/>
      <c r="E8538" s="85">
        <f>SUM(E8536:E8537)</f>
        <v>185.763552</v>
      </c>
    </row>
    <row r="8540" spans="1:5" ht="21" x14ac:dyDescent="0.4">
      <c r="A8540" s="40" t="s">
        <v>1923</v>
      </c>
      <c r="B8540" s="40"/>
      <c r="C8540" s="84"/>
    </row>
    <row r="8542" spans="1:5" ht="18" x14ac:dyDescent="0.35">
      <c r="A8542" s="5" t="s">
        <v>79</v>
      </c>
      <c r="B8542" s="5"/>
      <c r="C8542" s="7" t="s">
        <v>28</v>
      </c>
      <c r="D8542" s="7" t="s">
        <v>29</v>
      </c>
      <c r="E8542" s="7" t="s">
        <v>30</v>
      </c>
    </row>
    <row r="8543" spans="1:5" ht="18" x14ac:dyDescent="0.35">
      <c r="A8543" s="5" t="s">
        <v>178</v>
      </c>
      <c r="B8543" s="50" t="s">
        <v>32</v>
      </c>
      <c r="C8543" s="7">
        <v>2.952</v>
      </c>
      <c r="D8543" s="7">
        <v>10.34</v>
      </c>
      <c r="E8543" s="85">
        <f t="shared" ref="E8543:E8548" si="523">C8543*D8543</f>
        <v>30.523679999999999</v>
      </c>
    </row>
    <row r="8544" spans="1:5" ht="18" x14ac:dyDescent="0.35">
      <c r="A8544" s="5"/>
      <c r="B8544" s="50" t="s">
        <v>33</v>
      </c>
      <c r="C8544" s="7">
        <v>1.3540000000000001</v>
      </c>
      <c r="D8544" s="7">
        <v>10</v>
      </c>
      <c r="E8544" s="85">
        <f t="shared" si="523"/>
        <v>13.540000000000001</v>
      </c>
    </row>
    <row r="8545" spans="1:5" ht="18" x14ac:dyDescent="0.35">
      <c r="A8545" s="102"/>
      <c r="B8545" s="50" t="s">
        <v>911</v>
      </c>
      <c r="C8545" s="7">
        <v>2</v>
      </c>
      <c r="D8545" s="7">
        <v>1.1499999999999999</v>
      </c>
      <c r="E8545" s="85">
        <f t="shared" si="523"/>
        <v>2.2999999999999998</v>
      </c>
    </row>
    <row r="8546" spans="1:5" ht="18" x14ac:dyDescent="0.35">
      <c r="A8546" s="5"/>
      <c r="B8546" s="50" t="s">
        <v>34</v>
      </c>
      <c r="C8546" s="7">
        <v>0.24</v>
      </c>
      <c r="D8546" s="7">
        <v>3.4</v>
      </c>
      <c r="E8546" s="85">
        <f t="shared" si="523"/>
        <v>0.81599999999999995</v>
      </c>
    </row>
    <row r="8547" spans="1:5" ht="18" x14ac:dyDescent="0.35">
      <c r="A8547" s="5"/>
      <c r="B8547" s="50" t="s">
        <v>35</v>
      </c>
      <c r="C8547" s="7">
        <v>4</v>
      </c>
      <c r="D8547" s="7">
        <v>2.91</v>
      </c>
      <c r="E8547" s="85">
        <f t="shared" si="523"/>
        <v>11.64</v>
      </c>
    </row>
    <row r="8548" spans="1:5" ht="18" x14ac:dyDescent="0.35">
      <c r="A8548" s="5"/>
      <c r="B8548" s="50" t="s">
        <v>36</v>
      </c>
      <c r="C8548" s="7">
        <v>4</v>
      </c>
      <c r="D8548" s="7">
        <v>0.61</v>
      </c>
      <c r="E8548" s="85">
        <f t="shared" si="523"/>
        <v>2.44</v>
      </c>
    </row>
    <row r="8549" spans="1:5" ht="18" x14ac:dyDescent="0.35">
      <c r="A8549" s="5"/>
      <c r="B8549" s="5"/>
      <c r="C8549" s="54"/>
      <c r="D8549" s="54"/>
      <c r="E8549" s="89">
        <f>SUM(E8543:E8548)</f>
        <v>61.259679999999996</v>
      </c>
    </row>
    <row r="8550" spans="1:5" ht="18" x14ac:dyDescent="0.35">
      <c r="A8550" s="5"/>
      <c r="B8550" s="5"/>
      <c r="C8550" s="54"/>
      <c r="D8550" s="54" t="s">
        <v>1066</v>
      </c>
      <c r="E8550" s="89">
        <f>E8549+E8549*40%</f>
        <v>85.763552000000004</v>
      </c>
    </row>
    <row r="8551" spans="1:5" ht="18" x14ac:dyDescent="0.35">
      <c r="A8551" s="5"/>
      <c r="B8551" s="50" t="s">
        <v>37</v>
      </c>
      <c r="C8551" s="54">
        <v>0.5</v>
      </c>
      <c r="D8551" s="54">
        <v>200</v>
      </c>
      <c r="E8551" s="85">
        <f>C8551*D8551</f>
        <v>100</v>
      </c>
    </row>
    <row r="8552" spans="1:5" ht="18" x14ac:dyDescent="0.35">
      <c r="A8552" s="5"/>
      <c r="B8552" s="5"/>
      <c r="C8552" s="54"/>
      <c r="D8552" s="54"/>
      <c r="E8552" s="85">
        <f>SUM(E8550:E8551)</f>
        <v>185.763552</v>
      </c>
    </row>
    <row r="8554" spans="1:5" ht="21" x14ac:dyDescent="0.4">
      <c r="A8554" s="40" t="s">
        <v>2047</v>
      </c>
      <c r="B8554" s="40"/>
      <c r="C8554" s="40"/>
      <c r="D8554" s="12"/>
      <c r="E8554" s="12"/>
    </row>
    <row r="8555" spans="1:5" ht="18" x14ac:dyDescent="0.35">
      <c r="A8555" s="5" t="s">
        <v>1427</v>
      </c>
      <c r="B8555" s="5"/>
      <c r="C8555" s="7" t="s">
        <v>28</v>
      </c>
      <c r="D8555" s="7" t="s">
        <v>29</v>
      </c>
      <c r="E8555" s="7" t="s">
        <v>30</v>
      </c>
    </row>
    <row r="8556" spans="1:5" ht="18" x14ac:dyDescent="0.35">
      <c r="A8556" s="5" t="s">
        <v>2046</v>
      </c>
      <c r="B8556" s="50" t="s">
        <v>32</v>
      </c>
      <c r="C8556" s="7">
        <v>3.3090000000000002</v>
      </c>
      <c r="D8556" s="7">
        <v>10.34</v>
      </c>
      <c r="E8556" s="85">
        <f>C8556*D8556</f>
        <v>34.215060000000001</v>
      </c>
    </row>
    <row r="8557" spans="1:5" ht="18" x14ac:dyDescent="0.35">
      <c r="A8557" s="5" t="s">
        <v>57</v>
      </c>
      <c r="B8557" s="50" t="s">
        <v>33</v>
      </c>
      <c r="C8557" s="7">
        <v>22.491</v>
      </c>
      <c r="D8557" s="7">
        <v>10</v>
      </c>
      <c r="E8557" s="85">
        <f>C8557*D8557</f>
        <v>224.91</v>
      </c>
    </row>
    <row r="8558" spans="1:5" ht="18" x14ac:dyDescent="0.35">
      <c r="A8558" s="5" t="s">
        <v>649</v>
      </c>
      <c r="B8558" s="50" t="s">
        <v>137</v>
      </c>
      <c r="C8558" s="7">
        <v>1.85</v>
      </c>
      <c r="D8558" s="7">
        <v>15.25</v>
      </c>
      <c r="E8558" s="85">
        <f>C8558*D8558</f>
        <v>28.212500000000002</v>
      </c>
    </row>
    <row r="8559" spans="1:5" ht="18" x14ac:dyDescent="0.35">
      <c r="A8559" s="5"/>
      <c r="B8559" s="50" t="s">
        <v>35</v>
      </c>
      <c r="C8559" s="7">
        <v>4</v>
      </c>
      <c r="D8559" s="7">
        <v>2.91</v>
      </c>
      <c r="E8559" s="85">
        <f>C8559*D8559</f>
        <v>11.64</v>
      </c>
    </row>
    <row r="8560" spans="1:5" ht="18" x14ac:dyDescent="0.35">
      <c r="A8560" s="5"/>
      <c r="B8560" s="50" t="s">
        <v>36</v>
      </c>
      <c r="C8560" s="7">
        <v>4</v>
      </c>
      <c r="D8560" s="7">
        <v>0.61</v>
      </c>
      <c r="E8560" s="85">
        <f>C8560*D8560</f>
        <v>2.44</v>
      </c>
    </row>
    <row r="8561" spans="1:5" ht="18" x14ac:dyDescent="0.35">
      <c r="A8561" s="5"/>
      <c r="B8561" s="50"/>
      <c r="C8561" s="87"/>
      <c r="D8561" s="88"/>
      <c r="E8561" s="85">
        <f>SUM(E8556:E8560)</f>
        <v>301.41755999999998</v>
      </c>
    </row>
    <row r="8562" spans="1:5" ht="18" x14ac:dyDescent="0.35">
      <c r="A8562" s="5"/>
      <c r="B8562" s="50"/>
      <c r="C8562" s="87"/>
      <c r="D8562" s="88" t="s">
        <v>1266</v>
      </c>
      <c r="E8562" s="85">
        <f>E8561+E8561*40%</f>
        <v>421.98458399999998</v>
      </c>
    </row>
    <row r="8563" spans="1:5" ht="18" x14ac:dyDescent="0.35">
      <c r="A8563" s="5"/>
      <c r="B8563" s="50" t="s">
        <v>37</v>
      </c>
      <c r="C8563" s="54">
        <v>1</v>
      </c>
      <c r="D8563" s="86">
        <v>200</v>
      </c>
      <c r="E8563" s="85">
        <f>C8563*D8563</f>
        <v>200</v>
      </c>
    </row>
    <row r="8564" spans="1:5" ht="18" x14ac:dyDescent="0.35">
      <c r="A8564" s="5"/>
      <c r="B8564" s="5"/>
      <c r="C8564" s="54"/>
      <c r="D8564" s="54"/>
      <c r="E8564" s="85">
        <f>SUM(E8562:E8563)</f>
        <v>621.98458400000004</v>
      </c>
    </row>
    <row r="8566" spans="1:5" ht="21" x14ac:dyDescent="0.4">
      <c r="A8566" s="40" t="s">
        <v>2047</v>
      </c>
      <c r="B8566" s="40"/>
      <c r="C8566" s="40"/>
      <c r="D8566" s="12"/>
      <c r="E8566" s="12"/>
    </row>
    <row r="8567" spans="1:5" ht="18" x14ac:dyDescent="0.35">
      <c r="A8567" s="5" t="s">
        <v>1810</v>
      </c>
      <c r="B8567" s="5"/>
      <c r="C8567" s="7" t="s">
        <v>28</v>
      </c>
      <c r="D8567" s="7" t="s">
        <v>29</v>
      </c>
      <c r="E8567" s="7" t="s">
        <v>30</v>
      </c>
    </row>
    <row r="8568" spans="1:5" ht="18" x14ac:dyDescent="0.35">
      <c r="A8568" s="5" t="s">
        <v>569</v>
      </c>
      <c r="B8568" s="50" t="s">
        <v>32</v>
      </c>
      <c r="C8568" s="7">
        <v>4.1289999999999996</v>
      </c>
      <c r="D8568" s="7">
        <v>10.34</v>
      </c>
      <c r="E8568" s="85">
        <f>C8568*D8568</f>
        <v>42.693859999999994</v>
      </c>
    </row>
    <row r="8569" spans="1:5" ht="18" x14ac:dyDescent="0.35">
      <c r="A8569" s="5" t="s">
        <v>56</v>
      </c>
      <c r="B8569" s="50" t="s">
        <v>33</v>
      </c>
      <c r="C8569" s="7">
        <v>45.37</v>
      </c>
      <c r="D8569" s="7">
        <v>10</v>
      </c>
      <c r="E8569" s="85">
        <f>C8569*D8569</f>
        <v>453.7</v>
      </c>
    </row>
    <row r="8570" spans="1:5" ht="18" x14ac:dyDescent="0.35">
      <c r="A8570" s="5" t="s">
        <v>649</v>
      </c>
      <c r="B8570" s="50" t="s">
        <v>137</v>
      </c>
      <c r="C8570" s="7">
        <v>1.68</v>
      </c>
      <c r="D8570" s="7">
        <v>15.25</v>
      </c>
      <c r="E8570" s="85">
        <f>C8570*D8570</f>
        <v>25.619999999999997</v>
      </c>
    </row>
    <row r="8571" spans="1:5" ht="18" x14ac:dyDescent="0.35">
      <c r="A8571" s="5"/>
      <c r="B8571" s="50" t="s">
        <v>35</v>
      </c>
      <c r="C8571" s="7">
        <v>4</v>
      </c>
      <c r="D8571" s="7">
        <v>2.91</v>
      </c>
      <c r="E8571" s="85">
        <f>C8571*D8571</f>
        <v>11.64</v>
      </c>
    </row>
    <row r="8572" spans="1:5" ht="18" x14ac:dyDescent="0.35">
      <c r="A8572" s="5"/>
      <c r="B8572" s="50" t="s">
        <v>36</v>
      </c>
      <c r="C8572" s="7">
        <v>4</v>
      </c>
      <c r="D8572" s="7">
        <v>0.61</v>
      </c>
      <c r="E8572" s="85">
        <f>C8572*D8572</f>
        <v>2.44</v>
      </c>
    </row>
    <row r="8573" spans="1:5" ht="18" x14ac:dyDescent="0.35">
      <c r="A8573" s="5"/>
      <c r="B8573" s="50"/>
      <c r="C8573" s="87"/>
      <c r="D8573" s="88"/>
      <c r="E8573" s="85">
        <f>SUM(E8568:E8572)</f>
        <v>536.09385999999995</v>
      </c>
    </row>
    <row r="8574" spans="1:5" ht="18" x14ac:dyDescent="0.35">
      <c r="A8574" s="5"/>
      <c r="B8574" s="50"/>
      <c r="C8574" s="87"/>
      <c r="D8574" s="88" t="s">
        <v>1266</v>
      </c>
      <c r="E8574" s="85">
        <f>E8573+E8573*40%</f>
        <v>750.53140399999995</v>
      </c>
    </row>
    <row r="8575" spans="1:5" ht="18" x14ac:dyDescent="0.35">
      <c r="A8575" s="5"/>
      <c r="B8575" s="50" t="s">
        <v>37</v>
      </c>
      <c r="C8575" s="54">
        <v>2</v>
      </c>
      <c r="D8575" s="86">
        <v>200</v>
      </c>
      <c r="E8575" s="85">
        <f>C8575*D8575</f>
        <v>400</v>
      </c>
    </row>
    <row r="8576" spans="1:5" ht="18" x14ac:dyDescent="0.35">
      <c r="A8576" s="5"/>
      <c r="B8576" s="5"/>
      <c r="C8576" s="54"/>
      <c r="D8576" s="54"/>
      <c r="E8576" s="85">
        <f>SUM(E8574:E8575)</f>
        <v>1150.5314039999998</v>
      </c>
    </row>
    <row r="8578" spans="1:5" ht="21" x14ac:dyDescent="0.4">
      <c r="A8578" s="40" t="s">
        <v>1923</v>
      </c>
      <c r="B8578" s="40"/>
      <c r="C8578" s="84"/>
    </row>
    <row r="8580" spans="1:5" ht="18" x14ac:dyDescent="0.35">
      <c r="A8580" s="5" t="s">
        <v>158</v>
      </c>
      <c r="B8580" s="5"/>
      <c r="C8580" s="7" t="s">
        <v>28</v>
      </c>
      <c r="D8580" s="7" t="s">
        <v>29</v>
      </c>
      <c r="E8580" s="7" t="s">
        <v>30</v>
      </c>
    </row>
    <row r="8581" spans="1:5" ht="18" x14ac:dyDescent="0.35">
      <c r="A8581" s="5" t="s">
        <v>337</v>
      </c>
      <c r="B8581" s="50" t="s">
        <v>32</v>
      </c>
      <c r="C8581" s="7">
        <v>1.0620000000000001</v>
      </c>
      <c r="D8581" s="7">
        <v>10.34</v>
      </c>
      <c r="E8581" s="85">
        <f t="shared" ref="E8581:E8586" si="524">C8581*D8581</f>
        <v>10.98108</v>
      </c>
    </row>
    <row r="8582" spans="1:5" ht="18" x14ac:dyDescent="0.35">
      <c r="A8582" s="5"/>
      <c r="B8582" s="50" t="s">
        <v>33</v>
      </c>
      <c r="C8582" s="7">
        <v>0.40899999999999997</v>
      </c>
      <c r="D8582" s="7">
        <v>10</v>
      </c>
      <c r="E8582" s="85">
        <f t="shared" si="524"/>
        <v>4.09</v>
      </c>
    </row>
    <row r="8583" spans="1:5" ht="18" x14ac:dyDescent="0.35">
      <c r="A8583" s="102"/>
      <c r="B8583" s="50" t="s">
        <v>911</v>
      </c>
      <c r="C8583" s="7">
        <v>2</v>
      </c>
      <c r="D8583" s="7">
        <v>1.1499999999999999</v>
      </c>
      <c r="E8583" s="85">
        <f t="shared" si="524"/>
        <v>2.2999999999999998</v>
      </c>
    </row>
    <row r="8584" spans="1:5" ht="18" x14ac:dyDescent="0.35">
      <c r="A8584" s="5"/>
      <c r="B8584" s="50" t="s">
        <v>34</v>
      </c>
      <c r="C8584" s="7"/>
      <c r="D8584" s="7">
        <v>3.4</v>
      </c>
      <c r="E8584" s="85">
        <f t="shared" si="524"/>
        <v>0</v>
      </c>
    </row>
    <row r="8585" spans="1:5" ht="18" x14ac:dyDescent="0.35">
      <c r="A8585" s="5"/>
      <c r="B8585" s="50" t="s">
        <v>35</v>
      </c>
      <c r="C8585" s="7">
        <v>4</v>
      </c>
      <c r="D8585" s="7">
        <v>2.91</v>
      </c>
      <c r="E8585" s="85">
        <f t="shared" si="524"/>
        <v>11.64</v>
      </c>
    </row>
    <row r="8586" spans="1:5" ht="18" x14ac:dyDescent="0.35">
      <c r="A8586" s="5"/>
      <c r="B8586" s="50" t="s">
        <v>36</v>
      </c>
      <c r="C8586" s="7">
        <v>4</v>
      </c>
      <c r="D8586" s="7">
        <v>0.61</v>
      </c>
      <c r="E8586" s="85">
        <f t="shared" si="524"/>
        <v>2.44</v>
      </c>
    </row>
    <row r="8587" spans="1:5" ht="18" x14ac:dyDescent="0.35">
      <c r="A8587" s="5"/>
      <c r="B8587" s="5"/>
      <c r="C8587" s="54"/>
      <c r="D8587" s="54"/>
      <c r="E8587" s="89">
        <f>SUM(E8581:E8586)</f>
        <v>31.451080000000001</v>
      </c>
    </row>
    <row r="8588" spans="1:5" ht="18" x14ac:dyDescent="0.35">
      <c r="A8588" s="5"/>
      <c r="B8588" s="5"/>
      <c r="C8588" s="54"/>
      <c r="D8588" s="54" t="s">
        <v>1161</v>
      </c>
      <c r="E8588" s="89">
        <f>E8587+E8587*30%</f>
        <v>40.886403999999999</v>
      </c>
    </row>
    <row r="8589" spans="1:5" ht="18" x14ac:dyDescent="0.35">
      <c r="A8589" s="5"/>
      <c r="B8589" s="50" t="s">
        <v>37</v>
      </c>
      <c r="C8589" s="54">
        <v>0.2</v>
      </c>
      <c r="D8589" s="54">
        <v>200</v>
      </c>
      <c r="E8589" s="85">
        <f>C8589*D8589</f>
        <v>40</v>
      </c>
    </row>
    <row r="8590" spans="1:5" ht="18" x14ac:dyDescent="0.35">
      <c r="A8590" s="5"/>
      <c r="B8590" s="5"/>
      <c r="C8590" s="54"/>
      <c r="D8590" s="54"/>
      <c r="E8590" s="85">
        <f>SUM(E8588:E8589)</f>
        <v>80.886403999999999</v>
      </c>
    </row>
    <row r="8592" spans="1:5" ht="21" x14ac:dyDescent="0.4">
      <c r="A8592" s="40" t="s">
        <v>2051</v>
      </c>
      <c r="B8592" s="40"/>
      <c r="C8592" s="40"/>
      <c r="D8592" s="12"/>
      <c r="E8592" s="12"/>
    </row>
    <row r="8593" spans="1:5" ht="18" x14ac:dyDescent="0.35">
      <c r="A8593" s="5" t="s">
        <v>2052</v>
      </c>
      <c r="B8593" s="5"/>
      <c r="C8593" s="7" t="s">
        <v>28</v>
      </c>
      <c r="D8593" s="7" t="s">
        <v>29</v>
      </c>
      <c r="E8593" s="7" t="s">
        <v>30</v>
      </c>
    </row>
    <row r="8594" spans="1:5" ht="18" x14ac:dyDescent="0.35">
      <c r="A8594" s="5" t="s">
        <v>2053</v>
      </c>
      <c r="B8594" s="50" t="s">
        <v>32</v>
      </c>
      <c r="C8594" s="7">
        <v>4.2329999999999997</v>
      </c>
      <c r="D8594" s="7">
        <v>10.34</v>
      </c>
      <c r="E8594" s="85">
        <f>C8594*D8594</f>
        <v>43.769219999999997</v>
      </c>
    </row>
    <row r="8595" spans="1:5" ht="18" x14ac:dyDescent="0.35">
      <c r="A8595" s="5" t="s">
        <v>232</v>
      </c>
      <c r="B8595" s="50" t="s">
        <v>33</v>
      </c>
      <c r="C8595" s="7">
        <v>18.795000000000002</v>
      </c>
      <c r="D8595" s="7">
        <v>10</v>
      </c>
      <c r="E8595" s="85">
        <f>C8595*D8595</f>
        <v>187.95000000000002</v>
      </c>
    </row>
    <row r="8596" spans="1:5" ht="18" x14ac:dyDescent="0.35">
      <c r="A8596" s="5" t="s">
        <v>649</v>
      </c>
      <c r="B8596" s="50" t="s">
        <v>137</v>
      </c>
      <c r="C8596" s="7">
        <v>0.47199999999999998</v>
      </c>
      <c r="D8596" s="7">
        <v>15.25</v>
      </c>
      <c r="E8596" s="85">
        <f>C8596*D8596</f>
        <v>7.1979999999999995</v>
      </c>
    </row>
    <row r="8597" spans="1:5" ht="18" x14ac:dyDescent="0.35">
      <c r="A8597" s="5"/>
      <c r="B8597" s="50" t="s">
        <v>35</v>
      </c>
      <c r="C8597" s="7">
        <v>4</v>
      </c>
      <c r="D8597" s="7">
        <v>2.91</v>
      </c>
      <c r="E8597" s="85">
        <f>C8597*D8597</f>
        <v>11.64</v>
      </c>
    </row>
    <row r="8598" spans="1:5" ht="18" x14ac:dyDescent="0.35">
      <c r="A8598" s="5"/>
      <c r="B8598" s="50" t="s">
        <v>36</v>
      </c>
      <c r="C8598" s="7">
        <v>4</v>
      </c>
      <c r="D8598" s="7">
        <v>0.61</v>
      </c>
      <c r="E8598" s="85">
        <f>C8598*D8598</f>
        <v>2.44</v>
      </c>
    </row>
    <row r="8599" spans="1:5" ht="18" x14ac:dyDescent="0.35">
      <c r="A8599" s="5"/>
      <c r="B8599" s="50"/>
      <c r="C8599" s="87"/>
      <c r="D8599" s="88"/>
      <c r="E8599" s="85">
        <f>SUM(E8594:E8598)</f>
        <v>252.99722000000003</v>
      </c>
    </row>
    <row r="8600" spans="1:5" ht="18" x14ac:dyDescent="0.35">
      <c r="A8600" s="5"/>
      <c r="B8600" s="50"/>
      <c r="C8600" s="87"/>
      <c r="D8600" s="88" t="s">
        <v>1266</v>
      </c>
      <c r="E8600" s="85">
        <f>E8599+E8599*40%</f>
        <v>354.19610800000004</v>
      </c>
    </row>
    <row r="8601" spans="1:5" ht="18" x14ac:dyDescent="0.35">
      <c r="A8601" s="5"/>
      <c r="B8601" s="50" t="s">
        <v>37</v>
      </c>
      <c r="C8601" s="54">
        <v>1</v>
      </c>
      <c r="D8601" s="86">
        <v>200</v>
      </c>
      <c r="E8601" s="85">
        <f>C8601*D8601</f>
        <v>200</v>
      </c>
    </row>
    <row r="8602" spans="1:5" ht="18" x14ac:dyDescent="0.35">
      <c r="A8602" s="5"/>
      <c r="B8602" s="5"/>
      <c r="C8602" s="54"/>
      <c r="D8602" s="54"/>
      <c r="E8602" s="85">
        <f>SUM(E8600:E8601)</f>
        <v>554.19610800000009</v>
      </c>
    </row>
    <row r="8604" spans="1:5" ht="21" x14ac:dyDescent="0.4">
      <c r="A8604" s="40" t="s">
        <v>602</v>
      </c>
      <c r="B8604" s="40"/>
      <c r="C8604" s="84"/>
    </row>
    <row r="8605" spans="1:5" ht="18" x14ac:dyDescent="0.35">
      <c r="B8605" s="5"/>
      <c r="C8605" s="7" t="s">
        <v>28</v>
      </c>
      <c r="D8605" s="7" t="s">
        <v>29</v>
      </c>
      <c r="E8605" s="7" t="s">
        <v>30</v>
      </c>
    </row>
    <row r="8606" spans="1:5" ht="18" x14ac:dyDescent="0.35">
      <c r="A8606" s="5" t="s">
        <v>41</v>
      </c>
      <c r="B8606" s="50" t="s">
        <v>32</v>
      </c>
      <c r="C8606" s="7">
        <v>1.3979999999999999</v>
      </c>
      <c r="D8606" s="7">
        <v>14.93</v>
      </c>
      <c r="E8606" s="85">
        <f t="shared" ref="E8606:E8613" si="525">C8606*D8606</f>
        <v>20.872139999999998</v>
      </c>
    </row>
    <row r="8607" spans="1:5" ht="18" x14ac:dyDescent="0.35">
      <c r="A8607" s="5" t="s">
        <v>238</v>
      </c>
      <c r="B8607" s="50" t="s">
        <v>33</v>
      </c>
      <c r="C8607" s="7">
        <v>2.0579999999999998</v>
      </c>
      <c r="D8607" s="7">
        <v>10</v>
      </c>
      <c r="E8607" s="85">
        <f t="shared" si="525"/>
        <v>20.58</v>
      </c>
    </row>
    <row r="8608" spans="1:5" ht="18" x14ac:dyDescent="0.35">
      <c r="A8608" s="5" t="s">
        <v>238</v>
      </c>
      <c r="B8608" s="50" t="s">
        <v>33</v>
      </c>
      <c r="C8608" s="7">
        <v>2.0579999999999998</v>
      </c>
      <c r="D8608" s="7">
        <v>10</v>
      </c>
      <c r="E8608" s="85">
        <f t="shared" si="525"/>
        <v>20.58</v>
      </c>
    </row>
    <row r="8609" spans="1:5" ht="18" x14ac:dyDescent="0.35">
      <c r="A8609" s="5" t="s">
        <v>623</v>
      </c>
      <c r="B8609" s="50" t="s">
        <v>113</v>
      </c>
      <c r="C8609" s="7">
        <v>2</v>
      </c>
      <c r="D8609" s="7">
        <v>1.1499999999999999</v>
      </c>
      <c r="E8609" s="85">
        <f t="shared" si="525"/>
        <v>2.2999999999999998</v>
      </c>
    </row>
    <row r="8610" spans="1:5" ht="18" x14ac:dyDescent="0.35">
      <c r="A8610" s="5" t="s">
        <v>1954</v>
      </c>
      <c r="B8610" s="50" t="s">
        <v>42</v>
      </c>
      <c r="C8610" s="7">
        <v>2</v>
      </c>
      <c r="D8610" s="7">
        <v>1.1499999999999999</v>
      </c>
      <c r="E8610" s="85">
        <f t="shared" si="525"/>
        <v>2.2999999999999998</v>
      </c>
    </row>
    <row r="8611" spans="1:5" ht="18" x14ac:dyDescent="0.35">
      <c r="A8611" s="5"/>
      <c r="B8611" s="50" t="s">
        <v>34</v>
      </c>
      <c r="C8611" s="7"/>
      <c r="D8611" s="7">
        <v>14.61</v>
      </c>
      <c r="E8611" s="85">
        <f t="shared" si="525"/>
        <v>0</v>
      </c>
    </row>
    <row r="8612" spans="1:5" ht="18" x14ac:dyDescent="0.35">
      <c r="A8612" s="5"/>
      <c r="B8612" s="50" t="s">
        <v>35</v>
      </c>
      <c r="C8612" s="7">
        <v>4</v>
      </c>
      <c r="D8612" s="7">
        <v>2.91</v>
      </c>
      <c r="E8612" s="85">
        <f t="shared" si="525"/>
        <v>11.64</v>
      </c>
    </row>
    <row r="8613" spans="1:5" ht="18" x14ac:dyDescent="0.35">
      <c r="A8613" s="5"/>
      <c r="B8613" s="50" t="s">
        <v>36</v>
      </c>
      <c r="C8613" s="7">
        <v>4</v>
      </c>
      <c r="D8613" s="7">
        <v>0.61</v>
      </c>
      <c r="E8613" s="85">
        <f t="shared" si="525"/>
        <v>2.44</v>
      </c>
    </row>
    <row r="8614" spans="1:5" ht="18" x14ac:dyDescent="0.35">
      <c r="A8614" s="5"/>
      <c r="B8614" s="5"/>
      <c r="C8614" s="54"/>
      <c r="D8614" s="54"/>
      <c r="E8614" s="89">
        <f>SUM(E8606:E8613)</f>
        <v>80.712139999999991</v>
      </c>
    </row>
    <row r="8615" spans="1:5" ht="18" x14ac:dyDescent="0.35">
      <c r="A8615" s="5"/>
      <c r="B8615" s="5"/>
      <c r="C8615" s="54"/>
      <c r="D8615" s="54" t="s">
        <v>1116</v>
      </c>
      <c r="E8615" s="89">
        <f>E8614+E8614*30%</f>
        <v>104.92578199999998</v>
      </c>
    </row>
    <row r="8616" spans="1:5" ht="18" x14ac:dyDescent="0.35">
      <c r="A8616" s="5"/>
      <c r="B8616" s="50" t="s">
        <v>37</v>
      </c>
      <c r="C8616" s="54">
        <v>0.2</v>
      </c>
      <c r="D8616" s="54">
        <v>200</v>
      </c>
      <c r="E8616" s="85">
        <f>C8616*D8616</f>
        <v>40</v>
      </c>
    </row>
    <row r="8617" spans="1:5" ht="18" x14ac:dyDescent="0.35">
      <c r="E8617" s="85">
        <f>SUM(E8615:E8616)</f>
        <v>144.92578199999997</v>
      </c>
    </row>
    <row r="8619" spans="1:5" ht="21" x14ac:dyDescent="0.4">
      <c r="A8619" s="40" t="s">
        <v>2051</v>
      </c>
      <c r="B8619" s="40"/>
      <c r="C8619" s="40"/>
      <c r="D8619" s="12"/>
      <c r="E8619" s="12"/>
    </row>
    <row r="8620" spans="1:5" ht="18" x14ac:dyDescent="0.35">
      <c r="A8620" s="5" t="s">
        <v>2054</v>
      </c>
      <c r="B8620" s="5"/>
      <c r="C8620" s="7" t="s">
        <v>28</v>
      </c>
      <c r="D8620" s="7" t="s">
        <v>29</v>
      </c>
      <c r="E8620" s="7" t="s">
        <v>30</v>
      </c>
    </row>
    <row r="8621" spans="1:5" ht="18" x14ac:dyDescent="0.35">
      <c r="A8621" s="5" t="s">
        <v>2055</v>
      </c>
      <c r="B8621" s="50" t="s">
        <v>32</v>
      </c>
      <c r="C8621" s="7">
        <v>1.986</v>
      </c>
      <c r="D8621" s="7">
        <v>10.34</v>
      </c>
      <c r="E8621" s="85">
        <f>C8621*D8621</f>
        <v>20.535239999999998</v>
      </c>
    </row>
    <row r="8622" spans="1:5" ht="18" x14ac:dyDescent="0.35">
      <c r="A8622" s="5" t="s">
        <v>398</v>
      </c>
      <c r="B8622" s="50" t="s">
        <v>33</v>
      </c>
      <c r="C8622" s="7">
        <v>13.86</v>
      </c>
      <c r="D8622" s="7">
        <v>10</v>
      </c>
      <c r="E8622" s="85">
        <f>C8622*D8622</f>
        <v>138.6</v>
      </c>
    </row>
    <row r="8623" spans="1:5" ht="18" x14ac:dyDescent="0.35">
      <c r="A8623" s="5" t="s">
        <v>2056</v>
      </c>
      <c r="B8623" s="50" t="s">
        <v>137</v>
      </c>
      <c r="C8623" s="7">
        <v>0.86</v>
      </c>
      <c r="D8623" s="7">
        <v>15.25</v>
      </c>
      <c r="E8623" s="85">
        <f>C8623*D8623</f>
        <v>13.115</v>
      </c>
    </row>
    <row r="8624" spans="1:5" ht="18" x14ac:dyDescent="0.35">
      <c r="A8624" s="5"/>
      <c r="B8624" s="50" t="s">
        <v>35</v>
      </c>
      <c r="C8624" s="7">
        <v>4</v>
      </c>
      <c r="D8624" s="7">
        <v>2.91</v>
      </c>
      <c r="E8624" s="85">
        <f>C8624*D8624</f>
        <v>11.64</v>
      </c>
    </row>
    <row r="8625" spans="1:5" ht="18" x14ac:dyDescent="0.35">
      <c r="A8625" s="5"/>
      <c r="B8625" s="50" t="s">
        <v>36</v>
      </c>
      <c r="C8625" s="7">
        <v>4</v>
      </c>
      <c r="D8625" s="7">
        <v>0.61</v>
      </c>
      <c r="E8625" s="85">
        <f>C8625*D8625</f>
        <v>2.44</v>
      </c>
    </row>
    <row r="8626" spans="1:5" ht="18" x14ac:dyDescent="0.35">
      <c r="A8626" s="5"/>
      <c r="B8626" s="50"/>
      <c r="C8626" s="87"/>
      <c r="D8626" s="88"/>
      <c r="E8626" s="85">
        <f>SUM(E8621:E8625)</f>
        <v>186.33024</v>
      </c>
    </row>
    <row r="8627" spans="1:5" ht="18" x14ac:dyDescent="0.35">
      <c r="A8627" s="5"/>
      <c r="B8627" s="50"/>
      <c r="C8627" s="87"/>
      <c r="D8627" s="88" t="s">
        <v>1437</v>
      </c>
      <c r="E8627" s="85">
        <f>E8626+E8626*30%</f>
        <v>242.22931199999999</v>
      </c>
    </row>
    <row r="8628" spans="1:5" ht="18" x14ac:dyDescent="0.35">
      <c r="A8628" s="5"/>
      <c r="B8628" s="50" t="s">
        <v>37</v>
      </c>
      <c r="C8628" s="54">
        <v>0.5</v>
      </c>
      <c r="D8628" s="86">
        <v>150</v>
      </c>
      <c r="E8628" s="85">
        <f>C8628*D8628</f>
        <v>75</v>
      </c>
    </row>
    <row r="8629" spans="1:5" ht="18" x14ac:dyDescent="0.35">
      <c r="A8629" s="5"/>
      <c r="B8629" s="5"/>
      <c r="C8629" s="54"/>
      <c r="D8629" s="54"/>
      <c r="E8629" s="85">
        <f>SUM(E8627:E8628)</f>
        <v>317.22931199999999</v>
      </c>
    </row>
    <row r="8632" spans="1:5" ht="21" x14ac:dyDescent="0.4">
      <c r="A8632" s="40" t="s">
        <v>2051</v>
      </c>
      <c r="B8632" s="40"/>
      <c r="C8632" s="40"/>
      <c r="D8632" s="12"/>
      <c r="E8632" s="12"/>
    </row>
    <row r="8633" spans="1:5" ht="18" x14ac:dyDescent="0.35">
      <c r="A8633" s="5" t="s">
        <v>2054</v>
      </c>
      <c r="B8633" s="5"/>
      <c r="C8633" s="7" t="s">
        <v>28</v>
      </c>
      <c r="D8633" s="7" t="s">
        <v>29</v>
      </c>
      <c r="E8633" s="7" t="s">
        <v>30</v>
      </c>
    </row>
    <row r="8634" spans="1:5" ht="18" x14ac:dyDescent="0.35">
      <c r="A8634" s="5" t="s">
        <v>2057</v>
      </c>
      <c r="B8634" s="50" t="s">
        <v>32</v>
      </c>
      <c r="C8634" s="7">
        <v>2.448</v>
      </c>
      <c r="D8634" s="7">
        <v>11.37</v>
      </c>
      <c r="E8634" s="85">
        <f>C8634*D8634</f>
        <v>27.833759999999998</v>
      </c>
    </row>
    <row r="8635" spans="1:5" ht="18" x14ac:dyDescent="0.35">
      <c r="A8635" s="5" t="s">
        <v>804</v>
      </c>
      <c r="B8635" s="50" t="s">
        <v>33</v>
      </c>
      <c r="C8635" s="7">
        <v>22.123000000000001</v>
      </c>
      <c r="D8635" s="7">
        <v>11.37</v>
      </c>
      <c r="E8635" s="85">
        <f>C8635*D8635</f>
        <v>251.53851</v>
      </c>
    </row>
    <row r="8636" spans="1:5" ht="18" x14ac:dyDescent="0.35">
      <c r="A8636" s="5" t="s">
        <v>672</v>
      </c>
      <c r="B8636" s="50" t="s">
        <v>137</v>
      </c>
      <c r="C8636" s="7">
        <v>1.26</v>
      </c>
      <c r="D8636" s="7">
        <v>15.25</v>
      </c>
      <c r="E8636" s="85">
        <f>C8636*D8636</f>
        <v>19.215</v>
      </c>
    </row>
    <row r="8637" spans="1:5" ht="18" x14ac:dyDescent="0.35">
      <c r="A8637" s="5"/>
      <c r="B8637" s="50" t="s">
        <v>35</v>
      </c>
      <c r="C8637" s="7">
        <v>4</v>
      </c>
      <c r="D8637" s="7">
        <v>2.91</v>
      </c>
      <c r="E8637" s="85">
        <f>C8637*D8637</f>
        <v>11.64</v>
      </c>
    </row>
    <row r="8638" spans="1:5" ht="18" x14ac:dyDescent="0.35">
      <c r="A8638" s="5"/>
      <c r="B8638" s="50" t="s">
        <v>36</v>
      </c>
      <c r="C8638" s="7">
        <v>4</v>
      </c>
      <c r="D8638" s="7">
        <v>0.61</v>
      </c>
      <c r="E8638" s="85">
        <f>C8638*D8638</f>
        <v>2.44</v>
      </c>
    </row>
    <row r="8639" spans="1:5" ht="18" x14ac:dyDescent="0.35">
      <c r="A8639" s="5"/>
      <c r="B8639" s="50"/>
      <c r="C8639" s="87"/>
      <c r="D8639" s="88"/>
      <c r="E8639" s="85">
        <f>SUM(E8634:E8638)</f>
        <v>312.66726999999997</v>
      </c>
    </row>
    <row r="8640" spans="1:5" ht="18" x14ac:dyDescent="0.35">
      <c r="A8640" s="5"/>
      <c r="B8640" s="50"/>
      <c r="C8640" s="87"/>
      <c r="D8640" s="88" t="s">
        <v>1437</v>
      </c>
      <c r="E8640" s="85">
        <f>E8639+E8639*30%</f>
        <v>406.46745099999998</v>
      </c>
    </row>
    <row r="8641" spans="1:5" ht="18" x14ac:dyDescent="0.35">
      <c r="A8641" s="5"/>
      <c r="B8641" s="50" t="s">
        <v>37</v>
      </c>
      <c r="C8641" s="54">
        <v>0.5</v>
      </c>
      <c r="D8641" s="86">
        <v>150</v>
      </c>
      <c r="E8641" s="85">
        <f>C8641*D8641</f>
        <v>75</v>
      </c>
    </row>
    <row r="8642" spans="1:5" ht="18" x14ac:dyDescent="0.35">
      <c r="A8642" s="5"/>
      <c r="B8642" s="5"/>
      <c r="C8642" s="54"/>
      <c r="D8642" s="54"/>
      <c r="E8642" s="85">
        <f>SUM(E8640:E8641)</f>
        <v>481.46745099999998</v>
      </c>
    </row>
    <row r="8644" spans="1:5" ht="21" x14ac:dyDescent="0.4">
      <c r="A8644" s="40" t="s">
        <v>2005</v>
      </c>
      <c r="B8644" s="40"/>
      <c r="C8644" s="40"/>
      <c r="D8644" s="12"/>
      <c r="E8644" s="12"/>
    </row>
    <row r="8645" spans="1:5" ht="18" x14ac:dyDescent="0.35">
      <c r="A8645" s="5" t="s">
        <v>2058</v>
      </c>
      <c r="B8645" s="5"/>
      <c r="C8645" s="7" t="s">
        <v>28</v>
      </c>
      <c r="D8645" s="7" t="s">
        <v>29</v>
      </c>
      <c r="E8645" s="7" t="s">
        <v>30</v>
      </c>
    </row>
    <row r="8646" spans="1:5" ht="18" x14ac:dyDescent="0.35">
      <c r="A8646" s="5" t="s">
        <v>358</v>
      </c>
      <c r="B8646" s="50" t="s">
        <v>32</v>
      </c>
      <c r="C8646" s="7">
        <v>3.9180000000000001</v>
      </c>
      <c r="D8646" s="7">
        <v>10.34</v>
      </c>
      <c r="E8646" s="85">
        <f>C8646*D8646</f>
        <v>40.512120000000003</v>
      </c>
    </row>
    <row r="8647" spans="1:5" ht="18" x14ac:dyDescent="0.35">
      <c r="A8647" s="5" t="s">
        <v>519</v>
      </c>
      <c r="B8647" s="50" t="s">
        <v>33</v>
      </c>
      <c r="C8647" s="7">
        <v>62.37</v>
      </c>
      <c r="D8647" s="7">
        <v>10</v>
      </c>
      <c r="E8647" s="85">
        <f>C8647*D8647</f>
        <v>623.69999999999993</v>
      </c>
    </row>
    <row r="8648" spans="1:5" ht="18" x14ac:dyDescent="0.35">
      <c r="A8648" s="5" t="s">
        <v>2059</v>
      </c>
      <c r="B8648" s="50" t="s">
        <v>137</v>
      </c>
      <c r="C8648" s="7">
        <v>1.68</v>
      </c>
      <c r="D8648" s="7">
        <v>15.25</v>
      </c>
      <c r="E8648" s="85">
        <f>C8648*D8648</f>
        <v>25.619999999999997</v>
      </c>
    </row>
    <row r="8649" spans="1:5" ht="18" x14ac:dyDescent="0.35">
      <c r="A8649" s="5"/>
      <c r="B8649" s="50" t="s">
        <v>35</v>
      </c>
      <c r="C8649" s="7">
        <v>4</v>
      </c>
      <c r="D8649" s="7">
        <v>2.91</v>
      </c>
      <c r="E8649" s="85">
        <f>C8649*D8649</f>
        <v>11.64</v>
      </c>
    </row>
    <row r="8650" spans="1:5" ht="18" x14ac:dyDescent="0.35">
      <c r="A8650" s="5"/>
      <c r="B8650" s="50" t="s">
        <v>36</v>
      </c>
      <c r="C8650" s="7">
        <v>4</v>
      </c>
      <c r="D8650" s="7">
        <v>0.61</v>
      </c>
      <c r="E8650" s="85">
        <f>C8650*D8650</f>
        <v>2.44</v>
      </c>
    </row>
    <row r="8651" spans="1:5" ht="18" x14ac:dyDescent="0.35">
      <c r="A8651" s="5"/>
      <c r="B8651" s="50"/>
      <c r="C8651" s="87"/>
      <c r="D8651" s="88"/>
      <c r="E8651" s="85">
        <f>SUM(E8646:E8650)</f>
        <v>703.91211999999996</v>
      </c>
    </row>
    <row r="8652" spans="1:5" ht="18" x14ac:dyDescent="0.35">
      <c r="A8652" s="5"/>
      <c r="B8652" s="50"/>
      <c r="C8652" s="87"/>
      <c r="D8652" s="88" t="s">
        <v>1266</v>
      </c>
      <c r="E8652" s="85">
        <f>E8651+E8651*40%</f>
        <v>985.47696799999994</v>
      </c>
    </row>
    <row r="8653" spans="1:5" ht="18" x14ac:dyDescent="0.35">
      <c r="A8653" s="5"/>
      <c r="B8653" s="50" t="s">
        <v>37</v>
      </c>
      <c r="C8653" s="54">
        <v>2.5</v>
      </c>
      <c r="D8653" s="86">
        <v>200</v>
      </c>
      <c r="E8653" s="85">
        <f>C8653*D8653</f>
        <v>500</v>
      </c>
    </row>
    <row r="8654" spans="1:5" ht="18" x14ac:dyDescent="0.35">
      <c r="A8654" s="5"/>
      <c r="B8654" s="5"/>
      <c r="C8654" s="54"/>
      <c r="D8654" s="54"/>
      <c r="E8654" s="85">
        <f>SUM(E8652:E8653)</f>
        <v>1485.4769679999999</v>
      </c>
    </row>
    <row r="8656" spans="1:5" ht="21" x14ac:dyDescent="0.4">
      <c r="A8656" s="40" t="s">
        <v>2005</v>
      </c>
      <c r="B8656" s="40"/>
      <c r="C8656" s="40"/>
      <c r="D8656" s="12"/>
      <c r="E8656" s="12"/>
    </row>
    <row r="8657" spans="1:5" ht="18" x14ac:dyDescent="0.35">
      <c r="A8657" s="5" t="s">
        <v>2060</v>
      </c>
      <c r="B8657" s="5"/>
      <c r="C8657" s="7" t="s">
        <v>28</v>
      </c>
      <c r="D8657" s="7" t="s">
        <v>29</v>
      </c>
      <c r="E8657" s="7" t="s">
        <v>30</v>
      </c>
    </row>
    <row r="8658" spans="1:5" ht="18" x14ac:dyDescent="0.35">
      <c r="A8658" s="5" t="s">
        <v>109</v>
      </c>
      <c r="B8658" s="50" t="s">
        <v>32</v>
      </c>
      <c r="C8658" s="7">
        <v>2.8679999999999999</v>
      </c>
      <c r="D8658" s="7">
        <v>11.37</v>
      </c>
      <c r="E8658" s="85">
        <f>C8658*D8658</f>
        <v>32.609159999999996</v>
      </c>
    </row>
    <row r="8659" spans="1:5" ht="18" x14ac:dyDescent="0.35">
      <c r="A8659" s="5" t="s">
        <v>213</v>
      </c>
      <c r="B8659" s="50" t="s">
        <v>33</v>
      </c>
      <c r="C8659" s="7">
        <v>21.829000000000001</v>
      </c>
      <c r="D8659" s="7">
        <v>11.37</v>
      </c>
      <c r="E8659" s="85">
        <f>C8659*D8659</f>
        <v>248.19573</v>
      </c>
    </row>
    <row r="8660" spans="1:5" ht="18" x14ac:dyDescent="0.35">
      <c r="A8660" s="5" t="s">
        <v>672</v>
      </c>
      <c r="B8660" s="50" t="s">
        <v>137</v>
      </c>
      <c r="C8660" s="7">
        <v>0.63</v>
      </c>
      <c r="D8660" s="7">
        <v>15.25</v>
      </c>
      <c r="E8660" s="85">
        <f>C8660*D8660</f>
        <v>9.6074999999999999</v>
      </c>
    </row>
    <row r="8661" spans="1:5" ht="18" x14ac:dyDescent="0.35">
      <c r="A8661" s="5"/>
      <c r="B8661" s="50" t="s">
        <v>35</v>
      </c>
      <c r="C8661" s="7">
        <v>4</v>
      </c>
      <c r="D8661" s="7">
        <v>2.91</v>
      </c>
      <c r="E8661" s="85">
        <f>C8661*D8661</f>
        <v>11.64</v>
      </c>
    </row>
    <row r="8662" spans="1:5" ht="18" x14ac:dyDescent="0.35">
      <c r="A8662" s="5"/>
      <c r="B8662" s="50" t="s">
        <v>36</v>
      </c>
      <c r="C8662" s="7">
        <v>4</v>
      </c>
      <c r="D8662" s="7">
        <v>0.61</v>
      </c>
      <c r="E8662" s="85">
        <f>C8662*D8662</f>
        <v>2.44</v>
      </c>
    </row>
    <row r="8663" spans="1:5" ht="18" x14ac:dyDescent="0.35">
      <c r="A8663" s="5"/>
      <c r="B8663" s="50"/>
      <c r="C8663" s="87"/>
      <c r="D8663" s="88"/>
      <c r="E8663" s="85">
        <f>SUM(E8658:E8662)</f>
        <v>304.49239</v>
      </c>
    </row>
    <row r="8664" spans="1:5" ht="18" x14ac:dyDescent="0.35">
      <c r="A8664" s="5"/>
      <c r="B8664" s="50"/>
      <c r="C8664" s="87"/>
      <c r="D8664" s="88" t="s">
        <v>1266</v>
      </c>
      <c r="E8664" s="85">
        <f>E8663+E8663*40%</f>
        <v>426.28934600000002</v>
      </c>
    </row>
    <row r="8665" spans="1:5" ht="18" x14ac:dyDescent="0.35">
      <c r="A8665" s="5"/>
      <c r="B8665" s="50" t="s">
        <v>37</v>
      </c>
      <c r="C8665" s="54">
        <v>1</v>
      </c>
      <c r="D8665" s="86">
        <v>200</v>
      </c>
      <c r="E8665" s="85">
        <f>C8665*D8665</f>
        <v>200</v>
      </c>
    </row>
    <row r="8666" spans="1:5" ht="18" x14ac:dyDescent="0.35">
      <c r="A8666" s="5"/>
      <c r="B8666" s="5"/>
      <c r="C8666" s="54"/>
      <c r="D8666" s="54"/>
      <c r="E8666" s="85">
        <f>SUM(E8664:E8665)</f>
        <v>626.28934600000002</v>
      </c>
    </row>
    <row r="8668" spans="1:5" ht="21" x14ac:dyDescent="0.4">
      <c r="A8668" s="40" t="s">
        <v>2061</v>
      </c>
      <c r="B8668" s="40"/>
      <c r="C8668" s="40"/>
      <c r="D8668" s="12"/>
      <c r="E8668" s="12"/>
    </row>
    <row r="8669" spans="1:5" ht="18" x14ac:dyDescent="0.35">
      <c r="A8669" s="5" t="s">
        <v>2060</v>
      </c>
      <c r="B8669" s="5"/>
      <c r="C8669" s="7" t="s">
        <v>28</v>
      </c>
      <c r="D8669" s="7" t="s">
        <v>29</v>
      </c>
      <c r="E8669" s="7" t="s">
        <v>30</v>
      </c>
    </row>
    <row r="8670" spans="1:5" ht="18" x14ac:dyDescent="0.35">
      <c r="A8670" s="5" t="s">
        <v>123</v>
      </c>
      <c r="B8670" s="50" t="s">
        <v>32</v>
      </c>
      <c r="C8670" s="7">
        <v>3.0779999999999998</v>
      </c>
      <c r="D8670" s="7">
        <v>11.37</v>
      </c>
      <c r="E8670" s="85">
        <f>C8670*D8670</f>
        <v>34.996859999999998</v>
      </c>
    </row>
    <row r="8671" spans="1:5" ht="18" x14ac:dyDescent="0.35">
      <c r="A8671" s="5" t="s">
        <v>56</v>
      </c>
      <c r="B8671" s="50" t="s">
        <v>33</v>
      </c>
      <c r="C8671" s="7">
        <v>30.145</v>
      </c>
      <c r="D8671" s="7">
        <v>11.37</v>
      </c>
      <c r="E8671" s="85">
        <f>C8671*D8671</f>
        <v>342.74865</v>
      </c>
    </row>
    <row r="8672" spans="1:5" ht="18" x14ac:dyDescent="0.35">
      <c r="A8672" s="5" t="s">
        <v>595</v>
      </c>
      <c r="B8672" s="50" t="s">
        <v>137</v>
      </c>
      <c r="C8672" s="7">
        <v>0.84</v>
      </c>
      <c r="D8672" s="7">
        <v>15.25</v>
      </c>
      <c r="E8672" s="85">
        <f>C8672*D8672</f>
        <v>12.809999999999999</v>
      </c>
    </row>
    <row r="8673" spans="1:5" ht="18" x14ac:dyDescent="0.35">
      <c r="A8673" s="5"/>
      <c r="B8673" s="50" t="s">
        <v>35</v>
      </c>
      <c r="C8673" s="7">
        <v>4</v>
      </c>
      <c r="D8673" s="7">
        <v>2.91</v>
      </c>
      <c r="E8673" s="85">
        <f>C8673*D8673</f>
        <v>11.64</v>
      </c>
    </row>
    <row r="8674" spans="1:5" ht="18" x14ac:dyDescent="0.35">
      <c r="A8674" s="5"/>
      <c r="B8674" s="50" t="s">
        <v>36</v>
      </c>
      <c r="C8674" s="7">
        <v>4</v>
      </c>
      <c r="D8674" s="7">
        <v>0.61</v>
      </c>
      <c r="E8674" s="85">
        <f>C8674*D8674</f>
        <v>2.44</v>
      </c>
    </row>
    <row r="8675" spans="1:5" ht="18" x14ac:dyDescent="0.35">
      <c r="A8675" s="5"/>
      <c r="B8675" s="50"/>
      <c r="C8675" s="87"/>
      <c r="D8675" s="88"/>
      <c r="E8675" s="85">
        <f>SUM(E8670:E8674)</f>
        <v>404.63550999999995</v>
      </c>
    </row>
    <row r="8676" spans="1:5" ht="18" x14ac:dyDescent="0.35">
      <c r="A8676" s="5"/>
      <c r="B8676" s="50"/>
      <c r="C8676" s="87"/>
      <c r="D8676" s="88" t="s">
        <v>1266</v>
      </c>
      <c r="E8676" s="85">
        <f>E8675+E8675*40%</f>
        <v>566.48971399999994</v>
      </c>
    </row>
    <row r="8677" spans="1:5" ht="18" x14ac:dyDescent="0.35">
      <c r="A8677" s="5"/>
      <c r="B8677" s="50" t="s">
        <v>37</v>
      </c>
      <c r="C8677" s="54">
        <v>1</v>
      </c>
      <c r="D8677" s="86">
        <v>200</v>
      </c>
      <c r="E8677" s="85">
        <f>C8677*D8677</f>
        <v>200</v>
      </c>
    </row>
    <row r="8678" spans="1:5" ht="18" x14ac:dyDescent="0.35">
      <c r="A8678" s="5"/>
      <c r="B8678" s="5"/>
      <c r="C8678" s="54"/>
      <c r="D8678" s="54"/>
      <c r="E8678" s="85">
        <f>SUM(E8676:E8677)</f>
        <v>766.48971399999994</v>
      </c>
    </row>
    <row r="8680" spans="1:5" ht="21" x14ac:dyDescent="0.4">
      <c r="A8680" s="40" t="s">
        <v>2062</v>
      </c>
      <c r="B8680" s="40"/>
      <c r="C8680" s="84"/>
    </row>
    <row r="8681" spans="1:5" ht="18" x14ac:dyDescent="0.35">
      <c r="B8681" s="5"/>
      <c r="C8681" s="7" t="s">
        <v>28</v>
      </c>
      <c r="D8681" s="7" t="s">
        <v>29</v>
      </c>
      <c r="E8681" s="7" t="s">
        <v>30</v>
      </c>
    </row>
    <row r="8682" spans="1:5" ht="18" x14ac:dyDescent="0.35">
      <c r="A8682" s="5" t="s">
        <v>2063</v>
      </c>
      <c r="B8682" s="50" t="s">
        <v>32</v>
      </c>
      <c r="C8682" s="7">
        <v>3.3929999999999998</v>
      </c>
      <c r="D8682" s="7">
        <v>16.43</v>
      </c>
      <c r="E8682" s="85">
        <f t="shared" ref="E8682:E8689" si="526">C8682*D8682</f>
        <v>55.746989999999997</v>
      </c>
    </row>
    <row r="8683" spans="1:5" ht="18" x14ac:dyDescent="0.35">
      <c r="A8683" s="5" t="s">
        <v>56</v>
      </c>
      <c r="B8683" s="50" t="s">
        <v>33</v>
      </c>
      <c r="C8683" s="7">
        <v>28.623000000000001</v>
      </c>
      <c r="D8683" s="7">
        <v>11.37</v>
      </c>
      <c r="E8683" s="85">
        <f t="shared" si="526"/>
        <v>325.44351</v>
      </c>
    </row>
    <row r="8684" spans="1:5" ht="18" x14ac:dyDescent="0.35">
      <c r="A8684" s="5" t="s">
        <v>56</v>
      </c>
      <c r="B8684" s="50" t="s">
        <v>33</v>
      </c>
      <c r="C8684" s="7">
        <v>28.623000000000001</v>
      </c>
      <c r="D8684" s="7">
        <v>11.37</v>
      </c>
      <c r="E8684" s="85">
        <f t="shared" si="526"/>
        <v>325.44351</v>
      </c>
    </row>
    <row r="8685" spans="1:5" ht="18" x14ac:dyDescent="0.35">
      <c r="A8685" s="5" t="s">
        <v>2064</v>
      </c>
      <c r="B8685" s="50" t="s">
        <v>98</v>
      </c>
      <c r="C8685" s="7">
        <v>2</v>
      </c>
      <c r="D8685" s="7">
        <v>3.29</v>
      </c>
      <c r="E8685" s="85">
        <f t="shared" si="526"/>
        <v>6.58</v>
      </c>
    </row>
    <row r="8686" spans="1:5" ht="18" x14ac:dyDescent="0.35">
      <c r="A8686" s="5" t="s">
        <v>1954</v>
      </c>
      <c r="B8686" s="50" t="s">
        <v>2065</v>
      </c>
      <c r="C8686" s="7">
        <v>2</v>
      </c>
      <c r="D8686" s="7">
        <v>4.7699999999999996</v>
      </c>
      <c r="E8686" s="85">
        <f t="shared" si="526"/>
        <v>9.5399999999999991</v>
      </c>
    </row>
    <row r="8687" spans="1:5" ht="18" x14ac:dyDescent="0.35">
      <c r="A8687" s="5"/>
      <c r="B8687" s="50" t="s">
        <v>34</v>
      </c>
      <c r="C8687" s="7">
        <v>1.26</v>
      </c>
      <c r="D8687" s="7">
        <v>14.61</v>
      </c>
      <c r="E8687" s="85">
        <f t="shared" si="526"/>
        <v>18.4086</v>
      </c>
    </row>
    <row r="8688" spans="1:5" ht="18" x14ac:dyDescent="0.35">
      <c r="A8688" s="5"/>
      <c r="B8688" s="50" t="s">
        <v>35</v>
      </c>
      <c r="C8688" s="7">
        <v>4</v>
      </c>
      <c r="D8688" s="7">
        <v>2.91</v>
      </c>
      <c r="E8688" s="85">
        <f t="shared" si="526"/>
        <v>11.64</v>
      </c>
    </row>
    <row r="8689" spans="1:5" ht="18" x14ac:dyDescent="0.35">
      <c r="A8689" s="5"/>
      <c r="B8689" s="50" t="s">
        <v>36</v>
      </c>
      <c r="C8689" s="7">
        <v>4</v>
      </c>
      <c r="D8689" s="7">
        <v>0.61</v>
      </c>
      <c r="E8689" s="85">
        <f t="shared" si="526"/>
        <v>2.44</v>
      </c>
    </row>
    <row r="8690" spans="1:5" ht="18" x14ac:dyDescent="0.35">
      <c r="A8690" s="5"/>
      <c r="B8690" s="5"/>
      <c r="C8690" s="54"/>
      <c r="D8690" s="54"/>
      <c r="E8690" s="89">
        <f>SUM(E8682:E8689)</f>
        <v>755.24261000000001</v>
      </c>
    </row>
    <row r="8691" spans="1:5" ht="18" x14ac:dyDescent="0.35">
      <c r="A8691" s="5"/>
      <c r="B8691" s="5"/>
      <c r="C8691" s="54"/>
      <c r="D8691" s="54" t="s">
        <v>1063</v>
      </c>
      <c r="E8691" s="89">
        <f>E8690+E8690*40%</f>
        <v>1057.3396540000001</v>
      </c>
    </row>
    <row r="8692" spans="1:5" ht="18" x14ac:dyDescent="0.35">
      <c r="A8692" s="5"/>
      <c r="B8692" s="50" t="s">
        <v>37</v>
      </c>
      <c r="C8692" s="54">
        <v>1</v>
      </c>
      <c r="D8692" s="54">
        <v>200</v>
      </c>
      <c r="E8692" s="85">
        <f>C8692*D8692</f>
        <v>200</v>
      </c>
    </row>
    <row r="8693" spans="1:5" ht="18" x14ac:dyDescent="0.35">
      <c r="E8693" s="85">
        <f>SUM(E8691:E8692)</f>
        <v>1257.3396540000001</v>
      </c>
    </row>
    <row r="8695" spans="1:5" ht="21" x14ac:dyDescent="0.4">
      <c r="A8695" s="40" t="s">
        <v>2066</v>
      </c>
      <c r="B8695" s="40"/>
      <c r="C8695" s="40"/>
      <c r="D8695" s="12"/>
      <c r="E8695" s="12"/>
    </row>
    <row r="8696" spans="1:5" ht="18" x14ac:dyDescent="0.35">
      <c r="A8696" s="5" t="s">
        <v>2060</v>
      </c>
      <c r="B8696" s="5"/>
      <c r="C8696" s="7" t="s">
        <v>28</v>
      </c>
      <c r="D8696" s="7" t="s">
        <v>29</v>
      </c>
      <c r="E8696" s="7" t="s">
        <v>30</v>
      </c>
    </row>
    <row r="8697" spans="1:5" ht="18" x14ac:dyDescent="0.35">
      <c r="A8697" s="5" t="s">
        <v>123</v>
      </c>
      <c r="B8697" s="50" t="s">
        <v>32</v>
      </c>
      <c r="C8697" s="7">
        <v>3.0779999999999998</v>
      </c>
      <c r="D8697" s="7">
        <v>10.34</v>
      </c>
      <c r="E8697" s="85">
        <f>C8697*D8697</f>
        <v>31.826519999999999</v>
      </c>
    </row>
    <row r="8698" spans="1:5" ht="18" x14ac:dyDescent="0.35">
      <c r="A8698" s="5" t="s">
        <v>56</v>
      </c>
      <c r="B8698" s="50" t="s">
        <v>33</v>
      </c>
      <c r="C8698" s="7">
        <v>30.145</v>
      </c>
      <c r="D8698" s="7">
        <v>10</v>
      </c>
      <c r="E8698" s="85">
        <f>C8698*D8698</f>
        <v>301.45</v>
      </c>
    </row>
    <row r="8699" spans="1:5" ht="18" x14ac:dyDescent="0.35">
      <c r="A8699" s="5" t="s">
        <v>595</v>
      </c>
      <c r="B8699" s="50" t="s">
        <v>137</v>
      </c>
      <c r="C8699" s="7">
        <v>0.84</v>
      </c>
      <c r="D8699" s="7">
        <v>15.25</v>
      </c>
      <c r="E8699" s="85">
        <f>C8699*D8699</f>
        <v>12.809999999999999</v>
      </c>
    </row>
    <row r="8700" spans="1:5" ht="18" x14ac:dyDescent="0.35">
      <c r="A8700" s="5"/>
      <c r="B8700" s="50" t="s">
        <v>35</v>
      </c>
      <c r="C8700" s="7">
        <v>4</v>
      </c>
      <c r="D8700" s="7">
        <v>2.91</v>
      </c>
      <c r="E8700" s="85">
        <f>C8700*D8700</f>
        <v>11.64</v>
      </c>
    </row>
    <row r="8701" spans="1:5" ht="18" x14ac:dyDescent="0.35">
      <c r="A8701" s="5"/>
      <c r="B8701" s="50" t="s">
        <v>36</v>
      </c>
      <c r="C8701" s="7">
        <v>4</v>
      </c>
      <c r="D8701" s="7">
        <v>0.61</v>
      </c>
      <c r="E8701" s="85">
        <f>C8701*D8701</f>
        <v>2.44</v>
      </c>
    </row>
    <row r="8702" spans="1:5" ht="18" x14ac:dyDescent="0.35">
      <c r="A8702" s="5"/>
      <c r="B8702" s="50"/>
      <c r="C8702" s="87"/>
      <c r="D8702" s="88"/>
      <c r="E8702" s="85">
        <f>SUM(E8697:E8701)</f>
        <v>360.16651999999999</v>
      </c>
    </row>
    <row r="8703" spans="1:5" ht="18" x14ac:dyDescent="0.35">
      <c r="A8703" s="5"/>
      <c r="B8703" s="50"/>
      <c r="C8703" s="87"/>
      <c r="D8703" s="88" t="s">
        <v>1266</v>
      </c>
      <c r="E8703" s="85">
        <f>E8702+E8702*40%</f>
        <v>504.23312799999997</v>
      </c>
    </row>
    <row r="8704" spans="1:5" ht="18" x14ac:dyDescent="0.35">
      <c r="A8704" s="5"/>
      <c r="B8704" s="50" t="s">
        <v>37</v>
      </c>
      <c r="C8704" s="54">
        <v>1</v>
      </c>
      <c r="D8704" s="86">
        <v>200</v>
      </c>
      <c r="E8704" s="85">
        <f>C8704*D8704</f>
        <v>200</v>
      </c>
    </row>
    <row r="8705" spans="1:5" ht="18" x14ac:dyDescent="0.35">
      <c r="A8705" s="5"/>
      <c r="B8705" s="5"/>
      <c r="C8705" s="54"/>
      <c r="D8705" s="54"/>
      <c r="E8705" s="85">
        <f>SUM(E8703:E8704)</f>
        <v>704.23312799999997</v>
      </c>
    </row>
    <row r="8707" spans="1:5" ht="21" x14ac:dyDescent="0.4">
      <c r="A8707" s="40" t="s">
        <v>2066</v>
      </c>
      <c r="B8707" s="40"/>
      <c r="C8707" s="40"/>
      <c r="D8707" s="12"/>
      <c r="E8707" s="12"/>
    </row>
    <row r="8708" spans="1:5" ht="18" x14ac:dyDescent="0.35">
      <c r="A8708" s="5" t="s">
        <v>2074</v>
      </c>
      <c r="B8708" s="5"/>
      <c r="C8708" s="7" t="s">
        <v>28</v>
      </c>
      <c r="D8708" s="7" t="s">
        <v>29</v>
      </c>
      <c r="E8708" s="7" t="s">
        <v>30</v>
      </c>
    </row>
    <row r="8709" spans="1:5" ht="18" x14ac:dyDescent="0.35">
      <c r="A8709" s="5" t="s">
        <v>119</v>
      </c>
      <c r="B8709" s="50" t="s">
        <v>32</v>
      </c>
      <c r="C8709" s="7">
        <v>2.238</v>
      </c>
      <c r="D8709" s="7">
        <v>10.34</v>
      </c>
      <c r="E8709" s="85">
        <f>C8709*D8709</f>
        <v>23.140920000000001</v>
      </c>
    </row>
    <row r="8710" spans="1:5" ht="18" x14ac:dyDescent="0.35">
      <c r="A8710" s="5" t="s">
        <v>56</v>
      </c>
      <c r="B8710" s="50" t="s">
        <v>33</v>
      </c>
      <c r="C8710" s="7">
        <v>17.965</v>
      </c>
      <c r="D8710" s="7">
        <v>10</v>
      </c>
      <c r="E8710" s="85">
        <f>C8710*D8710</f>
        <v>179.65</v>
      </c>
    </row>
    <row r="8711" spans="1:5" ht="18" x14ac:dyDescent="0.35">
      <c r="A8711" s="5" t="s">
        <v>663</v>
      </c>
      <c r="B8711" s="50" t="s">
        <v>137</v>
      </c>
      <c r="C8711" s="7">
        <v>0.84</v>
      </c>
      <c r="D8711" s="7">
        <v>15.25</v>
      </c>
      <c r="E8711" s="85">
        <f>C8711*D8711</f>
        <v>12.809999999999999</v>
      </c>
    </row>
    <row r="8712" spans="1:5" ht="18" x14ac:dyDescent="0.35">
      <c r="A8712" s="5"/>
      <c r="B8712" s="50" t="s">
        <v>35</v>
      </c>
      <c r="C8712" s="7">
        <v>4</v>
      </c>
      <c r="D8712" s="7">
        <v>2.91</v>
      </c>
      <c r="E8712" s="85">
        <f>C8712*D8712</f>
        <v>11.64</v>
      </c>
    </row>
    <row r="8713" spans="1:5" ht="18" x14ac:dyDescent="0.35">
      <c r="A8713" s="5"/>
      <c r="B8713" s="50" t="s">
        <v>36</v>
      </c>
      <c r="C8713" s="7">
        <v>4</v>
      </c>
      <c r="D8713" s="7">
        <v>0.61</v>
      </c>
      <c r="E8713" s="85">
        <f>C8713*D8713</f>
        <v>2.44</v>
      </c>
    </row>
    <row r="8714" spans="1:5" ht="18" x14ac:dyDescent="0.35">
      <c r="A8714" s="5"/>
      <c r="B8714" s="50"/>
      <c r="C8714" s="87"/>
      <c r="D8714" s="88"/>
      <c r="E8714" s="85">
        <f>SUM(E8709:E8713)</f>
        <v>229.68092000000001</v>
      </c>
    </row>
    <row r="8715" spans="1:5" ht="18" x14ac:dyDescent="0.35">
      <c r="A8715" s="5"/>
      <c r="B8715" s="50"/>
      <c r="C8715" s="87"/>
      <c r="D8715" s="88" t="s">
        <v>1266</v>
      </c>
      <c r="E8715" s="85">
        <f>E8714+E8714*40%</f>
        <v>321.55328800000001</v>
      </c>
    </row>
    <row r="8716" spans="1:5" ht="18" x14ac:dyDescent="0.35">
      <c r="A8716" s="5"/>
      <c r="B8716" s="50" t="s">
        <v>37</v>
      </c>
      <c r="C8716" s="54">
        <v>1</v>
      </c>
      <c r="D8716" s="86">
        <v>200</v>
      </c>
      <c r="E8716" s="85">
        <f>C8716*D8716</f>
        <v>200</v>
      </c>
    </row>
    <row r="8717" spans="1:5" ht="18" x14ac:dyDescent="0.35">
      <c r="A8717" s="5"/>
      <c r="B8717" s="5"/>
      <c r="C8717" s="54"/>
      <c r="D8717" s="54"/>
      <c r="E8717" s="85">
        <f>SUM(E8715:E8716)</f>
        <v>521.55328800000007</v>
      </c>
    </row>
    <row r="8719" spans="1:5" ht="21" x14ac:dyDescent="0.4">
      <c r="A8719" s="40" t="s">
        <v>2066</v>
      </c>
      <c r="B8719" s="40"/>
      <c r="C8719" s="40"/>
      <c r="D8719" s="12"/>
      <c r="E8719" s="12"/>
    </row>
    <row r="8720" spans="1:5" ht="18" x14ac:dyDescent="0.35">
      <c r="A8720" s="5" t="s">
        <v>2074</v>
      </c>
      <c r="B8720" s="5"/>
      <c r="C8720" s="7" t="s">
        <v>28</v>
      </c>
      <c r="D8720" s="7" t="s">
        <v>29</v>
      </c>
      <c r="E8720" s="7" t="s">
        <v>30</v>
      </c>
    </row>
    <row r="8721" spans="1:5" ht="18" x14ac:dyDescent="0.35">
      <c r="A8721" s="5" t="s">
        <v>105</v>
      </c>
      <c r="B8721" s="50" t="s">
        <v>32</v>
      </c>
      <c r="C8721" s="7">
        <v>2.028</v>
      </c>
      <c r="D8721" s="7">
        <v>10.34</v>
      </c>
      <c r="E8721" s="85">
        <f>C8721*D8721</f>
        <v>20.969519999999999</v>
      </c>
    </row>
    <row r="8722" spans="1:5" ht="18" x14ac:dyDescent="0.35">
      <c r="A8722" s="5" t="s">
        <v>213</v>
      </c>
      <c r="B8722" s="50" t="s">
        <v>33</v>
      </c>
      <c r="C8722" s="7">
        <v>13.009</v>
      </c>
      <c r="D8722" s="7">
        <v>10</v>
      </c>
      <c r="E8722" s="85">
        <f>C8722*D8722</f>
        <v>130.09</v>
      </c>
    </row>
    <row r="8723" spans="1:5" ht="18" x14ac:dyDescent="0.35">
      <c r="A8723" s="5" t="s">
        <v>2075</v>
      </c>
      <c r="B8723" s="50" t="s">
        <v>137</v>
      </c>
      <c r="C8723" s="7">
        <v>0.63</v>
      </c>
      <c r="D8723" s="7">
        <v>15.25</v>
      </c>
      <c r="E8723" s="85">
        <f>C8723*D8723</f>
        <v>9.6074999999999999</v>
      </c>
    </row>
    <row r="8724" spans="1:5" ht="18" x14ac:dyDescent="0.35">
      <c r="A8724" s="5"/>
      <c r="B8724" s="50" t="s">
        <v>35</v>
      </c>
      <c r="C8724" s="7">
        <v>4</v>
      </c>
      <c r="D8724" s="7">
        <v>2.91</v>
      </c>
      <c r="E8724" s="85">
        <f>C8724*D8724</f>
        <v>11.64</v>
      </c>
    </row>
    <row r="8725" spans="1:5" ht="18" x14ac:dyDescent="0.35">
      <c r="A8725" s="5"/>
      <c r="B8725" s="50" t="s">
        <v>36</v>
      </c>
      <c r="C8725" s="7">
        <v>4</v>
      </c>
      <c r="D8725" s="7">
        <v>0.61</v>
      </c>
      <c r="E8725" s="85">
        <f>C8725*D8725</f>
        <v>2.44</v>
      </c>
    </row>
    <row r="8726" spans="1:5" ht="18" x14ac:dyDescent="0.35">
      <c r="A8726" s="5"/>
      <c r="B8726" s="50"/>
      <c r="C8726" s="87"/>
      <c r="D8726" s="88"/>
      <c r="E8726" s="85">
        <f>SUM(E8721:E8725)</f>
        <v>174.74701999999996</v>
      </c>
    </row>
    <row r="8727" spans="1:5" ht="18" x14ac:dyDescent="0.35">
      <c r="A8727" s="5"/>
      <c r="B8727" s="50"/>
      <c r="C8727" s="87"/>
      <c r="D8727" s="88" t="s">
        <v>1266</v>
      </c>
      <c r="E8727" s="85">
        <f>E8726+E8726*40%</f>
        <v>244.64582799999994</v>
      </c>
    </row>
    <row r="8728" spans="1:5" ht="18" x14ac:dyDescent="0.35">
      <c r="A8728" s="5"/>
      <c r="B8728" s="50" t="s">
        <v>37</v>
      </c>
      <c r="C8728" s="54">
        <v>1</v>
      </c>
      <c r="D8728" s="86">
        <v>200</v>
      </c>
      <c r="E8728" s="85">
        <f>C8728*D8728</f>
        <v>200</v>
      </c>
    </row>
    <row r="8729" spans="1:5" ht="18" x14ac:dyDescent="0.35">
      <c r="A8729" s="5"/>
      <c r="B8729" s="5"/>
      <c r="C8729" s="54"/>
      <c r="D8729" s="54"/>
      <c r="E8729" s="85">
        <f>SUM(E8727:E8728)</f>
        <v>444.64582799999994</v>
      </c>
    </row>
    <row r="8731" spans="1:5" ht="21" x14ac:dyDescent="0.4">
      <c r="A8731" s="40" t="s">
        <v>2066</v>
      </c>
      <c r="B8731" s="40"/>
      <c r="C8731" s="40"/>
      <c r="D8731" s="12"/>
      <c r="E8731" s="12"/>
    </row>
    <row r="8732" spans="1:5" ht="18" x14ac:dyDescent="0.35">
      <c r="A8732" s="5" t="s">
        <v>2074</v>
      </c>
      <c r="B8732" s="5"/>
      <c r="C8732" s="7" t="s">
        <v>28</v>
      </c>
      <c r="D8732" s="7" t="s">
        <v>29</v>
      </c>
      <c r="E8732" s="7" t="s">
        <v>30</v>
      </c>
    </row>
    <row r="8733" spans="1:5" ht="18" x14ac:dyDescent="0.35">
      <c r="A8733" s="5" t="s">
        <v>2076</v>
      </c>
      <c r="B8733" s="50" t="s">
        <v>32</v>
      </c>
      <c r="C8733" s="7">
        <v>2.1230000000000002</v>
      </c>
      <c r="D8733" s="7">
        <v>10.34</v>
      </c>
      <c r="E8733" s="85">
        <f>C8733*D8733</f>
        <v>21.951820000000001</v>
      </c>
    </row>
    <row r="8734" spans="1:5" ht="18" x14ac:dyDescent="0.35">
      <c r="A8734" s="5" t="s">
        <v>804</v>
      </c>
      <c r="B8734" s="50" t="s">
        <v>33</v>
      </c>
      <c r="C8734" s="7">
        <v>15.35</v>
      </c>
      <c r="D8734" s="7">
        <v>10</v>
      </c>
      <c r="E8734" s="85">
        <f>C8734*D8734</f>
        <v>153.5</v>
      </c>
    </row>
    <row r="8735" spans="1:5" ht="18" x14ac:dyDescent="0.35">
      <c r="A8735" s="5" t="s">
        <v>2075</v>
      </c>
      <c r="B8735" s="50" t="s">
        <v>137</v>
      </c>
      <c r="C8735" s="7">
        <v>1.24</v>
      </c>
      <c r="D8735" s="7">
        <v>15.25</v>
      </c>
      <c r="E8735" s="85">
        <f>C8735*D8735</f>
        <v>18.91</v>
      </c>
    </row>
    <row r="8736" spans="1:5" ht="18" x14ac:dyDescent="0.35">
      <c r="A8736" s="5"/>
      <c r="B8736" s="50" t="s">
        <v>35</v>
      </c>
      <c r="C8736" s="7">
        <v>4</v>
      </c>
      <c r="D8736" s="7">
        <v>2.91</v>
      </c>
      <c r="E8736" s="85">
        <f>C8736*D8736</f>
        <v>11.64</v>
      </c>
    </row>
    <row r="8737" spans="1:5" ht="18" x14ac:dyDescent="0.35">
      <c r="A8737" s="5"/>
      <c r="B8737" s="50" t="s">
        <v>36</v>
      </c>
      <c r="C8737" s="7">
        <v>4</v>
      </c>
      <c r="D8737" s="7">
        <v>0.61</v>
      </c>
      <c r="E8737" s="85">
        <f>C8737*D8737</f>
        <v>2.44</v>
      </c>
    </row>
    <row r="8738" spans="1:5" ht="18" x14ac:dyDescent="0.35">
      <c r="A8738" s="5"/>
      <c r="B8738" s="50"/>
      <c r="C8738" s="87"/>
      <c r="D8738" s="88"/>
      <c r="E8738" s="85">
        <f>SUM(E8733:E8737)</f>
        <v>208.44182000000001</v>
      </c>
    </row>
    <row r="8739" spans="1:5" ht="18" x14ac:dyDescent="0.35">
      <c r="A8739" s="5"/>
      <c r="B8739" s="50"/>
      <c r="C8739" s="87"/>
      <c r="D8739" s="88" t="s">
        <v>1266</v>
      </c>
      <c r="E8739" s="85">
        <f>E8738+E8738*40%</f>
        <v>291.81854800000002</v>
      </c>
    </row>
    <row r="8740" spans="1:5" ht="18" x14ac:dyDescent="0.35">
      <c r="A8740" s="5"/>
      <c r="B8740" s="50" t="s">
        <v>37</v>
      </c>
      <c r="C8740" s="54">
        <v>1</v>
      </c>
      <c r="D8740" s="86">
        <v>200</v>
      </c>
      <c r="E8740" s="85">
        <f>C8740*D8740</f>
        <v>200</v>
      </c>
    </row>
    <row r="8741" spans="1:5" ht="18" x14ac:dyDescent="0.35">
      <c r="A8741" s="5"/>
      <c r="B8741" s="5"/>
      <c r="C8741" s="54"/>
      <c r="D8741" s="54"/>
      <c r="E8741" s="85">
        <f>SUM(E8739:E8740)</f>
        <v>491.81854800000002</v>
      </c>
    </row>
    <row r="8743" spans="1:5" ht="21" x14ac:dyDescent="0.4">
      <c r="A8743" s="40" t="s">
        <v>2066</v>
      </c>
      <c r="B8743" s="40"/>
      <c r="C8743" s="40"/>
      <c r="D8743" s="12"/>
      <c r="E8743" s="12"/>
    </row>
    <row r="8744" spans="1:5" ht="18" x14ac:dyDescent="0.35">
      <c r="A8744" s="5" t="s">
        <v>2074</v>
      </c>
      <c r="B8744" s="5"/>
      <c r="C8744" s="7" t="s">
        <v>28</v>
      </c>
      <c r="D8744" s="7" t="s">
        <v>29</v>
      </c>
      <c r="E8744" s="7" t="s">
        <v>30</v>
      </c>
    </row>
    <row r="8745" spans="1:5" ht="18" x14ac:dyDescent="0.35">
      <c r="A8745" s="5" t="s">
        <v>2077</v>
      </c>
      <c r="B8745" s="50" t="s">
        <v>32</v>
      </c>
      <c r="C8745" s="7">
        <v>3.0470000000000002</v>
      </c>
      <c r="D8745" s="7">
        <v>10.34</v>
      </c>
      <c r="E8745" s="85">
        <f>C8745*D8745</f>
        <v>31.505980000000001</v>
      </c>
    </row>
    <row r="8746" spans="1:5" ht="18" x14ac:dyDescent="0.35">
      <c r="A8746" s="5" t="s">
        <v>61</v>
      </c>
      <c r="B8746" s="50" t="s">
        <v>33</v>
      </c>
      <c r="C8746" s="7">
        <v>33.453000000000003</v>
      </c>
      <c r="D8746" s="7">
        <v>10</v>
      </c>
      <c r="E8746" s="85">
        <f>C8746*D8746</f>
        <v>334.53000000000003</v>
      </c>
    </row>
    <row r="8747" spans="1:5" ht="18" x14ac:dyDescent="0.35">
      <c r="A8747" s="5" t="s">
        <v>2078</v>
      </c>
      <c r="B8747" s="50" t="s">
        <v>137</v>
      </c>
      <c r="C8747" s="7">
        <v>1.75</v>
      </c>
      <c r="D8747" s="7">
        <v>15.25</v>
      </c>
      <c r="E8747" s="85">
        <f>C8747*D8747</f>
        <v>26.6875</v>
      </c>
    </row>
    <row r="8748" spans="1:5" ht="18" x14ac:dyDescent="0.35">
      <c r="A8748" s="5"/>
      <c r="B8748" s="50" t="s">
        <v>35</v>
      </c>
      <c r="C8748" s="7">
        <v>4</v>
      </c>
      <c r="D8748" s="7">
        <v>2.91</v>
      </c>
      <c r="E8748" s="85">
        <f>C8748*D8748</f>
        <v>11.64</v>
      </c>
    </row>
    <row r="8749" spans="1:5" ht="18" x14ac:dyDescent="0.35">
      <c r="A8749" s="5"/>
      <c r="B8749" s="50" t="s">
        <v>36</v>
      </c>
      <c r="C8749" s="7">
        <v>4</v>
      </c>
      <c r="D8749" s="7">
        <v>0.61</v>
      </c>
      <c r="E8749" s="85">
        <f>C8749*D8749</f>
        <v>2.44</v>
      </c>
    </row>
    <row r="8750" spans="1:5" ht="18" x14ac:dyDescent="0.35">
      <c r="A8750" s="5"/>
      <c r="B8750" s="50"/>
      <c r="C8750" s="87"/>
      <c r="D8750" s="88"/>
      <c r="E8750" s="85">
        <f>SUM(E8745:E8749)</f>
        <v>406.80348000000004</v>
      </c>
    </row>
    <row r="8751" spans="1:5" ht="18" x14ac:dyDescent="0.35">
      <c r="A8751" s="5"/>
      <c r="B8751" s="50"/>
      <c r="C8751" s="87"/>
      <c r="D8751" s="88" t="s">
        <v>1266</v>
      </c>
      <c r="E8751" s="85">
        <f>E8750+E8750*40%</f>
        <v>569.52487200000007</v>
      </c>
    </row>
    <row r="8752" spans="1:5" ht="18" x14ac:dyDescent="0.35">
      <c r="A8752" s="5"/>
      <c r="B8752" s="50" t="s">
        <v>37</v>
      </c>
      <c r="C8752" s="54">
        <v>1</v>
      </c>
      <c r="D8752" s="86">
        <v>200</v>
      </c>
      <c r="E8752" s="85">
        <f>C8752*D8752</f>
        <v>200</v>
      </c>
    </row>
    <row r="8753" spans="1:5" ht="18" x14ac:dyDescent="0.35">
      <c r="A8753" s="5"/>
      <c r="B8753" s="5"/>
      <c r="C8753" s="54"/>
      <c r="D8753" s="54"/>
      <c r="E8753" s="85">
        <f>SUM(E8751:E8752)</f>
        <v>769.52487200000007</v>
      </c>
    </row>
    <row r="8755" spans="1:5" ht="21" x14ac:dyDescent="0.4">
      <c r="A8755" s="40" t="s">
        <v>2066</v>
      </c>
      <c r="B8755" s="40"/>
      <c r="C8755" s="40"/>
      <c r="D8755" s="12"/>
      <c r="E8755" s="12"/>
    </row>
    <row r="8756" spans="1:5" ht="18" x14ac:dyDescent="0.35">
      <c r="A8756" s="5" t="s">
        <v>2074</v>
      </c>
      <c r="B8756" s="5"/>
      <c r="C8756" s="7" t="s">
        <v>28</v>
      </c>
      <c r="D8756" s="7" t="s">
        <v>29</v>
      </c>
      <c r="E8756" s="7" t="s">
        <v>30</v>
      </c>
    </row>
    <row r="8757" spans="1:5" ht="18" x14ac:dyDescent="0.35">
      <c r="A8757" s="5" t="s">
        <v>2079</v>
      </c>
      <c r="B8757" s="50" t="s">
        <v>32</v>
      </c>
      <c r="C8757" s="7">
        <v>2.5219999999999998</v>
      </c>
      <c r="D8757" s="7">
        <v>10.34</v>
      </c>
      <c r="E8757" s="85">
        <f>C8757*D8757</f>
        <v>26.077479999999998</v>
      </c>
    </row>
    <row r="8758" spans="1:5" ht="18" x14ac:dyDescent="0.35">
      <c r="A8758" s="5" t="s">
        <v>1030</v>
      </c>
      <c r="B8758" s="50" t="s">
        <v>33</v>
      </c>
      <c r="C8758" s="7">
        <v>22.175999999999998</v>
      </c>
      <c r="D8758" s="7">
        <v>10</v>
      </c>
      <c r="E8758" s="85">
        <f>C8758*D8758</f>
        <v>221.76</v>
      </c>
    </row>
    <row r="8759" spans="1:5" ht="18" x14ac:dyDescent="0.35">
      <c r="A8759" s="5" t="s">
        <v>2078</v>
      </c>
      <c r="B8759" s="50" t="s">
        <v>137</v>
      </c>
      <c r="C8759" s="7">
        <v>1.43</v>
      </c>
      <c r="D8759" s="7">
        <v>15.25</v>
      </c>
      <c r="E8759" s="85">
        <f>C8759*D8759</f>
        <v>21.807499999999997</v>
      </c>
    </row>
    <row r="8760" spans="1:5" ht="18" x14ac:dyDescent="0.35">
      <c r="A8760" s="5"/>
      <c r="B8760" s="50" t="s">
        <v>35</v>
      </c>
      <c r="C8760" s="7">
        <v>4</v>
      </c>
      <c r="D8760" s="7">
        <v>2.91</v>
      </c>
      <c r="E8760" s="85">
        <f>C8760*D8760</f>
        <v>11.64</v>
      </c>
    </row>
    <row r="8761" spans="1:5" ht="18" x14ac:dyDescent="0.35">
      <c r="A8761" s="5"/>
      <c r="B8761" s="50" t="s">
        <v>36</v>
      </c>
      <c r="C8761" s="7">
        <v>4</v>
      </c>
      <c r="D8761" s="7">
        <v>0.61</v>
      </c>
      <c r="E8761" s="85">
        <f>C8761*D8761</f>
        <v>2.44</v>
      </c>
    </row>
    <row r="8762" spans="1:5" ht="18" x14ac:dyDescent="0.35">
      <c r="A8762" s="5"/>
      <c r="B8762" s="50"/>
      <c r="C8762" s="87"/>
      <c r="D8762" s="88"/>
      <c r="E8762" s="85">
        <f>SUM(E8757:E8761)</f>
        <v>283.72497999999996</v>
      </c>
    </row>
    <row r="8763" spans="1:5" ht="18" x14ac:dyDescent="0.35">
      <c r="A8763" s="5"/>
      <c r="B8763" s="50"/>
      <c r="C8763" s="87"/>
      <c r="D8763" s="88" t="s">
        <v>1266</v>
      </c>
      <c r="E8763" s="85">
        <f>E8762+E8762*40%</f>
        <v>397.21497199999993</v>
      </c>
    </row>
    <row r="8764" spans="1:5" ht="18" x14ac:dyDescent="0.35">
      <c r="A8764" s="5"/>
      <c r="B8764" s="50" t="s">
        <v>37</v>
      </c>
      <c r="C8764" s="54">
        <v>1</v>
      </c>
      <c r="D8764" s="86">
        <v>200</v>
      </c>
      <c r="E8764" s="85">
        <f>C8764*D8764</f>
        <v>200</v>
      </c>
    </row>
    <row r="8765" spans="1:5" ht="18" x14ac:dyDescent="0.35">
      <c r="A8765" s="5"/>
      <c r="B8765" s="5"/>
      <c r="C8765" s="54"/>
      <c r="D8765" s="54"/>
      <c r="E8765" s="85">
        <f>SUM(E8763:E8764)</f>
        <v>597.21497199999999</v>
      </c>
    </row>
    <row r="8767" spans="1:5" ht="21" x14ac:dyDescent="0.4">
      <c r="A8767" s="40" t="s">
        <v>2066</v>
      </c>
      <c r="B8767" s="40"/>
      <c r="C8767" s="40"/>
      <c r="D8767" s="12"/>
      <c r="E8767" s="12"/>
    </row>
    <row r="8768" spans="1:5" ht="18" x14ac:dyDescent="0.35">
      <c r="A8768" s="5" t="s">
        <v>2074</v>
      </c>
      <c r="B8768" s="5"/>
      <c r="C8768" s="7" t="s">
        <v>28</v>
      </c>
      <c r="D8768" s="7" t="s">
        <v>29</v>
      </c>
      <c r="E8768" s="7" t="s">
        <v>30</v>
      </c>
    </row>
    <row r="8769" spans="1:5" ht="18" x14ac:dyDescent="0.35">
      <c r="A8769" s="5" t="s">
        <v>2080</v>
      </c>
      <c r="B8769" s="50" t="s">
        <v>32</v>
      </c>
      <c r="C8769" s="7">
        <v>2.165</v>
      </c>
      <c r="D8769" s="7">
        <v>10.34</v>
      </c>
      <c r="E8769" s="85">
        <f>C8769*D8769</f>
        <v>22.386099999999999</v>
      </c>
    </row>
    <row r="8770" spans="1:5" ht="18" x14ac:dyDescent="0.35">
      <c r="A8770" s="5" t="s">
        <v>1381</v>
      </c>
      <c r="B8770" s="50" t="s">
        <v>33</v>
      </c>
      <c r="C8770" s="7">
        <v>15.561</v>
      </c>
      <c r="D8770" s="7">
        <v>10</v>
      </c>
      <c r="E8770" s="85">
        <f>C8770*D8770</f>
        <v>155.61000000000001</v>
      </c>
    </row>
    <row r="8771" spans="1:5" ht="18" x14ac:dyDescent="0.35">
      <c r="A8771" s="5" t="s">
        <v>2078</v>
      </c>
      <c r="B8771" s="50" t="s">
        <v>137</v>
      </c>
      <c r="C8771" s="7">
        <v>1.18</v>
      </c>
      <c r="D8771" s="7">
        <v>15.25</v>
      </c>
      <c r="E8771" s="85">
        <f>C8771*D8771</f>
        <v>17.994999999999997</v>
      </c>
    </row>
    <row r="8772" spans="1:5" ht="18" x14ac:dyDescent="0.35">
      <c r="A8772" s="5"/>
      <c r="B8772" s="50" t="s">
        <v>35</v>
      </c>
      <c r="C8772" s="7">
        <v>4</v>
      </c>
      <c r="D8772" s="7">
        <v>2.91</v>
      </c>
      <c r="E8772" s="85">
        <f>C8772*D8772</f>
        <v>11.64</v>
      </c>
    </row>
    <row r="8773" spans="1:5" ht="18" x14ac:dyDescent="0.35">
      <c r="A8773" s="5"/>
      <c r="B8773" s="50" t="s">
        <v>36</v>
      </c>
      <c r="C8773" s="7">
        <v>4</v>
      </c>
      <c r="D8773" s="7">
        <v>0.61</v>
      </c>
      <c r="E8773" s="85">
        <f>C8773*D8773</f>
        <v>2.44</v>
      </c>
    </row>
    <row r="8774" spans="1:5" ht="18" x14ac:dyDescent="0.35">
      <c r="A8774" s="5"/>
      <c r="B8774" s="50"/>
      <c r="C8774" s="87"/>
      <c r="D8774" s="88"/>
      <c r="E8774" s="85">
        <f>SUM(E8769:E8773)</f>
        <v>210.0711</v>
      </c>
    </row>
    <row r="8775" spans="1:5" ht="18" x14ac:dyDescent="0.35">
      <c r="A8775" s="5"/>
      <c r="B8775" s="50"/>
      <c r="C8775" s="87"/>
      <c r="D8775" s="88" t="s">
        <v>1266</v>
      </c>
      <c r="E8775" s="85">
        <f>E8774+E8774*40%</f>
        <v>294.09953999999999</v>
      </c>
    </row>
    <row r="8776" spans="1:5" ht="18" x14ac:dyDescent="0.35">
      <c r="A8776" s="5"/>
      <c r="B8776" s="50" t="s">
        <v>37</v>
      </c>
      <c r="C8776" s="54">
        <v>1</v>
      </c>
      <c r="D8776" s="86">
        <v>200</v>
      </c>
      <c r="E8776" s="85">
        <f>C8776*D8776</f>
        <v>200</v>
      </c>
    </row>
    <row r="8777" spans="1:5" ht="18" x14ac:dyDescent="0.35">
      <c r="A8777" s="5"/>
      <c r="B8777" s="5"/>
      <c r="C8777" s="54"/>
      <c r="D8777" s="54"/>
      <c r="E8777" s="85">
        <f>SUM(E8775:E8776)</f>
        <v>494.09953999999999</v>
      </c>
    </row>
    <row r="8780" spans="1:5" ht="21" x14ac:dyDescent="0.4">
      <c r="A8780" s="40" t="s">
        <v>2066</v>
      </c>
      <c r="B8780" s="40"/>
      <c r="C8780" s="40"/>
      <c r="D8780" s="12"/>
      <c r="E8780" s="12"/>
    </row>
    <row r="8781" spans="1:5" ht="18" x14ac:dyDescent="0.35">
      <c r="A8781" s="5" t="s">
        <v>2074</v>
      </c>
      <c r="B8781" s="5"/>
      <c r="C8781" s="7" t="s">
        <v>28</v>
      </c>
      <c r="D8781" s="7" t="s">
        <v>29</v>
      </c>
      <c r="E8781" s="7" t="s">
        <v>30</v>
      </c>
    </row>
    <row r="8782" spans="1:5" ht="18" x14ac:dyDescent="0.35">
      <c r="A8782" s="5" t="s">
        <v>2081</v>
      </c>
      <c r="B8782" s="50" t="s">
        <v>32</v>
      </c>
      <c r="C8782" s="7">
        <v>2.879</v>
      </c>
      <c r="D8782" s="7">
        <v>10.34</v>
      </c>
      <c r="E8782" s="85">
        <f>C8782*D8782</f>
        <v>29.76886</v>
      </c>
    </row>
    <row r="8783" spans="1:5" ht="18" x14ac:dyDescent="0.35">
      <c r="A8783" s="5" t="s">
        <v>519</v>
      </c>
      <c r="B8783" s="50" t="s">
        <v>33</v>
      </c>
      <c r="C8783" s="7">
        <v>30.87</v>
      </c>
      <c r="D8783" s="7">
        <v>10</v>
      </c>
      <c r="E8783" s="85">
        <f>C8783*D8783</f>
        <v>308.7</v>
      </c>
    </row>
    <row r="8784" spans="1:5" ht="18" x14ac:dyDescent="0.35">
      <c r="A8784" s="5" t="s">
        <v>2078</v>
      </c>
      <c r="B8784" s="50" t="s">
        <v>137</v>
      </c>
      <c r="C8784" s="7">
        <v>1.69</v>
      </c>
      <c r="D8784" s="7">
        <v>15.25</v>
      </c>
      <c r="E8784" s="85">
        <f>C8784*D8784</f>
        <v>25.772500000000001</v>
      </c>
    </row>
    <row r="8785" spans="1:5" ht="18" x14ac:dyDescent="0.35">
      <c r="A8785" s="5"/>
      <c r="B8785" s="50" t="s">
        <v>35</v>
      </c>
      <c r="C8785" s="7">
        <v>4</v>
      </c>
      <c r="D8785" s="7">
        <v>2.91</v>
      </c>
      <c r="E8785" s="85">
        <f>C8785*D8785</f>
        <v>11.64</v>
      </c>
    </row>
    <row r="8786" spans="1:5" ht="18" x14ac:dyDescent="0.35">
      <c r="A8786" s="5"/>
      <c r="B8786" s="50" t="s">
        <v>36</v>
      </c>
      <c r="C8786" s="7">
        <v>4</v>
      </c>
      <c r="D8786" s="7">
        <v>0.61</v>
      </c>
      <c r="E8786" s="85">
        <f>C8786*D8786</f>
        <v>2.44</v>
      </c>
    </row>
    <row r="8787" spans="1:5" ht="18" x14ac:dyDescent="0.35">
      <c r="A8787" s="5"/>
      <c r="B8787" s="50"/>
      <c r="C8787" s="87"/>
      <c r="D8787" s="88"/>
      <c r="E8787" s="85">
        <f>SUM(E8782:E8786)</f>
        <v>378.32135999999997</v>
      </c>
    </row>
    <row r="8788" spans="1:5" ht="18" x14ac:dyDescent="0.35">
      <c r="A8788" s="5"/>
      <c r="B8788" s="50"/>
      <c r="C8788" s="87"/>
      <c r="D8788" s="88" t="s">
        <v>1266</v>
      </c>
      <c r="E8788" s="85">
        <f>E8787+E8787*40%</f>
        <v>529.64990399999999</v>
      </c>
    </row>
    <row r="8789" spans="1:5" ht="18" x14ac:dyDescent="0.35">
      <c r="A8789" s="5"/>
      <c r="B8789" s="50" t="s">
        <v>37</v>
      </c>
      <c r="C8789" s="54">
        <v>1</v>
      </c>
      <c r="D8789" s="86">
        <v>200</v>
      </c>
      <c r="E8789" s="85">
        <f>C8789*D8789</f>
        <v>200</v>
      </c>
    </row>
    <row r="8790" spans="1:5" ht="18" x14ac:dyDescent="0.35">
      <c r="A8790" s="5"/>
      <c r="B8790" s="5"/>
      <c r="C8790" s="54"/>
      <c r="D8790" s="54"/>
      <c r="E8790" s="85">
        <f>SUM(E8788:E8789)</f>
        <v>729.64990399999999</v>
      </c>
    </row>
    <row r="8792" spans="1:5" ht="21" x14ac:dyDescent="0.4">
      <c r="A8792" s="40" t="s">
        <v>1923</v>
      </c>
      <c r="B8792" s="40"/>
      <c r="C8792" s="84"/>
    </row>
    <row r="8794" spans="1:5" ht="18" x14ac:dyDescent="0.35">
      <c r="A8794" s="5" t="s">
        <v>158</v>
      </c>
      <c r="B8794" s="5"/>
      <c r="C8794" s="7" t="s">
        <v>28</v>
      </c>
      <c r="D8794" s="7" t="s">
        <v>29</v>
      </c>
      <c r="E8794" s="7" t="s">
        <v>30</v>
      </c>
    </row>
    <row r="8795" spans="1:5" ht="18" x14ac:dyDescent="0.35">
      <c r="A8795" s="5" t="s">
        <v>337</v>
      </c>
      <c r="B8795" s="50" t="s">
        <v>32</v>
      </c>
      <c r="C8795" s="7">
        <v>1.0620000000000001</v>
      </c>
      <c r="D8795" s="7">
        <v>10.34</v>
      </c>
      <c r="E8795" s="85">
        <f t="shared" ref="E8795:E8800" si="527">C8795*D8795</f>
        <v>10.98108</v>
      </c>
    </row>
    <row r="8796" spans="1:5" ht="18" x14ac:dyDescent="0.35">
      <c r="A8796" s="5"/>
      <c r="B8796" s="50" t="s">
        <v>33</v>
      </c>
      <c r="C8796" s="7">
        <v>0.40899999999999997</v>
      </c>
      <c r="D8796" s="7">
        <v>10</v>
      </c>
      <c r="E8796" s="85">
        <f t="shared" si="527"/>
        <v>4.09</v>
      </c>
    </row>
    <row r="8797" spans="1:5" ht="18" x14ac:dyDescent="0.35">
      <c r="A8797" s="102"/>
      <c r="B8797" s="50" t="s">
        <v>911</v>
      </c>
      <c r="C8797" s="7">
        <v>2</v>
      </c>
      <c r="D8797" s="7">
        <v>1.1499999999999999</v>
      </c>
      <c r="E8797" s="85">
        <f t="shared" si="527"/>
        <v>2.2999999999999998</v>
      </c>
    </row>
    <row r="8798" spans="1:5" ht="18" x14ac:dyDescent="0.35">
      <c r="A8798" s="5"/>
      <c r="B8798" s="50" t="s">
        <v>34</v>
      </c>
      <c r="C8798" s="7"/>
      <c r="D8798" s="7">
        <v>3.4</v>
      </c>
      <c r="E8798" s="85">
        <f t="shared" si="527"/>
        <v>0</v>
      </c>
    </row>
    <row r="8799" spans="1:5" ht="18" x14ac:dyDescent="0.35">
      <c r="A8799" s="5"/>
      <c r="B8799" s="50" t="s">
        <v>35</v>
      </c>
      <c r="C8799" s="7">
        <v>4</v>
      </c>
      <c r="D8799" s="7">
        <v>2.91</v>
      </c>
      <c r="E8799" s="85">
        <f t="shared" si="527"/>
        <v>11.64</v>
      </c>
    </row>
    <row r="8800" spans="1:5" ht="18" x14ac:dyDescent="0.35">
      <c r="A8800" s="5"/>
      <c r="B8800" s="50" t="s">
        <v>36</v>
      </c>
      <c r="C8800" s="7">
        <v>4</v>
      </c>
      <c r="D8800" s="7">
        <v>0.61</v>
      </c>
      <c r="E8800" s="85">
        <f t="shared" si="527"/>
        <v>2.44</v>
      </c>
    </row>
    <row r="8801" spans="1:5" ht="18" x14ac:dyDescent="0.35">
      <c r="A8801" s="5"/>
      <c r="B8801" s="5"/>
      <c r="C8801" s="54"/>
      <c r="D8801" s="54"/>
      <c r="E8801" s="89">
        <f>SUM(E8795:E8800)</f>
        <v>31.451080000000001</v>
      </c>
    </row>
    <row r="8802" spans="1:5" ht="18" x14ac:dyDescent="0.35">
      <c r="A8802" s="5"/>
      <c r="B8802" s="5"/>
      <c r="C8802" s="54"/>
      <c r="D8802" s="54" t="s">
        <v>1161</v>
      </c>
      <c r="E8802" s="89">
        <f>E8801+E8801*30%</f>
        <v>40.886403999999999</v>
      </c>
    </row>
    <row r="8803" spans="1:5" ht="18" x14ac:dyDescent="0.35">
      <c r="A8803" s="5"/>
      <c r="B8803" s="50" t="s">
        <v>37</v>
      </c>
      <c r="C8803" s="54">
        <v>0.2</v>
      </c>
      <c r="D8803" s="54">
        <v>200</v>
      </c>
      <c r="E8803" s="85">
        <f>C8803*D8803</f>
        <v>40</v>
      </c>
    </row>
    <row r="8804" spans="1:5" ht="18" x14ac:dyDescent="0.35">
      <c r="A8804" s="5"/>
      <c r="B8804" s="5"/>
      <c r="C8804" s="54"/>
      <c r="D8804" s="54"/>
      <c r="E8804" s="85">
        <f>SUM(E8802:E8803)</f>
        <v>80.886403999999999</v>
      </c>
    </row>
    <row r="8807" spans="1:5" ht="21" x14ac:dyDescent="0.4">
      <c r="A8807" s="40" t="s">
        <v>1923</v>
      </c>
      <c r="B8807" s="40"/>
      <c r="C8807" s="84"/>
    </row>
    <row r="8809" spans="1:5" ht="18" x14ac:dyDescent="0.35">
      <c r="A8809" s="5" t="s">
        <v>2082</v>
      </c>
      <c r="B8809" s="5"/>
      <c r="C8809" s="7" t="s">
        <v>28</v>
      </c>
      <c r="D8809" s="7" t="s">
        <v>29</v>
      </c>
      <c r="E8809" s="7" t="s">
        <v>30</v>
      </c>
    </row>
    <row r="8810" spans="1:5" ht="18" x14ac:dyDescent="0.35">
      <c r="A8810" s="5" t="s">
        <v>54</v>
      </c>
      <c r="B8810" s="50" t="s">
        <v>32</v>
      </c>
      <c r="C8810" s="7">
        <v>3.0150000000000001</v>
      </c>
      <c r="D8810" s="7">
        <v>10.34</v>
      </c>
      <c r="E8810" s="85">
        <f t="shared" ref="E8810:E8815" si="528">C8810*D8810</f>
        <v>31.1751</v>
      </c>
    </row>
    <row r="8811" spans="1:5" ht="18" x14ac:dyDescent="0.35">
      <c r="A8811" s="5"/>
      <c r="B8811" s="50" t="s">
        <v>33</v>
      </c>
      <c r="C8811" s="7">
        <v>19.550999999999998</v>
      </c>
      <c r="D8811" s="7">
        <v>10</v>
      </c>
      <c r="E8811" s="85">
        <f t="shared" si="528"/>
        <v>195.51</v>
      </c>
    </row>
    <row r="8812" spans="1:5" ht="18" x14ac:dyDescent="0.35">
      <c r="A8812" s="102"/>
      <c r="B8812" s="50" t="s">
        <v>449</v>
      </c>
      <c r="C8812" s="7">
        <v>2</v>
      </c>
      <c r="D8812" s="7">
        <v>1.81</v>
      </c>
      <c r="E8812" s="85">
        <f t="shared" si="528"/>
        <v>3.62</v>
      </c>
    </row>
    <row r="8813" spans="1:5" ht="18" x14ac:dyDescent="0.35">
      <c r="A8813" s="5"/>
      <c r="B8813" s="50" t="s">
        <v>34</v>
      </c>
      <c r="C8813" s="7">
        <v>0.4</v>
      </c>
      <c r="D8813" s="7">
        <v>3.4</v>
      </c>
      <c r="E8813" s="85">
        <f t="shared" si="528"/>
        <v>1.36</v>
      </c>
    </row>
    <row r="8814" spans="1:5" ht="18" x14ac:dyDescent="0.35">
      <c r="A8814" s="5"/>
      <c r="B8814" s="50" t="s">
        <v>35</v>
      </c>
      <c r="C8814" s="7">
        <v>4</v>
      </c>
      <c r="D8814" s="7">
        <v>2.91</v>
      </c>
      <c r="E8814" s="85">
        <f t="shared" si="528"/>
        <v>11.64</v>
      </c>
    </row>
    <row r="8815" spans="1:5" ht="18" x14ac:dyDescent="0.35">
      <c r="A8815" s="5"/>
      <c r="B8815" s="50" t="s">
        <v>36</v>
      </c>
      <c r="C8815" s="7">
        <v>4</v>
      </c>
      <c r="D8815" s="7">
        <v>0.61</v>
      </c>
      <c r="E8815" s="85">
        <f t="shared" si="528"/>
        <v>2.44</v>
      </c>
    </row>
    <row r="8816" spans="1:5" ht="18" x14ac:dyDescent="0.35">
      <c r="A8816" s="5"/>
      <c r="B8816" s="5"/>
      <c r="C8816" s="54"/>
      <c r="D8816" s="54"/>
      <c r="E8816" s="89">
        <f>SUM(E8810:E8815)</f>
        <v>245.74509999999998</v>
      </c>
    </row>
    <row r="8817" spans="1:5" ht="18" x14ac:dyDescent="0.35">
      <c r="A8817" s="5"/>
      <c r="B8817" s="5"/>
      <c r="C8817" s="54"/>
      <c r="D8817" s="54" t="s">
        <v>1066</v>
      </c>
      <c r="E8817" s="89">
        <f>E8816+E8816*40%</f>
        <v>344.04313999999999</v>
      </c>
    </row>
    <row r="8818" spans="1:5" ht="18" x14ac:dyDescent="0.35">
      <c r="A8818" s="5"/>
      <c r="B8818" s="50" t="s">
        <v>37</v>
      </c>
      <c r="C8818" s="54">
        <v>1</v>
      </c>
      <c r="D8818" s="54">
        <v>200</v>
      </c>
      <c r="E8818" s="85">
        <f>C8818*D8818</f>
        <v>200</v>
      </c>
    </row>
    <row r="8819" spans="1:5" ht="18" x14ac:dyDescent="0.35">
      <c r="A8819" s="5"/>
      <c r="B8819" s="5"/>
      <c r="C8819" s="54"/>
      <c r="D8819" s="54"/>
      <c r="E8819" s="85">
        <f>SUM(E8817:E8818)</f>
        <v>544.04313999999999</v>
      </c>
    </row>
    <row r="8822" spans="1:5" ht="21" x14ac:dyDescent="0.4">
      <c r="A8822" s="40" t="s">
        <v>1923</v>
      </c>
      <c r="B8822" s="40"/>
      <c r="C8822" s="84"/>
    </row>
    <row r="8824" spans="1:5" ht="18" x14ac:dyDescent="0.35">
      <c r="A8824" s="5" t="s">
        <v>2083</v>
      </c>
      <c r="B8824" s="5"/>
      <c r="C8824" s="7" t="s">
        <v>28</v>
      </c>
      <c r="D8824" s="7" t="s">
        <v>29</v>
      </c>
      <c r="E8824" s="7" t="s">
        <v>30</v>
      </c>
    </row>
    <row r="8825" spans="1:5" ht="18" x14ac:dyDescent="0.35">
      <c r="A8825" s="5" t="s">
        <v>1030</v>
      </c>
      <c r="B8825" s="50" t="s">
        <v>32</v>
      </c>
      <c r="C8825" s="7">
        <v>3.0150000000000001</v>
      </c>
      <c r="D8825" s="7">
        <v>10.34</v>
      </c>
      <c r="E8825" s="85">
        <f t="shared" ref="E8825:E8830" si="529">C8825*D8825</f>
        <v>31.1751</v>
      </c>
    </row>
    <row r="8826" spans="1:5" ht="18" x14ac:dyDescent="0.35">
      <c r="A8826" s="5"/>
      <c r="B8826" s="50" t="s">
        <v>33</v>
      </c>
      <c r="C8826" s="7">
        <v>18.648</v>
      </c>
      <c r="D8826" s="7">
        <v>10</v>
      </c>
      <c r="E8826" s="85">
        <f t="shared" si="529"/>
        <v>186.48</v>
      </c>
    </row>
    <row r="8827" spans="1:5" ht="18" x14ac:dyDescent="0.35">
      <c r="A8827" s="102"/>
      <c r="B8827" s="50" t="s">
        <v>449</v>
      </c>
      <c r="C8827" s="7">
        <v>2</v>
      </c>
      <c r="D8827" s="7">
        <v>1.81</v>
      </c>
      <c r="E8827" s="85">
        <f t="shared" si="529"/>
        <v>3.62</v>
      </c>
    </row>
    <row r="8828" spans="1:5" ht="18" x14ac:dyDescent="0.35">
      <c r="A8828" s="5"/>
      <c r="B8828" s="50" t="s">
        <v>34</v>
      </c>
      <c r="C8828" s="7">
        <v>0.4</v>
      </c>
      <c r="D8828" s="7">
        <v>3.4</v>
      </c>
      <c r="E8828" s="85">
        <f t="shared" si="529"/>
        <v>1.36</v>
      </c>
    </row>
    <row r="8829" spans="1:5" ht="18" x14ac:dyDescent="0.35">
      <c r="A8829" s="5"/>
      <c r="B8829" s="50" t="s">
        <v>35</v>
      </c>
      <c r="C8829" s="7">
        <v>4</v>
      </c>
      <c r="D8829" s="7">
        <v>2.91</v>
      </c>
      <c r="E8829" s="85">
        <f t="shared" si="529"/>
        <v>11.64</v>
      </c>
    </row>
    <row r="8830" spans="1:5" ht="18" x14ac:dyDescent="0.35">
      <c r="A8830" s="5"/>
      <c r="B8830" s="50" t="s">
        <v>36</v>
      </c>
      <c r="C8830" s="7">
        <v>4</v>
      </c>
      <c r="D8830" s="7">
        <v>0.61</v>
      </c>
      <c r="E8830" s="85">
        <f t="shared" si="529"/>
        <v>2.44</v>
      </c>
    </row>
    <row r="8831" spans="1:5" ht="18" x14ac:dyDescent="0.35">
      <c r="A8831" s="5"/>
      <c r="B8831" s="5"/>
      <c r="C8831" s="54"/>
      <c r="D8831" s="54"/>
      <c r="E8831" s="89">
        <f>SUM(E8825:E8830)</f>
        <v>236.71510000000001</v>
      </c>
    </row>
    <row r="8832" spans="1:5" ht="18" x14ac:dyDescent="0.35">
      <c r="A8832" s="5"/>
      <c r="B8832" s="5"/>
      <c r="C8832" s="54"/>
      <c r="D8832" s="54" t="s">
        <v>1066</v>
      </c>
      <c r="E8832" s="89">
        <f>E8831+E8831*40%</f>
        <v>331.40114</v>
      </c>
    </row>
    <row r="8833" spans="1:5" ht="18" x14ac:dyDescent="0.35">
      <c r="A8833" s="5"/>
      <c r="B8833" s="50" t="s">
        <v>37</v>
      </c>
      <c r="C8833" s="54">
        <v>1</v>
      </c>
      <c r="D8833" s="54">
        <v>200</v>
      </c>
      <c r="E8833" s="85">
        <f>C8833*D8833</f>
        <v>200</v>
      </c>
    </row>
    <row r="8834" spans="1:5" ht="18" x14ac:dyDescent="0.35">
      <c r="A8834" s="5"/>
      <c r="B8834" s="5"/>
      <c r="C8834" s="54"/>
      <c r="D8834" s="54"/>
      <c r="E8834" s="85">
        <f>SUM(E8832:E8833)</f>
        <v>531.40113999999994</v>
      </c>
    </row>
    <row r="8836" spans="1:5" ht="21" x14ac:dyDescent="0.4">
      <c r="A8836" s="40" t="s">
        <v>1923</v>
      </c>
      <c r="B8836" s="40"/>
      <c r="C8836" s="84"/>
    </row>
    <row r="8837" spans="1:5" x14ac:dyDescent="0.3">
      <c r="A8837" t="s">
        <v>2085</v>
      </c>
    </row>
    <row r="8838" spans="1:5" ht="18" x14ac:dyDescent="0.35">
      <c r="A8838" s="5" t="s">
        <v>2084</v>
      </c>
      <c r="B8838" s="5"/>
      <c r="C8838" s="7" t="s">
        <v>28</v>
      </c>
      <c r="D8838" s="7" t="s">
        <v>29</v>
      </c>
      <c r="E8838" s="7" t="s">
        <v>30</v>
      </c>
    </row>
    <row r="8839" spans="1:5" ht="18" x14ac:dyDescent="0.35">
      <c r="A8839" s="5" t="s">
        <v>397</v>
      </c>
      <c r="B8839" s="50" t="s">
        <v>32</v>
      </c>
      <c r="C8839" s="7">
        <v>5.3879999999999999</v>
      </c>
      <c r="D8839" s="7">
        <v>10.34</v>
      </c>
      <c r="E8839" s="85">
        <f t="shared" ref="E8839:E8844" si="530">C8839*D8839</f>
        <v>55.711919999999999</v>
      </c>
    </row>
    <row r="8840" spans="1:5" ht="18" x14ac:dyDescent="0.35">
      <c r="A8840" s="5"/>
      <c r="B8840" s="50" t="s">
        <v>33</v>
      </c>
      <c r="C8840" s="7">
        <v>70.98</v>
      </c>
      <c r="D8840" s="7">
        <v>10</v>
      </c>
      <c r="E8840" s="85">
        <f t="shared" si="530"/>
        <v>709.80000000000007</v>
      </c>
    </row>
    <row r="8841" spans="1:5" ht="18" x14ac:dyDescent="0.35">
      <c r="A8841" s="102"/>
      <c r="B8841" s="50" t="s">
        <v>92</v>
      </c>
      <c r="C8841" s="7">
        <v>2</v>
      </c>
      <c r="D8841" s="7">
        <v>7.24</v>
      </c>
      <c r="E8841" s="85">
        <f t="shared" si="530"/>
        <v>14.48</v>
      </c>
    </row>
    <row r="8842" spans="1:5" ht="18" x14ac:dyDescent="0.35">
      <c r="A8842" s="5"/>
      <c r="B8842" s="50" t="s">
        <v>34</v>
      </c>
      <c r="C8842" s="7">
        <v>3.5</v>
      </c>
      <c r="D8842" s="7">
        <v>3.4</v>
      </c>
      <c r="E8842" s="85">
        <f t="shared" si="530"/>
        <v>11.9</v>
      </c>
    </row>
    <row r="8843" spans="1:5" ht="18" x14ac:dyDescent="0.35">
      <c r="A8843" s="5"/>
      <c r="B8843" s="50" t="s">
        <v>35</v>
      </c>
      <c r="C8843" s="7">
        <v>4</v>
      </c>
      <c r="D8843" s="7">
        <v>2.91</v>
      </c>
      <c r="E8843" s="85">
        <f t="shared" si="530"/>
        <v>11.64</v>
      </c>
    </row>
    <row r="8844" spans="1:5" ht="18" x14ac:dyDescent="0.35">
      <c r="A8844" s="5"/>
      <c r="B8844" s="50" t="s">
        <v>36</v>
      </c>
      <c r="C8844" s="7">
        <v>4</v>
      </c>
      <c r="D8844" s="7">
        <v>0.61</v>
      </c>
      <c r="E8844" s="85">
        <f t="shared" si="530"/>
        <v>2.44</v>
      </c>
    </row>
    <row r="8845" spans="1:5" ht="18" x14ac:dyDescent="0.35">
      <c r="A8845" s="5"/>
      <c r="B8845" s="5"/>
      <c r="C8845" s="54"/>
      <c r="D8845" s="54"/>
      <c r="E8845" s="89">
        <f>SUM(E8839:E8844)</f>
        <v>805.97192000000007</v>
      </c>
    </row>
    <row r="8846" spans="1:5" ht="18" x14ac:dyDescent="0.35">
      <c r="A8846" s="5"/>
      <c r="B8846" s="5"/>
      <c r="C8846" s="54"/>
      <c r="D8846" s="54" t="s">
        <v>1066</v>
      </c>
      <c r="E8846" s="89">
        <f>E8845+E8845*40%</f>
        <v>1128.3606880000002</v>
      </c>
    </row>
    <row r="8847" spans="1:5" ht="18" x14ac:dyDescent="0.35">
      <c r="A8847" s="5"/>
      <c r="B8847" s="50" t="s">
        <v>37</v>
      </c>
      <c r="C8847" s="54">
        <v>3</v>
      </c>
      <c r="D8847" s="54">
        <v>200</v>
      </c>
      <c r="E8847" s="85">
        <f>C8847*D8847</f>
        <v>600</v>
      </c>
    </row>
    <row r="8848" spans="1:5" ht="18" x14ac:dyDescent="0.35">
      <c r="A8848" s="5"/>
      <c r="B8848" s="5"/>
      <c r="C8848" s="54"/>
      <c r="D8848" s="54"/>
      <c r="E8848" s="85">
        <f>SUM(E8846:E8847)</f>
        <v>1728.3606880000002</v>
      </c>
    </row>
    <row r="8850" spans="1:5" ht="21" x14ac:dyDescent="0.4">
      <c r="A8850" s="40" t="s">
        <v>1923</v>
      </c>
      <c r="B8850" s="40"/>
      <c r="C8850" s="84"/>
    </row>
    <row r="8851" spans="1:5" x14ac:dyDescent="0.3">
      <c r="A8851" t="s">
        <v>2085</v>
      </c>
    </row>
    <row r="8852" spans="1:5" ht="18" x14ac:dyDescent="0.35">
      <c r="A8852" s="5" t="s">
        <v>2086</v>
      </c>
      <c r="B8852" s="5"/>
      <c r="C8852" s="7" t="s">
        <v>28</v>
      </c>
      <c r="D8852" s="7" t="s">
        <v>29</v>
      </c>
      <c r="E8852" s="7" t="s">
        <v>30</v>
      </c>
    </row>
    <row r="8853" spans="1:5" ht="18" x14ac:dyDescent="0.35">
      <c r="A8853" s="5" t="s">
        <v>2087</v>
      </c>
      <c r="B8853" s="50" t="s">
        <v>32</v>
      </c>
      <c r="C8853" s="7">
        <v>4.968</v>
      </c>
      <c r="D8853" s="7">
        <v>10.34</v>
      </c>
      <c r="E8853" s="85">
        <f t="shared" ref="E8853:E8858" si="531">C8853*D8853</f>
        <v>51.369120000000002</v>
      </c>
    </row>
    <row r="8854" spans="1:5" ht="18" x14ac:dyDescent="0.35">
      <c r="A8854" s="5"/>
      <c r="B8854" s="50" t="s">
        <v>33</v>
      </c>
      <c r="C8854" s="7">
        <v>68.596000000000004</v>
      </c>
      <c r="D8854" s="7">
        <v>10</v>
      </c>
      <c r="E8854" s="85">
        <f t="shared" si="531"/>
        <v>685.96</v>
      </c>
    </row>
    <row r="8855" spans="1:5" ht="18" x14ac:dyDescent="0.35">
      <c r="A8855" s="102"/>
      <c r="B8855" s="50" t="s">
        <v>92</v>
      </c>
      <c r="C8855" s="7">
        <v>2</v>
      </c>
      <c r="D8855" s="7">
        <v>8.1</v>
      </c>
      <c r="E8855" s="85">
        <f t="shared" si="531"/>
        <v>16.2</v>
      </c>
    </row>
    <row r="8856" spans="1:5" ht="18" x14ac:dyDescent="0.35">
      <c r="A8856" s="5"/>
      <c r="B8856" s="50" t="s">
        <v>34</v>
      </c>
      <c r="C8856" s="7">
        <v>3.7</v>
      </c>
      <c r="D8856" s="7">
        <v>3.4</v>
      </c>
      <c r="E8856" s="85">
        <f t="shared" si="531"/>
        <v>12.58</v>
      </c>
    </row>
    <row r="8857" spans="1:5" ht="18" x14ac:dyDescent="0.35">
      <c r="A8857" s="5"/>
      <c r="B8857" s="50" t="s">
        <v>35</v>
      </c>
      <c r="C8857" s="7">
        <v>4</v>
      </c>
      <c r="D8857" s="7">
        <v>2.91</v>
      </c>
      <c r="E8857" s="85">
        <f t="shared" si="531"/>
        <v>11.64</v>
      </c>
    </row>
    <row r="8858" spans="1:5" ht="18" x14ac:dyDescent="0.35">
      <c r="A8858" s="5"/>
      <c r="B8858" s="50" t="s">
        <v>36</v>
      </c>
      <c r="C8858" s="7">
        <v>4</v>
      </c>
      <c r="D8858" s="7">
        <v>0.61</v>
      </c>
      <c r="E8858" s="85">
        <f t="shared" si="531"/>
        <v>2.44</v>
      </c>
    </row>
    <row r="8859" spans="1:5" ht="18" x14ac:dyDescent="0.35">
      <c r="A8859" s="5"/>
      <c r="B8859" s="5"/>
      <c r="C8859" s="54"/>
      <c r="D8859" s="54"/>
      <c r="E8859" s="89">
        <f>SUM(E8853:E8858)</f>
        <v>780.18912000000012</v>
      </c>
    </row>
    <row r="8860" spans="1:5" ht="18" x14ac:dyDescent="0.35">
      <c r="A8860" s="5"/>
      <c r="B8860" s="5"/>
      <c r="C8860" s="54"/>
      <c r="D8860" s="54" t="s">
        <v>1066</v>
      </c>
      <c r="E8860" s="89">
        <f>E8859+E8859*40%</f>
        <v>1092.2647680000002</v>
      </c>
    </row>
    <row r="8861" spans="1:5" ht="18" x14ac:dyDescent="0.35">
      <c r="A8861" s="5"/>
      <c r="B8861" s="50" t="s">
        <v>37</v>
      </c>
      <c r="C8861" s="54">
        <v>3</v>
      </c>
      <c r="D8861" s="54">
        <v>200</v>
      </c>
      <c r="E8861" s="85">
        <f>C8861*D8861</f>
        <v>600</v>
      </c>
    </row>
    <row r="8862" spans="1:5" ht="18" x14ac:dyDescent="0.35">
      <c r="A8862" s="5"/>
      <c r="B8862" s="5"/>
      <c r="C8862" s="54"/>
      <c r="D8862" s="54"/>
      <c r="E8862" s="85">
        <f>SUM(E8860:E8861)</f>
        <v>1692.2647680000002</v>
      </c>
    </row>
    <row r="8866" spans="1:5" ht="21" x14ac:dyDescent="0.4">
      <c r="A8866" s="40" t="s">
        <v>2066</v>
      </c>
      <c r="B8866" s="40"/>
      <c r="C8866" s="40"/>
      <c r="D8866" s="12"/>
      <c r="E8866" s="12"/>
    </row>
    <row r="8867" spans="1:5" ht="18" x14ac:dyDescent="0.35">
      <c r="A8867" s="5" t="s">
        <v>1156</v>
      </c>
      <c r="B8867" s="5"/>
      <c r="C8867" s="7" t="s">
        <v>28</v>
      </c>
      <c r="D8867" s="7" t="s">
        <v>29</v>
      </c>
      <c r="E8867" s="7" t="s">
        <v>30</v>
      </c>
    </row>
    <row r="8868" spans="1:5" ht="18" x14ac:dyDescent="0.35">
      <c r="A8868" s="5" t="s">
        <v>2088</v>
      </c>
      <c r="B8868" s="50" t="s">
        <v>32</v>
      </c>
      <c r="C8868" s="7">
        <v>5.4619999999999997</v>
      </c>
      <c r="D8868" s="7">
        <v>10.34</v>
      </c>
      <c r="E8868" s="85">
        <f>C8868*D8868</f>
        <v>56.477079999999994</v>
      </c>
    </row>
    <row r="8869" spans="1:5" ht="18" x14ac:dyDescent="0.35">
      <c r="A8869" s="5" t="s">
        <v>2089</v>
      </c>
      <c r="B8869" s="50" t="s">
        <v>33</v>
      </c>
      <c r="C8869" s="7">
        <v>34.618000000000002</v>
      </c>
      <c r="D8869" s="7">
        <v>10</v>
      </c>
      <c r="E8869" s="85">
        <f>C8869*D8869</f>
        <v>346.18</v>
      </c>
    </row>
    <row r="8870" spans="1:5" ht="18" x14ac:dyDescent="0.35">
      <c r="A8870" s="5" t="s">
        <v>2090</v>
      </c>
      <c r="B8870" s="50" t="s">
        <v>137</v>
      </c>
      <c r="C8870" s="7">
        <v>1</v>
      </c>
      <c r="D8870" s="7">
        <v>15.25</v>
      </c>
      <c r="E8870" s="85">
        <f>C8870*D8870</f>
        <v>15.25</v>
      </c>
    </row>
    <row r="8871" spans="1:5" ht="18" x14ac:dyDescent="0.35">
      <c r="A8871" s="5"/>
      <c r="B8871" s="50" t="s">
        <v>35</v>
      </c>
      <c r="C8871" s="7">
        <v>8</v>
      </c>
      <c r="D8871" s="7">
        <v>2.91</v>
      </c>
      <c r="E8871" s="85">
        <f>C8871*D8871</f>
        <v>23.28</v>
      </c>
    </row>
    <row r="8872" spans="1:5" ht="18" x14ac:dyDescent="0.35">
      <c r="A8872" s="5"/>
      <c r="B8872" s="50" t="s">
        <v>36</v>
      </c>
      <c r="C8872" s="7">
        <v>4</v>
      </c>
      <c r="D8872" s="7">
        <v>0.61</v>
      </c>
      <c r="E8872" s="85">
        <f>C8872*D8872</f>
        <v>2.44</v>
      </c>
    </row>
    <row r="8873" spans="1:5" ht="18" x14ac:dyDescent="0.35">
      <c r="A8873" s="5"/>
      <c r="B8873" s="50"/>
      <c r="C8873" s="87"/>
      <c r="D8873" s="88"/>
      <c r="E8873" s="85">
        <f>SUM(E8868:E8872)</f>
        <v>443.62708000000003</v>
      </c>
    </row>
    <row r="8874" spans="1:5" ht="18" x14ac:dyDescent="0.35">
      <c r="A8874" s="5"/>
      <c r="B8874" s="50"/>
      <c r="C8874" s="87"/>
      <c r="D8874" s="88" t="s">
        <v>1266</v>
      </c>
      <c r="E8874" s="85">
        <f>E8873+E8873*40%</f>
        <v>621.07791200000008</v>
      </c>
    </row>
    <row r="8875" spans="1:5" ht="18" x14ac:dyDescent="0.35">
      <c r="A8875" s="5"/>
      <c r="B8875" s="50" t="s">
        <v>37</v>
      </c>
      <c r="C8875" s="54">
        <v>3</v>
      </c>
      <c r="D8875" s="86">
        <v>200</v>
      </c>
      <c r="E8875" s="85">
        <f>C8875*D8875</f>
        <v>600</v>
      </c>
    </row>
    <row r="8876" spans="1:5" ht="18" x14ac:dyDescent="0.35">
      <c r="A8876" s="5"/>
      <c r="B8876" s="5"/>
      <c r="C8876" s="54"/>
      <c r="D8876" s="54"/>
      <c r="E8876" s="85">
        <f>SUM(E8874:E8875)</f>
        <v>1221.0779120000002</v>
      </c>
    </row>
    <row r="8878" spans="1:5" ht="21" x14ac:dyDescent="0.4">
      <c r="A8878" s="40" t="s">
        <v>2066</v>
      </c>
      <c r="B8878" s="40"/>
      <c r="C8878" s="40"/>
      <c r="D8878" s="12"/>
      <c r="E8878" s="12"/>
    </row>
    <row r="8879" spans="1:5" ht="18" x14ac:dyDescent="0.35">
      <c r="A8879" s="5" t="s">
        <v>1156</v>
      </c>
      <c r="B8879" s="5"/>
      <c r="C8879" s="7" t="s">
        <v>28</v>
      </c>
      <c r="D8879" s="7" t="s">
        <v>29</v>
      </c>
      <c r="E8879" s="7" t="s">
        <v>30</v>
      </c>
    </row>
    <row r="8880" spans="1:5" ht="18" x14ac:dyDescent="0.35">
      <c r="A8880" s="5" t="s">
        <v>2091</v>
      </c>
      <c r="B8880" s="50" t="s">
        <v>32</v>
      </c>
      <c r="C8880" s="7">
        <v>5.4619999999999997</v>
      </c>
      <c r="D8880" s="7">
        <v>10.34</v>
      </c>
      <c r="E8880" s="85">
        <f>C8880*D8880</f>
        <v>56.477079999999994</v>
      </c>
    </row>
    <row r="8881" spans="1:5" ht="18" x14ac:dyDescent="0.35">
      <c r="A8881" s="5" t="s">
        <v>2089</v>
      </c>
      <c r="B8881" s="50" t="s">
        <v>33</v>
      </c>
      <c r="C8881" s="7">
        <v>34.618000000000002</v>
      </c>
      <c r="D8881" s="7">
        <v>10</v>
      </c>
      <c r="E8881" s="85">
        <f>C8881*D8881</f>
        <v>346.18</v>
      </c>
    </row>
    <row r="8882" spans="1:5" ht="18" x14ac:dyDescent="0.35">
      <c r="A8882" s="5" t="s">
        <v>2090</v>
      </c>
      <c r="B8882" s="50" t="s">
        <v>137</v>
      </c>
      <c r="C8882" s="7">
        <v>1</v>
      </c>
      <c r="D8882" s="7">
        <v>15.25</v>
      </c>
      <c r="E8882" s="85">
        <f>C8882*D8882</f>
        <v>15.25</v>
      </c>
    </row>
    <row r="8883" spans="1:5" ht="18" x14ac:dyDescent="0.35">
      <c r="A8883" s="5"/>
      <c r="B8883" s="50" t="s">
        <v>35</v>
      </c>
      <c r="C8883" s="7">
        <v>8</v>
      </c>
      <c r="D8883" s="7">
        <v>2.91</v>
      </c>
      <c r="E8883" s="85">
        <f>C8883*D8883</f>
        <v>23.28</v>
      </c>
    </row>
    <row r="8884" spans="1:5" ht="18" x14ac:dyDescent="0.35">
      <c r="A8884" s="5"/>
      <c r="B8884" s="50" t="s">
        <v>36</v>
      </c>
      <c r="C8884" s="7">
        <v>4</v>
      </c>
      <c r="D8884" s="7">
        <v>0.61</v>
      </c>
      <c r="E8884" s="85">
        <f>C8884*D8884</f>
        <v>2.44</v>
      </c>
    </row>
    <row r="8885" spans="1:5" ht="18" x14ac:dyDescent="0.35">
      <c r="A8885" s="5"/>
      <c r="B8885" s="50"/>
      <c r="C8885" s="87"/>
      <c r="D8885" s="88"/>
      <c r="E8885" s="85">
        <f>SUM(E8880:E8884)</f>
        <v>443.62708000000003</v>
      </c>
    </row>
    <row r="8886" spans="1:5" ht="18" x14ac:dyDescent="0.35">
      <c r="A8886" s="5"/>
      <c r="B8886" s="50"/>
      <c r="C8886" s="87"/>
      <c r="D8886" s="88" t="s">
        <v>1266</v>
      </c>
      <c r="E8886" s="85">
        <f>E8885+E8885*40%</f>
        <v>621.07791200000008</v>
      </c>
    </row>
    <row r="8887" spans="1:5" ht="18" x14ac:dyDescent="0.35">
      <c r="A8887" s="5"/>
      <c r="B8887" s="50" t="s">
        <v>37</v>
      </c>
      <c r="C8887" s="54">
        <v>3</v>
      </c>
      <c r="D8887" s="86">
        <v>200</v>
      </c>
      <c r="E8887" s="85">
        <f>C8887*D8887</f>
        <v>600</v>
      </c>
    </row>
    <row r="8888" spans="1:5" ht="18" x14ac:dyDescent="0.35">
      <c r="A8888" s="5"/>
      <c r="B8888" s="5"/>
      <c r="C8888" s="54"/>
      <c r="D8888" s="54"/>
      <c r="E8888" s="85">
        <f>SUM(E8886:E8887)</f>
        <v>1221.0779120000002</v>
      </c>
    </row>
    <row r="8890" spans="1:5" ht="21" x14ac:dyDescent="0.4">
      <c r="A8890" s="40" t="s">
        <v>2062</v>
      </c>
      <c r="B8890" s="40"/>
      <c r="C8890" s="84"/>
    </row>
    <row r="8891" spans="1:5" ht="18" x14ac:dyDescent="0.35">
      <c r="B8891" s="5"/>
      <c r="C8891" s="7" t="s">
        <v>28</v>
      </c>
      <c r="D8891" s="7" t="s">
        <v>29</v>
      </c>
      <c r="E8891" s="7" t="s">
        <v>30</v>
      </c>
    </row>
    <row r="8892" spans="1:5" ht="18" x14ac:dyDescent="0.35">
      <c r="A8892" s="5" t="s">
        <v>2092</v>
      </c>
      <c r="B8892" s="50" t="s">
        <v>32</v>
      </c>
      <c r="C8892" s="7">
        <v>0.55800000000000005</v>
      </c>
      <c r="D8892" s="7">
        <v>16.43</v>
      </c>
      <c r="E8892" s="85">
        <f t="shared" ref="E8892:E8899" si="532">C8892*D8892</f>
        <v>9.1679400000000015</v>
      </c>
    </row>
    <row r="8893" spans="1:5" ht="18" x14ac:dyDescent="0.35">
      <c r="A8893" s="5" t="s">
        <v>238</v>
      </c>
      <c r="B8893" s="50" t="s">
        <v>33</v>
      </c>
      <c r="C8893" s="7">
        <v>0.378</v>
      </c>
      <c r="D8893" s="7">
        <v>11.37</v>
      </c>
      <c r="E8893" s="85">
        <f t="shared" si="532"/>
        <v>4.29786</v>
      </c>
    </row>
    <row r="8894" spans="1:5" ht="18" x14ac:dyDescent="0.35">
      <c r="A8894" s="5" t="s">
        <v>238</v>
      </c>
      <c r="B8894" s="50" t="s">
        <v>33</v>
      </c>
      <c r="C8894" s="7">
        <v>0.78</v>
      </c>
      <c r="D8894" s="7">
        <v>11.37</v>
      </c>
      <c r="E8894" s="85">
        <f t="shared" si="532"/>
        <v>8.8685999999999989</v>
      </c>
    </row>
    <row r="8895" spans="1:5" ht="18" x14ac:dyDescent="0.35">
      <c r="A8895" s="5" t="s">
        <v>990</v>
      </c>
      <c r="B8895" s="50" t="s">
        <v>42</v>
      </c>
      <c r="C8895" s="7">
        <v>2</v>
      </c>
      <c r="D8895" s="7">
        <v>1.1499999999999999</v>
      </c>
      <c r="E8895" s="85">
        <f t="shared" si="532"/>
        <v>2.2999999999999998</v>
      </c>
    </row>
    <row r="8896" spans="1:5" ht="18" x14ac:dyDescent="0.35">
      <c r="A8896" s="5" t="s">
        <v>1954</v>
      </c>
      <c r="B8896" s="50" t="s">
        <v>42</v>
      </c>
      <c r="C8896" s="7">
        <v>2</v>
      </c>
      <c r="D8896" s="7">
        <v>1.1499999999999999</v>
      </c>
      <c r="E8896" s="85">
        <f t="shared" si="532"/>
        <v>2.2999999999999998</v>
      </c>
    </row>
    <row r="8897" spans="1:5" ht="18" x14ac:dyDescent="0.35">
      <c r="A8897" s="5"/>
      <c r="B8897" s="50" t="s">
        <v>34</v>
      </c>
      <c r="C8897" s="7"/>
      <c r="D8897" s="7">
        <v>14.61</v>
      </c>
      <c r="E8897" s="85">
        <f t="shared" si="532"/>
        <v>0</v>
      </c>
    </row>
    <row r="8898" spans="1:5" ht="18" x14ac:dyDescent="0.35">
      <c r="A8898" s="5"/>
      <c r="B8898" s="50" t="s">
        <v>35</v>
      </c>
      <c r="C8898" s="7">
        <v>4</v>
      </c>
      <c r="D8898" s="7">
        <v>2.91</v>
      </c>
      <c r="E8898" s="85">
        <f t="shared" si="532"/>
        <v>11.64</v>
      </c>
    </row>
    <row r="8899" spans="1:5" ht="18" x14ac:dyDescent="0.35">
      <c r="A8899" s="5"/>
      <c r="B8899" s="50" t="s">
        <v>36</v>
      </c>
      <c r="C8899" s="7">
        <v>4</v>
      </c>
      <c r="D8899" s="7">
        <v>0.61</v>
      </c>
      <c r="E8899" s="85">
        <f t="shared" si="532"/>
        <v>2.44</v>
      </c>
    </row>
    <row r="8900" spans="1:5" ht="18" x14ac:dyDescent="0.35">
      <c r="A8900" s="5"/>
      <c r="B8900" s="5"/>
      <c r="C8900" s="54"/>
      <c r="D8900" s="54"/>
      <c r="E8900" s="89">
        <f>SUM(E8892:E8899)</f>
        <v>41.014400000000002</v>
      </c>
    </row>
    <row r="8901" spans="1:5" ht="18" x14ac:dyDescent="0.35">
      <c r="A8901" s="5"/>
      <c r="B8901" s="5"/>
      <c r="C8901" s="54"/>
      <c r="D8901" s="54" t="s">
        <v>1063</v>
      </c>
      <c r="E8901" s="89">
        <f>E8900+E8900*40%</f>
        <v>57.420160000000003</v>
      </c>
    </row>
    <row r="8902" spans="1:5" ht="18" x14ac:dyDescent="0.35">
      <c r="A8902" s="5"/>
      <c r="B8902" s="50" t="s">
        <v>37</v>
      </c>
      <c r="C8902" s="54">
        <v>0.2</v>
      </c>
      <c r="D8902" s="54">
        <v>200</v>
      </c>
      <c r="E8902" s="85">
        <f>C8902*D8902</f>
        <v>40</v>
      </c>
    </row>
    <row r="8903" spans="1:5" ht="18" x14ac:dyDescent="0.35">
      <c r="E8903" s="85">
        <f>SUM(E8901:E8902)</f>
        <v>97.42016000000001</v>
      </c>
    </row>
    <row r="8905" spans="1:5" ht="21" x14ac:dyDescent="0.4">
      <c r="A8905" s="40" t="s">
        <v>2093</v>
      </c>
      <c r="B8905" s="40"/>
      <c r="C8905" s="40"/>
      <c r="D8905" s="12"/>
      <c r="E8905" s="12"/>
    </row>
    <row r="8906" spans="1:5" ht="18" x14ac:dyDescent="0.35">
      <c r="A8906" s="5" t="s">
        <v>2094</v>
      </c>
      <c r="B8906" s="5"/>
      <c r="C8906" s="7" t="s">
        <v>28</v>
      </c>
      <c r="D8906" s="7" t="s">
        <v>29</v>
      </c>
      <c r="E8906" s="7" t="s">
        <v>30</v>
      </c>
    </row>
    <row r="8907" spans="1:5" ht="18" x14ac:dyDescent="0.35">
      <c r="A8907" s="5" t="s">
        <v>2095</v>
      </c>
      <c r="B8907" s="50" t="s">
        <v>32</v>
      </c>
      <c r="C8907" s="7">
        <v>2.343</v>
      </c>
      <c r="D8907" s="7">
        <v>10.34</v>
      </c>
      <c r="E8907" s="85">
        <f>C8907*D8907</f>
        <v>24.22662</v>
      </c>
    </row>
    <row r="8908" spans="1:5" ht="18" x14ac:dyDescent="0.35">
      <c r="A8908" s="5" t="s">
        <v>2096</v>
      </c>
      <c r="B8908" s="50" t="s">
        <v>33</v>
      </c>
      <c r="C8908" s="7">
        <v>18.564</v>
      </c>
      <c r="D8908" s="7">
        <v>10</v>
      </c>
      <c r="E8908" s="85">
        <f>C8908*D8908</f>
        <v>185.64</v>
      </c>
    </row>
    <row r="8909" spans="1:5" ht="18" x14ac:dyDescent="0.35">
      <c r="A8909" s="5" t="s">
        <v>2090</v>
      </c>
      <c r="B8909" s="50" t="s">
        <v>137</v>
      </c>
      <c r="C8909" s="7">
        <v>1.5</v>
      </c>
      <c r="D8909" s="7">
        <v>15.25</v>
      </c>
      <c r="E8909" s="85">
        <f>C8909*D8909</f>
        <v>22.875</v>
      </c>
    </row>
    <row r="8910" spans="1:5" ht="18" x14ac:dyDescent="0.35">
      <c r="A8910" s="5"/>
      <c r="B8910" s="50" t="s">
        <v>35</v>
      </c>
      <c r="C8910" s="7">
        <v>4</v>
      </c>
      <c r="D8910" s="7">
        <v>2.91</v>
      </c>
      <c r="E8910" s="85">
        <f>C8910*D8910</f>
        <v>11.64</v>
      </c>
    </row>
    <row r="8911" spans="1:5" ht="18" x14ac:dyDescent="0.35">
      <c r="A8911" s="5"/>
      <c r="B8911" s="50" t="s">
        <v>36</v>
      </c>
      <c r="C8911" s="7">
        <v>4</v>
      </c>
      <c r="D8911" s="7">
        <v>0.61</v>
      </c>
      <c r="E8911" s="85">
        <f>C8911*D8911</f>
        <v>2.44</v>
      </c>
    </row>
    <row r="8912" spans="1:5" ht="18" x14ac:dyDescent="0.35">
      <c r="A8912" s="5"/>
      <c r="B8912" s="50"/>
      <c r="C8912" s="87"/>
      <c r="D8912" s="88"/>
      <c r="E8912" s="85">
        <f>SUM(E8907:E8911)</f>
        <v>246.82162</v>
      </c>
    </row>
    <row r="8913" spans="1:5" ht="18" x14ac:dyDescent="0.35">
      <c r="A8913" s="5"/>
      <c r="B8913" s="50"/>
      <c r="C8913" s="87"/>
      <c r="D8913" s="88" t="s">
        <v>1266</v>
      </c>
      <c r="E8913" s="85">
        <f>E8912+E8912*40%</f>
        <v>345.55026800000002</v>
      </c>
    </row>
    <row r="8914" spans="1:5" ht="18" x14ac:dyDescent="0.35">
      <c r="A8914" s="5"/>
      <c r="B8914" s="50" t="s">
        <v>37</v>
      </c>
      <c r="C8914" s="54">
        <v>1</v>
      </c>
      <c r="D8914" s="86">
        <v>200</v>
      </c>
      <c r="E8914" s="85">
        <f>C8914*D8914</f>
        <v>200</v>
      </c>
    </row>
    <row r="8915" spans="1:5" ht="18" x14ac:dyDescent="0.35">
      <c r="A8915" s="5"/>
      <c r="B8915" s="5"/>
      <c r="C8915" s="54"/>
      <c r="D8915" s="54"/>
      <c r="E8915" s="85">
        <f>SUM(E8913:E8914)</f>
        <v>545.55026799999996</v>
      </c>
    </row>
    <row r="8917" spans="1:5" ht="21" x14ac:dyDescent="0.4">
      <c r="A8917" s="40" t="s">
        <v>2093</v>
      </c>
      <c r="B8917" s="40"/>
      <c r="C8917" s="40"/>
      <c r="D8917" s="12"/>
      <c r="E8917" s="12"/>
    </row>
    <row r="8918" spans="1:5" ht="18" x14ac:dyDescent="0.35">
      <c r="A8918" s="5" t="s">
        <v>2094</v>
      </c>
      <c r="B8918" s="5"/>
      <c r="C8918" s="7" t="s">
        <v>28</v>
      </c>
      <c r="D8918" s="7" t="s">
        <v>29</v>
      </c>
      <c r="E8918" s="7" t="s">
        <v>30</v>
      </c>
    </row>
    <row r="8919" spans="1:5" ht="18" x14ac:dyDescent="0.35">
      <c r="A8919" s="5" t="s">
        <v>417</v>
      </c>
      <c r="B8919" s="50" t="s">
        <v>32</v>
      </c>
      <c r="C8919" s="7">
        <v>2.4500000000000002</v>
      </c>
      <c r="D8919" s="7">
        <v>10.34</v>
      </c>
      <c r="E8919" s="85">
        <f>C8919*D8919</f>
        <v>25.333000000000002</v>
      </c>
    </row>
    <row r="8920" spans="1:5" ht="18" x14ac:dyDescent="0.35">
      <c r="A8920" s="5" t="s">
        <v>538</v>
      </c>
      <c r="B8920" s="50" t="s">
        <v>33</v>
      </c>
      <c r="C8920" s="7">
        <v>21.681999999999999</v>
      </c>
      <c r="D8920" s="7">
        <v>10</v>
      </c>
      <c r="E8920" s="85">
        <f>C8920*D8920</f>
        <v>216.82</v>
      </c>
    </row>
    <row r="8921" spans="1:5" ht="18" x14ac:dyDescent="0.35">
      <c r="A8921" s="5" t="s">
        <v>2090</v>
      </c>
      <c r="B8921" s="50" t="s">
        <v>137</v>
      </c>
      <c r="C8921" s="7">
        <v>1.05</v>
      </c>
      <c r="D8921" s="7">
        <v>15.25</v>
      </c>
      <c r="E8921" s="85">
        <f>C8921*D8921</f>
        <v>16.012499999999999</v>
      </c>
    </row>
    <row r="8922" spans="1:5" ht="18" x14ac:dyDescent="0.35">
      <c r="A8922" s="5"/>
      <c r="B8922" s="50" t="s">
        <v>35</v>
      </c>
      <c r="C8922" s="7">
        <v>4</v>
      </c>
      <c r="D8922" s="7">
        <v>2.91</v>
      </c>
      <c r="E8922" s="85">
        <f>C8922*D8922</f>
        <v>11.64</v>
      </c>
    </row>
    <row r="8923" spans="1:5" ht="18" x14ac:dyDescent="0.35">
      <c r="A8923" s="5"/>
      <c r="B8923" s="50" t="s">
        <v>36</v>
      </c>
      <c r="C8923" s="7">
        <v>4</v>
      </c>
      <c r="D8923" s="7">
        <v>0.61</v>
      </c>
      <c r="E8923" s="85">
        <f>C8923*D8923</f>
        <v>2.44</v>
      </c>
    </row>
    <row r="8924" spans="1:5" ht="18" x14ac:dyDescent="0.35">
      <c r="A8924" s="5"/>
      <c r="B8924" s="50"/>
      <c r="C8924" s="87"/>
      <c r="D8924" s="88"/>
      <c r="E8924" s="85">
        <f>SUM(E8919:E8923)</f>
        <v>272.24549999999999</v>
      </c>
    </row>
    <row r="8925" spans="1:5" ht="18" x14ac:dyDescent="0.35">
      <c r="A8925" s="5"/>
      <c r="B8925" s="50"/>
      <c r="C8925" s="87"/>
      <c r="D8925" s="88" t="s">
        <v>1266</v>
      </c>
      <c r="E8925" s="85">
        <f>E8924+E8924*40%</f>
        <v>381.14369999999997</v>
      </c>
    </row>
    <row r="8926" spans="1:5" ht="18" x14ac:dyDescent="0.35">
      <c r="A8926" s="5"/>
      <c r="B8926" s="50" t="s">
        <v>37</v>
      </c>
      <c r="C8926" s="54">
        <v>1</v>
      </c>
      <c r="D8926" s="86">
        <v>200</v>
      </c>
      <c r="E8926" s="85">
        <f>C8926*D8926</f>
        <v>200</v>
      </c>
    </row>
    <row r="8927" spans="1:5" ht="18" x14ac:dyDescent="0.35">
      <c r="A8927" s="5"/>
      <c r="B8927" s="5"/>
      <c r="C8927" s="54"/>
      <c r="D8927" s="54"/>
      <c r="E8927" s="85">
        <f>SUM(E8925:E8926)</f>
        <v>581.14369999999997</v>
      </c>
    </row>
    <row r="8929" spans="1:5" ht="21" x14ac:dyDescent="0.4">
      <c r="A8929" s="40" t="s">
        <v>1923</v>
      </c>
      <c r="B8929" s="40"/>
      <c r="C8929" s="84"/>
    </row>
    <row r="8930" spans="1:5" x14ac:dyDescent="0.3">
      <c r="A8930" t="s">
        <v>1202</v>
      </c>
    </row>
    <row r="8931" spans="1:5" ht="18" x14ac:dyDescent="0.35">
      <c r="A8931" s="5" t="s">
        <v>46</v>
      </c>
      <c r="B8931" s="5"/>
      <c r="C8931" s="7" t="s">
        <v>28</v>
      </c>
      <c r="D8931" s="7" t="s">
        <v>29</v>
      </c>
      <c r="E8931" s="7" t="s">
        <v>30</v>
      </c>
    </row>
    <row r="8932" spans="1:5" ht="18" x14ac:dyDescent="0.35">
      <c r="A8932" s="5" t="s">
        <v>238</v>
      </c>
      <c r="B8932" s="50" t="s">
        <v>32</v>
      </c>
      <c r="C8932" s="7">
        <v>2.028</v>
      </c>
      <c r="D8932" s="7">
        <v>10.34</v>
      </c>
      <c r="E8932" s="85">
        <f t="shared" ref="E8932:E8937" si="533">C8932*D8932</f>
        <v>20.969519999999999</v>
      </c>
    </row>
    <row r="8933" spans="1:5" ht="18" x14ac:dyDescent="0.35">
      <c r="A8933" s="5"/>
      <c r="B8933" s="50" t="s">
        <v>33</v>
      </c>
      <c r="C8933" s="7">
        <v>3.3180000000000001</v>
      </c>
      <c r="D8933" s="7">
        <v>10</v>
      </c>
      <c r="E8933" s="85">
        <f t="shared" si="533"/>
        <v>33.18</v>
      </c>
    </row>
    <row r="8934" spans="1:5" ht="18" x14ac:dyDescent="0.35">
      <c r="A8934" s="102"/>
      <c r="B8934" s="50" t="s">
        <v>42</v>
      </c>
      <c r="C8934" s="7">
        <v>2</v>
      </c>
      <c r="D8934" s="7">
        <v>1.1499999999999999</v>
      </c>
      <c r="E8934" s="85">
        <f t="shared" si="533"/>
        <v>2.2999999999999998</v>
      </c>
    </row>
    <row r="8935" spans="1:5" ht="18" x14ac:dyDescent="0.35">
      <c r="A8935" s="5"/>
      <c r="B8935" s="50" t="s">
        <v>34</v>
      </c>
      <c r="C8935" s="7"/>
      <c r="D8935" s="7">
        <v>3.4</v>
      </c>
      <c r="E8935" s="85">
        <f t="shared" si="533"/>
        <v>0</v>
      </c>
    </row>
    <row r="8936" spans="1:5" ht="18" x14ac:dyDescent="0.35">
      <c r="A8936" s="5"/>
      <c r="B8936" s="50" t="s">
        <v>35</v>
      </c>
      <c r="C8936" s="7">
        <v>4</v>
      </c>
      <c r="D8936" s="7">
        <v>2.91</v>
      </c>
      <c r="E8936" s="85">
        <f t="shared" si="533"/>
        <v>11.64</v>
      </c>
    </row>
    <row r="8937" spans="1:5" ht="18" x14ac:dyDescent="0.35">
      <c r="A8937" s="5"/>
      <c r="B8937" s="50" t="s">
        <v>36</v>
      </c>
      <c r="C8937" s="7">
        <v>4</v>
      </c>
      <c r="D8937" s="7">
        <v>0.61</v>
      </c>
      <c r="E8937" s="85">
        <f t="shared" si="533"/>
        <v>2.44</v>
      </c>
    </row>
    <row r="8938" spans="1:5" ht="18" x14ac:dyDescent="0.35">
      <c r="A8938" s="5"/>
      <c r="B8938" s="5"/>
      <c r="C8938" s="54"/>
      <c r="D8938" s="54"/>
      <c r="E8938" s="89">
        <f>SUM(E8932:E8937)</f>
        <v>70.529519999999991</v>
      </c>
    </row>
    <row r="8939" spans="1:5" ht="18" x14ac:dyDescent="0.35">
      <c r="A8939" s="5"/>
      <c r="B8939" s="5"/>
      <c r="C8939" s="54"/>
      <c r="D8939" s="54" t="s">
        <v>1161</v>
      </c>
      <c r="E8939" s="89">
        <f>E8938+E8938*30%</f>
        <v>91.688375999999991</v>
      </c>
    </row>
    <row r="8940" spans="1:5" ht="18" x14ac:dyDescent="0.35">
      <c r="A8940" s="5"/>
      <c r="B8940" s="50" t="s">
        <v>37</v>
      </c>
      <c r="C8940" s="54">
        <v>0.2</v>
      </c>
      <c r="D8940" s="54">
        <v>150</v>
      </c>
      <c r="E8940" s="85">
        <f>C8940*D8940</f>
        <v>30</v>
      </c>
    </row>
    <row r="8941" spans="1:5" ht="18" x14ac:dyDescent="0.35">
      <c r="A8941" s="5"/>
      <c r="B8941" s="5"/>
      <c r="C8941" s="54"/>
      <c r="D8941" s="54"/>
      <c r="E8941" s="85">
        <f>SUM(E8939:E8940)</f>
        <v>121.68837599999999</v>
      </c>
    </row>
    <row r="8943" spans="1:5" ht="21" x14ac:dyDescent="0.4">
      <c r="A8943" s="40" t="s">
        <v>2066</v>
      </c>
      <c r="B8943" s="40"/>
      <c r="C8943" s="40"/>
      <c r="D8943" s="12"/>
      <c r="E8943" s="12"/>
    </row>
    <row r="8944" spans="1:5" ht="18" x14ac:dyDescent="0.35">
      <c r="A8944" s="5" t="s">
        <v>1202</v>
      </c>
      <c r="B8944" s="5"/>
      <c r="C8944" s="7" t="s">
        <v>28</v>
      </c>
      <c r="D8944" s="7" t="s">
        <v>29</v>
      </c>
      <c r="E8944" s="7" t="s">
        <v>30</v>
      </c>
    </row>
    <row r="8945" spans="1:5" ht="18" x14ac:dyDescent="0.35">
      <c r="A8945" s="5" t="s">
        <v>46</v>
      </c>
      <c r="B8945" s="50" t="s">
        <v>32</v>
      </c>
      <c r="C8945" s="7">
        <v>2.028</v>
      </c>
      <c r="D8945" s="7">
        <v>10.34</v>
      </c>
      <c r="E8945" s="85">
        <f>C8945*D8945</f>
        <v>20.969519999999999</v>
      </c>
    </row>
    <row r="8946" spans="1:5" ht="18" x14ac:dyDescent="0.35">
      <c r="A8946" s="5" t="s">
        <v>791</v>
      </c>
      <c r="B8946" s="50" t="s">
        <v>33</v>
      </c>
      <c r="C8946" s="7">
        <v>4.9770000000000003</v>
      </c>
      <c r="D8946" s="7">
        <v>10</v>
      </c>
      <c r="E8946" s="85">
        <f>C8946*D8946</f>
        <v>49.77</v>
      </c>
    </row>
    <row r="8947" spans="1:5" ht="18" x14ac:dyDescent="0.35">
      <c r="A8947" s="5" t="s">
        <v>674</v>
      </c>
      <c r="B8947" s="50" t="s">
        <v>137</v>
      </c>
      <c r="C8947" s="7">
        <v>2</v>
      </c>
      <c r="D8947" s="7">
        <v>17.190000000000001</v>
      </c>
      <c r="E8947" s="85">
        <f>C8947*D8947</f>
        <v>34.380000000000003</v>
      </c>
    </row>
    <row r="8948" spans="1:5" ht="18" x14ac:dyDescent="0.35">
      <c r="A8948" s="5"/>
      <c r="B8948" s="50" t="s">
        <v>35</v>
      </c>
      <c r="C8948" s="7">
        <v>4</v>
      </c>
      <c r="D8948" s="7">
        <v>2.91</v>
      </c>
      <c r="E8948" s="85">
        <f>C8948*D8948</f>
        <v>11.64</v>
      </c>
    </row>
    <row r="8949" spans="1:5" ht="18" x14ac:dyDescent="0.35">
      <c r="A8949" s="5"/>
      <c r="B8949" s="50" t="s">
        <v>36</v>
      </c>
      <c r="C8949" s="7">
        <v>4</v>
      </c>
      <c r="D8949" s="7">
        <v>0.61</v>
      </c>
      <c r="E8949" s="85">
        <f>C8949*D8949</f>
        <v>2.44</v>
      </c>
    </row>
    <row r="8950" spans="1:5" ht="18" x14ac:dyDescent="0.35">
      <c r="A8950" s="5"/>
      <c r="B8950" s="50"/>
      <c r="C8950" s="87"/>
      <c r="D8950" s="88"/>
      <c r="E8950" s="85">
        <f>SUM(E8945:E8949)</f>
        <v>119.19951999999999</v>
      </c>
    </row>
    <row r="8951" spans="1:5" ht="18" x14ac:dyDescent="0.35">
      <c r="A8951" s="5"/>
      <c r="B8951" s="50"/>
      <c r="C8951" s="87"/>
      <c r="D8951" s="88" t="s">
        <v>1437</v>
      </c>
      <c r="E8951" s="85">
        <f>E8950+E8950*30%</f>
        <v>154.95937599999999</v>
      </c>
    </row>
    <row r="8952" spans="1:5" ht="18" x14ac:dyDescent="0.35">
      <c r="A8952" s="5"/>
      <c r="B8952" s="50" t="s">
        <v>37</v>
      </c>
      <c r="C8952" s="54">
        <v>0.2</v>
      </c>
      <c r="D8952" s="86">
        <v>200</v>
      </c>
      <c r="E8952" s="85">
        <f>C8952*D8952</f>
        <v>40</v>
      </c>
    </row>
    <row r="8953" spans="1:5" ht="18" x14ac:dyDescent="0.35">
      <c r="A8953" s="5"/>
      <c r="B8953" s="5"/>
      <c r="C8953" s="54"/>
      <c r="D8953" s="54"/>
      <c r="E8953" s="85">
        <f>SUM(E8951:E8952)</f>
        <v>194.95937599999999</v>
      </c>
    </row>
    <row r="8955" spans="1:5" ht="21" x14ac:dyDescent="0.4">
      <c r="A8955" s="40" t="s">
        <v>2066</v>
      </c>
      <c r="B8955" s="40"/>
      <c r="C8955" s="40"/>
      <c r="D8955" s="12"/>
      <c r="E8955" s="12"/>
    </row>
    <row r="8956" spans="1:5" ht="18" x14ac:dyDescent="0.35">
      <c r="A8956" s="5" t="s">
        <v>1202</v>
      </c>
      <c r="B8956" s="5"/>
      <c r="C8956" s="7" t="s">
        <v>28</v>
      </c>
      <c r="D8956" s="7" t="s">
        <v>29</v>
      </c>
      <c r="E8956" s="7" t="s">
        <v>30</v>
      </c>
    </row>
    <row r="8957" spans="1:5" ht="18" x14ac:dyDescent="0.35">
      <c r="A8957" s="5" t="s">
        <v>912</v>
      </c>
      <c r="B8957" s="50" t="s">
        <v>32</v>
      </c>
      <c r="C8957" s="7">
        <v>4.4640000000000004</v>
      </c>
      <c r="D8957" s="7">
        <v>10.34</v>
      </c>
      <c r="E8957" s="85">
        <f>C8957*D8957</f>
        <v>46.157760000000003</v>
      </c>
    </row>
    <row r="8958" spans="1:5" ht="18" x14ac:dyDescent="0.35">
      <c r="A8958" s="5" t="s">
        <v>810</v>
      </c>
      <c r="B8958" s="50" t="s">
        <v>33</v>
      </c>
      <c r="C8958" s="7">
        <v>6.2679999999999998</v>
      </c>
      <c r="D8958" s="7">
        <v>10</v>
      </c>
      <c r="E8958" s="85">
        <f>C8958*D8958</f>
        <v>62.68</v>
      </c>
    </row>
    <row r="8959" spans="1:5" ht="18" x14ac:dyDescent="0.35">
      <c r="A8959" s="5" t="s">
        <v>616</v>
      </c>
      <c r="B8959" s="50" t="s">
        <v>137</v>
      </c>
      <c r="C8959" s="7">
        <v>0.315</v>
      </c>
      <c r="D8959" s="7">
        <v>17.190000000000001</v>
      </c>
      <c r="E8959" s="85">
        <f>C8959*D8959</f>
        <v>5.4148500000000004</v>
      </c>
    </row>
    <row r="8960" spans="1:5" ht="18" x14ac:dyDescent="0.35">
      <c r="A8960" s="5" t="s">
        <v>2100</v>
      </c>
      <c r="B8960" s="50" t="s">
        <v>35</v>
      </c>
      <c r="C8960" s="7">
        <v>4</v>
      </c>
      <c r="D8960" s="7">
        <v>2.91</v>
      </c>
      <c r="E8960" s="85">
        <f>C8960*D8960</f>
        <v>11.64</v>
      </c>
    </row>
    <row r="8961" spans="1:5" ht="18" x14ac:dyDescent="0.35">
      <c r="A8961" s="5"/>
      <c r="B8961" s="50" t="s">
        <v>36</v>
      </c>
      <c r="C8961" s="7">
        <v>4</v>
      </c>
      <c r="D8961" s="7">
        <v>0.61</v>
      </c>
      <c r="E8961" s="85">
        <f>C8961*D8961</f>
        <v>2.44</v>
      </c>
    </row>
    <row r="8962" spans="1:5" ht="18" x14ac:dyDescent="0.35">
      <c r="A8962" s="5"/>
      <c r="B8962" s="50"/>
      <c r="C8962" s="87"/>
      <c r="D8962" s="88"/>
      <c r="E8962" s="85">
        <f>SUM(E8957:E8961)</f>
        <v>128.33261000000002</v>
      </c>
    </row>
    <row r="8963" spans="1:5" ht="18" x14ac:dyDescent="0.35">
      <c r="A8963" s="5"/>
      <c r="B8963" s="50"/>
      <c r="C8963" s="87"/>
      <c r="D8963" s="88" t="s">
        <v>1266</v>
      </c>
      <c r="E8963" s="85">
        <f>E8962+E8962*40%</f>
        <v>179.66565400000002</v>
      </c>
    </row>
    <row r="8964" spans="1:5" ht="18" x14ac:dyDescent="0.35">
      <c r="A8964" s="5"/>
      <c r="B8964" s="50" t="s">
        <v>37</v>
      </c>
      <c r="C8964" s="54">
        <v>0.5</v>
      </c>
      <c r="D8964" s="86">
        <v>200</v>
      </c>
      <c r="E8964" s="85">
        <f>C8964*D8964</f>
        <v>100</v>
      </c>
    </row>
    <row r="8965" spans="1:5" ht="18" x14ac:dyDescent="0.35">
      <c r="A8965" s="5"/>
      <c r="B8965" s="5"/>
      <c r="C8965" s="54"/>
      <c r="D8965" s="54"/>
      <c r="E8965" s="85">
        <f>SUM(E8963:E8964)</f>
        <v>279.66565400000002</v>
      </c>
    </row>
    <row r="8967" spans="1:5" ht="21" x14ac:dyDescent="0.4">
      <c r="A8967" s="40" t="s">
        <v>2066</v>
      </c>
      <c r="B8967" s="40"/>
      <c r="C8967" s="40"/>
      <c r="D8967" s="12"/>
      <c r="E8967" s="12"/>
    </row>
    <row r="8968" spans="1:5" ht="18" x14ac:dyDescent="0.35">
      <c r="A8968" s="5" t="s">
        <v>1202</v>
      </c>
      <c r="B8968" s="5"/>
      <c r="C8968" s="7" t="s">
        <v>28</v>
      </c>
      <c r="D8968" s="7" t="s">
        <v>29</v>
      </c>
      <c r="E8968" s="7" t="s">
        <v>30</v>
      </c>
    </row>
    <row r="8969" spans="1:5" ht="18" x14ac:dyDescent="0.35">
      <c r="A8969" s="5" t="s">
        <v>182</v>
      </c>
      <c r="B8969" s="50" t="s">
        <v>32</v>
      </c>
      <c r="C8969" s="7">
        <v>1.5029999999999999</v>
      </c>
      <c r="D8969" s="7">
        <v>10.34</v>
      </c>
      <c r="E8969" s="85">
        <f>C8969*D8969</f>
        <v>15.541019999999998</v>
      </c>
    </row>
    <row r="8970" spans="1:5" ht="18" x14ac:dyDescent="0.35">
      <c r="A8970" s="5" t="s">
        <v>810</v>
      </c>
      <c r="B8970" s="50" t="s">
        <v>33</v>
      </c>
      <c r="C8970" s="7">
        <v>1.8580000000000001</v>
      </c>
      <c r="D8970" s="7">
        <v>10</v>
      </c>
      <c r="E8970" s="85">
        <f>C8970*D8970</f>
        <v>18.580000000000002</v>
      </c>
    </row>
    <row r="8971" spans="1:5" ht="18" x14ac:dyDescent="0.35">
      <c r="A8971" s="5" t="s">
        <v>619</v>
      </c>
      <c r="B8971" s="50" t="s">
        <v>137</v>
      </c>
      <c r="C8971" s="7">
        <v>0.105</v>
      </c>
      <c r="D8971" s="7">
        <v>17.190000000000001</v>
      </c>
      <c r="E8971" s="85">
        <f>C8971*D8971</f>
        <v>1.8049500000000001</v>
      </c>
    </row>
    <row r="8972" spans="1:5" ht="18" x14ac:dyDescent="0.35">
      <c r="A8972" s="5" t="s">
        <v>2100</v>
      </c>
      <c r="B8972" s="50" t="s">
        <v>35</v>
      </c>
      <c r="C8972" s="7">
        <v>4</v>
      </c>
      <c r="D8972" s="7">
        <v>2.91</v>
      </c>
      <c r="E8972" s="85">
        <f>C8972*D8972</f>
        <v>11.64</v>
      </c>
    </row>
    <row r="8973" spans="1:5" ht="18" x14ac:dyDescent="0.35">
      <c r="A8973" s="5"/>
      <c r="B8973" s="50" t="s">
        <v>36</v>
      </c>
      <c r="C8973" s="7">
        <v>4</v>
      </c>
      <c r="D8973" s="7">
        <v>0.61</v>
      </c>
      <c r="E8973" s="85">
        <f>C8973*D8973</f>
        <v>2.44</v>
      </c>
    </row>
    <row r="8974" spans="1:5" ht="18" x14ac:dyDescent="0.35">
      <c r="A8974" s="5"/>
      <c r="B8974" s="50"/>
      <c r="C8974" s="87"/>
      <c r="D8974" s="88"/>
      <c r="E8974" s="85">
        <f>SUM(E8969:E8973)</f>
        <v>50.005969999999998</v>
      </c>
    </row>
    <row r="8975" spans="1:5" ht="18" x14ac:dyDescent="0.35">
      <c r="A8975" s="5"/>
      <c r="B8975" s="50"/>
      <c r="C8975" s="87"/>
      <c r="D8975" s="88" t="s">
        <v>1266</v>
      </c>
      <c r="E8975" s="85">
        <f>E8974+E8974*40%</f>
        <v>70.008358000000001</v>
      </c>
    </row>
    <row r="8976" spans="1:5" ht="18" x14ac:dyDescent="0.35">
      <c r="A8976" s="5"/>
      <c r="B8976" s="50" t="s">
        <v>37</v>
      </c>
      <c r="C8976" s="54">
        <v>0.2</v>
      </c>
      <c r="D8976" s="86">
        <v>200</v>
      </c>
      <c r="E8976" s="85">
        <f>C8976*D8976</f>
        <v>40</v>
      </c>
    </row>
    <row r="8977" spans="1:5" ht="18" x14ac:dyDescent="0.35">
      <c r="A8977" s="5"/>
      <c r="B8977" s="5"/>
      <c r="C8977" s="54"/>
      <c r="D8977" s="54"/>
      <c r="E8977" s="85">
        <f>SUM(E8975:E8976)</f>
        <v>110.008358</v>
      </c>
    </row>
    <row r="8979" spans="1:5" ht="21" x14ac:dyDescent="0.4">
      <c r="A8979" s="40" t="s">
        <v>602</v>
      </c>
      <c r="B8979" s="40"/>
      <c r="C8979" s="84"/>
    </row>
    <row r="8980" spans="1:5" ht="18" x14ac:dyDescent="0.35">
      <c r="B8980" s="5"/>
      <c r="C8980" s="7" t="s">
        <v>28</v>
      </c>
      <c r="D8980" s="7" t="s">
        <v>29</v>
      </c>
      <c r="E8980" s="7" t="s">
        <v>30</v>
      </c>
    </row>
    <row r="8981" spans="1:5" ht="18" x14ac:dyDescent="0.35">
      <c r="A8981" s="5" t="s">
        <v>38</v>
      </c>
      <c r="B8981" s="50" t="s">
        <v>32</v>
      </c>
      <c r="C8981" s="7"/>
      <c r="D8981" s="7">
        <v>14.93</v>
      </c>
      <c r="E8981" s="85">
        <f t="shared" ref="E8981:E8988" si="534">C8981*D8981</f>
        <v>0</v>
      </c>
    </row>
    <row r="8982" spans="1:5" ht="18" x14ac:dyDescent="0.35">
      <c r="A8982" s="5" t="s">
        <v>238</v>
      </c>
      <c r="B8982" s="50" t="s">
        <v>33</v>
      </c>
      <c r="C8982" s="7"/>
      <c r="D8982" s="7">
        <v>10</v>
      </c>
      <c r="E8982" s="85">
        <f t="shared" si="534"/>
        <v>0</v>
      </c>
    </row>
    <row r="8983" spans="1:5" ht="18" x14ac:dyDescent="0.35">
      <c r="A8983" s="5" t="s">
        <v>238</v>
      </c>
      <c r="B8983" s="50" t="s">
        <v>33</v>
      </c>
      <c r="C8983" s="7"/>
      <c r="D8983" s="7">
        <v>10</v>
      </c>
      <c r="E8983" s="85">
        <f t="shared" si="534"/>
        <v>0</v>
      </c>
    </row>
    <row r="8984" spans="1:5" ht="18" x14ac:dyDescent="0.35">
      <c r="A8984" s="5" t="s">
        <v>623</v>
      </c>
      <c r="B8984" s="50" t="s">
        <v>113</v>
      </c>
      <c r="C8984" s="7">
        <v>2</v>
      </c>
      <c r="D8984" s="7">
        <v>1.1499999999999999</v>
      </c>
      <c r="E8984" s="85">
        <f t="shared" si="534"/>
        <v>2.2999999999999998</v>
      </c>
    </row>
    <row r="8985" spans="1:5" ht="18" x14ac:dyDescent="0.35">
      <c r="A8985" s="5" t="s">
        <v>1954</v>
      </c>
      <c r="B8985" s="50" t="s">
        <v>42</v>
      </c>
      <c r="C8985" s="7">
        <v>2</v>
      </c>
      <c r="D8985" s="7">
        <v>1.1499999999999999</v>
      </c>
      <c r="E8985" s="85">
        <f t="shared" si="534"/>
        <v>2.2999999999999998</v>
      </c>
    </row>
    <row r="8986" spans="1:5" ht="18" x14ac:dyDescent="0.35">
      <c r="A8986" s="5"/>
      <c r="B8986" s="50" t="s">
        <v>34</v>
      </c>
      <c r="C8986" s="7"/>
      <c r="D8986" s="7">
        <v>14.61</v>
      </c>
      <c r="E8986" s="85">
        <f t="shared" si="534"/>
        <v>0</v>
      </c>
    </row>
    <row r="8987" spans="1:5" ht="18" x14ac:dyDescent="0.35">
      <c r="A8987" s="5"/>
      <c r="B8987" s="50" t="s">
        <v>35</v>
      </c>
      <c r="C8987" s="7">
        <v>4</v>
      </c>
      <c r="D8987" s="7">
        <v>2.91</v>
      </c>
      <c r="E8987" s="85">
        <f t="shared" si="534"/>
        <v>11.64</v>
      </c>
    </row>
    <row r="8988" spans="1:5" ht="18" x14ac:dyDescent="0.35">
      <c r="A8988" s="5"/>
      <c r="B8988" s="50" t="s">
        <v>36</v>
      </c>
      <c r="C8988" s="7">
        <v>4</v>
      </c>
      <c r="D8988" s="7">
        <v>0.61</v>
      </c>
      <c r="E8988" s="85">
        <f t="shared" si="534"/>
        <v>2.44</v>
      </c>
    </row>
    <row r="8989" spans="1:5" ht="18" x14ac:dyDescent="0.35">
      <c r="A8989" s="5"/>
      <c r="B8989" s="5"/>
      <c r="C8989" s="54"/>
      <c r="D8989" s="54"/>
      <c r="E8989" s="89">
        <f>SUM(E8981:E8988)</f>
        <v>18.680000000000003</v>
      </c>
    </row>
    <row r="8990" spans="1:5" ht="18" x14ac:dyDescent="0.35">
      <c r="A8990" s="5"/>
      <c r="B8990" s="5"/>
      <c r="C8990" s="54"/>
      <c r="D8990" s="54" t="s">
        <v>1116</v>
      </c>
      <c r="E8990" s="89">
        <f>E8989+E8989*30%</f>
        <v>24.284000000000006</v>
      </c>
    </row>
    <row r="8991" spans="1:5" ht="18" x14ac:dyDescent="0.35">
      <c r="A8991" s="5"/>
      <c r="B8991" s="50" t="s">
        <v>37</v>
      </c>
      <c r="C8991" s="54">
        <v>0.2</v>
      </c>
      <c r="D8991" s="54">
        <v>200</v>
      </c>
      <c r="E8991" s="85">
        <f>C8991*D8991</f>
        <v>40</v>
      </c>
    </row>
    <row r="8992" spans="1:5" ht="18" x14ac:dyDescent="0.35">
      <c r="E8992" s="85">
        <f>SUM(E8990:E8991)</f>
        <v>64.284000000000006</v>
      </c>
    </row>
    <row r="8994" spans="1:5" ht="21" x14ac:dyDescent="0.4">
      <c r="A8994" s="40" t="s">
        <v>2062</v>
      </c>
      <c r="B8994" s="40"/>
      <c r="C8994" s="84"/>
    </row>
    <row r="8995" spans="1:5" ht="18" x14ac:dyDescent="0.35">
      <c r="B8995" s="5"/>
      <c r="C8995" s="7" t="s">
        <v>28</v>
      </c>
      <c r="D8995" s="7" t="s">
        <v>29</v>
      </c>
      <c r="E8995" s="7" t="s">
        <v>30</v>
      </c>
    </row>
    <row r="8996" spans="1:5" ht="18" x14ac:dyDescent="0.35">
      <c r="A8996" s="5" t="s">
        <v>291</v>
      </c>
      <c r="B8996" s="50" t="s">
        <v>32</v>
      </c>
      <c r="C8996" s="7">
        <v>2.6589999999999998</v>
      </c>
      <c r="D8996" s="7">
        <v>16.43</v>
      </c>
      <c r="E8996" s="85">
        <f t="shared" ref="E8996:E9003" si="535">C8996*D8996</f>
        <v>43.687369999999994</v>
      </c>
    </row>
    <row r="8997" spans="1:5" ht="18" x14ac:dyDescent="0.35">
      <c r="A8997" s="5" t="s">
        <v>56</v>
      </c>
      <c r="B8997" s="50" t="s">
        <v>33</v>
      </c>
      <c r="C8997" s="7">
        <v>17.965</v>
      </c>
      <c r="D8997" s="7">
        <v>11.37</v>
      </c>
      <c r="E8997" s="85">
        <f t="shared" si="535"/>
        <v>204.26204999999999</v>
      </c>
    </row>
    <row r="8998" spans="1:5" ht="18" x14ac:dyDescent="0.35">
      <c r="A8998" s="5" t="s">
        <v>56</v>
      </c>
      <c r="B8998" s="50" t="s">
        <v>33</v>
      </c>
      <c r="C8998" s="7">
        <v>17.965</v>
      </c>
      <c r="D8998" s="7">
        <v>11.37</v>
      </c>
      <c r="E8998" s="85">
        <f t="shared" si="535"/>
        <v>204.26204999999999</v>
      </c>
    </row>
    <row r="8999" spans="1:5" ht="18" x14ac:dyDescent="0.35">
      <c r="A8999" s="5" t="s">
        <v>820</v>
      </c>
      <c r="B8999" s="50" t="s">
        <v>98</v>
      </c>
      <c r="C8999" s="7">
        <v>2</v>
      </c>
      <c r="D8999" s="7">
        <v>4.42</v>
      </c>
      <c r="E8999" s="85">
        <f t="shared" si="535"/>
        <v>8.84</v>
      </c>
    </row>
    <row r="9000" spans="1:5" ht="18" x14ac:dyDescent="0.35">
      <c r="A9000" s="5" t="s">
        <v>1954</v>
      </c>
      <c r="B9000" s="50" t="s">
        <v>98</v>
      </c>
      <c r="C9000" s="7">
        <v>2</v>
      </c>
      <c r="D9000" s="7">
        <v>4.42</v>
      </c>
      <c r="E9000" s="85">
        <f t="shared" si="535"/>
        <v>8.84</v>
      </c>
    </row>
    <row r="9001" spans="1:5" ht="18" x14ac:dyDescent="0.35">
      <c r="A9001" s="5"/>
      <c r="B9001" s="50" t="s">
        <v>34</v>
      </c>
      <c r="C9001" s="7">
        <v>0.6</v>
      </c>
      <c r="D9001" s="7">
        <v>14.61</v>
      </c>
      <c r="E9001" s="85">
        <f t="shared" si="535"/>
        <v>8.766</v>
      </c>
    </row>
    <row r="9002" spans="1:5" ht="18" x14ac:dyDescent="0.35">
      <c r="A9002" s="5"/>
      <c r="B9002" s="50" t="s">
        <v>35</v>
      </c>
      <c r="C9002" s="7">
        <v>4</v>
      </c>
      <c r="D9002" s="7">
        <v>2.91</v>
      </c>
      <c r="E9002" s="85">
        <f t="shared" si="535"/>
        <v>11.64</v>
      </c>
    </row>
    <row r="9003" spans="1:5" ht="18" x14ac:dyDescent="0.35">
      <c r="A9003" s="5"/>
      <c r="B9003" s="50" t="s">
        <v>36</v>
      </c>
      <c r="C9003" s="7">
        <v>4</v>
      </c>
      <c r="D9003" s="7">
        <v>0.61</v>
      </c>
      <c r="E9003" s="85">
        <f t="shared" si="535"/>
        <v>2.44</v>
      </c>
    </row>
    <row r="9004" spans="1:5" ht="18" x14ac:dyDescent="0.35">
      <c r="A9004" s="5"/>
      <c r="B9004" s="5"/>
      <c r="C9004" s="54"/>
      <c r="D9004" s="54"/>
      <c r="E9004" s="89">
        <f>SUM(E8996:E9003)</f>
        <v>492.73746999999992</v>
      </c>
    </row>
    <row r="9005" spans="1:5" ht="18" x14ac:dyDescent="0.35">
      <c r="A9005" s="5"/>
      <c r="B9005" s="5"/>
      <c r="C9005" s="54"/>
      <c r="D9005" s="54" t="s">
        <v>1116</v>
      </c>
      <c r="E9005" s="89">
        <f>E9004+E9004*30%</f>
        <v>640.5587109999999</v>
      </c>
    </row>
    <row r="9006" spans="1:5" ht="18" x14ac:dyDescent="0.35">
      <c r="A9006" s="5"/>
      <c r="B9006" s="50" t="s">
        <v>37</v>
      </c>
      <c r="C9006" s="54">
        <v>0.5</v>
      </c>
      <c r="D9006" s="54">
        <v>200</v>
      </c>
      <c r="E9006" s="85">
        <f>C9006*D9006</f>
        <v>100</v>
      </c>
    </row>
    <row r="9007" spans="1:5" ht="18" x14ac:dyDescent="0.35">
      <c r="E9007" s="85">
        <f>SUM(E9005:E9006)</f>
        <v>740.5587109999999</v>
      </c>
    </row>
    <row r="9009" spans="1:5" ht="21" x14ac:dyDescent="0.4">
      <c r="A9009" s="40" t="s">
        <v>1923</v>
      </c>
      <c r="B9009" s="40"/>
      <c r="C9009" s="84"/>
    </row>
    <row r="9010" spans="1:5" x14ac:dyDescent="0.3">
      <c r="A9010" t="s">
        <v>1862</v>
      </c>
    </row>
    <row r="9011" spans="1:5" ht="18" x14ac:dyDescent="0.35">
      <c r="A9011" s="5" t="s">
        <v>291</v>
      </c>
      <c r="B9011" s="5"/>
      <c r="C9011" s="7" t="s">
        <v>28</v>
      </c>
      <c r="D9011" s="7" t="s">
        <v>29</v>
      </c>
      <c r="E9011" s="7" t="s">
        <v>30</v>
      </c>
    </row>
    <row r="9012" spans="1:5" ht="18" x14ac:dyDescent="0.35">
      <c r="A9012" s="5" t="s">
        <v>56</v>
      </c>
      <c r="B9012" s="50" t="s">
        <v>32</v>
      </c>
      <c r="C9012" s="7">
        <v>2.6589999999999998</v>
      </c>
      <c r="D9012" s="7">
        <v>10.34</v>
      </c>
      <c r="E9012" s="85">
        <f t="shared" ref="E9012:E9017" si="536">C9012*D9012</f>
        <v>27.494059999999998</v>
      </c>
    </row>
    <row r="9013" spans="1:5" ht="18" x14ac:dyDescent="0.35">
      <c r="A9013" s="5" t="s">
        <v>681</v>
      </c>
      <c r="B9013" s="50" t="s">
        <v>33</v>
      </c>
      <c r="C9013" s="7">
        <v>17.965</v>
      </c>
      <c r="D9013" s="7">
        <v>10</v>
      </c>
      <c r="E9013" s="85">
        <f t="shared" si="536"/>
        <v>179.65</v>
      </c>
    </row>
    <row r="9014" spans="1:5" ht="18" x14ac:dyDescent="0.35">
      <c r="A9014" s="102"/>
      <c r="B9014" s="50" t="s">
        <v>98</v>
      </c>
      <c r="C9014" s="7">
        <v>2</v>
      </c>
      <c r="D9014" s="7">
        <v>4.42</v>
      </c>
      <c r="E9014" s="85">
        <f t="shared" si="536"/>
        <v>8.84</v>
      </c>
    </row>
    <row r="9015" spans="1:5" ht="18" x14ac:dyDescent="0.35">
      <c r="A9015" s="5"/>
      <c r="B9015" s="50" t="s">
        <v>34</v>
      </c>
      <c r="C9015" s="7">
        <v>0.6</v>
      </c>
      <c r="D9015" s="7">
        <v>3.4</v>
      </c>
      <c r="E9015" s="85">
        <f t="shared" si="536"/>
        <v>2.04</v>
      </c>
    </row>
    <row r="9016" spans="1:5" ht="18" x14ac:dyDescent="0.35">
      <c r="A9016" s="5"/>
      <c r="B9016" s="50" t="s">
        <v>35</v>
      </c>
      <c r="C9016" s="7">
        <v>4</v>
      </c>
      <c r="D9016" s="7">
        <v>2.91</v>
      </c>
      <c r="E9016" s="85">
        <f t="shared" si="536"/>
        <v>11.64</v>
      </c>
    </row>
    <row r="9017" spans="1:5" ht="18" x14ac:dyDescent="0.35">
      <c r="A9017" s="5"/>
      <c r="B9017" s="50" t="s">
        <v>36</v>
      </c>
      <c r="C9017" s="7">
        <v>4</v>
      </c>
      <c r="D9017" s="7">
        <v>0.61</v>
      </c>
      <c r="E9017" s="85">
        <f t="shared" si="536"/>
        <v>2.44</v>
      </c>
    </row>
    <row r="9018" spans="1:5" ht="18" x14ac:dyDescent="0.35">
      <c r="A9018" s="5"/>
      <c r="B9018" s="5"/>
      <c r="C9018" s="54"/>
      <c r="D9018" s="54"/>
      <c r="E9018" s="89">
        <f>SUM(E9012:E9017)</f>
        <v>232.10406</v>
      </c>
    </row>
    <row r="9019" spans="1:5" ht="18" x14ac:dyDescent="0.35">
      <c r="A9019" s="5"/>
      <c r="B9019" s="5"/>
      <c r="C9019" s="54"/>
      <c r="D9019" s="54" t="s">
        <v>1161</v>
      </c>
      <c r="E9019" s="89">
        <f>E9018+E9018*30%</f>
        <v>301.73527799999999</v>
      </c>
    </row>
    <row r="9020" spans="1:5" ht="18" x14ac:dyDescent="0.35">
      <c r="A9020" s="5"/>
      <c r="B9020" s="50" t="s">
        <v>37</v>
      </c>
      <c r="C9020" s="54">
        <v>0.5</v>
      </c>
      <c r="D9020" s="54">
        <v>200</v>
      </c>
      <c r="E9020" s="85">
        <f>C9020*D9020</f>
        <v>100</v>
      </c>
    </row>
    <row r="9021" spans="1:5" ht="18" x14ac:dyDescent="0.35">
      <c r="A9021" s="5"/>
      <c r="B9021" s="5"/>
      <c r="C9021" s="54"/>
      <c r="D9021" s="54"/>
      <c r="E9021" s="85">
        <f>SUM(E9019:E9020)</f>
        <v>401.73527799999999</v>
      </c>
    </row>
    <row r="9023" spans="1:5" ht="21" x14ac:dyDescent="0.4">
      <c r="A9023" s="40" t="s">
        <v>2062</v>
      </c>
      <c r="B9023" s="40"/>
      <c r="C9023" s="84"/>
    </row>
    <row r="9024" spans="1:5" ht="18" x14ac:dyDescent="0.35">
      <c r="B9024" s="5"/>
      <c r="C9024" s="7" t="s">
        <v>28</v>
      </c>
      <c r="D9024" s="7" t="s">
        <v>29</v>
      </c>
      <c r="E9024" s="7" t="s">
        <v>30</v>
      </c>
    </row>
    <row r="9025" spans="1:5" ht="18" x14ac:dyDescent="0.35">
      <c r="A9025" s="5" t="s">
        <v>38</v>
      </c>
      <c r="B9025" s="50" t="s">
        <v>32</v>
      </c>
      <c r="C9025" s="7">
        <v>0.97799999999999998</v>
      </c>
      <c r="D9025" s="7">
        <v>16.43</v>
      </c>
      <c r="E9025" s="85">
        <f t="shared" ref="E9025:E9032" si="537">C9025*D9025</f>
        <v>16.068539999999999</v>
      </c>
    </row>
    <row r="9026" spans="1:5" ht="18" x14ac:dyDescent="0.35">
      <c r="A9026" s="5" t="s">
        <v>238</v>
      </c>
      <c r="B9026" s="50" t="s">
        <v>33</v>
      </c>
      <c r="C9026" s="7">
        <v>1.218</v>
      </c>
      <c r="D9026" s="7">
        <v>10</v>
      </c>
      <c r="E9026" s="85">
        <f t="shared" si="537"/>
        <v>12.18</v>
      </c>
    </row>
    <row r="9027" spans="1:5" ht="18" x14ac:dyDescent="0.35">
      <c r="A9027" s="5" t="s">
        <v>217</v>
      </c>
      <c r="B9027" s="50" t="s">
        <v>33</v>
      </c>
      <c r="C9027" s="7">
        <v>1.323</v>
      </c>
      <c r="D9027" s="7">
        <v>10</v>
      </c>
      <c r="E9027" s="85">
        <f t="shared" si="537"/>
        <v>13.23</v>
      </c>
    </row>
    <row r="9028" spans="1:5" ht="18" x14ac:dyDescent="0.35">
      <c r="A9028" s="5" t="s">
        <v>952</v>
      </c>
      <c r="B9028" s="50" t="s">
        <v>86</v>
      </c>
      <c r="C9028" s="7">
        <v>2</v>
      </c>
      <c r="D9028" s="7">
        <v>1.7</v>
      </c>
      <c r="E9028" s="85">
        <f t="shared" si="537"/>
        <v>3.4</v>
      </c>
    </row>
    <row r="9029" spans="1:5" ht="18" x14ac:dyDescent="0.35">
      <c r="A9029" s="5" t="s">
        <v>1954</v>
      </c>
      <c r="B9029" s="50" t="s">
        <v>42</v>
      </c>
      <c r="C9029" s="7">
        <v>2</v>
      </c>
      <c r="D9029" s="7">
        <v>1.1499999999999999</v>
      </c>
      <c r="E9029" s="85">
        <f t="shared" si="537"/>
        <v>2.2999999999999998</v>
      </c>
    </row>
    <row r="9030" spans="1:5" ht="18" x14ac:dyDescent="0.35">
      <c r="A9030" s="5"/>
      <c r="B9030" s="50" t="s">
        <v>34</v>
      </c>
      <c r="C9030" s="7"/>
      <c r="D9030" s="7">
        <v>14.61</v>
      </c>
      <c r="E9030" s="85">
        <f t="shared" si="537"/>
        <v>0</v>
      </c>
    </row>
    <row r="9031" spans="1:5" ht="18" x14ac:dyDescent="0.35">
      <c r="A9031" s="5"/>
      <c r="B9031" s="50" t="s">
        <v>35</v>
      </c>
      <c r="C9031" s="7">
        <v>4</v>
      </c>
      <c r="D9031" s="7">
        <v>2.91</v>
      </c>
      <c r="E9031" s="85">
        <f t="shared" si="537"/>
        <v>11.64</v>
      </c>
    </row>
    <row r="9032" spans="1:5" ht="18" x14ac:dyDescent="0.35">
      <c r="A9032" s="5"/>
      <c r="B9032" s="50" t="s">
        <v>36</v>
      </c>
      <c r="C9032" s="7">
        <v>4</v>
      </c>
      <c r="D9032" s="7">
        <v>0.61</v>
      </c>
      <c r="E9032" s="85">
        <f t="shared" si="537"/>
        <v>2.44</v>
      </c>
    </row>
    <row r="9033" spans="1:5" ht="18" x14ac:dyDescent="0.35">
      <c r="A9033" s="5"/>
      <c r="B9033" s="5"/>
      <c r="C9033" s="54"/>
      <c r="D9033" s="54"/>
      <c r="E9033" s="89">
        <f>SUM(E9025:E9032)</f>
        <v>61.258539999999989</v>
      </c>
    </row>
    <row r="9034" spans="1:5" ht="18" x14ac:dyDescent="0.35">
      <c r="A9034" s="5"/>
      <c r="B9034" s="5"/>
      <c r="C9034" s="54"/>
      <c r="D9034" s="54" t="s">
        <v>1116</v>
      </c>
      <c r="E9034" s="89">
        <f>E9033+E9033*30%</f>
        <v>79.636101999999994</v>
      </c>
    </row>
    <row r="9035" spans="1:5" ht="18" x14ac:dyDescent="0.35">
      <c r="A9035" s="5"/>
      <c r="B9035" s="50" t="s">
        <v>37</v>
      </c>
      <c r="C9035" s="54">
        <v>0.35</v>
      </c>
      <c r="D9035" s="54">
        <v>150</v>
      </c>
      <c r="E9035" s="85">
        <f>C9035*D9035</f>
        <v>52.5</v>
      </c>
    </row>
    <row r="9036" spans="1:5" ht="18" x14ac:dyDescent="0.35">
      <c r="E9036" s="85">
        <f>SUM(E9034:E9035)</f>
        <v>132.13610199999999</v>
      </c>
    </row>
    <row r="9039" spans="1:5" ht="21" x14ac:dyDescent="0.4">
      <c r="A9039" s="40" t="s">
        <v>2101</v>
      </c>
      <c r="B9039" s="40"/>
      <c r="C9039" s="84"/>
    </row>
    <row r="9040" spans="1:5" x14ac:dyDescent="0.3">
      <c r="A9040" t="s">
        <v>1202</v>
      </c>
    </row>
    <row r="9041" spans="1:5" ht="18" x14ac:dyDescent="0.35">
      <c r="A9041" s="5" t="s">
        <v>2102</v>
      </c>
      <c r="B9041" s="5"/>
      <c r="C9041" s="7" t="s">
        <v>28</v>
      </c>
      <c r="D9041" s="7" t="s">
        <v>29</v>
      </c>
      <c r="E9041" s="7" t="s">
        <v>30</v>
      </c>
    </row>
    <row r="9042" spans="1:5" ht="18" x14ac:dyDescent="0.35">
      <c r="A9042" s="5" t="s">
        <v>699</v>
      </c>
      <c r="B9042" s="50" t="s">
        <v>32</v>
      </c>
      <c r="C9042" s="7">
        <v>5.1989999999999998</v>
      </c>
      <c r="D9042" s="7">
        <v>16.43</v>
      </c>
      <c r="E9042" s="85">
        <f t="shared" ref="E9042:E9047" si="538">C9042*D9042</f>
        <v>85.419569999999993</v>
      </c>
    </row>
    <row r="9043" spans="1:5" ht="18" x14ac:dyDescent="0.35">
      <c r="A9043" s="5" t="s">
        <v>2103</v>
      </c>
      <c r="B9043" s="50" t="s">
        <v>33</v>
      </c>
      <c r="C9043" s="7">
        <v>50.505000000000003</v>
      </c>
      <c r="D9043" s="7">
        <v>10</v>
      </c>
      <c r="E9043" s="85">
        <f t="shared" si="538"/>
        <v>505.05</v>
      </c>
    </row>
    <row r="9044" spans="1:5" ht="18" x14ac:dyDescent="0.35">
      <c r="A9044" s="102"/>
      <c r="B9044" s="50" t="s">
        <v>1208</v>
      </c>
      <c r="C9044" s="7">
        <v>2</v>
      </c>
      <c r="D9044" s="7">
        <v>4.42</v>
      </c>
      <c r="E9044" s="85">
        <f t="shared" si="538"/>
        <v>8.84</v>
      </c>
    </row>
    <row r="9045" spans="1:5" ht="18" x14ac:dyDescent="0.35">
      <c r="A9045" s="5"/>
      <c r="B9045" s="50" t="s">
        <v>34</v>
      </c>
      <c r="C9045" s="7">
        <v>1.7330000000000001</v>
      </c>
      <c r="D9045" s="7">
        <v>3.4</v>
      </c>
      <c r="E9045" s="85">
        <f t="shared" si="538"/>
        <v>5.8921999999999999</v>
      </c>
    </row>
    <row r="9046" spans="1:5" ht="18" x14ac:dyDescent="0.35">
      <c r="A9046" s="5"/>
      <c r="B9046" s="50" t="s">
        <v>35</v>
      </c>
      <c r="C9046" s="7">
        <v>4</v>
      </c>
      <c r="D9046" s="7">
        <v>2.91</v>
      </c>
      <c r="E9046" s="85">
        <f t="shared" si="538"/>
        <v>11.64</v>
      </c>
    </row>
    <row r="9047" spans="1:5" ht="18" x14ac:dyDescent="0.35">
      <c r="A9047" s="5"/>
      <c r="B9047" s="50" t="s">
        <v>36</v>
      </c>
      <c r="C9047" s="7">
        <v>4</v>
      </c>
      <c r="D9047" s="7">
        <v>0.61</v>
      </c>
      <c r="E9047" s="85">
        <f t="shared" si="538"/>
        <v>2.44</v>
      </c>
    </row>
    <row r="9048" spans="1:5" ht="18" x14ac:dyDescent="0.35">
      <c r="A9048" s="5"/>
      <c r="B9048" s="5"/>
      <c r="C9048" s="54"/>
      <c r="D9048" s="54"/>
      <c r="E9048" s="89">
        <f>SUM(E9042:E9047)</f>
        <v>619.28177000000005</v>
      </c>
    </row>
    <row r="9049" spans="1:5" ht="18" x14ac:dyDescent="0.35">
      <c r="A9049" s="5"/>
      <c r="B9049" s="5"/>
      <c r="C9049" s="54"/>
      <c r="D9049" s="54" t="s">
        <v>1066</v>
      </c>
      <c r="E9049" s="89">
        <f>E9048+E9048*40%</f>
        <v>866.99447800000007</v>
      </c>
    </row>
    <row r="9050" spans="1:5" ht="18" x14ac:dyDescent="0.35">
      <c r="A9050" s="5"/>
      <c r="B9050" s="50" t="s">
        <v>37</v>
      </c>
      <c r="C9050" s="54">
        <v>1.5</v>
      </c>
      <c r="D9050" s="54">
        <v>200</v>
      </c>
      <c r="E9050" s="85">
        <f>C9050*D9050</f>
        <v>300</v>
      </c>
    </row>
    <row r="9051" spans="1:5" ht="18" x14ac:dyDescent="0.35">
      <c r="A9051" s="5"/>
      <c r="B9051" s="5"/>
      <c r="C9051" s="54"/>
      <c r="D9051" s="54"/>
      <c r="E9051" s="85">
        <f>SUM(E9049:E9050)</f>
        <v>1166.9944780000001</v>
      </c>
    </row>
    <row r="9053" spans="1:5" ht="21" x14ac:dyDescent="0.4">
      <c r="A9053" s="40" t="s">
        <v>1919</v>
      </c>
      <c r="B9053" s="40"/>
      <c r="C9053" s="84"/>
    </row>
    <row r="9054" spans="1:5" x14ac:dyDescent="0.3">
      <c r="A9054" t="s">
        <v>1202</v>
      </c>
    </row>
    <row r="9055" spans="1:5" ht="18" x14ac:dyDescent="0.35">
      <c r="A9055" s="5" t="s">
        <v>2104</v>
      </c>
      <c r="B9055" s="5"/>
      <c r="C9055" s="7" t="s">
        <v>28</v>
      </c>
      <c r="D9055" s="7" t="s">
        <v>29</v>
      </c>
      <c r="E9055" s="7" t="s">
        <v>30</v>
      </c>
    </row>
    <row r="9056" spans="1:5" ht="18" x14ac:dyDescent="0.35">
      <c r="A9056" s="5" t="s">
        <v>699</v>
      </c>
      <c r="B9056" s="50" t="s">
        <v>32</v>
      </c>
      <c r="C9056" s="7">
        <v>5.1989999999999998</v>
      </c>
      <c r="D9056" s="7">
        <v>16.43</v>
      </c>
      <c r="E9056" s="85">
        <f t="shared" ref="E9056:E9061" si="539">C9056*D9056</f>
        <v>85.419569999999993</v>
      </c>
    </row>
    <row r="9057" spans="1:5" ht="18" x14ac:dyDescent="0.35">
      <c r="A9057" s="5" t="s">
        <v>2103</v>
      </c>
      <c r="B9057" s="50" t="s">
        <v>33</v>
      </c>
      <c r="C9057" s="7">
        <v>50.505000000000003</v>
      </c>
      <c r="D9057" s="7">
        <v>10</v>
      </c>
      <c r="E9057" s="85">
        <f t="shared" si="539"/>
        <v>505.05</v>
      </c>
    </row>
    <row r="9058" spans="1:5" ht="18" x14ac:dyDescent="0.35">
      <c r="A9058" s="102"/>
      <c r="B9058" s="50" t="s">
        <v>1208</v>
      </c>
      <c r="C9058" s="7">
        <v>2</v>
      </c>
      <c r="D9058" s="7">
        <v>4.42</v>
      </c>
      <c r="E9058" s="85">
        <f t="shared" si="539"/>
        <v>8.84</v>
      </c>
    </row>
    <row r="9059" spans="1:5" ht="18" x14ac:dyDescent="0.35">
      <c r="A9059" s="5"/>
      <c r="B9059" s="50" t="s">
        <v>34</v>
      </c>
      <c r="C9059" s="7">
        <v>1.7330000000000001</v>
      </c>
      <c r="D9059" s="7">
        <v>3.4</v>
      </c>
      <c r="E9059" s="85">
        <f t="shared" si="539"/>
        <v>5.8921999999999999</v>
      </c>
    </row>
    <row r="9060" spans="1:5" ht="18" x14ac:dyDescent="0.35">
      <c r="A9060" s="5"/>
      <c r="B9060" s="50" t="s">
        <v>35</v>
      </c>
      <c r="C9060" s="7">
        <v>4</v>
      </c>
      <c r="D9060" s="7">
        <v>2.91</v>
      </c>
      <c r="E9060" s="85">
        <f t="shared" si="539"/>
        <v>11.64</v>
      </c>
    </row>
    <row r="9061" spans="1:5" ht="18" x14ac:dyDescent="0.35">
      <c r="A9061" s="5"/>
      <c r="B9061" s="50" t="s">
        <v>36</v>
      </c>
      <c r="C9061" s="7">
        <v>4</v>
      </c>
      <c r="D9061" s="7">
        <v>0.61</v>
      </c>
      <c r="E9061" s="85">
        <f t="shared" si="539"/>
        <v>2.44</v>
      </c>
    </row>
    <row r="9062" spans="1:5" ht="18" x14ac:dyDescent="0.35">
      <c r="A9062" s="5"/>
      <c r="B9062" s="5"/>
      <c r="C9062" s="54"/>
      <c r="D9062" s="54"/>
      <c r="E9062" s="89">
        <f>SUM(E9056:E9061)</f>
        <v>619.28177000000005</v>
      </c>
    </row>
    <row r="9063" spans="1:5" ht="18" x14ac:dyDescent="0.35">
      <c r="A9063" s="5"/>
      <c r="B9063" s="5"/>
      <c r="C9063" s="54"/>
      <c r="D9063" s="54" t="s">
        <v>1066</v>
      </c>
      <c r="E9063" s="89">
        <f>E9062+E9062*40%</f>
        <v>866.99447800000007</v>
      </c>
    </row>
    <row r="9064" spans="1:5" ht="18" x14ac:dyDescent="0.35">
      <c r="A9064" s="5"/>
      <c r="B9064" s="50" t="s">
        <v>37</v>
      </c>
      <c r="C9064" s="54">
        <v>1.5</v>
      </c>
      <c r="D9064" s="54">
        <v>200</v>
      </c>
      <c r="E9064" s="85">
        <f>C9064*D9064</f>
        <v>300</v>
      </c>
    </row>
    <row r="9065" spans="1:5" ht="18" x14ac:dyDescent="0.35">
      <c r="A9065" s="5"/>
      <c r="B9065" s="5"/>
      <c r="C9065" s="54"/>
      <c r="D9065" s="54"/>
      <c r="E9065" s="85">
        <f>SUM(E9063:E9064)</f>
        <v>1166.9944780000001</v>
      </c>
    </row>
    <row r="9067" spans="1:5" ht="21" x14ac:dyDescent="0.4">
      <c r="A9067" s="40" t="s">
        <v>2066</v>
      </c>
      <c r="B9067" s="40"/>
      <c r="C9067" s="40"/>
      <c r="D9067" s="12"/>
      <c r="E9067" s="12"/>
    </row>
    <row r="9068" spans="1:5" ht="18" x14ac:dyDescent="0.35">
      <c r="A9068" s="5" t="s">
        <v>2109</v>
      </c>
      <c r="B9068" s="5"/>
      <c r="C9068" s="7" t="s">
        <v>28</v>
      </c>
      <c r="D9068" s="7" t="s">
        <v>29</v>
      </c>
      <c r="E9068" s="7" t="s">
        <v>30</v>
      </c>
    </row>
    <row r="9069" spans="1:5" ht="18" x14ac:dyDescent="0.35">
      <c r="A9069" s="5" t="s">
        <v>81</v>
      </c>
      <c r="B9069" s="50" t="s">
        <v>32</v>
      </c>
      <c r="C9069" s="7">
        <v>2.6589999999999998</v>
      </c>
      <c r="D9069" s="7">
        <v>10.34</v>
      </c>
      <c r="E9069" s="85">
        <f>C9069*D9069</f>
        <v>27.494059999999998</v>
      </c>
    </row>
    <row r="9070" spans="1:5" ht="18" x14ac:dyDescent="0.35">
      <c r="A9070" s="5" t="s">
        <v>1356</v>
      </c>
      <c r="B9070" s="50" t="s">
        <v>33</v>
      </c>
      <c r="C9070" s="7">
        <v>14.553000000000001</v>
      </c>
      <c r="D9070" s="7">
        <v>6</v>
      </c>
      <c r="E9070" s="85">
        <f>C9070*D9070</f>
        <v>87.318000000000012</v>
      </c>
    </row>
    <row r="9071" spans="1:5" ht="18" x14ac:dyDescent="0.35">
      <c r="A9071" s="5" t="s">
        <v>659</v>
      </c>
      <c r="B9071" s="50" t="s">
        <v>137</v>
      </c>
      <c r="C9071" s="7">
        <v>0.63</v>
      </c>
      <c r="D9071" s="7">
        <v>17.190000000000001</v>
      </c>
      <c r="E9071" s="85">
        <f>C9071*D9071</f>
        <v>10.829700000000001</v>
      </c>
    </row>
    <row r="9072" spans="1:5" ht="18" x14ac:dyDescent="0.35">
      <c r="A9072" s="5" t="s">
        <v>2100</v>
      </c>
      <c r="B9072" s="50" t="s">
        <v>35</v>
      </c>
      <c r="C9072" s="7">
        <v>4</v>
      </c>
      <c r="D9072" s="7">
        <v>2.91</v>
      </c>
      <c r="E9072" s="85">
        <f>C9072*D9072</f>
        <v>11.64</v>
      </c>
    </row>
    <row r="9073" spans="1:5" ht="18" x14ac:dyDescent="0.35">
      <c r="A9073" s="5"/>
      <c r="B9073" s="50" t="s">
        <v>36</v>
      </c>
      <c r="C9073" s="7">
        <v>4</v>
      </c>
      <c r="D9073" s="7">
        <v>0.61</v>
      </c>
      <c r="E9073" s="85">
        <f>C9073*D9073</f>
        <v>2.44</v>
      </c>
    </row>
    <row r="9074" spans="1:5" ht="18" x14ac:dyDescent="0.35">
      <c r="A9074" s="5"/>
      <c r="B9074" s="50"/>
      <c r="C9074" s="87"/>
      <c r="D9074" s="88"/>
      <c r="E9074" s="85">
        <f>SUM(E9069:E9073)</f>
        <v>139.72176000000002</v>
      </c>
    </row>
    <row r="9075" spans="1:5" ht="18" x14ac:dyDescent="0.35">
      <c r="A9075" s="5"/>
      <c r="B9075" s="50"/>
      <c r="C9075" s="87"/>
      <c r="D9075" s="88" t="s">
        <v>1266</v>
      </c>
      <c r="E9075" s="85">
        <f>E9074+E9074*40%</f>
        <v>195.61046400000004</v>
      </c>
    </row>
    <row r="9076" spans="1:5" ht="18" x14ac:dyDescent="0.35">
      <c r="A9076" s="5"/>
      <c r="B9076" s="50" t="s">
        <v>37</v>
      </c>
      <c r="C9076" s="54">
        <v>1</v>
      </c>
      <c r="D9076" s="86">
        <v>85</v>
      </c>
      <c r="E9076" s="85">
        <f>C9076*D9076</f>
        <v>85</v>
      </c>
    </row>
    <row r="9077" spans="1:5" ht="18" x14ac:dyDescent="0.35">
      <c r="A9077" s="5"/>
      <c r="B9077" s="5"/>
      <c r="C9077" s="54"/>
      <c r="D9077" s="54"/>
      <c r="E9077" s="85">
        <f>SUM(E9075:E9076)</f>
        <v>280.61046400000004</v>
      </c>
    </row>
    <row r="9079" spans="1:5" ht="21" x14ac:dyDescent="0.4">
      <c r="A9079" s="40" t="s">
        <v>602</v>
      </c>
      <c r="B9079" s="40"/>
      <c r="C9079" s="84"/>
    </row>
    <row r="9080" spans="1:5" ht="18" x14ac:dyDescent="0.35">
      <c r="B9080" s="5"/>
      <c r="C9080" s="7" t="s">
        <v>28</v>
      </c>
      <c r="D9080" s="7" t="s">
        <v>29</v>
      </c>
      <c r="E9080" s="7" t="s">
        <v>30</v>
      </c>
    </row>
    <row r="9081" spans="1:5" ht="18" x14ac:dyDescent="0.35">
      <c r="A9081" s="5" t="s">
        <v>66</v>
      </c>
      <c r="B9081" s="50" t="s">
        <v>32</v>
      </c>
      <c r="C9081" s="7">
        <v>1.5029999999999999</v>
      </c>
      <c r="D9081" s="7">
        <v>14.93</v>
      </c>
      <c r="E9081" s="85">
        <f t="shared" ref="E9081:E9088" si="540">C9081*D9081</f>
        <v>22.439789999999999</v>
      </c>
    </row>
    <row r="9082" spans="1:5" ht="18" x14ac:dyDescent="0.35">
      <c r="A9082" s="5" t="s">
        <v>143</v>
      </c>
      <c r="B9082" s="50" t="s">
        <v>33</v>
      </c>
      <c r="C9082" s="7">
        <v>3.0870000000000002</v>
      </c>
      <c r="D9082" s="7">
        <v>10</v>
      </c>
      <c r="E9082" s="85">
        <f t="shared" si="540"/>
        <v>30.87</v>
      </c>
    </row>
    <row r="9083" spans="1:5" ht="18" x14ac:dyDescent="0.35">
      <c r="A9083" s="5" t="s">
        <v>55</v>
      </c>
      <c r="B9083" s="50" t="s">
        <v>33</v>
      </c>
      <c r="C9083" s="7">
        <v>3.528</v>
      </c>
      <c r="D9083" s="7">
        <v>10</v>
      </c>
      <c r="E9083" s="85">
        <f t="shared" si="540"/>
        <v>35.28</v>
      </c>
    </row>
    <row r="9084" spans="1:5" ht="18" x14ac:dyDescent="0.35">
      <c r="A9084" s="5" t="s">
        <v>682</v>
      </c>
      <c r="B9084" s="50" t="s">
        <v>113</v>
      </c>
      <c r="C9084" s="7">
        <v>2</v>
      </c>
      <c r="D9084" s="7">
        <v>2.2400000000000002</v>
      </c>
      <c r="E9084" s="85">
        <f t="shared" si="540"/>
        <v>4.4800000000000004</v>
      </c>
    </row>
    <row r="9085" spans="1:5" ht="18" x14ac:dyDescent="0.35">
      <c r="A9085" s="5" t="s">
        <v>1954</v>
      </c>
      <c r="B9085" s="50" t="s">
        <v>42</v>
      </c>
      <c r="C9085" s="7">
        <v>2</v>
      </c>
      <c r="D9085" s="7">
        <v>1.1499999999999999</v>
      </c>
      <c r="E9085" s="85">
        <f t="shared" si="540"/>
        <v>2.2999999999999998</v>
      </c>
    </row>
    <row r="9086" spans="1:5" ht="18" x14ac:dyDescent="0.35">
      <c r="A9086" s="5"/>
      <c r="B9086" s="50" t="s">
        <v>34</v>
      </c>
      <c r="C9086" s="7"/>
      <c r="D9086" s="7">
        <v>14.61</v>
      </c>
      <c r="E9086" s="85">
        <f t="shared" si="540"/>
        <v>0</v>
      </c>
    </row>
    <row r="9087" spans="1:5" ht="18" x14ac:dyDescent="0.35">
      <c r="A9087" s="5"/>
      <c r="B9087" s="50" t="s">
        <v>35</v>
      </c>
      <c r="C9087" s="7">
        <v>4</v>
      </c>
      <c r="D9087" s="7">
        <v>2.91</v>
      </c>
      <c r="E9087" s="85">
        <f t="shared" si="540"/>
        <v>11.64</v>
      </c>
    </row>
    <row r="9088" spans="1:5" ht="18" x14ac:dyDescent="0.35">
      <c r="A9088" s="5"/>
      <c r="B9088" s="50" t="s">
        <v>36</v>
      </c>
      <c r="C9088" s="7">
        <v>4</v>
      </c>
      <c r="D9088" s="7">
        <v>0.61</v>
      </c>
      <c r="E9088" s="85">
        <f t="shared" si="540"/>
        <v>2.44</v>
      </c>
    </row>
    <row r="9089" spans="1:5" ht="18" x14ac:dyDescent="0.35">
      <c r="A9089" s="5"/>
      <c r="B9089" s="5"/>
      <c r="C9089" s="54"/>
      <c r="D9089" s="54"/>
      <c r="E9089" s="89">
        <f>SUM(E9081:E9088)</f>
        <v>109.44978999999999</v>
      </c>
    </row>
    <row r="9090" spans="1:5" ht="18" x14ac:dyDescent="0.35">
      <c r="A9090" s="5"/>
      <c r="B9090" s="5"/>
      <c r="C9090" s="54"/>
      <c r="D9090" s="54" t="s">
        <v>1116</v>
      </c>
      <c r="E9090" s="89">
        <f>E9089+E9089*30%</f>
        <v>142.28472699999998</v>
      </c>
    </row>
    <row r="9091" spans="1:5" ht="18" x14ac:dyDescent="0.35">
      <c r="A9091" s="5"/>
      <c r="B9091" s="50" t="s">
        <v>37</v>
      </c>
      <c r="C9091" s="54">
        <v>0.2</v>
      </c>
      <c r="D9091" s="54">
        <v>200</v>
      </c>
      <c r="E9091" s="85">
        <f>C9091*D9091</f>
        <v>40</v>
      </c>
    </row>
    <row r="9092" spans="1:5" ht="18" x14ac:dyDescent="0.35">
      <c r="E9092" s="85">
        <f>SUM(E9090:E9091)</f>
        <v>182.28472699999998</v>
      </c>
    </row>
    <row r="9094" spans="1:5" ht="21" x14ac:dyDescent="0.4">
      <c r="A9094" s="40" t="s">
        <v>602</v>
      </c>
      <c r="B9094" s="40"/>
      <c r="C9094" s="84"/>
    </row>
    <row r="9095" spans="1:5" ht="18" x14ac:dyDescent="0.35">
      <c r="A9095" t="s">
        <v>1451</v>
      </c>
      <c r="B9095" s="5"/>
      <c r="C9095" s="7" t="s">
        <v>28</v>
      </c>
      <c r="D9095" s="7" t="s">
        <v>29</v>
      </c>
      <c r="E9095" s="7" t="s">
        <v>30</v>
      </c>
    </row>
    <row r="9096" spans="1:5" ht="18" x14ac:dyDescent="0.35">
      <c r="A9096" s="5" t="s">
        <v>79</v>
      </c>
      <c r="B9096" s="50" t="s">
        <v>32</v>
      </c>
      <c r="C9096" s="7">
        <v>2.238</v>
      </c>
      <c r="D9096" s="7">
        <v>14.93</v>
      </c>
      <c r="E9096" s="85">
        <f t="shared" ref="E9096:E9103" si="541">C9096*D9096</f>
        <v>33.413339999999998</v>
      </c>
    </row>
    <row r="9097" spans="1:5" ht="18" x14ac:dyDescent="0.35">
      <c r="A9097" s="5" t="s">
        <v>178</v>
      </c>
      <c r="B9097" s="50" t="s">
        <v>33</v>
      </c>
      <c r="C9097" s="7">
        <v>7.4649999999999999</v>
      </c>
      <c r="D9097" s="7">
        <v>10</v>
      </c>
      <c r="E9097" s="85">
        <f t="shared" si="541"/>
        <v>74.650000000000006</v>
      </c>
    </row>
    <row r="9098" spans="1:5" ht="18" x14ac:dyDescent="0.35">
      <c r="A9098" s="5" t="s">
        <v>397</v>
      </c>
      <c r="B9098" s="50" t="s">
        <v>33</v>
      </c>
      <c r="C9098" s="7">
        <v>7.98</v>
      </c>
      <c r="D9098" s="7">
        <v>10</v>
      </c>
      <c r="E9098" s="85">
        <f t="shared" si="541"/>
        <v>79.800000000000011</v>
      </c>
    </row>
    <row r="9099" spans="1:5" ht="18" x14ac:dyDescent="0.35">
      <c r="A9099" s="5" t="s">
        <v>682</v>
      </c>
      <c r="B9099" s="50" t="s">
        <v>92</v>
      </c>
      <c r="C9099" s="7">
        <v>2</v>
      </c>
      <c r="D9099" s="7">
        <v>3.62</v>
      </c>
      <c r="E9099" s="85">
        <f t="shared" si="541"/>
        <v>7.24</v>
      </c>
    </row>
    <row r="9100" spans="1:5" ht="18" x14ac:dyDescent="0.35">
      <c r="A9100" s="5" t="s">
        <v>1954</v>
      </c>
      <c r="B9100" s="50" t="s">
        <v>85</v>
      </c>
      <c r="C9100" s="7">
        <v>2</v>
      </c>
      <c r="D9100" s="7">
        <v>1.48</v>
      </c>
      <c r="E9100" s="85">
        <f t="shared" si="541"/>
        <v>2.96</v>
      </c>
    </row>
    <row r="9101" spans="1:5" ht="18" x14ac:dyDescent="0.35">
      <c r="A9101" s="5"/>
      <c r="B9101" s="50" t="s">
        <v>34</v>
      </c>
      <c r="C9101" s="7">
        <v>0.21</v>
      </c>
      <c r="D9101" s="7">
        <v>14.61</v>
      </c>
      <c r="E9101" s="85">
        <f t="shared" si="541"/>
        <v>3.0680999999999998</v>
      </c>
    </row>
    <row r="9102" spans="1:5" ht="18" x14ac:dyDescent="0.35">
      <c r="A9102" s="5"/>
      <c r="B9102" s="50" t="s">
        <v>35</v>
      </c>
      <c r="C9102" s="7">
        <v>4</v>
      </c>
      <c r="D9102" s="7">
        <v>2.91</v>
      </c>
      <c r="E9102" s="85">
        <f t="shared" si="541"/>
        <v>11.64</v>
      </c>
    </row>
    <row r="9103" spans="1:5" ht="18" x14ac:dyDescent="0.35">
      <c r="A9103" s="5"/>
      <c r="B9103" s="50" t="s">
        <v>36</v>
      </c>
      <c r="C9103" s="7">
        <v>4</v>
      </c>
      <c r="D9103" s="7">
        <v>0.61</v>
      </c>
      <c r="E9103" s="85">
        <f t="shared" si="541"/>
        <v>2.44</v>
      </c>
    </row>
    <row r="9104" spans="1:5" ht="18" x14ac:dyDescent="0.35">
      <c r="A9104" s="5"/>
      <c r="B9104" s="5"/>
      <c r="C9104" s="54"/>
      <c r="D9104" s="54"/>
      <c r="E9104" s="89">
        <f>SUM(E9096:E9103)</f>
        <v>215.21144000000004</v>
      </c>
    </row>
    <row r="9105" spans="1:5" ht="18" x14ac:dyDescent="0.35">
      <c r="A9105" s="5"/>
      <c r="B9105" s="5"/>
      <c r="C9105" s="54"/>
      <c r="D9105" s="54" t="s">
        <v>1116</v>
      </c>
      <c r="E9105" s="89">
        <f>E9104+E9104*30%</f>
        <v>279.77487200000007</v>
      </c>
    </row>
    <row r="9106" spans="1:5" ht="18" x14ac:dyDescent="0.35">
      <c r="A9106" s="5"/>
      <c r="B9106" s="50" t="s">
        <v>37</v>
      </c>
      <c r="C9106" s="54">
        <v>0.5</v>
      </c>
      <c r="D9106" s="54">
        <v>200</v>
      </c>
      <c r="E9106" s="85">
        <f>C9106*D9106</f>
        <v>100</v>
      </c>
    </row>
    <row r="9107" spans="1:5" ht="18" x14ac:dyDescent="0.35">
      <c r="E9107" s="85">
        <f>SUM(E9105:E9106)</f>
        <v>379.77487200000007</v>
      </c>
    </row>
    <row r="9109" spans="1:5" ht="21" x14ac:dyDescent="0.4">
      <c r="A9109" s="40" t="s">
        <v>602</v>
      </c>
      <c r="B9109" s="40"/>
      <c r="C9109" s="84"/>
    </row>
    <row r="9110" spans="1:5" ht="18" x14ac:dyDescent="0.35">
      <c r="A9110" t="s">
        <v>2110</v>
      </c>
      <c r="B9110" s="5"/>
      <c r="C9110" s="7" t="s">
        <v>28</v>
      </c>
      <c r="D9110" s="7" t="s">
        <v>29</v>
      </c>
      <c r="E9110" s="7" t="s">
        <v>30</v>
      </c>
    </row>
    <row r="9111" spans="1:5" ht="18" x14ac:dyDescent="0.35">
      <c r="A9111" s="5" t="s">
        <v>107</v>
      </c>
      <c r="B9111" s="50" t="s">
        <v>32</v>
      </c>
      <c r="C9111" s="7">
        <v>2.448</v>
      </c>
      <c r="D9111" s="7">
        <v>14.93</v>
      </c>
      <c r="E9111" s="85">
        <f t="shared" ref="E9111:E9118" si="542">C9111*D9111</f>
        <v>36.548639999999999</v>
      </c>
    </row>
    <row r="9112" spans="1:5" ht="18" x14ac:dyDescent="0.35">
      <c r="A9112" s="5" t="s">
        <v>217</v>
      </c>
      <c r="B9112" s="50" t="s">
        <v>33</v>
      </c>
      <c r="C9112" s="7">
        <v>11.613</v>
      </c>
      <c r="D9112" s="7">
        <v>10</v>
      </c>
      <c r="E9112" s="85">
        <f t="shared" si="542"/>
        <v>116.13</v>
      </c>
    </row>
    <row r="9113" spans="1:5" ht="18" x14ac:dyDescent="0.35">
      <c r="A9113" s="5" t="s">
        <v>397</v>
      </c>
      <c r="B9113" s="50" t="s">
        <v>33</v>
      </c>
      <c r="C9113" s="7">
        <v>12.18</v>
      </c>
      <c r="D9113" s="7">
        <v>10</v>
      </c>
      <c r="E9113" s="85">
        <f t="shared" si="542"/>
        <v>121.8</v>
      </c>
    </row>
    <row r="9114" spans="1:5" ht="18" x14ac:dyDescent="0.35">
      <c r="A9114" s="5" t="s">
        <v>682</v>
      </c>
      <c r="B9114" s="50" t="s">
        <v>92</v>
      </c>
      <c r="C9114" s="7">
        <v>2</v>
      </c>
      <c r="D9114" s="7">
        <v>3.62</v>
      </c>
      <c r="E9114" s="85">
        <f t="shared" si="542"/>
        <v>7.24</v>
      </c>
    </row>
    <row r="9115" spans="1:5" ht="18" x14ac:dyDescent="0.35">
      <c r="A9115" s="5" t="s">
        <v>1954</v>
      </c>
      <c r="B9115" s="50" t="s">
        <v>85</v>
      </c>
      <c r="C9115" s="7">
        <v>2</v>
      </c>
      <c r="D9115" s="7">
        <v>1.48</v>
      </c>
      <c r="E9115" s="85">
        <f t="shared" si="542"/>
        <v>2.96</v>
      </c>
    </row>
    <row r="9116" spans="1:5" ht="18" x14ac:dyDescent="0.35">
      <c r="A9116" s="5"/>
      <c r="B9116" s="50" t="s">
        <v>34</v>
      </c>
      <c r="C9116" s="7">
        <v>0.315</v>
      </c>
      <c r="D9116" s="7">
        <v>14.61</v>
      </c>
      <c r="E9116" s="85">
        <f t="shared" si="542"/>
        <v>4.60215</v>
      </c>
    </row>
    <row r="9117" spans="1:5" ht="18" x14ac:dyDescent="0.35">
      <c r="A9117" s="5"/>
      <c r="B9117" s="50" t="s">
        <v>35</v>
      </c>
      <c r="C9117" s="7">
        <v>4</v>
      </c>
      <c r="D9117" s="7">
        <v>2.91</v>
      </c>
      <c r="E9117" s="85">
        <f t="shared" si="542"/>
        <v>11.64</v>
      </c>
    </row>
    <row r="9118" spans="1:5" ht="18" x14ac:dyDescent="0.35">
      <c r="A9118" s="5"/>
      <c r="B9118" s="50" t="s">
        <v>36</v>
      </c>
      <c r="C9118" s="7">
        <v>4</v>
      </c>
      <c r="D9118" s="7">
        <v>0.61</v>
      </c>
      <c r="E9118" s="85">
        <f t="shared" si="542"/>
        <v>2.44</v>
      </c>
    </row>
    <row r="9119" spans="1:5" ht="18" x14ac:dyDescent="0.35">
      <c r="A9119" s="5"/>
      <c r="B9119" s="5"/>
      <c r="C9119" s="54"/>
      <c r="D9119" s="54"/>
      <c r="E9119" s="89">
        <f>SUM(E9111:E9118)</f>
        <v>303.36078999999995</v>
      </c>
    </row>
    <row r="9120" spans="1:5" ht="18" x14ac:dyDescent="0.35">
      <c r="A9120" s="5"/>
      <c r="B9120" s="5"/>
      <c r="C9120" s="54"/>
      <c r="D9120" s="54" t="s">
        <v>1116</v>
      </c>
      <c r="E9120" s="89">
        <f>E9119+E9119*30%</f>
        <v>394.36902699999996</v>
      </c>
    </row>
    <row r="9121" spans="1:5" ht="18" x14ac:dyDescent="0.35">
      <c r="A9121" s="5"/>
      <c r="B9121" s="50" t="s">
        <v>37</v>
      </c>
      <c r="C9121" s="54">
        <v>0.5</v>
      </c>
      <c r="D9121" s="54">
        <v>200</v>
      </c>
      <c r="E9121" s="85">
        <f>C9121*D9121</f>
        <v>100</v>
      </c>
    </row>
    <row r="9122" spans="1:5" ht="18" x14ac:dyDescent="0.35">
      <c r="E9122" s="85">
        <f>SUM(E9120:E9121)</f>
        <v>494.36902699999996</v>
      </c>
    </row>
    <row r="9124" spans="1:5" ht="21" x14ac:dyDescent="0.4">
      <c r="A9124" s="40" t="s">
        <v>2066</v>
      </c>
      <c r="B9124" s="40"/>
      <c r="C9124" s="40"/>
      <c r="D9124" s="12"/>
      <c r="E9124" s="12"/>
    </row>
    <row r="9125" spans="1:5" ht="18" x14ac:dyDescent="0.35">
      <c r="A9125" s="5" t="s">
        <v>1202</v>
      </c>
      <c r="B9125" s="5"/>
      <c r="C9125" s="7" t="s">
        <v>28</v>
      </c>
      <c r="D9125" s="7" t="s">
        <v>29</v>
      </c>
      <c r="E9125" s="7" t="s">
        <v>30</v>
      </c>
    </row>
    <row r="9126" spans="1:5" ht="18" x14ac:dyDescent="0.35">
      <c r="A9126" s="5" t="s">
        <v>45</v>
      </c>
      <c r="B9126" s="50" t="s">
        <v>32</v>
      </c>
      <c r="C9126" s="7">
        <v>1.8180000000000001</v>
      </c>
      <c r="D9126" s="7">
        <v>10.34</v>
      </c>
      <c r="E9126" s="85">
        <f>C9126*D9126</f>
        <v>18.798120000000001</v>
      </c>
    </row>
    <row r="9127" spans="1:5" ht="18" x14ac:dyDescent="0.35">
      <c r="A9127" s="5" t="s">
        <v>791</v>
      </c>
      <c r="B9127" s="50" t="s">
        <v>33</v>
      </c>
      <c r="C9127" s="7">
        <v>4.3470000000000004</v>
      </c>
      <c r="D9127" s="7">
        <v>6</v>
      </c>
      <c r="E9127" s="85">
        <f>C9127*D9127</f>
        <v>26.082000000000001</v>
      </c>
    </row>
    <row r="9128" spans="1:5" ht="18" x14ac:dyDescent="0.35">
      <c r="A9128" s="5" t="s">
        <v>2111</v>
      </c>
      <c r="B9128" s="50" t="s">
        <v>137</v>
      </c>
      <c r="C9128" s="7">
        <v>0.21</v>
      </c>
      <c r="D9128" s="7">
        <v>17.190000000000001</v>
      </c>
      <c r="E9128" s="85">
        <f>C9128*D9128</f>
        <v>3.6099000000000001</v>
      </c>
    </row>
    <row r="9129" spans="1:5" ht="18" x14ac:dyDescent="0.35">
      <c r="A9129" s="5" t="s">
        <v>2100</v>
      </c>
      <c r="B9129" s="50" t="s">
        <v>35</v>
      </c>
      <c r="C9129" s="7">
        <v>4</v>
      </c>
      <c r="D9129" s="7">
        <v>2.91</v>
      </c>
      <c r="E9129" s="85">
        <f>C9129*D9129</f>
        <v>11.64</v>
      </c>
    </row>
    <row r="9130" spans="1:5" ht="18" x14ac:dyDescent="0.35">
      <c r="A9130" s="5"/>
      <c r="B9130" s="50" t="s">
        <v>36</v>
      </c>
      <c r="C9130" s="7">
        <v>4</v>
      </c>
      <c r="D9130" s="7">
        <v>0.61</v>
      </c>
      <c r="E9130" s="85">
        <f>C9130*D9130</f>
        <v>2.44</v>
      </c>
    </row>
    <row r="9131" spans="1:5" ht="18" x14ac:dyDescent="0.35">
      <c r="A9131" s="5"/>
      <c r="B9131" s="50"/>
      <c r="C9131" s="87"/>
      <c r="D9131" s="88"/>
      <c r="E9131" s="85">
        <f>SUM(E9126:E9130)</f>
        <v>62.570020000000007</v>
      </c>
    </row>
    <row r="9132" spans="1:5" ht="18" x14ac:dyDescent="0.35">
      <c r="A9132" s="5"/>
      <c r="B9132" s="50"/>
      <c r="C9132" s="87"/>
      <c r="D9132" s="88" t="s">
        <v>1266</v>
      </c>
      <c r="E9132" s="85">
        <f>E9131+E9131*40%</f>
        <v>87.598028000000014</v>
      </c>
    </row>
    <row r="9133" spans="1:5" ht="18" x14ac:dyDescent="0.35">
      <c r="A9133" s="5"/>
      <c r="B9133" s="50" t="s">
        <v>37</v>
      </c>
      <c r="C9133" s="54">
        <v>0.2</v>
      </c>
      <c r="D9133" s="86">
        <v>200</v>
      </c>
      <c r="E9133" s="85">
        <f>C9133*D9133</f>
        <v>40</v>
      </c>
    </row>
    <row r="9134" spans="1:5" ht="18" x14ac:dyDescent="0.35">
      <c r="A9134" s="5"/>
      <c r="B9134" s="5"/>
      <c r="C9134" s="54"/>
      <c r="D9134" s="54"/>
      <c r="E9134" s="85">
        <f>SUM(E9132:E9133)</f>
        <v>127.59802800000001</v>
      </c>
    </row>
    <row r="9136" spans="1:5" ht="21" x14ac:dyDescent="0.4">
      <c r="A9136" s="40" t="s">
        <v>1919</v>
      </c>
      <c r="B9136" s="40"/>
      <c r="C9136" s="84"/>
    </row>
    <row r="9137" spans="1:5" x14ac:dyDescent="0.3">
      <c r="A9137" t="s">
        <v>2112</v>
      </c>
    </row>
    <row r="9138" spans="1:5" ht="18" x14ac:dyDescent="0.35">
      <c r="A9138" s="5" t="s">
        <v>2104</v>
      </c>
      <c r="B9138" s="5"/>
      <c r="C9138" s="7" t="s">
        <v>28</v>
      </c>
      <c r="D9138" s="7" t="s">
        <v>29</v>
      </c>
      <c r="E9138" s="7" t="s">
        <v>30</v>
      </c>
    </row>
    <row r="9139" spans="1:5" ht="18" x14ac:dyDescent="0.35">
      <c r="A9139" s="5" t="s">
        <v>699</v>
      </c>
      <c r="B9139" s="50" t="s">
        <v>32</v>
      </c>
      <c r="C9139" s="7">
        <v>5.1989999999999998</v>
      </c>
      <c r="D9139" s="7">
        <v>16.43</v>
      </c>
      <c r="E9139" s="85">
        <f t="shared" ref="E9139:E9144" si="543">C9139*D9139</f>
        <v>85.419569999999993</v>
      </c>
    </row>
    <row r="9140" spans="1:5" ht="18" x14ac:dyDescent="0.35">
      <c r="A9140" s="5" t="s">
        <v>2103</v>
      </c>
      <c r="B9140" s="50" t="s">
        <v>33</v>
      </c>
      <c r="C9140" s="7">
        <v>50.505000000000003</v>
      </c>
      <c r="D9140" s="7">
        <v>10</v>
      </c>
      <c r="E9140" s="85">
        <f t="shared" si="543"/>
        <v>505.05</v>
      </c>
    </row>
    <row r="9141" spans="1:5" ht="18" x14ac:dyDescent="0.35">
      <c r="A9141" s="102"/>
      <c r="B9141" s="50" t="s">
        <v>1208</v>
      </c>
      <c r="C9141" s="7">
        <v>2</v>
      </c>
      <c r="D9141" s="7">
        <v>4.42</v>
      </c>
      <c r="E9141" s="85">
        <f t="shared" si="543"/>
        <v>8.84</v>
      </c>
    </row>
    <row r="9142" spans="1:5" ht="18" x14ac:dyDescent="0.35">
      <c r="A9142" s="5"/>
      <c r="B9142" s="50" t="s">
        <v>34</v>
      </c>
      <c r="C9142" s="7">
        <v>1.7330000000000001</v>
      </c>
      <c r="D9142" s="7">
        <v>3.4</v>
      </c>
      <c r="E9142" s="85">
        <f t="shared" si="543"/>
        <v>5.8921999999999999</v>
      </c>
    </row>
    <row r="9143" spans="1:5" ht="18" x14ac:dyDescent="0.35">
      <c r="A9143" s="5"/>
      <c r="B9143" s="50" t="s">
        <v>35</v>
      </c>
      <c r="C9143" s="7">
        <v>4</v>
      </c>
      <c r="D9143" s="7">
        <v>2.91</v>
      </c>
      <c r="E9143" s="85">
        <f t="shared" si="543"/>
        <v>11.64</v>
      </c>
    </row>
    <row r="9144" spans="1:5" ht="18" x14ac:dyDescent="0.35">
      <c r="A9144" s="5"/>
      <c r="B9144" s="50" t="s">
        <v>36</v>
      </c>
      <c r="C9144" s="7">
        <v>4</v>
      </c>
      <c r="D9144" s="7">
        <v>0.61</v>
      </c>
      <c r="E9144" s="85">
        <f t="shared" si="543"/>
        <v>2.44</v>
      </c>
    </row>
    <row r="9145" spans="1:5" ht="18" x14ac:dyDescent="0.35">
      <c r="A9145" s="5"/>
      <c r="B9145" s="5"/>
      <c r="C9145" s="54"/>
      <c r="D9145" s="54"/>
      <c r="E9145" s="89">
        <f>SUM(E9139:E9144)</f>
        <v>619.28177000000005</v>
      </c>
    </row>
    <row r="9146" spans="1:5" ht="18" x14ac:dyDescent="0.35">
      <c r="A9146" s="5"/>
      <c r="B9146" s="5"/>
      <c r="C9146" s="54"/>
      <c r="D9146" s="54" t="s">
        <v>1066</v>
      </c>
      <c r="E9146" s="89">
        <f>E9145+E9145*40%</f>
        <v>866.99447800000007</v>
      </c>
    </row>
    <row r="9147" spans="1:5" ht="18" x14ac:dyDescent="0.35">
      <c r="A9147" s="5"/>
      <c r="B9147" s="50" t="s">
        <v>37</v>
      </c>
      <c r="C9147" s="54">
        <v>1.5</v>
      </c>
      <c r="D9147" s="54">
        <v>200</v>
      </c>
      <c r="E9147" s="85">
        <f>C9147*D9147</f>
        <v>300</v>
      </c>
    </row>
    <row r="9148" spans="1:5" ht="18" x14ac:dyDescent="0.35">
      <c r="A9148" s="5"/>
      <c r="B9148" s="5"/>
      <c r="C9148" s="54"/>
      <c r="D9148" s="54"/>
      <c r="E9148" s="85">
        <f>SUM(E9146:E9147)</f>
        <v>1166.9944780000001</v>
      </c>
    </row>
    <row r="9150" spans="1:5" ht="21" x14ac:dyDescent="0.4">
      <c r="A9150" s="40" t="s">
        <v>2066</v>
      </c>
      <c r="B9150" s="40"/>
      <c r="C9150" s="40"/>
      <c r="D9150" s="12"/>
      <c r="E9150" s="12"/>
    </row>
    <row r="9151" spans="1:5" ht="18" x14ac:dyDescent="0.35">
      <c r="A9151" s="5" t="s">
        <v>1427</v>
      </c>
      <c r="B9151" s="5"/>
      <c r="C9151" s="7" t="s">
        <v>28</v>
      </c>
      <c r="D9151" s="7" t="s">
        <v>29</v>
      </c>
      <c r="E9151" s="7" t="s">
        <v>30</v>
      </c>
    </row>
    <row r="9152" spans="1:5" ht="18" x14ac:dyDescent="0.35">
      <c r="A9152" s="5" t="s">
        <v>81</v>
      </c>
      <c r="B9152" s="50" t="s">
        <v>32</v>
      </c>
      <c r="C9152" s="7">
        <v>2.6579999999999999</v>
      </c>
      <c r="D9152" s="7">
        <v>10.34</v>
      </c>
      <c r="E9152" s="85">
        <f>C9152*D9152</f>
        <v>27.483719999999998</v>
      </c>
    </row>
    <row r="9153" spans="1:5" ht="18" x14ac:dyDescent="0.35">
      <c r="A9153" s="5" t="s">
        <v>1356</v>
      </c>
      <c r="B9153" s="50" t="s">
        <v>33</v>
      </c>
      <c r="C9153" s="7">
        <v>14.553000000000001</v>
      </c>
      <c r="D9153" s="7">
        <v>6</v>
      </c>
      <c r="E9153" s="85">
        <f>C9153*D9153</f>
        <v>87.318000000000012</v>
      </c>
    </row>
    <row r="9154" spans="1:5" ht="18" x14ac:dyDescent="0.35">
      <c r="A9154" s="5" t="s">
        <v>2111</v>
      </c>
      <c r="B9154" s="50" t="s">
        <v>137</v>
      </c>
      <c r="C9154" s="7">
        <v>0.63</v>
      </c>
      <c r="D9154" s="7">
        <v>17.190000000000001</v>
      </c>
      <c r="E9154" s="85">
        <f>C9154*D9154</f>
        <v>10.829700000000001</v>
      </c>
    </row>
    <row r="9155" spans="1:5" ht="18" x14ac:dyDescent="0.35">
      <c r="A9155" s="5" t="s">
        <v>2100</v>
      </c>
      <c r="B9155" s="50" t="s">
        <v>35</v>
      </c>
      <c r="C9155" s="7">
        <v>4</v>
      </c>
      <c r="D9155" s="7">
        <v>2.91</v>
      </c>
      <c r="E9155" s="85">
        <f>C9155*D9155</f>
        <v>11.64</v>
      </c>
    </row>
    <row r="9156" spans="1:5" ht="18" x14ac:dyDescent="0.35">
      <c r="A9156" s="5"/>
      <c r="B9156" s="50" t="s">
        <v>36</v>
      </c>
      <c r="C9156" s="7">
        <v>4</v>
      </c>
      <c r="D9156" s="7">
        <v>0.61</v>
      </c>
      <c r="E9156" s="85">
        <f>C9156*D9156</f>
        <v>2.44</v>
      </c>
    </row>
    <row r="9157" spans="1:5" ht="18" x14ac:dyDescent="0.35">
      <c r="A9157" s="5"/>
      <c r="B9157" s="50"/>
      <c r="C9157" s="87"/>
      <c r="D9157" s="88"/>
      <c r="E9157" s="85">
        <f>SUM(E9152:E9156)</f>
        <v>139.71142000000003</v>
      </c>
    </row>
    <row r="9158" spans="1:5" ht="18" x14ac:dyDescent="0.35">
      <c r="A9158" s="5"/>
      <c r="B9158" s="50"/>
      <c r="C9158" s="87"/>
      <c r="D9158" s="88" t="s">
        <v>1437</v>
      </c>
      <c r="E9158" s="85">
        <f>E9157+E9157*30%</f>
        <v>181.62484600000005</v>
      </c>
    </row>
    <row r="9159" spans="1:5" ht="18" x14ac:dyDescent="0.35">
      <c r="A9159" s="5"/>
      <c r="B9159" s="50" t="s">
        <v>37</v>
      </c>
      <c r="C9159" s="54">
        <v>0.5</v>
      </c>
      <c r="D9159" s="86">
        <v>200</v>
      </c>
      <c r="E9159" s="85">
        <f>C9159*D9159</f>
        <v>100</v>
      </c>
    </row>
    <row r="9160" spans="1:5" ht="18" x14ac:dyDescent="0.35">
      <c r="A9160" s="5"/>
      <c r="B9160" s="5"/>
      <c r="C9160" s="54"/>
      <c r="D9160" s="54"/>
      <c r="E9160" s="85">
        <f>SUM(E9158:E9159)</f>
        <v>281.62484600000005</v>
      </c>
    </row>
    <row r="9162" spans="1:5" ht="21" x14ac:dyDescent="0.4">
      <c r="A9162" s="40" t="s">
        <v>2066</v>
      </c>
      <c r="B9162" s="40"/>
      <c r="C9162" s="40"/>
      <c r="D9162" s="12"/>
      <c r="E9162" s="12"/>
    </row>
    <row r="9163" spans="1:5" ht="18" x14ac:dyDescent="0.35">
      <c r="A9163" s="5" t="s">
        <v>1427</v>
      </c>
      <c r="B9163" s="5"/>
      <c r="C9163" s="7" t="s">
        <v>28</v>
      </c>
      <c r="D9163" s="7" t="s">
        <v>29</v>
      </c>
      <c r="E9163" s="7" t="s">
        <v>30</v>
      </c>
    </row>
    <row r="9164" spans="1:5" ht="18" x14ac:dyDescent="0.35">
      <c r="A9164" s="5" t="s">
        <v>69</v>
      </c>
      <c r="B9164" s="50" t="s">
        <v>32</v>
      </c>
      <c r="C9164" s="7">
        <v>2.133</v>
      </c>
      <c r="D9164" s="7">
        <v>10.34</v>
      </c>
      <c r="E9164" s="85">
        <f>C9164*D9164</f>
        <v>22.055219999999998</v>
      </c>
    </row>
    <row r="9165" spans="1:5" ht="18" x14ac:dyDescent="0.35">
      <c r="A9165" s="5" t="s">
        <v>904</v>
      </c>
      <c r="B9165" s="50" t="s">
        <v>33</v>
      </c>
      <c r="C9165" s="7">
        <v>8.2949999999999999</v>
      </c>
      <c r="D9165" s="7">
        <v>6</v>
      </c>
      <c r="E9165" s="85">
        <f>C9165*D9165</f>
        <v>49.769999999999996</v>
      </c>
    </row>
    <row r="9166" spans="1:5" ht="18" x14ac:dyDescent="0.35">
      <c r="A9166" s="5" t="s">
        <v>1233</v>
      </c>
      <c r="B9166" s="50" t="s">
        <v>137</v>
      </c>
      <c r="C9166" s="7">
        <v>0.315</v>
      </c>
      <c r="D9166" s="7">
        <v>17.190000000000001</v>
      </c>
      <c r="E9166" s="85">
        <f>C9166*D9166</f>
        <v>5.4148500000000004</v>
      </c>
    </row>
    <row r="9167" spans="1:5" ht="18" x14ac:dyDescent="0.35">
      <c r="A9167" s="5" t="s">
        <v>2100</v>
      </c>
      <c r="B9167" s="50" t="s">
        <v>35</v>
      </c>
      <c r="C9167" s="7">
        <v>4</v>
      </c>
      <c r="D9167" s="7">
        <v>2.91</v>
      </c>
      <c r="E9167" s="85">
        <f>C9167*D9167</f>
        <v>11.64</v>
      </c>
    </row>
    <row r="9168" spans="1:5" ht="18" x14ac:dyDescent="0.35">
      <c r="A9168" s="5"/>
      <c r="B9168" s="50" t="s">
        <v>36</v>
      </c>
      <c r="C9168" s="7">
        <v>4</v>
      </c>
      <c r="D9168" s="7">
        <v>0.61</v>
      </c>
      <c r="E9168" s="85">
        <f>C9168*D9168</f>
        <v>2.44</v>
      </c>
    </row>
    <row r="9169" spans="1:5" ht="18" x14ac:dyDescent="0.35">
      <c r="A9169" s="5"/>
      <c r="B9169" s="50"/>
      <c r="C9169" s="87"/>
      <c r="D9169" s="88"/>
      <c r="E9169" s="85">
        <f>SUM(E9164:E9168)</f>
        <v>91.320070000000001</v>
      </c>
    </row>
    <row r="9170" spans="1:5" ht="18" x14ac:dyDescent="0.35">
      <c r="A9170" s="5"/>
      <c r="B9170" s="50"/>
      <c r="C9170" s="87"/>
      <c r="D9170" s="88" t="s">
        <v>1437</v>
      </c>
      <c r="E9170" s="85">
        <f>E9169+E9169*30%</f>
        <v>118.71609100000001</v>
      </c>
    </row>
    <row r="9171" spans="1:5" ht="18" x14ac:dyDescent="0.35">
      <c r="A9171" s="5"/>
      <c r="B9171" s="50" t="s">
        <v>37</v>
      </c>
      <c r="C9171" s="54">
        <v>0.5</v>
      </c>
      <c r="D9171" s="86">
        <v>200</v>
      </c>
      <c r="E9171" s="85">
        <f>C9171*D9171</f>
        <v>100</v>
      </c>
    </row>
    <row r="9172" spans="1:5" ht="18" x14ac:dyDescent="0.35">
      <c r="A9172" s="5"/>
      <c r="B9172" s="5"/>
      <c r="C9172" s="54"/>
      <c r="D9172" s="54"/>
      <c r="E9172" s="85">
        <v>218</v>
      </c>
    </row>
    <row r="9174" spans="1:5" ht="21" x14ac:dyDescent="0.4">
      <c r="A9174" s="40" t="s">
        <v>2066</v>
      </c>
      <c r="B9174" s="40"/>
      <c r="C9174" s="40"/>
      <c r="D9174" s="12"/>
      <c r="E9174" s="12"/>
    </row>
    <row r="9175" spans="1:5" ht="18" x14ac:dyDescent="0.35">
      <c r="A9175" s="5" t="s">
        <v>1427</v>
      </c>
      <c r="B9175" s="5"/>
      <c r="C9175" s="7" t="s">
        <v>28</v>
      </c>
      <c r="D9175" s="7" t="s">
        <v>29</v>
      </c>
      <c r="E9175" s="7" t="s">
        <v>30</v>
      </c>
    </row>
    <row r="9176" spans="1:5" ht="18" x14ac:dyDescent="0.35">
      <c r="A9176" s="5" t="s">
        <v>2116</v>
      </c>
      <c r="B9176" s="50" t="s">
        <v>32</v>
      </c>
      <c r="C9176" s="7">
        <v>4.5060000000000002</v>
      </c>
      <c r="D9176" s="7">
        <v>10.34</v>
      </c>
      <c r="E9176" s="85">
        <f>C9176*D9176</f>
        <v>46.592040000000004</v>
      </c>
    </row>
    <row r="9177" spans="1:5" ht="18" x14ac:dyDescent="0.35">
      <c r="A9177" s="5" t="s">
        <v>1220</v>
      </c>
      <c r="B9177" s="50" t="s">
        <v>33</v>
      </c>
      <c r="C9177" s="7">
        <v>10.446999999999999</v>
      </c>
      <c r="D9177" s="7">
        <v>6</v>
      </c>
      <c r="E9177" s="85">
        <f>C9177*D9177</f>
        <v>62.681999999999995</v>
      </c>
    </row>
    <row r="9178" spans="1:5" ht="18" x14ac:dyDescent="0.35">
      <c r="A9178" s="5" t="s">
        <v>1235</v>
      </c>
      <c r="B9178" s="50" t="s">
        <v>137</v>
      </c>
      <c r="C9178" s="7">
        <v>0.42</v>
      </c>
      <c r="D9178" s="7">
        <v>17.190000000000001</v>
      </c>
      <c r="E9178" s="85">
        <f>C9178*D9178</f>
        <v>7.2198000000000002</v>
      </c>
    </row>
    <row r="9179" spans="1:5" ht="18" x14ac:dyDescent="0.35">
      <c r="A9179" s="5" t="s">
        <v>2100</v>
      </c>
      <c r="B9179" s="50" t="s">
        <v>35</v>
      </c>
      <c r="C9179" s="7">
        <v>4</v>
      </c>
      <c r="D9179" s="7">
        <v>2.91</v>
      </c>
      <c r="E9179" s="85">
        <f>C9179*D9179</f>
        <v>11.64</v>
      </c>
    </row>
    <row r="9180" spans="1:5" ht="18" x14ac:dyDescent="0.35">
      <c r="A9180" s="5"/>
      <c r="B9180" s="50" t="s">
        <v>36</v>
      </c>
      <c r="C9180" s="7">
        <v>4</v>
      </c>
      <c r="D9180" s="7">
        <v>0.61</v>
      </c>
      <c r="E9180" s="85">
        <f>C9180*D9180</f>
        <v>2.44</v>
      </c>
    </row>
    <row r="9181" spans="1:5" ht="18" x14ac:dyDescent="0.35">
      <c r="A9181" s="5"/>
      <c r="B9181" s="50"/>
      <c r="C9181" s="87"/>
      <c r="D9181" s="88"/>
      <c r="E9181" s="85">
        <f>SUM(E9176:E9180)</f>
        <v>130.57384000000002</v>
      </c>
    </row>
    <row r="9182" spans="1:5" ht="18" x14ac:dyDescent="0.35">
      <c r="A9182" s="5"/>
      <c r="B9182" s="50"/>
      <c r="C9182" s="87"/>
      <c r="D9182" s="88" t="s">
        <v>1266</v>
      </c>
      <c r="E9182" s="85">
        <f>E9181+E9181*40%</f>
        <v>182.80337600000001</v>
      </c>
    </row>
    <row r="9183" spans="1:5" ht="18" x14ac:dyDescent="0.35">
      <c r="A9183" s="5"/>
      <c r="B9183" s="50" t="s">
        <v>37</v>
      </c>
      <c r="C9183" s="54">
        <v>0.7</v>
      </c>
      <c r="D9183" s="86">
        <v>200</v>
      </c>
      <c r="E9183" s="85">
        <f>C9183*D9183</f>
        <v>140</v>
      </c>
    </row>
    <row r="9184" spans="1:5" ht="18" x14ac:dyDescent="0.35">
      <c r="A9184" s="5"/>
      <c r="B9184" s="5"/>
      <c r="C9184" s="54"/>
      <c r="D9184" s="54"/>
      <c r="E9184" s="85">
        <f>SUM(E9182:E9183)</f>
        <v>322.80337600000001</v>
      </c>
    </row>
    <row r="9186" spans="1:5" ht="21" x14ac:dyDescent="0.4">
      <c r="A9186" s="40" t="s">
        <v>2066</v>
      </c>
      <c r="B9186" s="40"/>
      <c r="C9186" s="40"/>
      <c r="D9186" s="12"/>
      <c r="E9186" s="12"/>
    </row>
    <row r="9187" spans="1:5" ht="18" x14ac:dyDescent="0.35">
      <c r="A9187" s="5" t="s">
        <v>1427</v>
      </c>
      <c r="B9187" s="5"/>
      <c r="C9187" s="7" t="s">
        <v>28</v>
      </c>
      <c r="D9187" s="7" t="s">
        <v>29</v>
      </c>
      <c r="E9187" s="7" t="s">
        <v>30</v>
      </c>
    </row>
    <row r="9188" spans="1:5" ht="18" x14ac:dyDescent="0.35">
      <c r="A9188" s="5" t="s">
        <v>169</v>
      </c>
      <c r="B9188" s="50" t="s">
        <v>32</v>
      </c>
      <c r="C9188" s="7">
        <v>1.272</v>
      </c>
      <c r="D9188" s="7">
        <v>10.34</v>
      </c>
      <c r="E9188" s="85">
        <f>C9188*D9188</f>
        <v>13.152480000000001</v>
      </c>
    </row>
    <row r="9189" spans="1:5" ht="18" x14ac:dyDescent="0.35">
      <c r="A9189" s="5" t="s">
        <v>839</v>
      </c>
      <c r="B9189" s="50" t="s">
        <v>33</v>
      </c>
      <c r="C9189" s="7">
        <v>0.51500000000000001</v>
      </c>
      <c r="D9189" s="7">
        <v>10</v>
      </c>
      <c r="E9189" s="85">
        <f>C9189*D9189</f>
        <v>5.15</v>
      </c>
    </row>
    <row r="9190" spans="1:5" ht="18" x14ac:dyDescent="0.35">
      <c r="A9190" s="5" t="s">
        <v>528</v>
      </c>
      <c r="B9190" s="50" t="s">
        <v>137</v>
      </c>
      <c r="C9190" s="7">
        <v>8.4000000000000005E-2</v>
      </c>
      <c r="D9190" s="7">
        <v>17.190000000000001</v>
      </c>
      <c r="E9190" s="85">
        <f>C9190*D9190</f>
        <v>1.4439600000000001</v>
      </c>
    </row>
    <row r="9191" spans="1:5" ht="18" x14ac:dyDescent="0.35">
      <c r="A9191" s="5" t="s">
        <v>2100</v>
      </c>
      <c r="B9191" s="50" t="s">
        <v>35</v>
      </c>
      <c r="C9191" s="7">
        <v>4</v>
      </c>
      <c r="D9191" s="7">
        <v>2.91</v>
      </c>
      <c r="E9191" s="85">
        <f>C9191*D9191</f>
        <v>11.64</v>
      </c>
    </row>
    <row r="9192" spans="1:5" ht="18" x14ac:dyDescent="0.35">
      <c r="A9192" s="5"/>
      <c r="B9192" s="50" t="s">
        <v>36</v>
      </c>
      <c r="C9192" s="7">
        <v>4</v>
      </c>
      <c r="D9192" s="7">
        <v>0.61</v>
      </c>
      <c r="E9192" s="85">
        <f>C9192*D9192</f>
        <v>2.44</v>
      </c>
    </row>
    <row r="9193" spans="1:5" ht="18" x14ac:dyDescent="0.35">
      <c r="A9193" s="5"/>
      <c r="B9193" s="50"/>
      <c r="C9193" s="87"/>
      <c r="D9193" s="88"/>
      <c r="E9193" s="85">
        <f>SUM(E9188:E9192)</f>
        <v>33.826440000000005</v>
      </c>
    </row>
    <row r="9194" spans="1:5" ht="18" x14ac:dyDescent="0.35">
      <c r="A9194" s="5"/>
      <c r="B9194" s="50"/>
      <c r="C9194" s="87"/>
      <c r="D9194" s="88" t="s">
        <v>1266</v>
      </c>
      <c r="E9194" s="85">
        <f>E9193+E9193*40%</f>
        <v>47.357016000000009</v>
      </c>
    </row>
    <row r="9195" spans="1:5" ht="18" x14ac:dyDescent="0.35">
      <c r="A9195" s="5"/>
      <c r="B9195" s="50" t="s">
        <v>37</v>
      </c>
      <c r="C9195" s="54">
        <v>0.2</v>
      </c>
      <c r="D9195" s="86">
        <v>200</v>
      </c>
      <c r="E9195" s="85">
        <f>C9195*D9195</f>
        <v>40</v>
      </c>
    </row>
    <row r="9196" spans="1:5" ht="18" x14ac:dyDescent="0.35">
      <c r="A9196" s="5"/>
      <c r="B9196" s="5"/>
      <c r="C9196" s="54"/>
      <c r="D9196" s="54"/>
      <c r="E9196" s="85">
        <f>SUM(E9194:E9195)</f>
        <v>87.357016000000016</v>
      </c>
    </row>
    <row r="9197" spans="1:5" ht="21" x14ac:dyDescent="0.4">
      <c r="A9197" s="40" t="s">
        <v>1919</v>
      </c>
      <c r="B9197" s="40"/>
      <c r="C9197" s="84"/>
    </row>
    <row r="9198" spans="1:5" x14ac:dyDescent="0.3">
      <c r="A9198" t="s">
        <v>2112</v>
      </c>
    </row>
    <row r="9199" spans="1:5" ht="18" x14ac:dyDescent="0.35">
      <c r="A9199" s="5" t="s">
        <v>169</v>
      </c>
      <c r="B9199" s="5"/>
      <c r="C9199" s="7" t="s">
        <v>28</v>
      </c>
      <c r="D9199" s="7" t="s">
        <v>29</v>
      </c>
      <c r="E9199" s="7" t="s">
        <v>30</v>
      </c>
    </row>
    <row r="9200" spans="1:5" ht="18" x14ac:dyDescent="0.35">
      <c r="A9200" s="5" t="s">
        <v>219</v>
      </c>
      <c r="B9200" s="50" t="s">
        <v>32</v>
      </c>
      <c r="C9200" s="7">
        <v>1.272</v>
      </c>
      <c r="D9200" s="7">
        <v>10.34</v>
      </c>
      <c r="E9200" s="85">
        <f t="shared" ref="E9200:E9205" si="544">C9200*D9200</f>
        <v>13.152480000000001</v>
      </c>
    </row>
    <row r="9201" spans="1:5" ht="18" x14ac:dyDescent="0.35">
      <c r="A9201" s="5" t="s">
        <v>2103</v>
      </c>
      <c r="B9201" s="50" t="s">
        <v>33</v>
      </c>
      <c r="C9201" s="7">
        <v>0.51400000000000001</v>
      </c>
      <c r="D9201" s="7">
        <v>10</v>
      </c>
      <c r="E9201" s="85">
        <f t="shared" si="544"/>
        <v>5.1400000000000006</v>
      </c>
    </row>
    <row r="9202" spans="1:5" ht="18" x14ac:dyDescent="0.35">
      <c r="A9202" s="102"/>
      <c r="B9202" s="50" t="s">
        <v>911</v>
      </c>
      <c r="C9202" s="7">
        <v>2</v>
      </c>
      <c r="D9202" s="7">
        <v>1.1499999999999999</v>
      </c>
      <c r="E9202" s="85">
        <f t="shared" si="544"/>
        <v>2.2999999999999998</v>
      </c>
    </row>
    <row r="9203" spans="1:5" ht="18" x14ac:dyDescent="0.35">
      <c r="A9203" s="5"/>
      <c r="B9203" s="50" t="s">
        <v>34</v>
      </c>
      <c r="C9203" s="7"/>
      <c r="D9203" s="7">
        <v>3.4</v>
      </c>
      <c r="E9203" s="85">
        <f t="shared" si="544"/>
        <v>0</v>
      </c>
    </row>
    <row r="9204" spans="1:5" ht="18" x14ac:dyDescent="0.35">
      <c r="A9204" s="5"/>
      <c r="B9204" s="50" t="s">
        <v>35</v>
      </c>
      <c r="C9204" s="7">
        <v>4</v>
      </c>
      <c r="D9204" s="7">
        <v>2.91</v>
      </c>
      <c r="E9204" s="85">
        <f t="shared" si="544"/>
        <v>11.64</v>
      </c>
    </row>
    <row r="9205" spans="1:5" ht="18" x14ac:dyDescent="0.35">
      <c r="A9205" s="5"/>
      <c r="B9205" s="50" t="s">
        <v>36</v>
      </c>
      <c r="C9205" s="7">
        <v>4</v>
      </c>
      <c r="D9205" s="7">
        <v>0.61</v>
      </c>
      <c r="E9205" s="85">
        <f t="shared" si="544"/>
        <v>2.44</v>
      </c>
    </row>
    <row r="9206" spans="1:5" ht="18" x14ac:dyDescent="0.35">
      <c r="A9206" s="5"/>
      <c r="B9206" s="5"/>
      <c r="C9206" s="54"/>
      <c r="D9206" s="54"/>
      <c r="E9206" s="89">
        <f>SUM(E9200:E9205)</f>
        <v>34.67248</v>
      </c>
    </row>
    <row r="9207" spans="1:5" ht="18" x14ac:dyDescent="0.35">
      <c r="A9207" s="5"/>
      <c r="B9207" s="5"/>
      <c r="C9207" s="54"/>
      <c r="D9207" s="54" t="s">
        <v>1066</v>
      </c>
      <c r="E9207" s="89">
        <f>E9206+E9206*40%</f>
        <v>48.541471999999999</v>
      </c>
    </row>
    <row r="9208" spans="1:5" ht="18" x14ac:dyDescent="0.35">
      <c r="A9208" s="5"/>
      <c r="B9208" s="50" t="s">
        <v>37</v>
      </c>
      <c r="C9208" s="54">
        <v>0.2</v>
      </c>
      <c r="D9208" s="54">
        <v>200</v>
      </c>
      <c r="E9208" s="85">
        <f>C9208*D9208</f>
        <v>40</v>
      </c>
    </row>
    <row r="9209" spans="1:5" ht="18" x14ac:dyDescent="0.35">
      <c r="A9209" s="5"/>
      <c r="B9209" s="5"/>
      <c r="C9209" s="54"/>
      <c r="D9209" s="54"/>
      <c r="E9209" s="85">
        <f>SUM(E9207:E9208)</f>
        <v>88.541471999999999</v>
      </c>
    </row>
    <row r="9211" spans="1:5" ht="21" x14ac:dyDescent="0.4">
      <c r="A9211" s="40" t="s">
        <v>2066</v>
      </c>
      <c r="B9211" s="40"/>
      <c r="C9211" s="40"/>
      <c r="D9211" s="12"/>
      <c r="E9211" s="12"/>
    </row>
    <row r="9212" spans="1:5" ht="18" x14ac:dyDescent="0.35">
      <c r="A9212" s="5" t="s">
        <v>1202</v>
      </c>
      <c r="B9212" s="5"/>
      <c r="C9212" s="7" t="s">
        <v>28</v>
      </c>
      <c r="D9212" s="7" t="s">
        <v>29</v>
      </c>
      <c r="E9212" s="7" t="s">
        <v>30</v>
      </c>
    </row>
    <row r="9213" spans="1:5" ht="18" x14ac:dyDescent="0.35">
      <c r="A9213" s="5" t="s">
        <v>107</v>
      </c>
      <c r="B9213" s="50" t="s">
        <v>32</v>
      </c>
      <c r="C9213" s="7">
        <v>2.448</v>
      </c>
      <c r="D9213" s="7">
        <v>10.34</v>
      </c>
      <c r="E9213" s="85">
        <f>C9213*D9213</f>
        <v>25.31232</v>
      </c>
    </row>
    <row r="9214" spans="1:5" ht="18" x14ac:dyDescent="0.35">
      <c r="A9214" s="5" t="s">
        <v>1378</v>
      </c>
      <c r="B9214" s="50" t="s">
        <v>33</v>
      </c>
      <c r="C9214" s="7">
        <v>17.419</v>
      </c>
      <c r="D9214" s="7">
        <v>10</v>
      </c>
      <c r="E9214" s="85">
        <f>C9214*D9214</f>
        <v>174.19</v>
      </c>
    </row>
    <row r="9215" spans="1:5" ht="18" x14ac:dyDescent="0.35">
      <c r="A9215" s="5" t="s">
        <v>976</v>
      </c>
      <c r="B9215" s="50" t="s">
        <v>137</v>
      </c>
      <c r="C9215" s="7">
        <v>0.63</v>
      </c>
      <c r="D9215" s="7">
        <v>17.190000000000001</v>
      </c>
      <c r="E9215" s="85">
        <f>C9215*D9215</f>
        <v>10.829700000000001</v>
      </c>
    </row>
    <row r="9216" spans="1:5" ht="18" x14ac:dyDescent="0.35">
      <c r="A9216" s="5" t="s">
        <v>2100</v>
      </c>
      <c r="B9216" s="50" t="s">
        <v>35</v>
      </c>
      <c r="C9216" s="7">
        <v>4</v>
      </c>
      <c r="D9216" s="7">
        <v>2.91</v>
      </c>
      <c r="E9216" s="85">
        <f>C9216*D9216</f>
        <v>11.64</v>
      </c>
    </row>
    <row r="9217" spans="1:5" ht="18" x14ac:dyDescent="0.35">
      <c r="A9217" s="5"/>
      <c r="B9217" s="50" t="s">
        <v>36</v>
      </c>
      <c r="C9217" s="7">
        <v>4</v>
      </c>
      <c r="D9217" s="7">
        <v>0.61</v>
      </c>
      <c r="E9217" s="85">
        <f>C9217*D9217</f>
        <v>2.44</v>
      </c>
    </row>
    <row r="9218" spans="1:5" ht="18" x14ac:dyDescent="0.35">
      <c r="A9218" s="5"/>
      <c r="B9218" s="50"/>
      <c r="C9218" s="87"/>
      <c r="D9218" s="88"/>
      <c r="E9218" s="85">
        <f>SUM(E9213:E9217)</f>
        <v>224.41201999999998</v>
      </c>
    </row>
    <row r="9219" spans="1:5" ht="18" x14ac:dyDescent="0.35">
      <c r="A9219" s="5"/>
      <c r="B9219" s="50"/>
      <c r="C9219" s="87"/>
      <c r="D9219" s="88" t="s">
        <v>1266</v>
      </c>
      <c r="E9219" s="85">
        <f>E9218+E9218*40%</f>
        <v>314.176828</v>
      </c>
    </row>
    <row r="9220" spans="1:5" ht="18" x14ac:dyDescent="0.35">
      <c r="A9220" s="5"/>
      <c r="B9220" s="50" t="s">
        <v>37</v>
      </c>
      <c r="C9220" s="54">
        <v>1</v>
      </c>
      <c r="D9220" s="86">
        <v>200</v>
      </c>
      <c r="E9220" s="85">
        <f>C9220*D9220</f>
        <v>200</v>
      </c>
    </row>
    <row r="9221" spans="1:5" ht="18" x14ac:dyDescent="0.35">
      <c r="A9221" s="5"/>
      <c r="B9221" s="5"/>
      <c r="C9221" s="54"/>
      <c r="D9221" s="54"/>
      <c r="E9221" s="85">
        <f>SUM(E9219:E9220)</f>
        <v>514.176828</v>
      </c>
    </row>
    <row r="9223" spans="1:5" ht="21" x14ac:dyDescent="0.4">
      <c r="A9223" s="40" t="s">
        <v>2066</v>
      </c>
      <c r="B9223" s="40"/>
      <c r="C9223" s="40"/>
      <c r="D9223" s="12"/>
      <c r="E9223" s="12"/>
    </row>
    <row r="9224" spans="1:5" ht="18" x14ac:dyDescent="0.35">
      <c r="A9224" s="5" t="s">
        <v>1202</v>
      </c>
      <c r="B9224" s="5"/>
      <c r="C9224" s="7" t="s">
        <v>28</v>
      </c>
      <c r="D9224" s="7" t="s">
        <v>29</v>
      </c>
      <c r="E9224" s="7" t="s">
        <v>30</v>
      </c>
    </row>
    <row r="9225" spans="1:5" ht="18" x14ac:dyDescent="0.35">
      <c r="A9225" s="5" t="s">
        <v>2117</v>
      </c>
      <c r="B9225" s="50" t="s">
        <v>32</v>
      </c>
      <c r="C9225" s="7">
        <v>4.1280000000000001</v>
      </c>
      <c r="D9225" s="7">
        <v>10.34</v>
      </c>
      <c r="E9225" s="85">
        <f>C9225*D9225</f>
        <v>42.683520000000001</v>
      </c>
    </row>
    <row r="9226" spans="1:5" ht="18" x14ac:dyDescent="0.35">
      <c r="A9226" s="5" t="s">
        <v>2118</v>
      </c>
      <c r="B9226" s="50" t="s">
        <v>33</v>
      </c>
      <c r="C9226" s="7">
        <v>66.528000000000006</v>
      </c>
      <c r="D9226" s="7">
        <v>10</v>
      </c>
      <c r="E9226" s="85">
        <f>C9226*D9226</f>
        <v>665.28000000000009</v>
      </c>
    </row>
    <row r="9227" spans="1:5" ht="18" x14ac:dyDescent="0.35">
      <c r="A9227" s="5" t="s">
        <v>976</v>
      </c>
      <c r="B9227" s="50" t="s">
        <v>137</v>
      </c>
      <c r="C9227" s="7">
        <v>2.835</v>
      </c>
      <c r="D9227" s="7">
        <v>17.190000000000001</v>
      </c>
      <c r="E9227" s="85">
        <f>C9227*D9227</f>
        <v>48.733650000000004</v>
      </c>
    </row>
    <row r="9228" spans="1:5" ht="18" x14ac:dyDescent="0.35">
      <c r="A9228" s="5" t="s">
        <v>2100</v>
      </c>
      <c r="B9228" s="50" t="s">
        <v>35</v>
      </c>
      <c r="C9228" s="7">
        <v>4</v>
      </c>
      <c r="D9228" s="7">
        <v>2.91</v>
      </c>
      <c r="E9228" s="85">
        <f>C9228*D9228</f>
        <v>11.64</v>
      </c>
    </row>
    <row r="9229" spans="1:5" ht="18" x14ac:dyDescent="0.35">
      <c r="A9229" s="5"/>
      <c r="B9229" s="50" t="s">
        <v>36</v>
      </c>
      <c r="C9229" s="7">
        <v>4</v>
      </c>
      <c r="D9229" s="7">
        <v>0.61</v>
      </c>
      <c r="E9229" s="85">
        <f>C9229*D9229</f>
        <v>2.44</v>
      </c>
    </row>
    <row r="9230" spans="1:5" ht="18" x14ac:dyDescent="0.35">
      <c r="A9230" s="5"/>
      <c r="B9230" s="50"/>
      <c r="C9230" s="87"/>
      <c r="D9230" s="88"/>
      <c r="E9230" s="85">
        <f>SUM(E9225:E9229)</f>
        <v>770.77717000000018</v>
      </c>
    </row>
    <row r="9231" spans="1:5" ht="18" x14ac:dyDescent="0.35">
      <c r="A9231" s="5"/>
      <c r="B9231" s="50"/>
      <c r="C9231" s="87"/>
      <c r="D9231" s="88" t="s">
        <v>1266</v>
      </c>
      <c r="E9231" s="85">
        <f>E9230+E9230*40%</f>
        <v>1079.0880380000003</v>
      </c>
    </row>
    <row r="9232" spans="1:5" ht="18" x14ac:dyDescent="0.35">
      <c r="A9232" s="5"/>
      <c r="B9232" s="50" t="s">
        <v>37</v>
      </c>
      <c r="C9232" s="54">
        <v>3</v>
      </c>
      <c r="D9232" s="86">
        <v>200</v>
      </c>
      <c r="E9232" s="85">
        <f>C9232*D9232</f>
        <v>600</v>
      </c>
    </row>
    <row r="9233" spans="1:5" ht="18" x14ac:dyDescent="0.35">
      <c r="A9233" s="5"/>
      <c r="B9233" s="5"/>
      <c r="C9233" s="54"/>
      <c r="D9233" s="54"/>
      <c r="E9233" s="85">
        <f>SUM(E9231:E9232)</f>
        <v>1679.0880380000003</v>
      </c>
    </row>
    <row r="9235" spans="1:5" ht="21" x14ac:dyDescent="0.4">
      <c r="A9235" s="40" t="s">
        <v>1919</v>
      </c>
      <c r="B9235" s="40"/>
      <c r="C9235" s="84"/>
    </row>
    <row r="9236" spans="1:5" x14ac:dyDescent="0.3">
      <c r="A9236" t="s">
        <v>2119</v>
      </c>
    </row>
    <row r="9237" spans="1:5" ht="18" x14ac:dyDescent="0.35">
      <c r="A9237" s="5" t="s">
        <v>1938</v>
      </c>
      <c r="B9237" s="5"/>
      <c r="C9237" s="7" t="s">
        <v>28</v>
      </c>
      <c r="D9237" s="7" t="s">
        <v>29</v>
      </c>
      <c r="E9237" s="7" t="s">
        <v>30</v>
      </c>
    </row>
    <row r="9238" spans="1:5" ht="18" x14ac:dyDescent="0.35">
      <c r="A9238" s="5" t="s">
        <v>55</v>
      </c>
      <c r="B9238" s="50" t="s">
        <v>32</v>
      </c>
      <c r="C9238" s="7">
        <v>2.1539999999999999</v>
      </c>
      <c r="D9238" s="7">
        <v>10.34</v>
      </c>
      <c r="E9238" s="85">
        <f t="shared" ref="E9238:E9243" si="545">C9238*D9238</f>
        <v>22.272359999999999</v>
      </c>
    </row>
    <row r="9239" spans="1:5" ht="18" x14ac:dyDescent="0.35">
      <c r="A9239" s="5" t="s">
        <v>1099</v>
      </c>
      <c r="B9239" s="50" t="s">
        <v>33</v>
      </c>
      <c r="C9239" s="7">
        <v>11.843999999999999</v>
      </c>
      <c r="D9239" s="7">
        <v>10</v>
      </c>
      <c r="E9239" s="85">
        <f t="shared" si="545"/>
        <v>118.44</v>
      </c>
    </row>
    <row r="9240" spans="1:5" ht="18" x14ac:dyDescent="0.35">
      <c r="A9240" s="102"/>
      <c r="B9240" s="50" t="s">
        <v>1939</v>
      </c>
      <c r="C9240" s="7">
        <v>2</v>
      </c>
      <c r="D9240" s="7">
        <v>2.2400000000000002</v>
      </c>
      <c r="E9240" s="85">
        <f t="shared" si="545"/>
        <v>4.4800000000000004</v>
      </c>
    </row>
    <row r="9241" spans="1:5" ht="18" x14ac:dyDescent="0.35">
      <c r="A9241" s="5"/>
      <c r="B9241" s="50" t="s">
        <v>34</v>
      </c>
      <c r="C9241" s="7"/>
      <c r="D9241" s="7">
        <v>3.4</v>
      </c>
      <c r="E9241" s="85">
        <f t="shared" si="545"/>
        <v>0</v>
      </c>
    </row>
    <row r="9242" spans="1:5" ht="18" x14ac:dyDescent="0.35">
      <c r="A9242" s="5"/>
      <c r="B9242" s="50" t="s">
        <v>35</v>
      </c>
      <c r="C9242" s="7">
        <v>4</v>
      </c>
      <c r="D9242" s="7">
        <v>2.91</v>
      </c>
      <c r="E9242" s="85">
        <f t="shared" si="545"/>
        <v>11.64</v>
      </c>
    </row>
    <row r="9243" spans="1:5" ht="18" x14ac:dyDescent="0.35">
      <c r="A9243" s="5"/>
      <c r="B9243" s="50" t="s">
        <v>36</v>
      </c>
      <c r="C9243" s="7">
        <v>4</v>
      </c>
      <c r="D9243" s="7">
        <v>0.61</v>
      </c>
      <c r="E9243" s="85">
        <f t="shared" si="545"/>
        <v>2.44</v>
      </c>
    </row>
    <row r="9244" spans="1:5" ht="18" x14ac:dyDescent="0.35">
      <c r="A9244" s="5"/>
      <c r="B9244" s="5"/>
      <c r="C9244" s="54"/>
      <c r="D9244" s="54"/>
      <c r="E9244" s="89">
        <f>SUM(E9238:E9243)</f>
        <v>159.27235999999999</v>
      </c>
    </row>
    <row r="9245" spans="1:5" ht="18" x14ac:dyDescent="0.35">
      <c r="A9245" s="5"/>
      <c r="B9245" s="5"/>
      <c r="C9245" s="54"/>
      <c r="D9245" s="54" t="s">
        <v>1066</v>
      </c>
      <c r="E9245" s="89">
        <f>E9244+E9244*40%</f>
        <v>222.98130399999999</v>
      </c>
    </row>
    <row r="9246" spans="1:5" ht="18" x14ac:dyDescent="0.35">
      <c r="A9246" s="5"/>
      <c r="B9246" s="50" t="s">
        <v>37</v>
      </c>
      <c r="C9246" s="54">
        <v>0.5</v>
      </c>
      <c r="D9246" s="54">
        <v>200</v>
      </c>
      <c r="E9246" s="85">
        <f>C9246*D9246</f>
        <v>100</v>
      </c>
    </row>
    <row r="9247" spans="1:5" ht="18" x14ac:dyDescent="0.35">
      <c r="A9247" s="5"/>
      <c r="B9247" s="5"/>
      <c r="C9247" s="54"/>
      <c r="D9247" s="54"/>
      <c r="E9247" s="85">
        <f>SUM(E9245:E9246)</f>
        <v>322.98130400000002</v>
      </c>
    </row>
    <row r="9249" spans="1:5" ht="21" x14ac:dyDescent="0.4">
      <c r="A9249" s="40" t="s">
        <v>2066</v>
      </c>
      <c r="B9249" s="40"/>
      <c r="C9249" s="40"/>
      <c r="D9249" s="12"/>
      <c r="E9249" s="12"/>
    </row>
    <row r="9250" spans="1:5" ht="18" x14ac:dyDescent="0.35">
      <c r="A9250" s="5" t="s">
        <v>1383</v>
      </c>
      <c r="B9250" s="5"/>
      <c r="C9250" s="7" t="s">
        <v>28</v>
      </c>
      <c r="D9250" s="7" t="s">
        <v>29</v>
      </c>
      <c r="E9250" s="7" t="s">
        <v>30</v>
      </c>
    </row>
    <row r="9251" spans="1:5" ht="18" x14ac:dyDescent="0.35">
      <c r="A9251" s="5" t="s">
        <v>585</v>
      </c>
      <c r="B9251" s="50" t="s">
        <v>32</v>
      </c>
      <c r="C9251" s="7">
        <v>3.92</v>
      </c>
      <c r="D9251" s="7">
        <v>10.34</v>
      </c>
      <c r="E9251" s="85">
        <f>C9251*D9251</f>
        <v>40.532800000000002</v>
      </c>
    </row>
    <row r="9252" spans="1:5" ht="18" x14ac:dyDescent="0.35">
      <c r="A9252" s="5" t="s">
        <v>819</v>
      </c>
      <c r="B9252" s="50" t="s">
        <v>33</v>
      </c>
      <c r="C9252" s="7">
        <v>42.325000000000003</v>
      </c>
      <c r="D9252" s="7">
        <v>10</v>
      </c>
      <c r="E9252" s="85">
        <f>C9252*D9252</f>
        <v>423.25</v>
      </c>
    </row>
    <row r="9253" spans="1:5" ht="18" x14ac:dyDescent="0.35">
      <c r="A9253" s="5" t="s">
        <v>2120</v>
      </c>
      <c r="B9253" s="50" t="s">
        <v>137</v>
      </c>
      <c r="C9253" s="7">
        <v>2.52</v>
      </c>
      <c r="D9253" s="7">
        <v>17.190000000000001</v>
      </c>
      <c r="E9253" s="85">
        <f>C9253*D9253</f>
        <v>43.318800000000003</v>
      </c>
    </row>
    <row r="9254" spans="1:5" ht="18" x14ac:dyDescent="0.35">
      <c r="A9254" s="5" t="s">
        <v>2100</v>
      </c>
      <c r="B9254" s="50" t="s">
        <v>35</v>
      </c>
      <c r="C9254" s="7">
        <v>4</v>
      </c>
      <c r="D9254" s="7">
        <v>2.91</v>
      </c>
      <c r="E9254" s="85">
        <f>C9254*D9254</f>
        <v>11.64</v>
      </c>
    </row>
    <row r="9255" spans="1:5" ht="18" x14ac:dyDescent="0.35">
      <c r="A9255" s="5"/>
      <c r="B9255" s="50" t="s">
        <v>36</v>
      </c>
      <c r="C9255" s="7">
        <v>4</v>
      </c>
      <c r="D9255" s="7">
        <v>0.61</v>
      </c>
      <c r="E9255" s="85">
        <f>C9255*D9255</f>
        <v>2.44</v>
      </c>
    </row>
    <row r="9256" spans="1:5" ht="18" x14ac:dyDescent="0.35">
      <c r="A9256" s="5"/>
      <c r="B9256" s="50"/>
      <c r="C9256" s="87"/>
      <c r="D9256" s="88"/>
      <c r="E9256" s="85">
        <f>SUM(E9251:E9255)</f>
        <v>521.18160000000012</v>
      </c>
    </row>
    <row r="9257" spans="1:5" ht="18" x14ac:dyDescent="0.35">
      <c r="A9257" s="5"/>
      <c r="B9257" s="50"/>
      <c r="C9257" s="87"/>
      <c r="D9257" s="88" t="s">
        <v>1266</v>
      </c>
      <c r="E9257" s="85">
        <f>E9256+E9256*40%</f>
        <v>729.65424000000019</v>
      </c>
    </row>
    <row r="9258" spans="1:5" ht="18" x14ac:dyDescent="0.35">
      <c r="A9258" s="5"/>
      <c r="B9258" s="50" t="s">
        <v>37</v>
      </c>
      <c r="C9258" s="54">
        <v>2</v>
      </c>
      <c r="D9258" s="86">
        <v>200</v>
      </c>
      <c r="E9258" s="85">
        <f>C9258*D9258</f>
        <v>400</v>
      </c>
    </row>
    <row r="9259" spans="1:5" ht="18" x14ac:dyDescent="0.35">
      <c r="A9259" s="5"/>
      <c r="B9259" s="5"/>
      <c r="C9259" s="54"/>
      <c r="D9259" s="54"/>
      <c r="E9259" s="85">
        <f>SUM(E9257:E9258)</f>
        <v>1129.6542400000003</v>
      </c>
    </row>
    <row r="9261" spans="1:5" ht="21" x14ac:dyDescent="0.4">
      <c r="A9261" s="40" t="s">
        <v>2066</v>
      </c>
      <c r="B9261" s="40"/>
      <c r="C9261" s="40"/>
      <c r="D9261" s="12"/>
      <c r="E9261" s="12"/>
    </row>
    <row r="9262" spans="1:5" ht="18" x14ac:dyDescent="0.35">
      <c r="A9262" s="5" t="s">
        <v>2094</v>
      </c>
      <c r="B9262" s="5"/>
      <c r="C9262" s="7" t="s">
        <v>28</v>
      </c>
      <c r="D9262" s="7" t="s">
        <v>29</v>
      </c>
      <c r="E9262" s="7" t="s">
        <v>30</v>
      </c>
    </row>
    <row r="9263" spans="1:5" ht="18" x14ac:dyDescent="0.35">
      <c r="A9263" s="5" t="s">
        <v>292</v>
      </c>
      <c r="B9263" s="50" t="s">
        <v>32</v>
      </c>
      <c r="C9263" s="7">
        <v>3.2879999999999998</v>
      </c>
      <c r="D9263" s="7">
        <v>10.34</v>
      </c>
      <c r="E9263" s="85">
        <f>C9263*D9263</f>
        <v>33.997920000000001</v>
      </c>
    </row>
    <row r="9264" spans="1:5" ht="18" x14ac:dyDescent="0.35">
      <c r="A9264" s="5" t="s">
        <v>2123</v>
      </c>
      <c r="B9264" s="50" t="s">
        <v>33</v>
      </c>
      <c r="C9264" s="7">
        <v>36.381999999999998</v>
      </c>
      <c r="D9264" s="7">
        <v>10</v>
      </c>
      <c r="E9264" s="85">
        <f>C9264*D9264</f>
        <v>363.82</v>
      </c>
    </row>
    <row r="9265" spans="1:5" ht="18" x14ac:dyDescent="0.35">
      <c r="A9265" s="5" t="s">
        <v>1264</v>
      </c>
      <c r="B9265" s="50" t="s">
        <v>137</v>
      </c>
      <c r="C9265" s="7">
        <v>1.575</v>
      </c>
      <c r="D9265" s="7">
        <v>17.190000000000001</v>
      </c>
      <c r="E9265" s="85">
        <f>C9265*D9265</f>
        <v>27.074250000000003</v>
      </c>
    </row>
    <row r="9266" spans="1:5" ht="18" x14ac:dyDescent="0.35">
      <c r="A9266" s="5" t="s">
        <v>2100</v>
      </c>
      <c r="B9266" s="50" t="s">
        <v>35</v>
      </c>
      <c r="C9266" s="7">
        <v>4</v>
      </c>
      <c r="D9266" s="7">
        <v>2.91</v>
      </c>
      <c r="E9266" s="85">
        <f>C9266*D9266</f>
        <v>11.64</v>
      </c>
    </row>
    <row r="9267" spans="1:5" ht="18" x14ac:dyDescent="0.35">
      <c r="A9267" s="5"/>
      <c r="B9267" s="50" t="s">
        <v>36</v>
      </c>
      <c r="C9267" s="7">
        <v>4</v>
      </c>
      <c r="D9267" s="7">
        <v>0.61</v>
      </c>
      <c r="E9267" s="85">
        <f>C9267*D9267</f>
        <v>2.44</v>
      </c>
    </row>
    <row r="9268" spans="1:5" ht="18" x14ac:dyDescent="0.35">
      <c r="A9268" s="5"/>
      <c r="B9268" s="50"/>
      <c r="C9268" s="87"/>
      <c r="D9268" s="88"/>
      <c r="E9268" s="85">
        <f>SUM(E9263:E9267)</f>
        <v>438.97217000000001</v>
      </c>
    </row>
    <row r="9269" spans="1:5" ht="18" x14ac:dyDescent="0.35">
      <c r="A9269" s="5"/>
      <c r="B9269" s="50"/>
      <c r="C9269" s="87"/>
      <c r="D9269" s="88" t="s">
        <v>1266</v>
      </c>
      <c r="E9269" s="85">
        <f>E9268+E9268*40%</f>
        <v>614.56103800000005</v>
      </c>
    </row>
    <row r="9270" spans="1:5" ht="18" x14ac:dyDescent="0.35">
      <c r="A9270" s="5"/>
      <c r="B9270" s="50" t="s">
        <v>37</v>
      </c>
      <c r="C9270" s="54">
        <v>2</v>
      </c>
      <c r="D9270" s="86">
        <v>150</v>
      </c>
      <c r="E9270" s="85">
        <f>C9270*D9270</f>
        <v>300</v>
      </c>
    </row>
    <row r="9271" spans="1:5" ht="18" x14ac:dyDescent="0.35">
      <c r="A9271" s="5"/>
      <c r="B9271" s="5"/>
      <c r="C9271" s="54"/>
      <c r="D9271" s="54"/>
      <c r="E9271" s="85">
        <f>SUM(E9269:E9270)</f>
        <v>914.56103800000005</v>
      </c>
    </row>
    <row r="9273" spans="1:5" ht="21" x14ac:dyDescent="0.4">
      <c r="A9273" s="40" t="s">
        <v>2066</v>
      </c>
      <c r="B9273" s="40"/>
      <c r="C9273" s="40"/>
      <c r="D9273" s="12"/>
      <c r="E9273" s="12"/>
    </row>
    <row r="9274" spans="1:5" ht="18" x14ac:dyDescent="0.35">
      <c r="A9274" s="5" t="s">
        <v>2074</v>
      </c>
      <c r="B9274" s="5"/>
      <c r="C9274" s="7" t="s">
        <v>28</v>
      </c>
      <c r="D9274" s="7" t="s">
        <v>29</v>
      </c>
      <c r="E9274" s="7" t="s">
        <v>30</v>
      </c>
    </row>
    <row r="9275" spans="1:5" ht="18" x14ac:dyDescent="0.35">
      <c r="A9275" s="5" t="s">
        <v>421</v>
      </c>
      <c r="B9275" s="50" t="s">
        <v>32</v>
      </c>
      <c r="C9275" s="7">
        <v>4.3380000000000001</v>
      </c>
      <c r="D9275" s="7">
        <v>10.34</v>
      </c>
      <c r="E9275" s="85">
        <f>C9275*D9275</f>
        <v>44.85492</v>
      </c>
    </row>
    <row r="9276" spans="1:5" ht="18" x14ac:dyDescent="0.35">
      <c r="A9276" s="5" t="s">
        <v>2124</v>
      </c>
      <c r="B9276" s="50" t="s">
        <v>33</v>
      </c>
      <c r="C9276" s="7">
        <v>72.765000000000001</v>
      </c>
      <c r="D9276" s="7">
        <v>10</v>
      </c>
      <c r="E9276" s="85">
        <f>C9276*D9276</f>
        <v>727.65</v>
      </c>
    </row>
    <row r="9277" spans="1:5" ht="18" x14ac:dyDescent="0.35">
      <c r="A9277" s="5" t="s">
        <v>2125</v>
      </c>
      <c r="B9277" s="50" t="s">
        <v>137</v>
      </c>
      <c r="C9277" s="7">
        <v>4</v>
      </c>
      <c r="D9277" s="7">
        <v>17.190000000000001</v>
      </c>
      <c r="E9277" s="85">
        <f>C9277*D9277</f>
        <v>68.760000000000005</v>
      </c>
    </row>
    <row r="9278" spans="1:5" ht="18" x14ac:dyDescent="0.35">
      <c r="A9278" s="5" t="s">
        <v>2100</v>
      </c>
      <c r="B9278" s="50" t="s">
        <v>35</v>
      </c>
      <c r="C9278" s="7">
        <v>4</v>
      </c>
      <c r="D9278" s="7">
        <v>2.91</v>
      </c>
      <c r="E9278" s="85">
        <f>C9278*D9278</f>
        <v>11.64</v>
      </c>
    </row>
    <row r="9279" spans="1:5" ht="18" x14ac:dyDescent="0.35">
      <c r="A9279" s="5"/>
      <c r="B9279" s="50" t="s">
        <v>36</v>
      </c>
      <c r="C9279" s="7">
        <v>4</v>
      </c>
      <c r="D9279" s="7">
        <v>0.61</v>
      </c>
      <c r="E9279" s="85">
        <f>C9279*D9279</f>
        <v>2.44</v>
      </c>
    </row>
    <row r="9280" spans="1:5" ht="18" x14ac:dyDescent="0.35">
      <c r="A9280" s="5"/>
      <c r="B9280" s="50"/>
      <c r="C9280" s="87"/>
      <c r="D9280" s="88"/>
      <c r="E9280" s="85">
        <f>SUM(E9275:E9279)</f>
        <v>855.34492</v>
      </c>
    </row>
    <row r="9281" spans="1:5" ht="18" x14ac:dyDescent="0.35">
      <c r="A9281" s="5"/>
      <c r="B9281" s="50"/>
      <c r="C9281" s="87"/>
      <c r="D9281" s="88" t="s">
        <v>1266</v>
      </c>
      <c r="E9281" s="85">
        <f>E9280+E9280*40%</f>
        <v>1197.482888</v>
      </c>
    </row>
    <row r="9282" spans="1:5" ht="18" x14ac:dyDescent="0.35">
      <c r="A9282" s="5"/>
      <c r="B9282" s="50" t="s">
        <v>37</v>
      </c>
      <c r="C9282" s="54">
        <v>3</v>
      </c>
      <c r="D9282" s="86">
        <v>200</v>
      </c>
      <c r="E9282" s="85">
        <f>C9282*D9282</f>
        <v>600</v>
      </c>
    </row>
    <row r="9283" spans="1:5" ht="18" x14ac:dyDescent="0.35">
      <c r="A9283" s="5"/>
      <c r="B9283" s="5"/>
      <c r="C9283" s="54"/>
      <c r="D9283" s="54"/>
      <c r="E9283" s="85">
        <f>SUM(E9281:E9282)</f>
        <v>1797.482888</v>
      </c>
    </row>
    <row r="9286" spans="1:5" ht="21" x14ac:dyDescent="0.4">
      <c r="A9286" s="40" t="s">
        <v>2066</v>
      </c>
      <c r="B9286" s="40"/>
      <c r="C9286" s="40"/>
      <c r="D9286" s="12"/>
      <c r="E9286" s="12"/>
    </row>
    <row r="9287" spans="1:5" ht="18" x14ac:dyDescent="0.35">
      <c r="A9287" s="5" t="s">
        <v>2128</v>
      </c>
      <c r="B9287" s="5"/>
      <c r="C9287" s="7" t="s">
        <v>28</v>
      </c>
      <c r="D9287" s="7" t="s">
        <v>29</v>
      </c>
      <c r="E9287" s="7" t="s">
        <v>30</v>
      </c>
    </row>
    <row r="9288" spans="1:5" ht="18" x14ac:dyDescent="0.35">
      <c r="A9288" s="5" t="s">
        <v>2129</v>
      </c>
      <c r="B9288" s="50" t="s">
        <v>32</v>
      </c>
      <c r="C9288" s="7">
        <v>2.9630000000000001</v>
      </c>
      <c r="D9288" s="7">
        <v>10.34</v>
      </c>
      <c r="E9288" s="85">
        <f>C9288*D9288</f>
        <v>30.637419999999999</v>
      </c>
    </row>
    <row r="9289" spans="1:5" ht="18" x14ac:dyDescent="0.35">
      <c r="A9289" s="5" t="s">
        <v>2130</v>
      </c>
      <c r="B9289" s="50" t="s">
        <v>33</v>
      </c>
      <c r="C9289" s="7">
        <v>30.428999999999998</v>
      </c>
      <c r="D9289" s="7">
        <v>10</v>
      </c>
      <c r="E9289" s="85">
        <f>C9289*D9289</f>
        <v>304.28999999999996</v>
      </c>
    </row>
    <row r="9290" spans="1:5" ht="18" x14ac:dyDescent="0.35">
      <c r="A9290" s="5" t="s">
        <v>2131</v>
      </c>
      <c r="B9290" s="50" t="s">
        <v>137</v>
      </c>
      <c r="C9290" s="7">
        <v>0.58299999999999996</v>
      </c>
      <c r="D9290" s="7">
        <v>17.190000000000001</v>
      </c>
      <c r="E9290" s="85">
        <f>C9290*D9290</f>
        <v>10.02177</v>
      </c>
    </row>
    <row r="9291" spans="1:5" ht="18" x14ac:dyDescent="0.35">
      <c r="A9291" s="5" t="s">
        <v>2100</v>
      </c>
      <c r="B9291" s="50" t="s">
        <v>35</v>
      </c>
      <c r="C9291" s="7">
        <v>4</v>
      </c>
      <c r="D9291" s="7">
        <v>2.91</v>
      </c>
      <c r="E9291" s="85">
        <f>C9291*D9291</f>
        <v>11.64</v>
      </c>
    </row>
    <row r="9292" spans="1:5" ht="18" x14ac:dyDescent="0.35">
      <c r="A9292" s="5"/>
      <c r="B9292" s="50" t="s">
        <v>36</v>
      </c>
      <c r="C9292" s="7">
        <v>4</v>
      </c>
      <c r="D9292" s="7">
        <v>0.61</v>
      </c>
      <c r="E9292" s="85">
        <f>C9292*D9292</f>
        <v>2.44</v>
      </c>
    </row>
    <row r="9293" spans="1:5" ht="18" x14ac:dyDescent="0.35">
      <c r="A9293" s="5"/>
      <c r="B9293" s="50"/>
      <c r="C9293" s="87"/>
      <c r="D9293" s="88"/>
      <c r="E9293" s="85">
        <f>SUM(E9288:E9292)</f>
        <v>359.02918999999997</v>
      </c>
    </row>
    <row r="9294" spans="1:5" ht="18" x14ac:dyDescent="0.35">
      <c r="A9294" s="5"/>
      <c r="B9294" s="50"/>
      <c r="C9294" s="87"/>
      <c r="D9294" s="88" t="s">
        <v>1266</v>
      </c>
      <c r="E9294" s="85">
        <f>E9293+E9293*40%</f>
        <v>502.64086599999996</v>
      </c>
    </row>
    <row r="9295" spans="1:5" ht="18" x14ac:dyDescent="0.35">
      <c r="A9295" s="5"/>
      <c r="B9295" s="50" t="s">
        <v>37</v>
      </c>
      <c r="C9295" s="54">
        <v>1.5</v>
      </c>
      <c r="D9295" s="86">
        <v>200</v>
      </c>
      <c r="E9295" s="85">
        <f>C9295*D9295</f>
        <v>300</v>
      </c>
    </row>
    <row r="9296" spans="1:5" ht="18" x14ac:dyDescent="0.35">
      <c r="A9296" s="5"/>
      <c r="B9296" s="5"/>
      <c r="C9296" s="54"/>
      <c r="D9296" s="54"/>
      <c r="E9296" s="85">
        <f>SUM(E9294:E9295)</f>
        <v>802.64086599999996</v>
      </c>
    </row>
    <row r="9299" spans="1:5" ht="21" x14ac:dyDescent="0.4">
      <c r="A9299" s="40" t="s">
        <v>2066</v>
      </c>
      <c r="B9299" s="40"/>
      <c r="C9299" s="40"/>
      <c r="D9299" s="12"/>
      <c r="E9299" s="12"/>
    </row>
    <row r="9300" spans="1:5" ht="18" x14ac:dyDescent="0.35">
      <c r="A9300" s="5" t="s">
        <v>2128</v>
      </c>
      <c r="B9300" s="5"/>
      <c r="C9300" s="7" t="s">
        <v>28</v>
      </c>
      <c r="D9300" s="7" t="s">
        <v>29</v>
      </c>
      <c r="E9300" s="7" t="s">
        <v>30</v>
      </c>
    </row>
    <row r="9301" spans="1:5" ht="18" x14ac:dyDescent="0.35">
      <c r="A9301" s="5" t="s">
        <v>1323</v>
      </c>
      <c r="B9301" s="50" t="s">
        <v>32</v>
      </c>
      <c r="C9301" s="7">
        <v>4.55</v>
      </c>
      <c r="D9301" s="7">
        <v>10.34</v>
      </c>
      <c r="E9301" s="85">
        <f>C9301*D9301</f>
        <v>47.046999999999997</v>
      </c>
    </row>
    <row r="9302" spans="1:5" ht="18" x14ac:dyDescent="0.35">
      <c r="A9302" s="5" t="s">
        <v>1220</v>
      </c>
      <c r="B9302" s="50" t="s">
        <v>33</v>
      </c>
      <c r="C9302" s="7">
        <v>10.448</v>
      </c>
      <c r="D9302" s="7">
        <v>10</v>
      </c>
      <c r="E9302" s="85">
        <f>C9302*D9302</f>
        <v>104.48</v>
      </c>
    </row>
    <row r="9303" spans="1:5" ht="18" x14ac:dyDescent="0.35">
      <c r="A9303" s="5" t="s">
        <v>859</v>
      </c>
      <c r="B9303" s="50" t="s">
        <v>137</v>
      </c>
      <c r="C9303" s="7">
        <v>0.52500000000000002</v>
      </c>
      <c r="D9303" s="7">
        <v>17.190000000000001</v>
      </c>
      <c r="E9303" s="85">
        <f>C9303*D9303</f>
        <v>9.0247500000000009</v>
      </c>
    </row>
    <row r="9304" spans="1:5" ht="18" x14ac:dyDescent="0.35">
      <c r="A9304" s="5" t="s">
        <v>2100</v>
      </c>
      <c r="B9304" s="50" t="s">
        <v>35</v>
      </c>
      <c r="C9304" s="7">
        <v>4</v>
      </c>
      <c r="D9304" s="7">
        <v>2.91</v>
      </c>
      <c r="E9304" s="85">
        <f>C9304*D9304</f>
        <v>11.64</v>
      </c>
    </row>
    <row r="9305" spans="1:5" ht="18" x14ac:dyDescent="0.35">
      <c r="A9305" s="5"/>
      <c r="B9305" s="50" t="s">
        <v>36</v>
      </c>
      <c r="C9305" s="7">
        <v>4</v>
      </c>
      <c r="D9305" s="7">
        <v>0.61</v>
      </c>
      <c r="E9305" s="85">
        <f>C9305*D9305</f>
        <v>2.44</v>
      </c>
    </row>
    <row r="9306" spans="1:5" ht="18" x14ac:dyDescent="0.35">
      <c r="A9306" s="5"/>
      <c r="B9306" s="50"/>
      <c r="C9306" s="87"/>
      <c r="D9306" s="88"/>
      <c r="E9306" s="85">
        <f>SUM(E9301:E9305)</f>
        <v>174.63175000000001</v>
      </c>
    </row>
    <row r="9307" spans="1:5" ht="18" x14ac:dyDescent="0.35">
      <c r="A9307" s="5"/>
      <c r="B9307" s="50"/>
      <c r="C9307" s="87"/>
      <c r="D9307" s="88" t="s">
        <v>1266</v>
      </c>
      <c r="E9307" s="85">
        <f>E9306+E9306*40%</f>
        <v>244.48445000000004</v>
      </c>
    </row>
    <row r="9308" spans="1:5" ht="18" x14ac:dyDescent="0.35">
      <c r="A9308" s="5"/>
      <c r="B9308" s="50" t="s">
        <v>37</v>
      </c>
      <c r="C9308" s="54">
        <v>1</v>
      </c>
      <c r="D9308" s="86">
        <v>200</v>
      </c>
      <c r="E9308" s="85">
        <f>C9308*D9308</f>
        <v>200</v>
      </c>
    </row>
    <row r="9309" spans="1:5" ht="18" x14ac:dyDescent="0.35">
      <c r="A9309" s="5"/>
      <c r="B9309" s="5"/>
      <c r="C9309" s="54"/>
      <c r="D9309" s="54"/>
      <c r="E9309" s="85">
        <f>SUM(E9307:E9308)</f>
        <v>444.48445000000004</v>
      </c>
    </row>
    <row r="9311" spans="1:5" ht="21" x14ac:dyDescent="0.4">
      <c r="A9311" s="40" t="s">
        <v>602</v>
      </c>
      <c r="B9311" s="40"/>
      <c r="C9311" s="84"/>
    </row>
    <row r="9312" spans="1:5" ht="18" x14ac:dyDescent="0.35">
      <c r="A9312" t="s">
        <v>1988</v>
      </c>
      <c r="B9312" s="5"/>
      <c r="C9312" s="7" t="s">
        <v>28</v>
      </c>
      <c r="D9312" s="7" t="s">
        <v>29</v>
      </c>
      <c r="E9312" s="7" t="s">
        <v>30</v>
      </c>
    </row>
    <row r="9313" spans="1:5" ht="18" x14ac:dyDescent="0.35">
      <c r="A9313" s="5" t="s">
        <v>466</v>
      </c>
      <c r="B9313" s="50" t="s">
        <v>32</v>
      </c>
      <c r="C9313" s="7">
        <v>4.55</v>
      </c>
      <c r="D9313" s="7">
        <v>14.93</v>
      </c>
      <c r="E9313" s="85">
        <f t="shared" ref="E9313:E9320" si="546">C9313*D9313</f>
        <v>67.9315</v>
      </c>
    </row>
    <row r="9314" spans="1:5" ht="18" x14ac:dyDescent="0.35">
      <c r="A9314" s="5" t="s">
        <v>238</v>
      </c>
      <c r="B9314" s="50" t="s">
        <v>33</v>
      </c>
      <c r="C9314" s="7">
        <v>4.1580000000000004</v>
      </c>
      <c r="D9314" s="7">
        <v>10</v>
      </c>
      <c r="E9314" s="85">
        <f t="shared" si="546"/>
        <v>41.580000000000005</v>
      </c>
    </row>
    <row r="9315" spans="1:5" ht="18" x14ac:dyDescent="0.35">
      <c r="A9315" s="5" t="s">
        <v>2132</v>
      </c>
      <c r="B9315" s="50" t="s">
        <v>33</v>
      </c>
      <c r="C9315" s="7">
        <v>9.1</v>
      </c>
      <c r="D9315" s="7">
        <v>10</v>
      </c>
      <c r="E9315" s="85">
        <f t="shared" si="546"/>
        <v>91</v>
      </c>
    </row>
    <row r="9316" spans="1:5" ht="18" x14ac:dyDescent="0.35">
      <c r="A9316" s="5" t="s">
        <v>859</v>
      </c>
      <c r="B9316" s="50" t="s">
        <v>42</v>
      </c>
      <c r="C9316" s="7">
        <v>2</v>
      </c>
      <c r="D9316" s="7">
        <v>1.1499999999999999</v>
      </c>
      <c r="E9316" s="85">
        <f t="shared" si="546"/>
        <v>2.2999999999999998</v>
      </c>
    </row>
    <row r="9317" spans="1:5" ht="18" x14ac:dyDescent="0.35">
      <c r="A9317" s="5" t="s">
        <v>1954</v>
      </c>
      <c r="B9317" s="50" t="s">
        <v>113</v>
      </c>
      <c r="C9317" s="7">
        <v>8</v>
      </c>
      <c r="D9317" s="7">
        <v>2.2400000000000002</v>
      </c>
      <c r="E9317" s="85">
        <f t="shared" si="546"/>
        <v>17.920000000000002</v>
      </c>
    </row>
    <row r="9318" spans="1:5" ht="18" x14ac:dyDescent="0.35">
      <c r="A9318" s="5"/>
      <c r="B9318" s="50" t="s">
        <v>34</v>
      </c>
      <c r="C9318" s="7">
        <v>0.52500000000000002</v>
      </c>
      <c r="D9318" s="7">
        <v>14.61</v>
      </c>
      <c r="E9318" s="85">
        <f t="shared" si="546"/>
        <v>7.6702500000000002</v>
      </c>
    </row>
    <row r="9319" spans="1:5" ht="18" x14ac:dyDescent="0.35">
      <c r="A9319" s="5"/>
      <c r="B9319" s="50" t="s">
        <v>35</v>
      </c>
      <c r="C9319" s="7">
        <v>4</v>
      </c>
      <c r="D9319" s="7">
        <v>2.91</v>
      </c>
      <c r="E9319" s="85">
        <f t="shared" si="546"/>
        <v>11.64</v>
      </c>
    </row>
    <row r="9320" spans="1:5" ht="18" x14ac:dyDescent="0.35">
      <c r="A9320" s="5"/>
      <c r="B9320" s="50" t="s">
        <v>36</v>
      </c>
      <c r="C9320" s="7">
        <v>4</v>
      </c>
      <c r="D9320" s="7">
        <v>0.61</v>
      </c>
      <c r="E9320" s="85">
        <f t="shared" si="546"/>
        <v>2.44</v>
      </c>
    </row>
    <row r="9321" spans="1:5" ht="18" x14ac:dyDescent="0.35">
      <c r="A9321" s="5"/>
      <c r="B9321" s="5"/>
      <c r="C9321" s="54"/>
      <c r="D9321" s="54"/>
      <c r="E9321" s="89">
        <f>SUM(E9313:E9320)</f>
        <v>242.48175000000003</v>
      </c>
    </row>
    <row r="9322" spans="1:5" ht="18" x14ac:dyDescent="0.35">
      <c r="A9322" s="5"/>
      <c r="B9322" s="5"/>
      <c r="C9322" s="54"/>
      <c r="D9322" s="54" t="s">
        <v>1063</v>
      </c>
      <c r="E9322" s="89">
        <f>E9321+E9321*40%</f>
        <v>339.47445000000005</v>
      </c>
    </row>
    <row r="9323" spans="1:5" ht="18" x14ac:dyDescent="0.35">
      <c r="A9323" s="5"/>
      <c r="B9323" s="50" t="s">
        <v>37</v>
      </c>
      <c r="C9323" s="54">
        <v>1</v>
      </c>
      <c r="D9323" s="54">
        <v>200</v>
      </c>
      <c r="E9323" s="85">
        <f>C9323*D9323</f>
        <v>200</v>
      </c>
    </row>
    <row r="9324" spans="1:5" ht="18" x14ac:dyDescent="0.35">
      <c r="E9324" s="85">
        <f>SUM(E9322:E9323)</f>
        <v>539.47445000000005</v>
      </c>
    </row>
    <row r="9326" spans="1:5" ht="21" x14ac:dyDescent="0.4">
      <c r="A9326" s="40" t="s">
        <v>2066</v>
      </c>
      <c r="B9326" s="40"/>
      <c r="C9326" s="40"/>
      <c r="D9326" s="12"/>
      <c r="E9326" s="12"/>
    </row>
    <row r="9327" spans="1:5" ht="18" x14ac:dyDescent="0.35">
      <c r="A9327" s="5" t="s">
        <v>2133</v>
      </c>
      <c r="B9327" s="5"/>
      <c r="C9327" s="7" t="s">
        <v>28</v>
      </c>
      <c r="D9327" s="7" t="s">
        <v>29</v>
      </c>
      <c r="E9327" s="7" t="s">
        <v>30</v>
      </c>
    </row>
    <row r="9328" spans="1:5" ht="18" x14ac:dyDescent="0.35">
      <c r="A9328" s="5" t="s">
        <v>697</v>
      </c>
      <c r="B9328" s="50" t="s">
        <v>32</v>
      </c>
      <c r="C9328" s="7">
        <v>2.238</v>
      </c>
      <c r="D9328" s="7">
        <v>10.34</v>
      </c>
      <c r="E9328" s="85">
        <f>C9328*D9328</f>
        <v>23.140920000000001</v>
      </c>
    </row>
    <row r="9329" spans="1:5" ht="18" x14ac:dyDescent="0.35">
      <c r="A9329" s="5" t="s">
        <v>804</v>
      </c>
      <c r="B9329" s="50" t="s">
        <v>33</v>
      </c>
      <c r="C9329" s="7">
        <v>17.608000000000001</v>
      </c>
      <c r="D9329" s="7">
        <v>10</v>
      </c>
      <c r="E9329" s="85">
        <f>C9329*D9329</f>
        <v>176.08</v>
      </c>
    </row>
    <row r="9330" spans="1:5" ht="18" x14ac:dyDescent="0.35">
      <c r="A9330" s="5" t="s">
        <v>976</v>
      </c>
      <c r="B9330" s="50" t="s">
        <v>137</v>
      </c>
      <c r="C9330" s="7">
        <v>1.26</v>
      </c>
      <c r="D9330" s="7">
        <v>17.190000000000001</v>
      </c>
      <c r="E9330" s="85">
        <f>C9330*D9330</f>
        <v>21.659400000000002</v>
      </c>
    </row>
    <row r="9331" spans="1:5" ht="18" x14ac:dyDescent="0.35">
      <c r="A9331" s="5" t="s">
        <v>2100</v>
      </c>
      <c r="B9331" s="50" t="s">
        <v>35</v>
      </c>
      <c r="C9331" s="7">
        <v>4</v>
      </c>
      <c r="D9331" s="7">
        <v>2.91</v>
      </c>
      <c r="E9331" s="85">
        <f>C9331*D9331</f>
        <v>11.64</v>
      </c>
    </row>
    <row r="9332" spans="1:5" ht="18" x14ac:dyDescent="0.35">
      <c r="A9332" s="5"/>
      <c r="B9332" s="50" t="s">
        <v>36</v>
      </c>
      <c r="C9332" s="7">
        <v>4</v>
      </c>
      <c r="D9332" s="7">
        <v>0.61</v>
      </c>
      <c r="E9332" s="85">
        <f>C9332*D9332</f>
        <v>2.44</v>
      </c>
    </row>
    <row r="9333" spans="1:5" ht="18" x14ac:dyDescent="0.35">
      <c r="A9333" s="5"/>
      <c r="B9333" s="50"/>
      <c r="C9333" s="87"/>
      <c r="D9333" s="88"/>
      <c r="E9333" s="85">
        <f>SUM(E9328:E9332)</f>
        <v>234.96032000000002</v>
      </c>
    </row>
    <row r="9334" spans="1:5" ht="18" x14ac:dyDescent="0.35">
      <c r="A9334" s="5"/>
      <c r="B9334" s="50"/>
      <c r="C9334" s="87"/>
      <c r="D9334" s="88" t="s">
        <v>1266</v>
      </c>
      <c r="E9334" s="85">
        <f>E9333+E9333*40%</f>
        <v>328.94444800000002</v>
      </c>
    </row>
    <row r="9335" spans="1:5" ht="18" x14ac:dyDescent="0.35">
      <c r="A9335" s="5"/>
      <c r="B9335" s="50" t="s">
        <v>37</v>
      </c>
      <c r="C9335" s="54">
        <v>0.75</v>
      </c>
      <c r="D9335" s="86">
        <v>200</v>
      </c>
      <c r="E9335" s="85">
        <f>C9335*D9335</f>
        <v>150</v>
      </c>
    </row>
    <row r="9336" spans="1:5" ht="18" x14ac:dyDescent="0.35">
      <c r="A9336" s="5"/>
      <c r="B9336" s="5"/>
      <c r="C9336" s="54"/>
      <c r="D9336" s="54"/>
      <c r="E9336" s="85">
        <f>SUM(E9334:E9335)</f>
        <v>478.94444800000002</v>
      </c>
    </row>
    <row r="9338" spans="1:5" ht="21" x14ac:dyDescent="0.4">
      <c r="A9338" s="40" t="s">
        <v>1919</v>
      </c>
      <c r="B9338" s="40"/>
      <c r="C9338" s="84"/>
    </row>
    <row r="9339" spans="1:5" x14ac:dyDescent="0.3">
      <c r="A9339" t="s">
        <v>2134</v>
      </c>
    </row>
    <row r="9340" spans="1:5" ht="18" x14ac:dyDescent="0.35">
      <c r="A9340" s="5" t="s">
        <v>2135</v>
      </c>
      <c r="B9340" s="5"/>
      <c r="C9340" s="7" t="s">
        <v>28</v>
      </c>
      <c r="D9340" s="7" t="s">
        <v>29</v>
      </c>
      <c r="E9340" s="7" t="s">
        <v>30</v>
      </c>
    </row>
    <row r="9341" spans="1:5" ht="18" x14ac:dyDescent="0.35">
      <c r="A9341" s="5" t="s">
        <v>769</v>
      </c>
      <c r="B9341" s="50" t="s">
        <v>32</v>
      </c>
      <c r="C9341" s="7">
        <v>3.2989999999999999</v>
      </c>
      <c r="D9341" s="7">
        <v>10.34</v>
      </c>
      <c r="E9341" s="85">
        <f t="shared" ref="E9341:E9346" si="547">C9341*D9341</f>
        <v>34.111660000000001</v>
      </c>
    </row>
    <row r="9342" spans="1:5" ht="18" x14ac:dyDescent="0.35">
      <c r="A9342" s="5" t="s">
        <v>1099</v>
      </c>
      <c r="B9342" s="50" t="s">
        <v>33</v>
      </c>
      <c r="C9342" s="7">
        <v>28.95</v>
      </c>
      <c r="D9342" s="7">
        <v>10</v>
      </c>
      <c r="E9342" s="85">
        <f t="shared" si="547"/>
        <v>289.5</v>
      </c>
    </row>
    <row r="9343" spans="1:5" ht="18" x14ac:dyDescent="0.35">
      <c r="A9343" s="102"/>
      <c r="B9343" s="50" t="s">
        <v>2136</v>
      </c>
      <c r="C9343" s="7">
        <v>2</v>
      </c>
      <c r="D9343" s="7">
        <v>3.62</v>
      </c>
      <c r="E9343" s="85">
        <f t="shared" si="547"/>
        <v>7.24</v>
      </c>
    </row>
    <row r="9344" spans="1:5" ht="18" x14ac:dyDescent="0.35">
      <c r="A9344" s="5"/>
      <c r="B9344" s="50" t="s">
        <v>34</v>
      </c>
      <c r="C9344" s="7">
        <v>0.78700000000000003</v>
      </c>
      <c r="D9344" s="7">
        <v>3.4</v>
      </c>
      <c r="E9344" s="85">
        <f t="shared" si="547"/>
        <v>2.6758000000000002</v>
      </c>
    </row>
    <row r="9345" spans="1:5" ht="18" x14ac:dyDescent="0.35">
      <c r="A9345" s="5"/>
      <c r="B9345" s="50" t="s">
        <v>35</v>
      </c>
      <c r="C9345" s="7">
        <v>4</v>
      </c>
      <c r="D9345" s="7">
        <v>2.91</v>
      </c>
      <c r="E9345" s="85">
        <f t="shared" si="547"/>
        <v>11.64</v>
      </c>
    </row>
    <row r="9346" spans="1:5" ht="18" x14ac:dyDescent="0.35">
      <c r="A9346" s="5"/>
      <c r="B9346" s="50" t="s">
        <v>36</v>
      </c>
      <c r="C9346" s="7">
        <v>4</v>
      </c>
      <c r="D9346" s="7">
        <v>0.61</v>
      </c>
      <c r="E9346" s="85">
        <f t="shared" si="547"/>
        <v>2.44</v>
      </c>
    </row>
    <row r="9347" spans="1:5" ht="18" x14ac:dyDescent="0.35">
      <c r="A9347" s="5"/>
      <c r="B9347" s="5"/>
      <c r="C9347" s="54"/>
      <c r="D9347" s="54"/>
      <c r="E9347" s="89">
        <f>SUM(E9341:E9346)</f>
        <v>347.60746</v>
      </c>
    </row>
    <row r="9348" spans="1:5" ht="18" x14ac:dyDescent="0.35">
      <c r="A9348" s="5"/>
      <c r="B9348" s="5"/>
      <c r="C9348" s="54"/>
      <c r="D9348" s="54" t="s">
        <v>1066</v>
      </c>
      <c r="E9348" s="89">
        <f>E9347+E9347*40%</f>
        <v>486.65044399999999</v>
      </c>
    </row>
    <row r="9349" spans="1:5" ht="18" x14ac:dyDescent="0.35">
      <c r="A9349" s="5"/>
      <c r="B9349" s="50" t="s">
        <v>37</v>
      </c>
      <c r="C9349" s="54">
        <v>1</v>
      </c>
      <c r="D9349" s="54">
        <v>200</v>
      </c>
      <c r="E9349" s="85">
        <f>C9349*D9349</f>
        <v>200</v>
      </c>
    </row>
    <row r="9350" spans="1:5" ht="18" x14ac:dyDescent="0.35">
      <c r="A9350" s="5"/>
      <c r="B9350" s="5"/>
      <c r="C9350" s="54"/>
      <c r="D9350" s="54"/>
      <c r="E9350" s="85">
        <f>SUM(E9348:E9349)</f>
        <v>686.65044399999999</v>
      </c>
    </row>
    <row r="9352" spans="1:5" ht="21" x14ac:dyDescent="0.4">
      <c r="A9352" s="40" t="s">
        <v>1919</v>
      </c>
      <c r="B9352" s="40"/>
      <c r="C9352" s="84"/>
    </row>
    <row r="9353" spans="1:5" x14ac:dyDescent="0.3">
      <c r="A9353" t="s">
        <v>2137</v>
      </c>
    </row>
    <row r="9354" spans="1:5" ht="18" x14ac:dyDescent="0.35">
      <c r="A9354" s="5" t="s">
        <v>2138</v>
      </c>
      <c r="B9354" s="5"/>
      <c r="C9354" s="7" t="s">
        <v>28</v>
      </c>
      <c r="D9354" s="7" t="s">
        <v>29</v>
      </c>
      <c r="E9354" s="7" t="s">
        <v>30</v>
      </c>
    </row>
    <row r="9355" spans="1:5" ht="18" x14ac:dyDescent="0.35">
      <c r="A9355" s="5" t="s">
        <v>377</v>
      </c>
      <c r="B9355" s="50" t="s">
        <v>32</v>
      </c>
      <c r="C9355" s="7">
        <v>3.9180000000000001</v>
      </c>
      <c r="D9355" s="7">
        <v>10.34</v>
      </c>
      <c r="E9355" s="85">
        <f t="shared" ref="E9355:E9360" si="548">C9355*D9355</f>
        <v>40.512120000000003</v>
      </c>
    </row>
    <row r="9356" spans="1:5" ht="18" x14ac:dyDescent="0.35">
      <c r="A9356" s="5" t="s">
        <v>2059</v>
      </c>
      <c r="B9356" s="50" t="s">
        <v>33</v>
      </c>
      <c r="C9356" s="7">
        <v>41.475000000000001</v>
      </c>
      <c r="D9356" s="7">
        <v>10</v>
      </c>
      <c r="E9356" s="85">
        <f t="shared" si="548"/>
        <v>414.75</v>
      </c>
    </row>
    <row r="9357" spans="1:5" ht="18" x14ac:dyDescent="0.35">
      <c r="A9357" s="102"/>
      <c r="B9357" s="50" t="s">
        <v>100</v>
      </c>
      <c r="C9357" s="7">
        <v>2</v>
      </c>
      <c r="D9357" s="7">
        <v>4.4800000000000004</v>
      </c>
      <c r="E9357" s="85">
        <f t="shared" si="548"/>
        <v>8.9600000000000009</v>
      </c>
    </row>
    <row r="9358" spans="1:5" ht="18" x14ac:dyDescent="0.35">
      <c r="A9358" s="5"/>
      <c r="B9358" s="50" t="s">
        <v>34</v>
      </c>
      <c r="C9358" s="7">
        <v>1</v>
      </c>
      <c r="D9358" s="7">
        <v>3.4</v>
      </c>
      <c r="E9358" s="85">
        <f t="shared" si="548"/>
        <v>3.4</v>
      </c>
    </row>
    <row r="9359" spans="1:5" ht="18" x14ac:dyDescent="0.35">
      <c r="A9359" s="5"/>
      <c r="B9359" s="50" t="s">
        <v>35</v>
      </c>
      <c r="C9359" s="7">
        <v>4</v>
      </c>
      <c r="D9359" s="7">
        <v>2.91</v>
      </c>
      <c r="E9359" s="85">
        <f t="shared" si="548"/>
        <v>11.64</v>
      </c>
    </row>
    <row r="9360" spans="1:5" ht="18" x14ac:dyDescent="0.35">
      <c r="A9360" s="5"/>
      <c r="B9360" s="50" t="s">
        <v>36</v>
      </c>
      <c r="C9360" s="7">
        <v>4</v>
      </c>
      <c r="D9360" s="7">
        <v>0.61</v>
      </c>
      <c r="E9360" s="85">
        <f t="shared" si="548"/>
        <v>2.44</v>
      </c>
    </row>
    <row r="9361" spans="1:5" ht="18" x14ac:dyDescent="0.35">
      <c r="A9361" s="5"/>
      <c r="B9361" s="5"/>
      <c r="C9361" s="54"/>
      <c r="D9361" s="54"/>
      <c r="E9361" s="89">
        <f>SUM(E9355:E9360)</f>
        <v>481.70211999999992</v>
      </c>
    </row>
    <row r="9362" spans="1:5" ht="18" x14ac:dyDescent="0.35">
      <c r="A9362" s="5"/>
      <c r="B9362" s="5"/>
      <c r="C9362" s="54"/>
      <c r="D9362" s="54" t="s">
        <v>1066</v>
      </c>
      <c r="E9362" s="89">
        <f>E9361+E9361*40%</f>
        <v>674.38296799999989</v>
      </c>
    </row>
    <row r="9363" spans="1:5" ht="18" x14ac:dyDescent="0.35">
      <c r="A9363" s="5"/>
      <c r="B9363" s="50" t="s">
        <v>37</v>
      </c>
      <c r="C9363" s="54">
        <v>1</v>
      </c>
      <c r="D9363" s="54">
        <v>200</v>
      </c>
      <c r="E9363" s="85">
        <f>C9363*D9363</f>
        <v>200</v>
      </c>
    </row>
    <row r="9364" spans="1:5" ht="18" x14ac:dyDescent="0.35">
      <c r="A9364" s="5"/>
      <c r="B9364" s="5"/>
      <c r="C9364" s="54"/>
      <c r="D9364" s="54"/>
      <c r="E9364" s="85">
        <f>SUM(E9362:E9363)</f>
        <v>874.38296799999989</v>
      </c>
    </row>
    <row r="9366" spans="1:5" ht="21" x14ac:dyDescent="0.4">
      <c r="A9366" s="40" t="s">
        <v>2066</v>
      </c>
      <c r="B9366" s="40"/>
      <c r="C9366" s="40"/>
      <c r="D9366" s="12"/>
      <c r="E9366" s="12"/>
    </row>
    <row r="9367" spans="1:5" ht="18" x14ac:dyDescent="0.35">
      <c r="A9367" s="5" t="s">
        <v>1427</v>
      </c>
      <c r="B9367" s="5"/>
      <c r="C9367" s="7" t="s">
        <v>28</v>
      </c>
      <c r="D9367" s="7" t="s">
        <v>29</v>
      </c>
      <c r="E9367" s="7" t="s">
        <v>30</v>
      </c>
    </row>
    <row r="9368" spans="1:5" ht="18" x14ac:dyDescent="0.35">
      <c r="A9368" s="5" t="s">
        <v>1869</v>
      </c>
      <c r="B9368" s="50" t="s">
        <v>32</v>
      </c>
      <c r="C9368" s="7">
        <v>2.238</v>
      </c>
      <c r="D9368" s="7">
        <v>10.34</v>
      </c>
      <c r="E9368" s="85">
        <f>C9368*D9368</f>
        <v>23.140920000000001</v>
      </c>
    </row>
    <row r="9369" spans="1:5" ht="18" x14ac:dyDescent="0.35">
      <c r="A9369" s="5" t="s">
        <v>1633</v>
      </c>
      <c r="B9369" s="50" t="s">
        <v>33</v>
      </c>
      <c r="C9369" s="7">
        <v>41.832000000000001</v>
      </c>
      <c r="D9369" s="7">
        <v>10</v>
      </c>
      <c r="E9369" s="85">
        <f>C9369*D9369</f>
        <v>418.32</v>
      </c>
    </row>
    <row r="9370" spans="1:5" ht="18" x14ac:dyDescent="0.35">
      <c r="A9370" s="5" t="s">
        <v>2139</v>
      </c>
      <c r="B9370" s="50" t="s">
        <v>137</v>
      </c>
      <c r="C9370" s="7">
        <v>2.625</v>
      </c>
      <c r="D9370" s="7">
        <v>17.190000000000001</v>
      </c>
      <c r="E9370" s="85">
        <f>C9370*D9370</f>
        <v>45.123750000000001</v>
      </c>
    </row>
    <row r="9371" spans="1:5" ht="18" x14ac:dyDescent="0.35">
      <c r="A9371" s="5" t="s">
        <v>2100</v>
      </c>
      <c r="B9371" s="50" t="s">
        <v>35</v>
      </c>
      <c r="C9371" s="7">
        <v>4</v>
      </c>
      <c r="D9371" s="7">
        <v>2.91</v>
      </c>
      <c r="E9371" s="85">
        <f>C9371*D9371</f>
        <v>11.64</v>
      </c>
    </row>
    <row r="9372" spans="1:5" ht="18" x14ac:dyDescent="0.35">
      <c r="A9372" s="5"/>
      <c r="B9372" s="50" t="s">
        <v>36</v>
      </c>
      <c r="C9372" s="7">
        <v>4</v>
      </c>
      <c r="D9372" s="7">
        <v>0.61</v>
      </c>
      <c r="E9372" s="85">
        <f>C9372*D9372</f>
        <v>2.44</v>
      </c>
    </row>
    <row r="9373" spans="1:5" ht="18" x14ac:dyDescent="0.35">
      <c r="A9373" s="5"/>
      <c r="B9373" s="50"/>
      <c r="C9373" s="87"/>
      <c r="D9373" s="88"/>
      <c r="E9373" s="85">
        <f>SUM(E9368:E9372)</f>
        <v>500.66466999999994</v>
      </c>
    </row>
    <row r="9374" spans="1:5" ht="18" x14ac:dyDescent="0.35">
      <c r="A9374" s="5"/>
      <c r="B9374" s="50"/>
      <c r="C9374" s="87"/>
      <c r="D9374" s="88" t="s">
        <v>1266</v>
      </c>
      <c r="E9374" s="85">
        <f>E9373+E9373*40%</f>
        <v>700.93053799999996</v>
      </c>
    </row>
    <row r="9375" spans="1:5" ht="18" x14ac:dyDescent="0.35">
      <c r="A9375" s="5"/>
      <c r="B9375" s="50" t="s">
        <v>37</v>
      </c>
      <c r="C9375" s="54">
        <v>4</v>
      </c>
      <c r="D9375" s="86">
        <v>200</v>
      </c>
      <c r="E9375" s="85">
        <f>C9375*D9375</f>
        <v>800</v>
      </c>
    </row>
    <row r="9376" spans="1:5" ht="18" x14ac:dyDescent="0.35">
      <c r="A9376" s="5"/>
      <c r="B9376" s="5"/>
      <c r="C9376" s="54"/>
      <c r="D9376" s="54"/>
      <c r="E9376" s="85">
        <f>SUM(E9374:E9375)</f>
        <v>1500.9305380000001</v>
      </c>
    </row>
    <row r="9378" spans="1:5" ht="21" x14ac:dyDescent="0.4">
      <c r="A9378" s="40" t="s">
        <v>2066</v>
      </c>
      <c r="B9378" s="40"/>
      <c r="C9378" s="40"/>
      <c r="D9378" s="12"/>
      <c r="E9378" s="12"/>
    </row>
    <row r="9379" spans="1:5" ht="18" x14ac:dyDescent="0.35">
      <c r="A9379" s="5" t="s">
        <v>1427</v>
      </c>
      <c r="B9379" s="5"/>
      <c r="C9379" s="7" t="s">
        <v>28</v>
      </c>
      <c r="D9379" s="7" t="s">
        <v>29</v>
      </c>
      <c r="E9379" s="7" t="s">
        <v>30</v>
      </c>
    </row>
    <row r="9380" spans="1:5" ht="18" x14ac:dyDescent="0.35">
      <c r="A9380" s="5" t="s">
        <v>1195</v>
      </c>
      <c r="B9380" s="50" t="s">
        <v>32</v>
      </c>
      <c r="C9380" s="7">
        <v>4.968</v>
      </c>
      <c r="D9380" s="7">
        <v>10.34</v>
      </c>
      <c r="E9380" s="85">
        <f>C9380*D9380</f>
        <v>51.369120000000002</v>
      </c>
    </row>
    <row r="9381" spans="1:5" ht="18" x14ac:dyDescent="0.35">
      <c r="A9381" s="5" t="s">
        <v>1633</v>
      </c>
      <c r="B9381" s="50" t="s">
        <v>33</v>
      </c>
      <c r="C9381" s="7">
        <v>30.071999999999999</v>
      </c>
      <c r="D9381" s="7">
        <v>10</v>
      </c>
      <c r="E9381" s="85">
        <f>C9381*D9381</f>
        <v>300.71999999999997</v>
      </c>
    </row>
    <row r="9382" spans="1:5" ht="18" x14ac:dyDescent="0.35">
      <c r="A9382" s="5" t="s">
        <v>2140</v>
      </c>
      <c r="B9382" s="50" t="s">
        <v>137</v>
      </c>
      <c r="C9382" s="7">
        <v>2.1</v>
      </c>
      <c r="D9382" s="7">
        <v>17.190000000000001</v>
      </c>
      <c r="E9382" s="85">
        <f>C9382*D9382</f>
        <v>36.099000000000004</v>
      </c>
    </row>
    <row r="9383" spans="1:5" ht="18" x14ac:dyDescent="0.35">
      <c r="A9383" s="5" t="s">
        <v>2100</v>
      </c>
      <c r="B9383" s="50" t="s">
        <v>35</v>
      </c>
      <c r="C9383" s="7">
        <v>4</v>
      </c>
      <c r="D9383" s="7">
        <v>2.91</v>
      </c>
      <c r="E9383" s="85">
        <f>C9383*D9383</f>
        <v>11.64</v>
      </c>
    </row>
    <row r="9384" spans="1:5" ht="18" x14ac:dyDescent="0.35">
      <c r="A9384" s="5"/>
      <c r="B9384" s="50" t="s">
        <v>36</v>
      </c>
      <c r="C9384" s="7">
        <v>4</v>
      </c>
      <c r="D9384" s="7">
        <v>0.61</v>
      </c>
      <c r="E9384" s="85">
        <f>C9384*D9384</f>
        <v>2.44</v>
      </c>
    </row>
    <row r="9385" spans="1:5" ht="18" x14ac:dyDescent="0.35">
      <c r="A9385" s="5"/>
      <c r="B9385" s="50"/>
      <c r="C9385" s="87"/>
      <c r="D9385" s="88"/>
      <c r="E9385" s="85">
        <f>SUM(E9380:E9384)</f>
        <v>402.26811999999995</v>
      </c>
    </row>
    <row r="9386" spans="1:5" ht="18" x14ac:dyDescent="0.35">
      <c r="A9386" s="5"/>
      <c r="B9386" s="50"/>
      <c r="C9386" s="87"/>
      <c r="D9386" s="88" t="s">
        <v>1266</v>
      </c>
      <c r="E9386" s="85">
        <f>E9385+E9385*40%</f>
        <v>563.17536799999993</v>
      </c>
    </row>
    <row r="9387" spans="1:5" ht="18" x14ac:dyDescent="0.35">
      <c r="A9387" s="5"/>
      <c r="B9387" s="50" t="s">
        <v>37</v>
      </c>
      <c r="C9387" s="54">
        <v>3</v>
      </c>
      <c r="D9387" s="86">
        <v>200</v>
      </c>
      <c r="E9387" s="85">
        <f>C9387*D9387</f>
        <v>600</v>
      </c>
    </row>
    <row r="9388" spans="1:5" ht="18" x14ac:dyDescent="0.35">
      <c r="A9388" s="5"/>
      <c r="B9388" s="5"/>
      <c r="C9388" s="54"/>
      <c r="D9388" s="54"/>
      <c r="E9388" s="85">
        <f>SUM(E9386:E9387)</f>
        <v>1163.1753679999999</v>
      </c>
    </row>
    <row r="9390" spans="1:5" ht="21" x14ac:dyDescent="0.4">
      <c r="A9390" s="40" t="s">
        <v>2066</v>
      </c>
      <c r="B9390" s="40"/>
      <c r="C9390" s="40"/>
      <c r="D9390" s="12"/>
      <c r="E9390" s="12"/>
    </row>
    <row r="9391" spans="1:5" ht="18" x14ac:dyDescent="0.35">
      <c r="A9391" s="5" t="s">
        <v>1202</v>
      </c>
      <c r="B9391" s="5"/>
      <c r="C9391" s="7" t="s">
        <v>28</v>
      </c>
      <c r="D9391" s="7" t="s">
        <v>29</v>
      </c>
      <c r="E9391" s="7" t="s">
        <v>30</v>
      </c>
    </row>
    <row r="9392" spans="1:5" ht="18" x14ac:dyDescent="0.35">
      <c r="A9392" s="5" t="s">
        <v>2141</v>
      </c>
      <c r="B9392" s="50" t="s">
        <v>32</v>
      </c>
      <c r="C9392" s="7"/>
      <c r="D9392" s="7">
        <v>10.34</v>
      </c>
      <c r="E9392" s="85">
        <f>C9392*D9392</f>
        <v>0</v>
      </c>
    </row>
    <row r="9393" spans="1:5" ht="18" x14ac:dyDescent="0.35">
      <c r="A9393" s="5" t="s">
        <v>55</v>
      </c>
      <c r="B9393" s="50" t="s">
        <v>33</v>
      </c>
      <c r="C9393" s="7">
        <v>10</v>
      </c>
      <c r="D9393" s="7">
        <v>10</v>
      </c>
      <c r="E9393" s="85">
        <f>C9393*D9393</f>
        <v>100</v>
      </c>
    </row>
    <row r="9394" spans="1:5" ht="18" x14ac:dyDescent="0.35">
      <c r="A9394" s="5" t="s">
        <v>2140</v>
      </c>
      <c r="B9394" s="50" t="s">
        <v>137</v>
      </c>
      <c r="C9394" s="7">
        <v>1.43</v>
      </c>
      <c r="D9394" s="7">
        <v>17.190000000000001</v>
      </c>
      <c r="E9394" s="85">
        <f>C9394*D9394</f>
        <v>24.581700000000001</v>
      </c>
    </row>
    <row r="9395" spans="1:5" ht="18" x14ac:dyDescent="0.35">
      <c r="A9395" s="5" t="s">
        <v>2100</v>
      </c>
      <c r="B9395" s="50" t="s">
        <v>35</v>
      </c>
      <c r="C9395" s="7">
        <v>4</v>
      </c>
      <c r="D9395" s="7">
        <v>2.91</v>
      </c>
      <c r="E9395" s="85">
        <f>C9395*D9395</f>
        <v>11.64</v>
      </c>
    </row>
    <row r="9396" spans="1:5" ht="18" x14ac:dyDescent="0.35">
      <c r="A9396" s="5"/>
      <c r="B9396" s="50" t="s">
        <v>36</v>
      </c>
      <c r="C9396" s="7">
        <v>4</v>
      </c>
      <c r="D9396" s="7">
        <v>0.61</v>
      </c>
      <c r="E9396" s="85">
        <f>C9396*D9396</f>
        <v>2.44</v>
      </c>
    </row>
    <row r="9397" spans="1:5" ht="18" x14ac:dyDescent="0.35">
      <c r="A9397" s="5"/>
      <c r="B9397" s="50"/>
      <c r="C9397" s="87"/>
      <c r="D9397" s="88"/>
      <c r="E9397" s="85">
        <f>SUM(E9392:E9396)</f>
        <v>138.6617</v>
      </c>
    </row>
    <row r="9398" spans="1:5" ht="18" x14ac:dyDescent="0.35">
      <c r="A9398" s="5"/>
      <c r="B9398" s="50"/>
      <c r="C9398" s="87"/>
      <c r="D9398" s="88" t="s">
        <v>1266</v>
      </c>
      <c r="E9398" s="85">
        <f>E9397+E9397*40%</f>
        <v>194.12637999999998</v>
      </c>
    </row>
    <row r="9399" spans="1:5" ht="18" x14ac:dyDescent="0.35">
      <c r="A9399" s="5"/>
      <c r="B9399" s="50" t="s">
        <v>37</v>
      </c>
      <c r="C9399" s="54">
        <v>1</v>
      </c>
      <c r="D9399" s="86">
        <v>200</v>
      </c>
      <c r="E9399" s="85">
        <f>C9399*D9399</f>
        <v>200</v>
      </c>
    </row>
    <row r="9400" spans="1:5" ht="18" x14ac:dyDescent="0.35">
      <c r="A9400" s="5"/>
      <c r="B9400" s="5"/>
      <c r="C9400" s="54"/>
      <c r="D9400" s="54"/>
      <c r="E9400" s="85">
        <f>SUM(E9398:E9399)</f>
        <v>394.12637999999998</v>
      </c>
    </row>
    <row r="9402" spans="1:5" ht="21" x14ac:dyDescent="0.4">
      <c r="A9402" s="40" t="s">
        <v>1919</v>
      </c>
      <c r="B9402" s="40"/>
      <c r="C9402" s="84"/>
    </row>
    <row r="9403" spans="1:5" x14ac:dyDescent="0.3">
      <c r="A9403" t="s">
        <v>1427</v>
      </c>
    </row>
    <row r="9404" spans="1:5" ht="18" x14ac:dyDescent="0.35">
      <c r="A9404" s="5" t="s">
        <v>123</v>
      </c>
      <c r="B9404" s="5"/>
      <c r="C9404" s="7" t="s">
        <v>28</v>
      </c>
      <c r="D9404" s="7" t="s">
        <v>29</v>
      </c>
      <c r="E9404" s="7" t="s">
        <v>30</v>
      </c>
    </row>
    <row r="9405" spans="1:5" ht="18" x14ac:dyDescent="0.35">
      <c r="A9405" s="5" t="s">
        <v>54</v>
      </c>
      <c r="B9405" s="50" t="s">
        <v>32</v>
      </c>
      <c r="C9405" s="7">
        <v>3.0790000000000002</v>
      </c>
      <c r="D9405" s="7">
        <v>10.34</v>
      </c>
      <c r="E9405" s="85">
        <f t="shared" ref="E9405:E9410" si="549">C9405*D9405</f>
        <v>31.836860000000001</v>
      </c>
    </row>
    <row r="9406" spans="1:5" ht="18" x14ac:dyDescent="0.35">
      <c r="A9406" s="5" t="s">
        <v>2059</v>
      </c>
      <c r="B9406" s="50" t="s">
        <v>33</v>
      </c>
      <c r="C9406" s="7">
        <v>19.75</v>
      </c>
      <c r="D9406" s="7">
        <v>10</v>
      </c>
      <c r="E9406" s="85">
        <f t="shared" si="549"/>
        <v>197.5</v>
      </c>
    </row>
    <row r="9407" spans="1:5" ht="18" x14ac:dyDescent="0.35">
      <c r="A9407" s="102"/>
      <c r="B9407" s="50" t="s">
        <v>87</v>
      </c>
      <c r="C9407" s="7">
        <v>2</v>
      </c>
      <c r="D9407" s="7">
        <v>1.81</v>
      </c>
      <c r="E9407" s="85">
        <f t="shared" si="549"/>
        <v>3.62</v>
      </c>
    </row>
    <row r="9408" spans="1:5" ht="18" x14ac:dyDescent="0.35">
      <c r="A9408" s="5"/>
      <c r="B9408" s="50" t="s">
        <v>34</v>
      </c>
      <c r="C9408" s="7">
        <v>1.68</v>
      </c>
      <c r="D9408" s="7">
        <v>3.4</v>
      </c>
      <c r="E9408" s="85">
        <f t="shared" si="549"/>
        <v>5.7119999999999997</v>
      </c>
    </row>
    <row r="9409" spans="1:5" ht="18" x14ac:dyDescent="0.35">
      <c r="A9409" s="5"/>
      <c r="B9409" s="50" t="s">
        <v>35</v>
      </c>
      <c r="C9409" s="7">
        <v>4</v>
      </c>
      <c r="D9409" s="7">
        <v>2.91</v>
      </c>
      <c r="E9409" s="85">
        <f t="shared" si="549"/>
        <v>11.64</v>
      </c>
    </row>
    <row r="9410" spans="1:5" ht="18" x14ac:dyDescent="0.35">
      <c r="A9410" s="5"/>
      <c r="B9410" s="50" t="s">
        <v>36</v>
      </c>
      <c r="C9410" s="7">
        <v>4</v>
      </c>
      <c r="D9410" s="7">
        <v>0.61</v>
      </c>
      <c r="E9410" s="85">
        <f t="shared" si="549"/>
        <v>2.44</v>
      </c>
    </row>
    <row r="9411" spans="1:5" ht="18" x14ac:dyDescent="0.35">
      <c r="A9411" s="5"/>
      <c r="B9411" s="5"/>
      <c r="C9411" s="54"/>
      <c r="D9411" s="54"/>
      <c r="E9411" s="89">
        <f>SUM(E9405:E9410)</f>
        <v>252.74885999999998</v>
      </c>
    </row>
    <row r="9412" spans="1:5" ht="18" x14ac:dyDescent="0.35">
      <c r="A9412" s="5"/>
      <c r="B9412" s="5"/>
      <c r="C9412" s="54"/>
      <c r="D9412" s="54" t="s">
        <v>1066</v>
      </c>
      <c r="E9412" s="89">
        <f>E9411+E9411*40%</f>
        <v>353.84840399999996</v>
      </c>
    </row>
    <row r="9413" spans="1:5" ht="18" x14ac:dyDescent="0.35">
      <c r="A9413" s="5"/>
      <c r="B9413" s="50" t="s">
        <v>37</v>
      </c>
      <c r="C9413" s="54">
        <v>1</v>
      </c>
      <c r="D9413" s="54">
        <v>200</v>
      </c>
      <c r="E9413" s="85">
        <f>C9413*D9413</f>
        <v>200</v>
      </c>
    </row>
    <row r="9414" spans="1:5" ht="18" x14ac:dyDescent="0.35">
      <c r="A9414" s="5"/>
      <c r="B9414" s="5"/>
      <c r="C9414" s="54"/>
      <c r="D9414" s="54"/>
      <c r="E9414" s="85">
        <f>SUM(E9412:E9413)</f>
        <v>553.84840399999996</v>
      </c>
    </row>
    <row r="9416" spans="1:5" ht="21" x14ac:dyDescent="0.4">
      <c r="A9416" s="40" t="s">
        <v>1919</v>
      </c>
      <c r="B9416" s="40"/>
      <c r="C9416" s="84"/>
    </row>
    <row r="9417" spans="1:5" x14ac:dyDescent="0.3">
      <c r="A9417" t="s">
        <v>1202</v>
      </c>
    </row>
    <row r="9418" spans="1:5" ht="18" x14ac:dyDescent="0.35">
      <c r="A9418" s="5" t="s">
        <v>38</v>
      </c>
      <c r="B9418" s="5"/>
      <c r="C9418" s="7" t="s">
        <v>28</v>
      </c>
      <c r="D9418" s="7" t="s">
        <v>29</v>
      </c>
      <c r="E9418" s="7" t="s">
        <v>30</v>
      </c>
    </row>
    <row r="9419" spans="1:5" ht="18" x14ac:dyDescent="0.35">
      <c r="A9419" s="5" t="s">
        <v>238</v>
      </c>
      <c r="B9419" s="50" t="s">
        <v>32</v>
      </c>
      <c r="C9419" s="7">
        <v>0.97899999999999998</v>
      </c>
      <c r="D9419" s="7">
        <v>10.34</v>
      </c>
      <c r="E9419" s="85">
        <f t="shared" ref="E9419:E9424" si="550">C9419*D9419</f>
        <v>10.122859999999999</v>
      </c>
    </row>
    <row r="9420" spans="1:5" ht="18" x14ac:dyDescent="0.35">
      <c r="A9420" s="5" t="s">
        <v>619</v>
      </c>
      <c r="B9420" s="50" t="s">
        <v>33</v>
      </c>
      <c r="C9420" s="7">
        <v>1.218</v>
      </c>
      <c r="D9420" s="7">
        <v>10</v>
      </c>
      <c r="E9420" s="85">
        <f t="shared" si="550"/>
        <v>12.18</v>
      </c>
    </row>
    <row r="9421" spans="1:5" ht="18" x14ac:dyDescent="0.35">
      <c r="A9421" s="102"/>
      <c r="B9421" s="50" t="s">
        <v>42</v>
      </c>
      <c r="C9421" s="7">
        <v>2</v>
      </c>
      <c r="D9421" s="7">
        <v>1.1499999999999999</v>
      </c>
      <c r="E9421" s="85">
        <f t="shared" si="550"/>
        <v>2.2999999999999998</v>
      </c>
    </row>
    <row r="9422" spans="1:5" ht="18" x14ac:dyDescent="0.35">
      <c r="A9422" s="5"/>
      <c r="B9422" s="50" t="s">
        <v>34</v>
      </c>
      <c r="C9422" s="7"/>
      <c r="D9422" s="7">
        <v>3.4</v>
      </c>
      <c r="E9422" s="85">
        <f t="shared" si="550"/>
        <v>0</v>
      </c>
    </row>
    <row r="9423" spans="1:5" ht="18" x14ac:dyDescent="0.35">
      <c r="A9423" s="5"/>
      <c r="B9423" s="50" t="s">
        <v>35</v>
      </c>
      <c r="C9423" s="7">
        <v>4</v>
      </c>
      <c r="D9423" s="7">
        <v>2.91</v>
      </c>
      <c r="E9423" s="85">
        <f t="shared" si="550"/>
        <v>11.64</v>
      </c>
    </row>
    <row r="9424" spans="1:5" ht="18" x14ac:dyDescent="0.35">
      <c r="A9424" s="5"/>
      <c r="B9424" s="50" t="s">
        <v>36</v>
      </c>
      <c r="C9424" s="7">
        <v>4</v>
      </c>
      <c r="D9424" s="7">
        <v>0.61</v>
      </c>
      <c r="E9424" s="85">
        <f t="shared" si="550"/>
        <v>2.44</v>
      </c>
    </row>
    <row r="9425" spans="1:5" ht="18" x14ac:dyDescent="0.35">
      <c r="A9425" s="5"/>
      <c r="B9425" s="5"/>
      <c r="C9425" s="54"/>
      <c r="D9425" s="54"/>
      <c r="E9425" s="89">
        <f>SUM(E9419:E9424)</f>
        <v>38.682859999999998</v>
      </c>
    </row>
    <row r="9426" spans="1:5" ht="18" x14ac:dyDescent="0.35">
      <c r="A9426" s="5"/>
      <c r="B9426" s="5"/>
      <c r="C9426" s="54"/>
      <c r="D9426" s="54" t="s">
        <v>1161</v>
      </c>
      <c r="E9426" s="89">
        <f>E9425+E9425*30%</f>
        <v>50.287717999999998</v>
      </c>
    </row>
    <row r="9427" spans="1:5" ht="18" x14ac:dyDescent="0.35">
      <c r="A9427" s="5"/>
      <c r="B9427" s="50" t="s">
        <v>37</v>
      </c>
      <c r="C9427" s="54">
        <v>0.2</v>
      </c>
      <c r="D9427" s="54">
        <v>200</v>
      </c>
      <c r="E9427" s="85">
        <f>C9427*D9427</f>
        <v>40</v>
      </c>
    </row>
    <row r="9428" spans="1:5" ht="18" x14ac:dyDescent="0.35">
      <c r="A9428" s="5"/>
      <c r="B9428" s="5"/>
      <c r="C9428" s="54"/>
      <c r="D9428" s="54"/>
      <c r="E9428" s="85">
        <f>SUM(E9426:E9427)</f>
        <v>90.287717999999998</v>
      </c>
    </row>
    <row r="9430" spans="1:5" ht="21" x14ac:dyDescent="0.4">
      <c r="A9430" s="40" t="s">
        <v>1919</v>
      </c>
      <c r="B9430" s="40"/>
      <c r="C9430" s="84"/>
    </row>
    <row r="9431" spans="1:5" x14ac:dyDescent="0.3">
      <c r="A9431" t="s">
        <v>2143</v>
      </c>
    </row>
    <row r="9432" spans="1:5" ht="18" x14ac:dyDescent="0.35">
      <c r="A9432" s="5" t="s">
        <v>103</v>
      </c>
      <c r="B9432" s="5"/>
      <c r="C9432" s="7" t="s">
        <v>28</v>
      </c>
      <c r="D9432" s="7" t="s">
        <v>29</v>
      </c>
      <c r="E9432" s="7" t="s">
        <v>30</v>
      </c>
    </row>
    <row r="9433" spans="1:5" ht="18" x14ac:dyDescent="0.35">
      <c r="A9433" s="5" t="s">
        <v>217</v>
      </c>
      <c r="B9433" s="50" t="s">
        <v>32</v>
      </c>
      <c r="C9433" s="7">
        <v>1.6080000000000001</v>
      </c>
      <c r="D9433" s="7">
        <v>10.34</v>
      </c>
      <c r="E9433" s="85">
        <f t="shared" ref="E9433:E9438" si="551">C9433*D9433</f>
        <v>16.626720000000002</v>
      </c>
    </row>
    <row r="9434" spans="1:5" ht="18" x14ac:dyDescent="0.35">
      <c r="A9434" s="5" t="s">
        <v>616</v>
      </c>
      <c r="B9434" s="50" t="s">
        <v>33</v>
      </c>
      <c r="C9434" s="7">
        <v>5.7329999999999997</v>
      </c>
      <c r="D9434" s="7">
        <v>10</v>
      </c>
      <c r="E9434" s="85">
        <f t="shared" si="551"/>
        <v>57.33</v>
      </c>
    </row>
    <row r="9435" spans="1:5" ht="18" x14ac:dyDescent="0.35">
      <c r="A9435" s="102"/>
      <c r="B9435" s="50" t="s">
        <v>86</v>
      </c>
      <c r="C9435" s="7">
        <v>2</v>
      </c>
      <c r="D9435" s="7">
        <v>1.7</v>
      </c>
      <c r="E9435" s="85">
        <f t="shared" si="551"/>
        <v>3.4</v>
      </c>
    </row>
    <row r="9436" spans="1:5" ht="18" x14ac:dyDescent="0.35">
      <c r="A9436" s="5"/>
      <c r="B9436" s="50" t="s">
        <v>34</v>
      </c>
      <c r="C9436" s="7"/>
      <c r="D9436" s="7">
        <v>3.4</v>
      </c>
      <c r="E9436" s="85">
        <f t="shared" si="551"/>
        <v>0</v>
      </c>
    </row>
    <row r="9437" spans="1:5" ht="18" x14ac:dyDescent="0.35">
      <c r="A9437" s="5"/>
      <c r="B9437" s="50" t="s">
        <v>35</v>
      </c>
      <c r="C9437" s="7">
        <v>4</v>
      </c>
      <c r="D9437" s="7">
        <v>2.91</v>
      </c>
      <c r="E9437" s="85">
        <f t="shared" si="551"/>
        <v>11.64</v>
      </c>
    </row>
    <row r="9438" spans="1:5" ht="18" x14ac:dyDescent="0.35">
      <c r="A9438" s="5"/>
      <c r="B9438" s="50" t="s">
        <v>36</v>
      </c>
      <c r="C9438" s="7">
        <v>4</v>
      </c>
      <c r="D9438" s="7">
        <v>0.61</v>
      </c>
      <c r="E9438" s="85">
        <f t="shared" si="551"/>
        <v>2.44</v>
      </c>
    </row>
    <row r="9439" spans="1:5" ht="18" x14ac:dyDescent="0.35">
      <c r="A9439" s="5"/>
      <c r="B9439" s="5"/>
      <c r="C9439" s="54"/>
      <c r="D9439" s="54"/>
      <c r="E9439" s="89">
        <f>SUM(E9433:E9438)</f>
        <v>91.436720000000008</v>
      </c>
    </row>
    <row r="9440" spans="1:5" ht="18" x14ac:dyDescent="0.35">
      <c r="A9440" s="5"/>
      <c r="B9440" s="5"/>
      <c r="C9440" s="54"/>
      <c r="D9440" s="54" t="s">
        <v>1066</v>
      </c>
      <c r="E9440" s="89">
        <f>E9439+E9439*40%</f>
        <v>128.01140800000002</v>
      </c>
    </row>
    <row r="9441" spans="1:5" ht="18" x14ac:dyDescent="0.35">
      <c r="A9441" s="5"/>
      <c r="B9441" s="50" t="s">
        <v>37</v>
      </c>
      <c r="C9441" s="54">
        <v>0.5</v>
      </c>
      <c r="D9441" s="54">
        <v>200</v>
      </c>
      <c r="E9441" s="85">
        <f>C9441*D9441</f>
        <v>100</v>
      </c>
    </row>
    <row r="9442" spans="1:5" ht="18" x14ac:dyDescent="0.35">
      <c r="A9442" s="5"/>
      <c r="B9442" s="5"/>
      <c r="C9442" s="54"/>
      <c r="D9442" s="54"/>
      <c r="E9442" s="85">
        <f>SUM(E9440:E9441)</f>
        <v>228.01140800000002</v>
      </c>
    </row>
    <row r="9444" spans="1:5" ht="21" x14ac:dyDescent="0.4">
      <c r="A9444" s="40" t="s">
        <v>1919</v>
      </c>
      <c r="B9444" s="40"/>
      <c r="C9444" s="84"/>
    </row>
    <row r="9445" spans="1:5" x14ac:dyDescent="0.3">
      <c r="A9445" t="s">
        <v>2143</v>
      </c>
    </row>
    <row r="9446" spans="1:5" ht="18" x14ac:dyDescent="0.35">
      <c r="A9446" s="5" t="s">
        <v>118</v>
      </c>
      <c r="B9446" s="5"/>
      <c r="C9446" s="7" t="s">
        <v>28</v>
      </c>
      <c r="D9446" s="7" t="s">
        <v>29</v>
      </c>
      <c r="E9446" s="7" t="s">
        <v>30</v>
      </c>
    </row>
    <row r="9447" spans="1:5" ht="18" x14ac:dyDescent="0.35">
      <c r="A9447" s="5" t="s">
        <v>55</v>
      </c>
      <c r="B9447" s="50" t="s">
        <v>32</v>
      </c>
      <c r="C9447" s="7">
        <v>2.028</v>
      </c>
      <c r="D9447" s="7">
        <v>10.34</v>
      </c>
      <c r="E9447" s="85">
        <f t="shared" ref="E9447:E9452" si="552">C9447*D9447</f>
        <v>20.969519999999999</v>
      </c>
    </row>
    <row r="9448" spans="1:5" ht="18" x14ac:dyDescent="0.35">
      <c r="A9448" s="5" t="s">
        <v>950</v>
      </c>
      <c r="B9448" s="50" t="s">
        <v>33</v>
      </c>
      <c r="C9448" s="7">
        <v>12.348000000000001</v>
      </c>
      <c r="D9448" s="7">
        <v>10</v>
      </c>
      <c r="E9448" s="85">
        <f t="shared" si="552"/>
        <v>123.48</v>
      </c>
    </row>
    <row r="9449" spans="1:5" ht="18" x14ac:dyDescent="0.35">
      <c r="A9449" s="102"/>
      <c r="B9449" s="50" t="s">
        <v>87</v>
      </c>
      <c r="C9449" s="7">
        <v>2</v>
      </c>
      <c r="D9449" s="7">
        <v>1.81</v>
      </c>
      <c r="E9449" s="85">
        <f t="shared" si="552"/>
        <v>3.62</v>
      </c>
    </row>
    <row r="9450" spans="1:5" ht="18" x14ac:dyDescent="0.35">
      <c r="A9450" s="5"/>
      <c r="B9450" s="50" t="s">
        <v>34</v>
      </c>
      <c r="C9450" s="7"/>
      <c r="D9450" s="7">
        <v>18.059999999999999</v>
      </c>
      <c r="E9450" s="85">
        <f t="shared" si="552"/>
        <v>0</v>
      </c>
    </row>
    <row r="9451" spans="1:5" ht="18" x14ac:dyDescent="0.35">
      <c r="A9451" s="5"/>
      <c r="B9451" s="50" t="s">
        <v>35</v>
      </c>
      <c r="C9451" s="7">
        <v>4</v>
      </c>
      <c r="D9451" s="7">
        <v>2.91</v>
      </c>
      <c r="E9451" s="85">
        <f t="shared" si="552"/>
        <v>11.64</v>
      </c>
    </row>
    <row r="9452" spans="1:5" ht="18" x14ac:dyDescent="0.35">
      <c r="A9452" s="5"/>
      <c r="B9452" s="50" t="s">
        <v>36</v>
      </c>
      <c r="C9452" s="7">
        <v>4</v>
      </c>
      <c r="D9452" s="7">
        <v>0.61</v>
      </c>
      <c r="E9452" s="85">
        <f t="shared" si="552"/>
        <v>2.44</v>
      </c>
    </row>
    <row r="9453" spans="1:5" ht="18" x14ac:dyDescent="0.35">
      <c r="A9453" s="5"/>
      <c r="B9453" s="5"/>
      <c r="C9453" s="54"/>
      <c r="D9453" s="54"/>
      <c r="E9453" s="89">
        <f>SUM(E9447:E9452)</f>
        <v>162.14952</v>
      </c>
    </row>
    <row r="9454" spans="1:5" ht="18" x14ac:dyDescent="0.35">
      <c r="A9454" s="5"/>
      <c r="B9454" s="5"/>
      <c r="C9454" s="54"/>
      <c r="D9454" s="54" t="s">
        <v>1066</v>
      </c>
      <c r="E9454" s="89">
        <f>E9453+E9453*40%</f>
        <v>227.00932799999998</v>
      </c>
    </row>
    <row r="9455" spans="1:5" ht="18" x14ac:dyDescent="0.35">
      <c r="A9455" s="5"/>
      <c r="B9455" s="50" t="s">
        <v>37</v>
      </c>
      <c r="C9455" s="54">
        <v>0.5</v>
      </c>
      <c r="D9455" s="54">
        <v>200</v>
      </c>
      <c r="E9455" s="85">
        <f>C9455*D9455</f>
        <v>100</v>
      </c>
    </row>
    <row r="9456" spans="1:5" ht="18" x14ac:dyDescent="0.35">
      <c r="A9456" s="5"/>
      <c r="B9456" s="5"/>
      <c r="C9456" s="54"/>
      <c r="D9456" s="54"/>
      <c r="E9456" s="85">
        <f>SUM(E9454:E9455)</f>
        <v>327.00932799999998</v>
      </c>
    </row>
    <row r="9458" spans="1:5" ht="21" x14ac:dyDescent="0.4">
      <c r="A9458" s="40" t="s">
        <v>1919</v>
      </c>
      <c r="B9458" s="40"/>
      <c r="C9458" s="84"/>
    </row>
    <row r="9459" spans="1:5" x14ac:dyDescent="0.3">
      <c r="A9459" t="s">
        <v>2143</v>
      </c>
    </row>
    <row r="9460" spans="1:5" ht="18" x14ac:dyDescent="0.35">
      <c r="A9460" s="5" t="s">
        <v>121</v>
      </c>
      <c r="B9460" s="5"/>
      <c r="C9460" s="7" t="s">
        <v>28</v>
      </c>
      <c r="D9460" s="7" t="s">
        <v>29</v>
      </c>
      <c r="E9460" s="7" t="s">
        <v>30</v>
      </c>
    </row>
    <row r="9461" spans="1:5" ht="18" x14ac:dyDescent="0.35">
      <c r="A9461" s="5" t="s">
        <v>55</v>
      </c>
      <c r="B9461" s="50" t="s">
        <v>32</v>
      </c>
      <c r="C9461" s="7">
        <v>2.6579999999999999</v>
      </c>
      <c r="D9461" s="7">
        <v>10.34</v>
      </c>
      <c r="E9461" s="85">
        <f t="shared" ref="E9461:E9466" si="553">C9461*D9461</f>
        <v>27.483719999999998</v>
      </c>
    </row>
    <row r="9462" spans="1:5" ht="18" x14ac:dyDescent="0.35">
      <c r="A9462" s="5" t="s">
        <v>1461</v>
      </c>
      <c r="B9462" s="50" t="s">
        <v>33</v>
      </c>
      <c r="C9462" s="7">
        <v>19.908000000000001</v>
      </c>
      <c r="D9462" s="7">
        <v>10</v>
      </c>
      <c r="E9462" s="85">
        <f t="shared" si="553"/>
        <v>199.08</v>
      </c>
    </row>
    <row r="9463" spans="1:5" ht="18" x14ac:dyDescent="0.35">
      <c r="A9463" s="102"/>
      <c r="B9463" s="50" t="s">
        <v>87</v>
      </c>
      <c r="C9463" s="7">
        <v>2</v>
      </c>
      <c r="D9463" s="7">
        <v>1.81</v>
      </c>
      <c r="E9463" s="85">
        <f t="shared" si="553"/>
        <v>3.62</v>
      </c>
    </row>
    <row r="9464" spans="1:5" ht="18" x14ac:dyDescent="0.35">
      <c r="A9464" s="5"/>
      <c r="B9464" s="50" t="s">
        <v>34</v>
      </c>
      <c r="C9464" s="7"/>
      <c r="D9464" s="7">
        <v>18.059999999999999</v>
      </c>
      <c r="E9464" s="85">
        <f t="shared" si="553"/>
        <v>0</v>
      </c>
    </row>
    <row r="9465" spans="1:5" ht="18" x14ac:dyDescent="0.35">
      <c r="A9465" s="5"/>
      <c r="B9465" s="50" t="s">
        <v>35</v>
      </c>
      <c r="C9465" s="7">
        <v>4</v>
      </c>
      <c r="D9465" s="7">
        <v>2.91</v>
      </c>
      <c r="E9465" s="85">
        <f t="shared" si="553"/>
        <v>11.64</v>
      </c>
    </row>
    <row r="9466" spans="1:5" ht="18" x14ac:dyDescent="0.35">
      <c r="A9466" s="5"/>
      <c r="B9466" s="50" t="s">
        <v>36</v>
      </c>
      <c r="C9466" s="7">
        <v>4</v>
      </c>
      <c r="D9466" s="7">
        <v>0.61</v>
      </c>
      <c r="E9466" s="85">
        <f t="shared" si="553"/>
        <v>2.44</v>
      </c>
    </row>
    <row r="9467" spans="1:5" ht="18" x14ac:dyDescent="0.35">
      <c r="A9467" s="5"/>
      <c r="B9467" s="5"/>
      <c r="C9467" s="54"/>
      <c r="D9467" s="54"/>
      <c r="E9467" s="89">
        <f>SUM(E9461:E9466)</f>
        <v>244.26372000000003</v>
      </c>
    </row>
    <row r="9468" spans="1:5" ht="18" x14ac:dyDescent="0.35">
      <c r="A9468" s="5"/>
      <c r="B9468" s="5"/>
      <c r="C9468" s="54"/>
      <c r="D9468" s="54" t="s">
        <v>1066</v>
      </c>
      <c r="E9468" s="89">
        <f>E9467+E9467*40%</f>
        <v>341.96920800000004</v>
      </c>
    </row>
    <row r="9469" spans="1:5" ht="18" x14ac:dyDescent="0.35">
      <c r="A9469" s="5"/>
      <c r="B9469" s="50" t="s">
        <v>37</v>
      </c>
      <c r="C9469" s="54">
        <v>0.75</v>
      </c>
      <c r="D9469" s="54">
        <v>200</v>
      </c>
      <c r="E9469" s="85">
        <f>C9469*D9469</f>
        <v>150</v>
      </c>
    </row>
    <row r="9470" spans="1:5" ht="18" x14ac:dyDescent="0.35">
      <c r="A9470" s="5"/>
      <c r="B9470" s="5"/>
      <c r="C9470" s="54"/>
      <c r="D9470" s="54"/>
      <c r="E9470" s="85">
        <f>SUM(E9468:E9469)</f>
        <v>491.96920800000004</v>
      </c>
    </row>
    <row r="9472" spans="1:5" ht="21" x14ac:dyDescent="0.4">
      <c r="A9472" s="40" t="s">
        <v>2066</v>
      </c>
      <c r="B9472" s="40"/>
      <c r="C9472" s="40"/>
      <c r="D9472" s="12"/>
      <c r="E9472" s="12"/>
    </row>
    <row r="9473" spans="1:5" ht="18" x14ac:dyDescent="0.35">
      <c r="A9473" s="5" t="s">
        <v>2137</v>
      </c>
      <c r="B9473" s="5"/>
      <c r="C9473" s="7" t="s">
        <v>28</v>
      </c>
      <c r="D9473" s="7" t="s">
        <v>29</v>
      </c>
      <c r="E9473" s="7" t="s">
        <v>30</v>
      </c>
    </row>
    <row r="9474" spans="1:5" ht="18" x14ac:dyDescent="0.35">
      <c r="A9474" s="5" t="s">
        <v>2144</v>
      </c>
      <c r="B9474" s="50" t="s">
        <v>32</v>
      </c>
      <c r="C9474" s="7">
        <v>2.2389999999999999</v>
      </c>
      <c r="D9474" s="7">
        <v>10.34</v>
      </c>
      <c r="E9474" s="85">
        <f>C9474*D9474</f>
        <v>23.151259999999997</v>
      </c>
    </row>
    <row r="9475" spans="1:5" ht="18" x14ac:dyDescent="0.35">
      <c r="A9475" s="5" t="s">
        <v>2096</v>
      </c>
      <c r="B9475" s="50" t="s">
        <v>33</v>
      </c>
      <c r="C9475" s="7">
        <v>15.834</v>
      </c>
      <c r="D9475" s="7">
        <v>10</v>
      </c>
      <c r="E9475" s="85">
        <f>C9475*D9475</f>
        <v>158.34</v>
      </c>
    </row>
    <row r="9476" spans="1:5" ht="18" x14ac:dyDescent="0.35">
      <c r="A9476" s="5" t="s">
        <v>2140</v>
      </c>
      <c r="B9476" s="50" t="s">
        <v>137</v>
      </c>
      <c r="C9476" s="7">
        <v>1.47</v>
      </c>
      <c r="D9476" s="7">
        <v>17.190000000000001</v>
      </c>
      <c r="E9476" s="85">
        <f>C9476*D9476</f>
        <v>25.269300000000001</v>
      </c>
    </row>
    <row r="9477" spans="1:5" ht="18" x14ac:dyDescent="0.35">
      <c r="A9477" s="5" t="s">
        <v>2100</v>
      </c>
      <c r="B9477" s="50" t="s">
        <v>35</v>
      </c>
      <c r="C9477" s="7">
        <v>4</v>
      </c>
      <c r="D9477" s="7">
        <v>2.91</v>
      </c>
      <c r="E9477" s="85">
        <f>C9477*D9477</f>
        <v>11.64</v>
      </c>
    </row>
    <row r="9478" spans="1:5" ht="18" x14ac:dyDescent="0.35">
      <c r="A9478" s="5"/>
      <c r="B9478" s="50" t="s">
        <v>36</v>
      </c>
      <c r="C9478" s="7">
        <v>4</v>
      </c>
      <c r="D9478" s="7">
        <v>0.61</v>
      </c>
      <c r="E9478" s="85">
        <f>C9478*D9478</f>
        <v>2.44</v>
      </c>
    </row>
    <row r="9479" spans="1:5" ht="18" x14ac:dyDescent="0.35">
      <c r="A9479" s="5"/>
      <c r="B9479" s="50"/>
      <c r="C9479" s="87"/>
      <c r="D9479" s="88"/>
      <c r="E9479" s="85">
        <f>SUM(E9474:E9478)</f>
        <v>220.84055999999998</v>
      </c>
    </row>
    <row r="9480" spans="1:5" ht="18" x14ac:dyDescent="0.35">
      <c r="A9480" s="5"/>
      <c r="B9480" s="50"/>
      <c r="C9480" s="87"/>
      <c r="D9480" s="88" t="s">
        <v>1266</v>
      </c>
      <c r="E9480" s="85">
        <f>E9479+E9479*40%</f>
        <v>309.176784</v>
      </c>
    </row>
    <row r="9481" spans="1:5" ht="18" x14ac:dyDescent="0.35">
      <c r="A9481" s="5"/>
      <c r="B9481" s="50" t="s">
        <v>37</v>
      </c>
      <c r="C9481" s="54">
        <v>1</v>
      </c>
      <c r="D9481" s="86">
        <v>200</v>
      </c>
      <c r="E9481" s="85">
        <f>C9481*D9481</f>
        <v>200</v>
      </c>
    </row>
    <row r="9482" spans="1:5" ht="18" x14ac:dyDescent="0.35">
      <c r="A9482" s="5"/>
      <c r="B9482" s="5"/>
      <c r="C9482" s="54"/>
      <c r="D9482" s="54"/>
      <c r="E9482" s="85">
        <f>SUM(E9480:E9481)</f>
        <v>509.176784</v>
      </c>
    </row>
    <row r="9484" spans="1:5" ht="21" x14ac:dyDescent="0.4">
      <c r="A9484" s="40" t="s">
        <v>2066</v>
      </c>
      <c r="B9484" s="40"/>
      <c r="C9484" s="40"/>
      <c r="D9484" s="12"/>
      <c r="E9484" s="12"/>
    </row>
    <row r="9485" spans="1:5" ht="18" x14ac:dyDescent="0.35">
      <c r="A9485" s="5" t="s">
        <v>2137</v>
      </c>
      <c r="B9485" s="5"/>
      <c r="C9485" s="7" t="s">
        <v>28</v>
      </c>
      <c r="D9485" s="7" t="s">
        <v>29</v>
      </c>
      <c r="E9485" s="7" t="s">
        <v>30</v>
      </c>
    </row>
    <row r="9486" spans="1:5" ht="18" x14ac:dyDescent="0.35">
      <c r="A9486" s="5" t="s">
        <v>697</v>
      </c>
      <c r="B9486" s="50" t="s">
        <v>32</v>
      </c>
      <c r="C9486" s="7">
        <v>2.2389999999999999</v>
      </c>
      <c r="D9486" s="7">
        <v>10.34</v>
      </c>
      <c r="E9486" s="85">
        <f>C9486*D9486</f>
        <v>23.151259999999997</v>
      </c>
    </row>
    <row r="9487" spans="1:5" ht="18" x14ac:dyDescent="0.35">
      <c r="A9487" s="5" t="s">
        <v>2096</v>
      </c>
      <c r="B9487" s="50" t="s">
        <v>33</v>
      </c>
      <c r="C9487" s="7">
        <v>15.834</v>
      </c>
      <c r="D9487" s="7">
        <v>10</v>
      </c>
      <c r="E9487" s="85">
        <f>C9487*D9487</f>
        <v>158.34</v>
      </c>
    </row>
    <row r="9488" spans="1:5" ht="18" x14ac:dyDescent="0.35">
      <c r="A9488" s="5" t="s">
        <v>2140</v>
      </c>
      <c r="B9488" s="50" t="s">
        <v>137</v>
      </c>
      <c r="C9488" s="7">
        <v>1.47</v>
      </c>
      <c r="D9488" s="7">
        <v>17.190000000000001</v>
      </c>
      <c r="E9488" s="85">
        <f>C9488*D9488</f>
        <v>25.269300000000001</v>
      </c>
    </row>
    <row r="9489" spans="1:5" ht="18" x14ac:dyDescent="0.35">
      <c r="A9489" s="5" t="s">
        <v>2100</v>
      </c>
      <c r="B9489" s="50" t="s">
        <v>35</v>
      </c>
      <c r="C9489" s="7">
        <v>4</v>
      </c>
      <c r="D9489" s="7">
        <v>2.91</v>
      </c>
      <c r="E9489" s="85">
        <f>C9489*D9489</f>
        <v>11.64</v>
      </c>
    </row>
    <row r="9490" spans="1:5" ht="18" x14ac:dyDescent="0.35">
      <c r="A9490" s="5"/>
      <c r="B9490" s="50" t="s">
        <v>36</v>
      </c>
      <c r="C9490" s="7">
        <v>4</v>
      </c>
      <c r="D9490" s="7">
        <v>0.61</v>
      </c>
      <c r="E9490" s="85">
        <f>C9490*D9490</f>
        <v>2.44</v>
      </c>
    </row>
    <row r="9491" spans="1:5" ht="18" x14ac:dyDescent="0.35">
      <c r="A9491" s="5"/>
      <c r="B9491" s="50"/>
      <c r="C9491" s="87"/>
      <c r="D9491" s="88"/>
      <c r="E9491" s="85">
        <f>SUM(E9486:E9490)</f>
        <v>220.84055999999998</v>
      </c>
    </row>
    <row r="9492" spans="1:5" ht="18" x14ac:dyDescent="0.35">
      <c r="A9492" s="5"/>
      <c r="B9492" s="50"/>
      <c r="C9492" s="87"/>
      <c r="D9492" s="88" t="s">
        <v>1266</v>
      </c>
      <c r="E9492" s="85">
        <f>E9491+E9491*40%</f>
        <v>309.176784</v>
      </c>
    </row>
    <row r="9493" spans="1:5" ht="18" x14ac:dyDescent="0.35">
      <c r="A9493" s="5"/>
      <c r="B9493" s="50" t="s">
        <v>37</v>
      </c>
      <c r="C9493" s="54">
        <v>1</v>
      </c>
      <c r="D9493" s="86">
        <v>200</v>
      </c>
      <c r="E9493" s="85">
        <f>C9493*D9493</f>
        <v>200</v>
      </c>
    </row>
    <row r="9494" spans="1:5" ht="18" x14ac:dyDescent="0.35">
      <c r="A9494" s="5"/>
      <c r="B9494" s="5"/>
      <c r="C9494" s="54"/>
      <c r="D9494" s="54"/>
      <c r="E9494" s="85">
        <f>SUM(E9492:E9493)</f>
        <v>509.176784</v>
      </c>
    </row>
    <row r="9495" spans="1:5" ht="21" x14ac:dyDescent="0.4">
      <c r="A9495" s="40" t="s">
        <v>1919</v>
      </c>
      <c r="B9495" s="40"/>
      <c r="C9495" s="84"/>
    </row>
    <row r="9496" spans="1:5" x14ac:dyDescent="0.3">
      <c r="A9496" t="s">
        <v>2145</v>
      </c>
    </row>
    <row r="9497" spans="1:5" ht="18" x14ac:dyDescent="0.35">
      <c r="A9497" s="5" t="s">
        <v>2146</v>
      </c>
      <c r="B9497" s="5"/>
      <c r="C9497" s="7" t="s">
        <v>28</v>
      </c>
      <c r="D9497" s="7" t="s">
        <v>29</v>
      </c>
      <c r="E9497" s="7" t="s">
        <v>30</v>
      </c>
    </row>
    <row r="9498" spans="1:5" ht="18" x14ac:dyDescent="0.35">
      <c r="A9498" s="5" t="s">
        <v>377</v>
      </c>
      <c r="B9498" s="50" t="s">
        <v>32</v>
      </c>
      <c r="C9498" s="7">
        <v>4.0970000000000004</v>
      </c>
      <c r="D9498" s="7">
        <v>10.34</v>
      </c>
      <c r="E9498" s="85">
        <f t="shared" ref="E9498:E9503" si="554">C9498*D9498</f>
        <v>42.36298</v>
      </c>
    </row>
    <row r="9499" spans="1:5" ht="18" x14ac:dyDescent="0.35">
      <c r="A9499" s="5" t="s">
        <v>2147</v>
      </c>
      <c r="B9499" s="50" t="s">
        <v>33</v>
      </c>
      <c r="C9499" s="7">
        <v>53.55</v>
      </c>
      <c r="D9499" s="7">
        <v>10</v>
      </c>
      <c r="E9499" s="85">
        <f t="shared" si="554"/>
        <v>535.5</v>
      </c>
    </row>
    <row r="9500" spans="1:5" ht="18" x14ac:dyDescent="0.35">
      <c r="A9500" s="102"/>
      <c r="B9500" s="50" t="s">
        <v>2148</v>
      </c>
      <c r="C9500" s="7">
        <v>2</v>
      </c>
      <c r="D9500" s="7">
        <v>4.79</v>
      </c>
      <c r="E9500" s="85">
        <f t="shared" si="554"/>
        <v>9.58</v>
      </c>
    </row>
    <row r="9501" spans="1:5" ht="18" x14ac:dyDescent="0.35">
      <c r="A9501" s="5"/>
      <c r="B9501" s="50" t="s">
        <v>34</v>
      </c>
      <c r="C9501" s="7">
        <v>2.68</v>
      </c>
      <c r="D9501" s="7">
        <v>18.059999999999999</v>
      </c>
      <c r="E9501" s="85">
        <f t="shared" si="554"/>
        <v>48.400799999999997</v>
      </c>
    </row>
    <row r="9502" spans="1:5" ht="18" x14ac:dyDescent="0.35">
      <c r="A9502" s="5"/>
      <c r="B9502" s="50" t="s">
        <v>35</v>
      </c>
      <c r="C9502" s="7">
        <v>8</v>
      </c>
      <c r="D9502" s="7">
        <v>2.91</v>
      </c>
      <c r="E9502" s="85">
        <f t="shared" si="554"/>
        <v>23.28</v>
      </c>
    </row>
    <row r="9503" spans="1:5" ht="18" x14ac:dyDescent="0.35">
      <c r="A9503" s="5"/>
      <c r="B9503" s="50" t="s">
        <v>36</v>
      </c>
      <c r="C9503" s="7">
        <v>4</v>
      </c>
      <c r="D9503" s="7">
        <v>0.61</v>
      </c>
      <c r="E9503" s="85">
        <f t="shared" si="554"/>
        <v>2.44</v>
      </c>
    </row>
    <row r="9504" spans="1:5" ht="18" x14ac:dyDescent="0.35">
      <c r="A9504" s="5"/>
      <c r="B9504" s="5"/>
      <c r="C9504" s="54"/>
      <c r="D9504" s="54"/>
      <c r="E9504" s="89">
        <f>SUM(E9498:E9503)</f>
        <v>661.56378000000007</v>
      </c>
    </row>
    <row r="9505" spans="1:5" ht="18" x14ac:dyDescent="0.35">
      <c r="A9505" s="5"/>
      <c r="B9505" s="5"/>
      <c r="C9505" s="54"/>
      <c r="D9505" s="54" t="s">
        <v>1066</v>
      </c>
      <c r="E9505" s="89">
        <f>E9504+E9504*40%</f>
        <v>926.18929200000002</v>
      </c>
    </row>
    <row r="9506" spans="1:5" ht="18" x14ac:dyDescent="0.35">
      <c r="A9506" s="5"/>
      <c r="B9506" s="50" t="s">
        <v>37</v>
      </c>
      <c r="C9506" s="54">
        <v>2</v>
      </c>
      <c r="D9506" s="54">
        <v>200</v>
      </c>
      <c r="E9506" s="85">
        <f>C9506*D9506</f>
        <v>400</v>
      </c>
    </row>
    <row r="9507" spans="1:5" ht="18" x14ac:dyDescent="0.35">
      <c r="A9507" s="5"/>
      <c r="B9507" s="5"/>
      <c r="C9507" s="54"/>
      <c r="D9507" s="54"/>
      <c r="E9507" s="85">
        <f>SUM(E9505:E9506)</f>
        <v>1326.189292</v>
      </c>
    </row>
    <row r="9509" spans="1:5" ht="21" x14ac:dyDescent="0.4">
      <c r="A9509" s="40" t="s">
        <v>1919</v>
      </c>
      <c r="B9509" s="40"/>
      <c r="C9509" s="84"/>
    </row>
    <row r="9510" spans="1:5" x14ac:dyDescent="0.3">
      <c r="A9510" t="s">
        <v>2152</v>
      </c>
    </row>
    <row r="9511" spans="1:5" ht="18" x14ac:dyDescent="0.35">
      <c r="A9511" s="5" t="s">
        <v>2153</v>
      </c>
      <c r="B9511" s="5"/>
      <c r="C9511" s="7" t="s">
        <v>28</v>
      </c>
      <c r="D9511" s="7" t="s">
        <v>29</v>
      </c>
      <c r="E9511" s="7" t="s">
        <v>30</v>
      </c>
    </row>
    <row r="9512" spans="1:5" ht="18" x14ac:dyDescent="0.35">
      <c r="A9512" s="5" t="s">
        <v>143</v>
      </c>
      <c r="B9512" s="50" t="s">
        <v>32</v>
      </c>
      <c r="C9512" s="7">
        <v>1.671</v>
      </c>
      <c r="D9512" s="7">
        <v>10.34</v>
      </c>
      <c r="E9512" s="85">
        <f t="shared" ref="E9512:E9517" si="555">C9512*D9512</f>
        <v>17.27814</v>
      </c>
    </row>
    <row r="9513" spans="1:5" ht="18" x14ac:dyDescent="0.35">
      <c r="A9513" s="5" t="s">
        <v>616</v>
      </c>
      <c r="B9513" s="50" t="s">
        <v>33</v>
      </c>
      <c r="C9513" s="7">
        <v>3.6539999999999999</v>
      </c>
      <c r="D9513" s="7">
        <v>10</v>
      </c>
      <c r="E9513" s="85">
        <f t="shared" si="555"/>
        <v>36.54</v>
      </c>
    </row>
    <row r="9514" spans="1:5" ht="18" x14ac:dyDescent="0.35">
      <c r="A9514" s="102"/>
      <c r="B9514" s="50" t="s">
        <v>2154</v>
      </c>
      <c r="C9514" s="7">
        <v>2</v>
      </c>
      <c r="D9514" s="7">
        <v>1.6</v>
      </c>
      <c r="E9514" s="85">
        <f t="shared" si="555"/>
        <v>3.2</v>
      </c>
    </row>
    <row r="9515" spans="1:5" ht="18" x14ac:dyDescent="0.35">
      <c r="A9515" s="5"/>
      <c r="B9515" s="50" t="s">
        <v>34</v>
      </c>
      <c r="C9515" s="7">
        <v>0.15</v>
      </c>
      <c r="D9515" s="7">
        <v>18.059999999999999</v>
      </c>
      <c r="E9515" s="85">
        <f t="shared" si="555"/>
        <v>2.7089999999999996</v>
      </c>
    </row>
    <row r="9516" spans="1:5" ht="18" x14ac:dyDescent="0.35">
      <c r="A9516" s="5"/>
      <c r="B9516" s="50" t="s">
        <v>35</v>
      </c>
      <c r="C9516" s="7">
        <v>4</v>
      </c>
      <c r="D9516" s="7">
        <v>2.91</v>
      </c>
      <c r="E9516" s="85">
        <f t="shared" si="555"/>
        <v>11.64</v>
      </c>
    </row>
    <row r="9517" spans="1:5" ht="18" x14ac:dyDescent="0.35">
      <c r="A9517" s="5"/>
      <c r="B9517" s="50" t="s">
        <v>36</v>
      </c>
      <c r="C9517" s="7">
        <v>4</v>
      </c>
      <c r="D9517" s="7">
        <v>0.61</v>
      </c>
      <c r="E9517" s="85">
        <f t="shared" si="555"/>
        <v>2.44</v>
      </c>
    </row>
    <row r="9518" spans="1:5" ht="18" x14ac:dyDescent="0.35">
      <c r="A9518" s="5"/>
      <c r="B9518" s="5"/>
      <c r="C9518" s="54"/>
      <c r="D9518" s="54"/>
      <c r="E9518" s="89">
        <f>SUM(E9512:E9517)</f>
        <v>73.807140000000004</v>
      </c>
    </row>
    <row r="9519" spans="1:5" ht="18" x14ac:dyDescent="0.35">
      <c r="A9519" s="5"/>
      <c r="B9519" s="5"/>
      <c r="C9519" s="54"/>
      <c r="D9519" s="54" t="s">
        <v>1066</v>
      </c>
      <c r="E9519" s="89">
        <f>E9518+E9518*40%</f>
        <v>103.32999600000001</v>
      </c>
    </row>
    <row r="9520" spans="1:5" ht="18" x14ac:dyDescent="0.35">
      <c r="A9520" s="5"/>
      <c r="B9520" s="50" t="s">
        <v>37</v>
      </c>
      <c r="C9520" s="54">
        <v>0.5</v>
      </c>
      <c r="D9520" s="54">
        <v>200</v>
      </c>
      <c r="E9520" s="85">
        <f>C9520*D9520</f>
        <v>100</v>
      </c>
    </row>
    <row r="9521" spans="1:5" ht="18" x14ac:dyDescent="0.35">
      <c r="A9521" s="5"/>
      <c r="B9521" s="5"/>
      <c r="C9521" s="54"/>
      <c r="D9521" s="54"/>
      <c r="E9521" s="85">
        <f>SUM(E9519:E9520)</f>
        <v>203.32999599999999</v>
      </c>
    </row>
    <row r="9523" spans="1:5" ht="21" x14ac:dyDescent="0.4">
      <c r="A9523" s="40" t="s">
        <v>1919</v>
      </c>
      <c r="B9523" s="40"/>
      <c r="C9523" s="84"/>
    </row>
    <row r="9524" spans="1:5" ht="18" x14ac:dyDescent="0.35">
      <c r="A9524" s="5" t="s">
        <v>38</v>
      </c>
      <c r="B9524" s="5"/>
      <c r="C9524" s="7" t="s">
        <v>28</v>
      </c>
      <c r="D9524" s="7" t="s">
        <v>29</v>
      </c>
      <c r="E9524" s="7" t="s">
        <v>30</v>
      </c>
    </row>
    <row r="9525" spans="1:5" ht="18" x14ac:dyDescent="0.35">
      <c r="A9525" s="5" t="s">
        <v>238</v>
      </c>
      <c r="B9525" s="50" t="s">
        <v>32</v>
      </c>
      <c r="C9525" s="7">
        <v>0.97799999999999998</v>
      </c>
      <c r="D9525" s="7">
        <v>10.34</v>
      </c>
      <c r="E9525" s="85">
        <f t="shared" ref="E9525:E9530" si="556">C9525*D9525</f>
        <v>10.11252</v>
      </c>
    </row>
    <row r="9526" spans="1:5" ht="18" x14ac:dyDescent="0.35">
      <c r="A9526" s="5" t="s">
        <v>619</v>
      </c>
      <c r="B9526" s="50" t="s">
        <v>33</v>
      </c>
      <c r="C9526" s="7">
        <v>1.218</v>
      </c>
      <c r="D9526" s="7">
        <v>10</v>
      </c>
      <c r="E9526" s="85">
        <f t="shared" si="556"/>
        <v>12.18</v>
      </c>
    </row>
    <row r="9527" spans="1:5" ht="18" x14ac:dyDescent="0.35">
      <c r="A9527" s="102"/>
      <c r="B9527" s="50" t="s">
        <v>42</v>
      </c>
      <c r="C9527" s="7">
        <v>2</v>
      </c>
      <c r="D9527" s="7">
        <v>1.1499999999999999</v>
      </c>
      <c r="E9527" s="85">
        <f t="shared" si="556"/>
        <v>2.2999999999999998</v>
      </c>
    </row>
    <row r="9528" spans="1:5" ht="18" x14ac:dyDescent="0.35">
      <c r="A9528" s="5"/>
      <c r="B9528" s="50" t="s">
        <v>34</v>
      </c>
      <c r="C9528" s="7"/>
      <c r="D9528" s="7">
        <v>18.059999999999999</v>
      </c>
      <c r="E9528" s="85">
        <f t="shared" si="556"/>
        <v>0</v>
      </c>
    </row>
    <row r="9529" spans="1:5" ht="18" x14ac:dyDescent="0.35">
      <c r="A9529" s="5"/>
      <c r="B9529" s="50" t="s">
        <v>35</v>
      </c>
      <c r="C9529" s="7">
        <v>4</v>
      </c>
      <c r="D9529" s="7">
        <v>2.91</v>
      </c>
      <c r="E9529" s="85">
        <f t="shared" si="556"/>
        <v>11.64</v>
      </c>
    </row>
    <row r="9530" spans="1:5" ht="18" x14ac:dyDescent="0.35">
      <c r="A9530" s="5"/>
      <c r="B9530" s="50" t="s">
        <v>36</v>
      </c>
      <c r="C9530" s="7">
        <v>4</v>
      </c>
      <c r="D9530" s="7">
        <v>0.61</v>
      </c>
      <c r="E9530" s="85">
        <f t="shared" si="556"/>
        <v>2.44</v>
      </c>
    </row>
    <row r="9531" spans="1:5" ht="18" x14ac:dyDescent="0.35">
      <c r="A9531" s="5"/>
      <c r="B9531" s="5"/>
      <c r="C9531" s="54"/>
      <c r="D9531" s="54"/>
      <c r="E9531" s="89">
        <f>SUM(E9525:E9530)</f>
        <v>38.672519999999999</v>
      </c>
    </row>
    <row r="9532" spans="1:5" ht="18" x14ac:dyDescent="0.35">
      <c r="A9532" s="5"/>
      <c r="B9532" s="5"/>
      <c r="C9532" s="54"/>
      <c r="D9532" s="54" t="s">
        <v>1066</v>
      </c>
      <c r="E9532" s="89">
        <f>E9531+E9531*40%</f>
        <v>54.141528000000001</v>
      </c>
    </row>
    <row r="9533" spans="1:5" ht="18" x14ac:dyDescent="0.35">
      <c r="A9533" s="5"/>
      <c r="B9533" s="50" t="s">
        <v>37</v>
      </c>
      <c r="C9533" s="54">
        <v>0.4</v>
      </c>
      <c r="D9533" s="54">
        <v>200</v>
      </c>
      <c r="E9533" s="85">
        <f>C9533*D9533</f>
        <v>80</v>
      </c>
    </row>
    <row r="9534" spans="1:5" ht="18" x14ac:dyDescent="0.35">
      <c r="A9534" s="5"/>
      <c r="B9534" s="5"/>
      <c r="C9534" s="54"/>
      <c r="D9534" s="54"/>
      <c r="E9534" s="85">
        <f>SUM(E9532:E9533)</f>
        <v>134.14152799999999</v>
      </c>
    </row>
    <row r="9536" spans="1:5" ht="21" x14ac:dyDescent="0.4">
      <c r="A9536" s="40" t="s">
        <v>1919</v>
      </c>
      <c r="B9536" s="40"/>
      <c r="C9536" s="84"/>
    </row>
    <row r="9537" spans="1:5" ht="18" x14ac:dyDescent="0.35">
      <c r="A9537" s="5" t="s">
        <v>40</v>
      </c>
      <c r="B9537" s="5"/>
      <c r="C9537" s="7" t="s">
        <v>28</v>
      </c>
      <c r="D9537" s="7" t="s">
        <v>29</v>
      </c>
      <c r="E9537" s="7" t="s">
        <v>30</v>
      </c>
    </row>
    <row r="9538" spans="1:5" ht="18" x14ac:dyDescent="0.35">
      <c r="A9538" s="5" t="s">
        <v>238</v>
      </c>
      <c r="B9538" s="50" t="s">
        <v>32</v>
      </c>
      <c r="C9538" s="7">
        <v>1.1879999999999999</v>
      </c>
      <c r="D9538" s="7">
        <v>10.34</v>
      </c>
      <c r="E9538" s="85">
        <f t="shared" ref="E9538:E9543" si="557">C9538*D9538</f>
        <v>12.283919999999998</v>
      </c>
    </row>
    <row r="9539" spans="1:5" ht="18" x14ac:dyDescent="0.35">
      <c r="A9539" s="5" t="s">
        <v>677</v>
      </c>
      <c r="B9539" s="50" t="s">
        <v>33</v>
      </c>
      <c r="C9539" s="7">
        <v>1.6379999999999999</v>
      </c>
      <c r="D9539" s="7">
        <v>10</v>
      </c>
      <c r="E9539" s="85">
        <f t="shared" si="557"/>
        <v>16.38</v>
      </c>
    </row>
    <row r="9540" spans="1:5" ht="18" x14ac:dyDescent="0.35">
      <c r="A9540" s="102"/>
      <c r="B9540" s="50" t="s">
        <v>42</v>
      </c>
      <c r="C9540" s="7">
        <v>2</v>
      </c>
      <c r="D9540" s="7">
        <v>1.1499999999999999</v>
      </c>
      <c r="E9540" s="85">
        <f t="shared" si="557"/>
        <v>2.2999999999999998</v>
      </c>
    </row>
    <row r="9541" spans="1:5" ht="18" x14ac:dyDescent="0.35">
      <c r="A9541" s="5"/>
      <c r="B9541" s="50" t="s">
        <v>34</v>
      </c>
      <c r="C9541" s="7"/>
      <c r="D9541" s="7">
        <v>18.059999999999999</v>
      </c>
      <c r="E9541" s="85">
        <f t="shared" si="557"/>
        <v>0</v>
      </c>
    </row>
    <row r="9542" spans="1:5" ht="18" x14ac:dyDescent="0.35">
      <c r="A9542" s="5"/>
      <c r="B9542" s="50" t="s">
        <v>35</v>
      </c>
      <c r="C9542" s="7">
        <v>4</v>
      </c>
      <c r="D9542" s="7">
        <v>2.91</v>
      </c>
      <c r="E9542" s="85">
        <f t="shared" si="557"/>
        <v>11.64</v>
      </c>
    </row>
    <row r="9543" spans="1:5" ht="18" x14ac:dyDescent="0.35">
      <c r="A9543" s="5"/>
      <c r="B9543" s="50" t="s">
        <v>36</v>
      </c>
      <c r="C9543" s="7">
        <v>4</v>
      </c>
      <c r="D9543" s="7">
        <v>0.61</v>
      </c>
      <c r="E9543" s="85">
        <f t="shared" si="557"/>
        <v>2.44</v>
      </c>
    </row>
    <row r="9544" spans="1:5" ht="18" x14ac:dyDescent="0.35">
      <c r="A9544" s="5"/>
      <c r="B9544" s="5"/>
      <c r="C9544" s="54"/>
      <c r="D9544" s="54"/>
      <c r="E9544" s="89">
        <f>SUM(E9538:E9543)</f>
        <v>45.04392</v>
      </c>
    </row>
    <row r="9545" spans="1:5" ht="18" x14ac:dyDescent="0.35">
      <c r="A9545" s="5"/>
      <c r="B9545" s="5"/>
      <c r="C9545" s="54"/>
      <c r="D9545" s="54" t="s">
        <v>1066</v>
      </c>
      <c r="E9545" s="89">
        <f>E9544+E9544*40%</f>
        <v>63.061487999999997</v>
      </c>
    </row>
    <row r="9546" spans="1:5" ht="18" x14ac:dyDescent="0.35">
      <c r="A9546" s="5"/>
      <c r="B9546" s="50" t="s">
        <v>37</v>
      </c>
      <c r="C9546" s="54">
        <v>0.4</v>
      </c>
      <c r="D9546" s="54">
        <v>200</v>
      </c>
      <c r="E9546" s="85">
        <f>C9546*D9546</f>
        <v>80</v>
      </c>
    </row>
    <row r="9547" spans="1:5" ht="18" x14ac:dyDescent="0.35">
      <c r="A9547" s="5"/>
      <c r="B9547" s="5"/>
      <c r="C9547" s="54"/>
      <c r="D9547" s="54"/>
      <c r="E9547" s="85">
        <f>SUM(E9545:E9546)</f>
        <v>143.061488</v>
      </c>
    </row>
    <row r="9549" spans="1:5" ht="21" x14ac:dyDescent="0.4">
      <c r="A9549" s="40" t="s">
        <v>1919</v>
      </c>
      <c r="B9549" s="40"/>
      <c r="C9549" s="84"/>
    </row>
    <row r="9550" spans="1:5" ht="18" x14ac:dyDescent="0.35">
      <c r="A9550" s="5" t="s">
        <v>41</v>
      </c>
      <c r="B9550" s="5"/>
      <c r="C9550" s="7" t="s">
        <v>28</v>
      </c>
      <c r="D9550" s="7" t="s">
        <v>29</v>
      </c>
      <c r="E9550" s="7" t="s">
        <v>30</v>
      </c>
    </row>
    <row r="9551" spans="1:5" ht="18" x14ac:dyDescent="0.35">
      <c r="A9551" s="5" t="s">
        <v>238</v>
      </c>
      <c r="B9551" s="50" t="s">
        <v>32</v>
      </c>
      <c r="C9551" s="7">
        <v>1.3979999999999999</v>
      </c>
      <c r="D9551" s="7">
        <v>10.34</v>
      </c>
      <c r="E9551" s="85">
        <f t="shared" ref="E9551:E9556" si="558">C9551*D9551</f>
        <v>14.455319999999999</v>
      </c>
    </row>
    <row r="9552" spans="1:5" ht="18" x14ac:dyDescent="0.35">
      <c r="A9552" s="5" t="s">
        <v>677</v>
      </c>
      <c r="B9552" s="50" t="s">
        <v>33</v>
      </c>
      <c r="C9552" s="7">
        <v>2.0579999999999998</v>
      </c>
      <c r="D9552" s="7">
        <v>10</v>
      </c>
      <c r="E9552" s="85">
        <f t="shared" si="558"/>
        <v>20.58</v>
      </c>
    </row>
    <row r="9553" spans="1:5" ht="18" x14ac:dyDescent="0.35">
      <c r="A9553" s="102"/>
      <c r="B9553" s="50" t="s">
        <v>42</v>
      </c>
      <c r="C9553" s="7">
        <v>2</v>
      </c>
      <c r="D9553" s="7">
        <v>1.1499999999999999</v>
      </c>
      <c r="E9553" s="85">
        <f t="shared" si="558"/>
        <v>2.2999999999999998</v>
      </c>
    </row>
    <row r="9554" spans="1:5" ht="18" x14ac:dyDescent="0.35">
      <c r="A9554" s="5"/>
      <c r="B9554" s="50" t="s">
        <v>34</v>
      </c>
      <c r="C9554" s="7"/>
      <c r="D9554" s="7">
        <v>18.059999999999999</v>
      </c>
      <c r="E9554" s="85">
        <f t="shared" si="558"/>
        <v>0</v>
      </c>
    </row>
    <row r="9555" spans="1:5" ht="18" x14ac:dyDescent="0.35">
      <c r="A9555" s="5"/>
      <c r="B9555" s="50" t="s">
        <v>35</v>
      </c>
      <c r="C9555" s="7">
        <v>4</v>
      </c>
      <c r="D9555" s="7">
        <v>2.91</v>
      </c>
      <c r="E9555" s="85">
        <f t="shared" si="558"/>
        <v>11.64</v>
      </c>
    </row>
    <row r="9556" spans="1:5" ht="18" x14ac:dyDescent="0.35">
      <c r="A9556" s="5"/>
      <c r="B9556" s="50" t="s">
        <v>36</v>
      </c>
      <c r="C9556" s="7">
        <v>4</v>
      </c>
      <c r="D9556" s="7">
        <v>0.61</v>
      </c>
      <c r="E9556" s="85">
        <f t="shared" si="558"/>
        <v>2.44</v>
      </c>
    </row>
    <row r="9557" spans="1:5" ht="18" x14ac:dyDescent="0.35">
      <c r="A9557" s="5"/>
      <c r="B9557" s="5"/>
      <c r="C9557" s="54"/>
      <c r="D9557" s="54"/>
      <c r="E9557" s="89">
        <f>SUM(E9551:E9556)</f>
        <v>51.415319999999994</v>
      </c>
    </row>
    <row r="9558" spans="1:5" ht="18" x14ac:dyDescent="0.35">
      <c r="A9558" s="5"/>
      <c r="B9558" s="5"/>
      <c r="C9558" s="54"/>
      <c r="D9558" s="54" t="s">
        <v>1066</v>
      </c>
      <c r="E9558" s="89">
        <f>E9557+E9557*40%</f>
        <v>71.981448</v>
      </c>
    </row>
    <row r="9559" spans="1:5" ht="18" x14ac:dyDescent="0.35">
      <c r="A9559" s="5"/>
      <c r="B9559" s="50" t="s">
        <v>37</v>
      </c>
      <c r="C9559" s="54">
        <v>0.5</v>
      </c>
      <c r="D9559" s="54">
        <v>200</v>
      </c>
      <c r="E9559" s="85">
        <f>C9559*D9559</f>
        <v>100</v>
      </c>
    </row>
    <row r="9560" spans="1:5" ht="18" x14ac:dyDescent="0.35">
      <c r="A9560" s="5"/>
      <c r="B9560" s="5"/>
      <c r="C9560" s="54"/>
      <c r="D9560" s="54"/>
      <c r="E9560" s="85">
        <f>SUM(E9558:E9559)</f>
        <v>171.981448</v>
      </c>
    </row>
    <row r="9562" spans="1:5" ht="21" x14ac:dyDescent="0.4">
      <c r="A9562" s="40" t="s">
        <v>1919</v>
      </c>
      <c r="B9562" s="40"/>
      <c r="C9562" s="84"/>
    </row>
    <row r="9563" spans="1:5" ht="18" x14ac:dyDescent="0.35">
      <c r="A9563" s="5" t="s">
        <v>44</v>
      </c>
      <c r="B9563" s="5"/>
      <c r="C9563" s="7" t="s">
        <v>28</v>
      </c>
      <c r="D9563" s="7" t="s">
        <v>29</v>
      </c>
      <c r="E9563" s="7" t="s">
        <v>30</v>
      </c>
    </row>
    <row r="9564" spans="1:5" ht="18" x14ac:dyDescent="0.35">
      <c r="A9564" s="5" t="s">
        <v>238</v>
      </c>
      <c r="B9564" s="50" t="s">
        <v>32</v>
      </c>
      <c r="C9564" s="7">
        <v>1.6080000000000001</v>
      </c>
      <c r="D9564" s="7">
        <v>10.34</v>
      </c>
      <c r="E9564" s="85">
        <f t="shared" ref="E9564:E9569" si="559">C9564*D9564</f>
        <v>16.626720000000002</v>
      </c>
    </row>
    <row r="9565" spans="1:5" ht="18" x14ac:dyDescent="0.35">
      <c r="A9565" s="5" t="s">
        <v>677</v>
      </c>
      <c r="B9565" s="50" t="s">
        <v>33</v>
      </c>
      <c r="C9565" s="7">
        <v>2.4780000000000002</v>
      </c>
      <c r="D9565" s="7">
        <v>10</v>
      </c>
      <c r="E9565" s="85">
        <f t="shared" si="559"/>
        <v>24.78</v>
      </c>
    </row>
    <row r="9566" spans="1:5" ht="18" x14ac:dyDescent="0.35">
      <c r="A9566" s="102"/>
      <c r="B9566" s="50" t="s">
        <v>42</v>
      </c>
      <c r="C9566" s="7">
        <v>2</v>
      </c>
      <c r="D9566" s="7">
        <v>1.1499999999999999</v>
      </c>
      <c r="E9566" s="85">
        <f t="shared" si="559"/>
        <v>2.2999999999999998</v>
      </c>
    </row>
    <row r="9567" spans="1:5" ht="18" x14ac:dyDescent="0.35">
      <c r="A9567" s="5"/>
      <c r="B9567" s="50" t="s">
        <v>34</v>
      </c>
      <c r="C9567" s="7"/>
      <c r="D9567" s="7">
        <v>18.059999999999999</v>
      </c>
      <c r="E9567" s="85">
        <f t="shared" si="559"/>
        <v>0</v>
      </c>
    </row>
    <row r="9568" spans="1:5" ht="18" x14ac:dyDescent="0.35">
      <c r="A9568" s="5"/>
      <c r="B9568" s="50" t="s">
        <v>35</v>
      </c>
      <c r="C9568" s="7">
        <v>4</v>
      </c>
      <c r="D9568" s="7">
        <v>2.91</v>
      </c>
      <c r="E9568" s="85">
        <f t="shared" si="559"/>
        <v>11.64</v>
      </c>
    </row>
    <row r="9569" spans="1:5" ht="18" x14ac:dyDescent="0.35">
      <c r="A9569" s="5"/>
      <c r="B9569" s="50" t="s">
        <v>36</v>
      </c>
      <c r="C9569" s="7">
        <v>4</v>
      </c>
      <c r="D9569" s="7">
        <v>0.61</v>
      </c>
      <c r="E9569" s="85">
        <f t="shared" si="559"/>
        <v>2.44</v>
      </c>
    </row>
    <row r="9570" spans="1:5" ht="18" x14ac:dyDescent="0.35">
      <c r="A9570" s="5"/>
      <c r="B9570" s="5"/>
      <c r="C9570" s="54"/>
      <c r="D9570" s="54"/>
      <c r="E9570" s="89">
        <f>SUM(E9564:E9569)</f>
        <v>57.786720000000003</v>
      </c>
    </row>
    <row r="9571" spans="1:5" ht="18" x14ac:dyDescent="0.35">
      <c r="A9571" s="5"/>
      <c r="B9571" s="5"/>
      <c r="C9571" s="54"/>
      <c r="D9571" s="54" t="s">
        <v>1066</v>
      </c>
      <c r="E9571" s="89">
        <f>E9570+E9570*40%</f>
        <v>80.901408000000004</v>
      </c>
    </row>
    <row r="9572" spans="1:5" ht="18" x14ac:dyDescent="0.35">
      <c r="A9572" s="5"/>
      <c r="B9572" s="50" t="s">
        <v>37</v>
      </c>
      <c r="C9572" s="54">
        <v>0.5</v>
      </c>
      <c r="D9572" s="54">
        <v>200</v>
      </c>
      <c r="E9572" s="85">
        <f>C9572*D9572</f>
        <v>100</v>
      </c>
    </row>
    <row r="9573" spans="1:5" ht="18" x14ac:dyDescent="0.35">
      <c r="A9573" s="5"/>
      <c r="B9573" s="5"/>
      <c r="C9573" s="54"/>
      <c r="D9573" s="54"/>
      <c r="E9573" s="85">
        <f>SUM(E9571:E9572)</f>
        <v>180.901408</v>
      </c>
    </row>
    <row r="9575" spans="1:5" ht="21" x14ac:dyDescent="0.4">
      <c r="A9575" s="40" t="s">
        <v>1919</v>
      </c>
      <c r="B9575" s="40"/>
      <c r="C9575" s="84"/>
    </row>
    <row r="9576" spans="1:5" ht="18" x14ac:dyDescent="0.35">
      <c r="A9576" s="5" t="s">
        <v>67</v>
      </c>
      <c r="B9576" s="5"/>
      <c r="C9576" s="7" t="s">
        <v>28</v>
      </c>
      <c r="D9576" s="7" t="s">
        <v>29</v>
      </c>
      <c r="E9576" s="7" t="s">
        <v>30</v>
      </c>
    </row>
    <row r="9577" spans="1:5" ht="18" x14ac:dyDescent="0.35">
      <c r="A9577" s="5" t="s">
        <v>143</v>
      </c>
      <c r="B9577" s="50" t="s">
        <v>32</v>
      </c>
      <c r="C9577" s="7">
        <v>1.7130000000000001</v>
      </c>
      <c r="D9577" s="7">
        <v>10.34</v>
      </c>
      <c r="E9577" s="85">
        <f t="shared" ref="E9577:E9582" si="560">C9577*D9577</f>
        <v>17.712420000000002</v>
      </c>
    </row>
    <row r="9578" spans="1:5" ht="18" x14ac:dyDescent="0.35">
      <c r="A9578" s="5" t="s">
        <v>677</v>
      </c>
      <c r="B9578" s="50" t="s">
        <v>33</v>
      </c>
      <c r="C9578" s="7">
        <v>3.7170000000000001</v>
      </c>
      <c r="D9578" s="7">
        <v>10</v>
      </c>
      <c r="E9578" s="85">
        <f t="shared" si="560"/>
        <v>37.17</v>
      </c>
    </row>
    <row r="9579" spans="1:5" ht="18" x14ac:dyDescent="0.35">
      <c r="A9579" s="102"/>
      <c r="B9579" s="50" t="s">
        <v>42</v>
      </c>
      <c r="C9579" s="7">
        <v>2</v>
      </c>
      <c r="D9579" s="7">
        <v>1.1499999999999999</v>
      </c>
      <c r="E9579" s="85">
        <f t="shared" si="560"/>
        <v>2.2999999999999998</v>
      </c>
    </row>
    <row r="9580" spans="1:5" ht="18" x14ac:dyDescent="0.35">
      <c r="A9580" s="5"/>
      <c r="B9580" s="50" t="s">
        <v>34</v>
      </c>
      <c r="C9580" s="7">
        <v>0.157</v>
      </c>
      <c r="D9580" s="7">
        <v>18.059999999999999</v>
      </c>
      <c r="E9580" s="85">
        <f t="shared" si="560"/>
        <v>2.8354199999999996</v>
      </c>
    </row>
    <row r="9581" spans="1:5" ht="18" x14ac:dyDescent="0.35">
      <c r="A9581" s="5"/>
      <c r="B9581" s="50" t="s">
        <v>35</v>
      </c>
      <c r="C9581" s="7">
        <v>4</v>
      </c>
      <c r="D9581" s="7">
        <v>2.91</v>
      </c>
      <c r="E9581" s="85">
        <f t="shared" si="560"/>
        <v>11.64</v>
      </c>
    </row>
    <row r="9582" spans="1:5" ht="18" x14ac:dyDescent="0.35">
      <c r="A9582" s="5"/>
      <c r="B9582" s="50" t="s">
        <v>36</v>
      </c>
      <c r="C9582" s="7">
        <v>4</v>
      </c>
      <c r="D9582" s="7">
        <v>0.61</v>
      </c>
      <c r="E9582" s="85">
        <f t="shared" si="560"/>
        <v>2.44</v>
      </c>
    </row>
    <row r="9583" spans="1:5" ht="18" x14ac:dyDescent="0.35">
      <c r="A9583" s="5"/>
      <c r="B9583" s="5"/>
      <c r="C9583" s="54"/>
      <c r="D9583" s="54"/>
      <c r="E9583" s="89">
        <f>SUM(E9577:E9582)</f>
        <v>74.097839999999991</v>
      </c>
    </row>
    <row r="9584" spans="1:5" ht="18" x14ac:dyDescent="0.35">
      <c r="A9584" s="5"/>
      <c r="B9584" s="5"/>
      <c r="C9584" s="54"/>
      <c r="D9584" s="54" t="s">
        <v>1066</v>
      </c>
      <c r="E9584" s="89">
        <f>E9583+E9583*40%</f>
        <v>103.73697599999998</v>
      </c>
    </row>
    <row r="9585" spans="1:5" ht="18" x14ac:dyDescent="0.35">
      <c r="A9585" s="5"/>
      <c r="B9585" s="50" t="s">
        <v>37</v>
      </c>
      <c r="C9585" s="54">
        <v>0.5</v>
      </c>
      <c r="D9585" s="54">
        <v>200</v>
      </c>
      <c r="E9585" s="85">
        <f>C9585*D9585</f>
        <v>100</v>
      </c>
    </row>
    <row r="9586" spans="1:5" ht="18" x14ac:dyDescent="0.35">
      <c r="A9586" s="5"/>
      <c r="B9586" s="5"/>
      <c r="C9586" s="54"/>
      <c r="D9586" s="54"/>
      <c r="E9586" s="85">
        <f>SUM(E9584:E9585)</f>
        <v>203.73697599999997</v>
      </c>
    </row>
    <row r="9588" spans="1:5" ht="21" x14ac:dyDescent="0.4">
      <c r="A9588" s="40" t="s">
        <v>1919</v>
      </c>
      <c r="B9588" s="40"/>
      <c r="C9588" s="84"/>
    </row>
    <row r="9589" spans="1:5" ht="18" x14ac:dyDescent="0.35">
      <c r="A9589" s="5" t="s">
        <v>69</v>
      </c>
      <c r="B9589" s="5"/>
      <c r="C9589" s="7" t="s">
        <v>28</v>
      </c>
      <c r="D9589" s="7" t="s">
        <v>29</v>
      </c>
      <c r="E9589" s="7" t="s">
        <v>30</v>
      </c>
    </row>
    <row r="9590" spans="1:5" ht="18" x14ac:dyDescent="0.35">
      <c r="A9590" s="5" t="s">
        <v>143</v>
      </c>
      <c r="B9590" s="50" t="s">
        <v>32</v>
      </c>
      <c r="C9590" s="7">
        <v>2.133</v>
      </c>
      <c r="D9590" s="7">
        <v>10.34</v>
      </c>
      <c r="E9590" s="85">
        <f t="shared" ref="E9590:E9595" si="561">C9590*D9590</f>
        <v>22.055219999999998</v>
      </c>
    </row>
    <row r="9591" spans="1:5" ht="18" x14ac:dyDescent="0.35">
      <c r="A9591" s="5" t="s">
        <v>677</v>
      </c>
      <c r="B9591" s="50" t="s">
        <v>33</v>
      </c>
      <c r="C9591" s="7">
        <v>4.9770000000000003</v>
      </c>
      <c r="D9591" s="7">
        <v>10</v>
      </c>
      <c r="E9591" s="85">
        <f t="shared" si="561"/>
        <v>49.77</v>
      </c>
    </row>
    <row r="9592" spans="1:5" ht="18" x14ac:dyDescent="0.35">
      <c r="A9592" s="102"/>
      <c r="B9592" s="50" t="s">
        <v>42</v>
      </c>
      <c r="C9592" s="7">
        <v>2</v>
      </c>
      <c r="D9592" s="7">
        <v>1.1499999999999999</v>
      </c>
      <c r="E9592" s="85">
        <f t="shared" si="561"/>
        <v>2.2999999999999998</v>
      </c>
    </row>
    <row r="9593" spans="1:5" ht="18" x14ac:dyDescent="0.35">
      <c r="A9593" s="5"/>
      <c r="B9593" s="50" t="s">
        <v>34</v>
      </c>
      <c r="C9593" s="7">
        <v>0.15</v>
      </c>
      <c r="D9593" s="7">
        <v>18.059999999999999</v>
      </c>
      <c r="E9593" s="85">
        <f t="shared" si="561"/>
        <v>2.7089999999999996</v>
      </c>
    </row>
    <row r="9594" spans="1:5" ht="18" x14ac:dyDescent="0.35">
      <c r="A9594" s="5"/>
      <c r="B9594" s="50" t="s">
        <v>35</v>
      </c>
      <c r="C9594" s="7">
        <v>4</v>
      </c>
      <c r="D9594" s="7">
        <v>2.91</v>
      </c>
      <c r="E9594" s="85">
        <f t="shared" si="561"/>
        <v>11.64</v>
      </c>
    </row>
    <row r="9595" spans="1:5" ht="18" x14ac:dyDescent="0.35">
      <c r="A9595" s="5"/>
      <c r="B9595" s="50" t="s">
        <v>36</v>
      </c>
      <c r="C9595" s="7">
        <v>4</v>
      </c>
      <c r="D9595" s="7">
        <v>0.61</v>
      </c>
      <c r="E9595" s="85">
        <f t="shared" si="561"/>
        <v>2.44</v>
      </c>
    </row>
    <row r="9596" spans="1:5" ht="18" x14ac:dyDescent="0.35">
      <c r="A9596" s="5"/>
      <c r="B9596" s="5"/>
      <c r="C9596" s="54"/>
      <c r="D9596" s="54"/>
      <c r="E9596" s="89">
        <f>SUM(E9590:E9595)</f>
        <v>90.91422</v>
      </c>
    </row>
    <row r="9597" spans="1:5" ht="18" x14ac:dyDescent="0.35">
      <c r="A9597" s="5"/>
      <c r="B9597" s="5"/>
      <c r="C9597" s="54"/>
      <c r="D9597" s="54" t="s">
        <v>1066</v>
      </c>
      <c r="E9597" s="89">
        <f>E9596+E9596*40%</f>
        <v>127.27990800000001</v>
      </c>
    </row>
    <row r="9598" spans="1:5" ht="18" x14ac:dyDescent="0.35">
      <c r="A9598" s="5"/>
      <c r="B9598" s="50" t="s">
        <v>37</v>
      </c>
      <c r="C9598" s="54">
        <v>0.5</v>
      </c>
      <c r="D9598" s="54">
        <v>200</v>
      </c>
      <c r="E9598" s="85">
        <f>C9598*D9598</f>
        <v>100</v>
      </c>
    </row>
    <row r="9599" spans="1:5" ht="18" x14ac:dyDescent="0.35">
      <c r="A9599" s="5"/>
      <c r="B9599" s="5"/>
      <c r="C9599" s="54"/>
      <c r="D9599" s="54"/>
      <c r="E9599" s="85">
        <f>SUM(E9597:E9598)</f>
        <v>227.27990800000001</v>
      </c>
    </row>
    <row r="9601" spans="1:5" ht="21" x14ac:dyDescent="0.4">
      <c r="A9601" s="40" t="s">
        <v>602</v>
      </c>
      <c r="B9601" s="40"/>
      <c r="C9601" s="84"/>
    </row>
    <row r="9602" spans="1:5" ht="18" x14ac:dyDescent="0.35">
      <c r="B9602" s="5"/>
      <c r="C9602" s="7" t="s">
        <v>28</v>
      </c>
      <c r="D9602" s="7" t="s">
        <v>29</v>
      </c>
      <c r="E9602" s="7" t="s">
        <v>30</v>
      </c>
    </row>
    <row r="9603" spans="1:5" ht="18" x14ac:dyDescent="0.35">
      <c r="A9603" s="5" t="s">
        <v>41</v>
      </c>
      <c r="B9603" s="50" t="s">
        <v>32</v>
      </c>
      <c r="C9603" s="7">
        <v>1.3979999999999999</v>
      </c>
      <c r="D9603" s="7">
        <v>14.93</v>
      </c>
      <c r="E9603" s="85">
        <f t="shared" ref="E9603:E9610" si="562">C9603*D9603</f>
        <v>20.872139999999998</v>
      </c>
    </row>
    <row r="9604" spans="1:5" ht="18" x14ac:dyDescent="0.35">
      <c r="A9604" s="5" t="s">
        <v>238</v>
      </c>
      <c r="B9604" s="50" t="s">
        <v>33</v>
      </c>
      <c r="C9604" s="7">
        <v>2.0579999999999998</v>
      </c>
      <c r="D9604" s="7">
        <v>10</v>
      </c>
      <c r="E9604" s="85">
        <f t="shared" si="562"/>
        <v>20.58</v>
      </c>
    </row>
    <row r="9605" spans="1:5" ht="18" x14ac:dyDescent="0.35">
      <c r="A9605" s="5" t="s">
        <v>55</v>
      </c>
      <c r="B9605" s="50" t="s">
        <v>33</v>
      </c>
      <c r="C9605" s="7">
        <v>2.2679999999999998</v>
      </c>
      <c r="D9605" s="7">
        <v>10</v>
      </c>
      <c r="E9605" s="85">
        <f t="shared" si="562"/>
        <v>22.68</v>
      </c>
    </row>
    <row r="9606" spans="1:5" ht="18" x14ac:dyDescent="0.35">
      <c r="A9606" s="5" t="s">
        <v>859</v>
      </c>
      <c r="B9606" s="50" t="s">
        <v>42</v>
      </c>
      <c r="C9606" s="7">
        <v>2</v>
      </c>
      <c r="D9606" s="7">
        <v>1.1499999999999999</v>
      </c>
      <c r="E9606" s="85">
        <f t="shared" si="562"/>
        <v>2.2999999999999998</v>
      </c>
    </row>
    <row r="9607" spans="1:5" ht="18" x14ac:dyDescent="0.35">
      <c r="A9607" s="5" t="s">
        <v>1954</v>
      </c>
      <c r="B9607" s="50" t="s">
        <v>113</v>
      </c>
      <c r="C9607" s="7">
        <v>2</v>
      </c>
      <c r="D9607" s="7">
        <v>2.2400000000000002</v>
      </c>
      <c r="E9607" s="85">
        <f t="shared" si="562"/>
        <v>4.4800000000000004</v>
      </c>
    </row>
    <row r="9608" spans="1:5" ht="18" x14ac:dyDescent="0.35">
      <c r="A9608" s="5"/>
      <c r="B9608" s="50" t="s">
        <v>34</v>
      </c>
      <c r="C9608" s="7"/>
      <c r="D9608" s="7">
        <v>18.059999999999999</v>
      </c>
      <c r="E9608" s="85">
        <f t="shared" si="562"/>
        <v>0</v>
      </c>
    </row>
    <row r="9609" spans="1:5" ht="18" x14ac:dyDescent="0.35">
      <c r="A9609" s="5"/>
      <c r="B9609" s="50" t="s">
        <v>35</v>
      </c>
      <c r="C9609" s="7">
        <v>4</v>
      </c>
      <c r="D9609" s="7">
        <v>2.91</v>
      </c>
      <c r="E9609" s="85">
        <f t="shared" si="562"/>
        <v>11.64</v>
      </c>
    </row>
    <row r="9610" spans="1:5" ht="18" x14ac:dyDescent="0.35">
      <c r="A9610" s="5"/>
      <c r="B9610" s="50" t="s">
        <v>36</v>
      </c>
      <c r="C9610" s="7">
        <v>4</v>
      </c>
      <c r="D9610" s="7">
        <v>0.61</v>
      </c>
      <c r="E9610" s="85">
        <f t="shared" si="562"/>
        <v>2.44</v>
      </c>
    </row>
    <row r="9611" spans="1:5" ht="18" x14ac:dyDescent="0.35">
      <c r="A9611" s="5"/>
      <c r="B9611" s="5"/>
      <c r="C9611" s="54"/>
      <c r="D9611" s="54"/>
      <c r="E9611" s="89">
        <f>SUM(E9603:E9610)</f>
        <v>84.992139999999992</v>
      </c>
    </row>
    <row r="9612" spans="1:5" ht="18" x14ac:dyDescent="0.35">
      <c r="A9612" s="5"/>
      <c r="B9612" s="5"/>
      <c r="C9612" s="54"/>
      <c r="D9612" s="54" t="s">
        <v>1063</v>
      </c>
      <c r="E9612" s="89">
        <f>E9611+E9611*40%</f>
        <v>118.98899599999999</v>
      </c>
    </row>
    <row r="9613" spans="1:5" ht="18" x14ac:dyDescent="0.35">
      <c r="A9613" s="5"/>
      <c r="B9613" s="50" t="s">
        <v>37</v>
      </c>
      <c r="C9613" s="54">
        <v>0.6</v>
      </c>
      <c r="D9613" s="54">
        <v>200</v>
      </c>
      <c r="E9613" s="85">
        <f>C9613*D9613</f>
        <v>120</v>
      </c>
    </row>
    <row r="9614" spans="1:5" ht="18" x14ac:dyDescent="0.35">
      <c r="E9614" s="85">
        <f>SUM(E9612:E9613)</f>
        <v>238.98899599999999</v>
      </c>
    </row>
    <row r="9616" spans="1:5" ht="21" x14ac:dyDescent="0.4">
      <c r="A9616" s="40" t="s">
        <v>602</v>
      </c>
      <c r="B9616" s="40"/>
      <c r="C9616" s="84"/>
    </row>
    <row r="9617" spans="1:5" ht="18" x14ac:dyDescent="0.35">
      <c r="B9617" s="5"/>
      <c r="C9617" s="7" t="s">
        <v>28</v>
      </c>
      <c r="D9617" s="7" t="s">
        <v>29</v>
      </c>
      <c r="E9617" s="7" t="s">
        <v>30</v>
      </c>
    </row>
    <row r="9618" spans="1:5" ht="18" x14ac:dyDescent="0.35">
      <c r="A9618" s="5" t="s">
        <v>44</v>
      </c>
      <c r="B9618" s="50" t="s">
        <v>32</v>
      </c>
      <c r="C9618" s="7">
        <v>1.61</v>
      </c>
      <c r="D9618" s="7">
        <v>14.93</v>
      </c>
      <c r="E9618" s="85">
        <f t="shared" ref="E9618:E9625" si="563">C9618*D9618</f>
        <v>24.037300000000002</v>
      </c>
    </row>
    <row r="9619" spans="1:5" ht="18" x14ac:dyDescent="0.35">
      <c r="A9619" s="5" t="s">
        <v>238</v>
      </c>
      <c r="B9619" s="50" t="s">
        <v>33</v>
      </c>
      <c r="C9619" s="7">
        <v>2.4780000000000002</v>
      </c>
      <c r="D9619" s="7">
        <v>10</v>
      </c>
      <c r="E9619" s="85">
        <f t="shared" si="563"/>
        <v>24.78</v>
      </c>
    </row>
    <row r="9620" spans="1:5" ht="18" x14ac:dyDescent="0.35">
      <c r="A9620" s="5" t="s">
        <v>56</v>
      </c>
      <c r="B9620" s="50" t="s">
        <v>33</v>
      </c>
      <c r="C9620" s="7">
        <v>2.74</v>
      </c>
      <c r="D9620" s="7">
        <v>10</v>
      </c>
      <c r="E9620" s="85">
        <f t="shared" si="563"/>
        <v>27.400000000000002</v>
      </c>
    </row>
    <row r="9621" spans="1:5" ht="18" x14ac:dyDescent="0.35">
      <c r="A9621" s="5" t="s">
        <v>859</v>
      </c>
      <c r="B9621" s="50" t="s">
        <v>42</v>
      </c>
      <c r="C9621" s="7">
        <v>2</v>
      </c>
      <c r="D9621" s="7">
        <v>1.1499999999999999</v>
      </c>
      <c r="E9621" s="85">
        <f t="shared" si="563"/>
        <v>2.2999999999999998</v>
      </c>
    </row>
    <row r="9622" spans="1:5" ht="18" x14ac:dyDescent="0.35">
      <c r="A9622" s="5" t="s">
        <v>1954</v>
      </c>
      <c r="B9622" s="50" t="s">
        <v>98</v>
      </c>
      <c r="C9622" s="7">
        <v>2</v>
      </c>
      <c r="D9622" s="7">
        <v>2.2400000000000002</v>
      </c>
      <c r="E9622" s="85">
        <f t="shared" si="563"/>
        <v>4.4800000000000004</v>
      </c>
    </row>
    <row r="9623" spans="1:5" ht="18" x14ac:dyDescent="0.35">
      <c r="A9623" s="5"/>
      <c r="B9623" s="50" t="s">
        <v>34</v>
      </c>
      <c r="C9623" s="7">
        <v>0.1</v>
      </c>
      <c r="D9623" s="7">
        <v>14.61</v>
      </c>
      <c r="E9623" s="85">
        <f t="shared" si="563"/>
        <v>1.4610000000000001</v>
      </c>
    </row>
    <row r="9624" spans="1:5" ht="18" x14ac:dyDescent="0.35">
      <c r="A9624" s="5"/>
      <c r="B9624" s="50" t="s">
        <v>35</v>
      </c>
      <c r="C9624" s="7">
        <v>4</v>
      </c>
      <c r="D9624" s="7">
        <v>2.91</v>
      </c>
      <c r="E9624" s="85">
        <f t="shared" si="563"/>
        <v>11.64</v>
      </c>
    </row>
    <row r="9625" spans="1:5" ht="18" x14ac:dyDescent="0.35">
      <c r="A9625" s="5"/>
      <c r="B9625" s="50" t="s">
        <v>36</v>
      </c>
      <c r="C9625" s="7">
        <v>4</v>
      </c>
      <c r="D9625" s="7">
        <v>0.61</v>
      </c>
      <c r="E9625" s="85">
        <f t="shared" si="563"/>
        <v>2.44</v>
      </c>
    </row>
    <row r="9626" spans="1:5" ht="18" x14ac:dyDescent="0.35">
      <c r="A9626" s="5"/>
      <c r="B9626" s="5"/>
      <c r="C9626" s="54"/>
      <c r="D9626" s="54"/>
      <c r="E9626" s="89">
        <f>SUM(E9618:E9625)</f>
        <v>98.538300000000007</v>
      </c>
    </row>
    <row r="9627" spans="1:5" ht="18" x14ac:dyDescent="0.35">
      <c r="A9627" s="5"/>
      <c r="B9627" s="5"/>
      <c r="C9627" s="54"/>
      <c r="D9627" s="54" t="s">
        <v>1063</v>
      </c>
      <c r="E9627" s="89">
        <f>E9626+E9626*40%</f>
        <v>137.95362</v>
      </c>
    </row>
    <row r="9628" spans="1:5" ht="18" x14ac:dyDescent="0.35">
      <c r="A9628" s="5"/>
      <c r="B9628" s="50" t="s">
        <v>37</v>
      </c>
      <c r="C9628" s="54">
        <v>0.6</v>
      </c>
      <c r="D9628" s="54">
        <v>200</v>
      </c>
      <c r="E9628" s="85">
        <f>C9628*D9628</f>
        <v>120</v>
      </c>
    </row>
    <row r="9629" spans="1:5" ht="18" x14ac:dyDescent="0.35">
      <c r="E9629" s="85">
        <f>SUM(E9627:E9628)</f>
        <v>257.95362</v>
      </c>
    </row>
    <row r="9631" spans="1:5" ht="21" x14ac:dyDescent="0.4">
      <c r="A9631" s="40" t="s">
        <v>602</v>
      </c>
      <c r="B9631" s="40"/>
      <c r="C9631" s="84"/>
    </row>
    <row r="9632" spans="1:5" ht="18" x14ac:dyDescent="0.35">
      <c r="B9632" s="5"/>
      <c r="C9632" s="7" t="s">
        <v>28</v>
      </c>
      <c r="D9632" s="7" t="s">
        <v>29</v>
      </c>
      <c r="E9632" s="7" t="s">
        <v>30</v>
      </c>
    </row>
    <row r="9633" spans="1:5" ht="18" x14ac:dyDescent="0.35">
      <c r="A9633" s="5" t="s">
        <v>67</v>
      </c>
      <c r="B9633" s="50" t="s">
        <v>32</v>
      </c>
      <c r="C9633" s="7">
        <v>1.61</v>
      </c>
      <c r="D9633" s="7">
        <v>14.93</v>
      </c>
      <c r="E9633" s="85">
        <f t="shared" ref="E9633:E9640" si="564">C9633*D9633</f>
        <v>24.037300000000002</v>
      </c>
    </row>
    <row r="9634" spans="1:5" ht="18" x14ac:dyDescent="0.35">
      <c r="A9634" s="5" t="s">
        <v>143</v>
      </c>
      <c r="B9634" s="50" t="s">
        <v>33</v>
      </c>
      <c r="C9634" s="7">
        <v>2.4780000000000002</v>
      </c>
      <c r="D9634" s="7">
        <v>10</v>
      </c>
      <c r="E9634" s="85">
        <f t="shared" si="564"/>
        <v>24.78</v>
      </c>
    </row>
    <row r="9635" spans="1:5" ht="18" x14ac:dyDescent="0.35">
      <c r="A9635" s="5" t="s">
        <v>56</v>
      </c>
      <c r="B9635" s="50" t="s">
        <v>33</v>
      </c>
      <c r="C9635" s="7">
        <v>4.2629999999999999</v>
      </c>
      <c r="D9635" s="7">
        <v>10</v>
      </c>
      <c r="E9635" s="85">
        <f t="shared" si="564"/>
        <v>42.629999999999995</v>
      </c>
    </row>
    <row r="9636" spans="1:5" ht="18" x14ac:dyDescent="0.35">
      <c r="A9636" s="5" t="s">
        <v>859</v>
      </c>
      <c r="B9636" s="50" t="s">
        <v>42</v>
      </c>
      <c r="C9636" s="7">
        <v>2</v>
      </c>
      <c r="D9636" s="7">
        <v>1.1499999999999999</v>
      </c>
      <c r="E9636" s="85">
        <f t="shared" si="564"/>
        <v>2.2999999999999998</v>
      </c>
    </row>
    <row r="9637" spans="1:5" ht="18" x14ac:dyDescent="0.35">
      <c r="A9637" s="5" t="s">
        <v>1954</v>
      </c>
      <c r="B9637" s="50" t="s">
        <v>98</v>
      </c>
      <c r="C9637" s="7">
        <v>2</v>
      </c>
      <c r="D9637" s="7">
        <v>2.2400000000000002</v>
      </c>
      <c r="E9637" s="85">
        <f t="shared" si="564"/>
        <v>4.4800000000000004</v>
      </c>
    </row>
    <row r="9638" spans="1:5" ht="18" x14ac:dyDescent="0.35">
      <c r="A9638" s="5"/>
      <c r="B9638" s="50" t="s">
        <v>34</v>
      </c>
      <c r="C9638" s="7">
        <v>0.1</v>
      </c>
      <c r="D9638" s="7">
        <v>14.61</v>
      </c>
      <c r="E9638" s="85">
        <f t="shared" si="564"/>
        <v>1.4610000000000001</v>
      </c>
    </row>
    <row r="9639" spans="1:5" ht="18" x14ac:dyDescent="0.35">
      <c r="A9639" s="5"/>
      <c r="B9639" s="50" t="s">
        <v>35</v>
      </c>
      <c r="C9639" s="7">
        <v>4</v>
      </c>
      <c r="D9639" s="7">
        <v>2.91</v>
      </c>
      <c r="E9639" s="85">
        <f t="shared" si="564"/>
        <v>11.64</v>
      </c>
    </row>
    <row r="9640" spans="1:5" ht="18" x14ac:dyDescent="0.35">
      <c r="A9640" s="5"/>
      <c r="B9640" s="50" t="s">
        <v>36</v>
      </c>
      <c r="C9640" s="7">
        <v>4</v>
      </c>
      <c r="D9640" s="7">
        <v>0.61</v>
      </c>
      <c r="E9640" s="85">
        <f t="shared" si="564"/>
        <v>2.44</v>
      </c>
    </row>
    <row r="9641" spans="1:5" ht="18" x14ac:dyDescent="0.35">
      <c r="A9641" s="5"/>
      <c r="B9641" s="5"/>
      <c r="C9641" s="54"/>
      <c r="D9641" s="54"/>
      <c r="E9641" s="89">
        <f>SUM(E9633:E9640)</f>
        <v>113.7683</v>
      </c>
    </row>
    <row r="9642" spans="1:5" ht="18" x14ac:dyDescent="0.35">
      <c r="A9642" s="5"/>
      <c r="B9642" s="5"/>
      <c r="C9642" s="54"/>
      <c r="D9642" s="54" t="s">
        <v>1063</v>
      </c>
      <c r="E9642" s="89">
        <f>E9641+E9641*40%</f>
        <v>159.27562</v>
      </c>
    </row>
    <row r="9643" spans="1:5" ht="18" x14ac:dyDescent="0.35">
      <c r="A9643" s="5"/>
      <c r="B9643" s="50" t="s">
        <v>37</v>
      </c>
      <c r="C9643" s="54">
        <v>0.7</v>
      </c>
      <c r="D9643" s="54">
        <v>200</v>
      </c>
      <c r="E9643" s="85">
        <f>C9643*D9643</f>
        <v>140</v>
      </c>
    </row>
    <row r="9644" spans="1:5" ht="18" x14ac:dyDescent="0.35">
      <c r="E9644" s="85">
        <f>SUM(E9642:E9643)</f>
        <v>299.27562</v>
      </c>
    </row>
    <row r="9646" spans="1:5" ht="21" x14ac:dyDescent="0.4">
      <c r="A9646" s="40" t="s">
        <v>2066</v>
      </c>
      <c r="B9646" s="40"/>
      <c r="C9646" s="40"/>
      <c r="D9646" s="12"/>
      <c r="E9646" s="12"/>
    </row>
    <row r="9647" spans="1:5" ht="18" x14ac:dyDescent="0.35">
      <c r="A9647" s="5" t="s">
        <v>1623</v>
      </c>
      <c r="B9647" s="5"/>
      <c r="C9647" s="7" t="s">
        <v>28</v>
      </c>
      <c r="D9647" s="7" t="s">
        <v>29</v>
      </c>
      <c r="E9647" s="7" t="s">
        <v>30</v>
      </c>
    </row>
    <row r="9648" spans="1:5" ht="18" x14ac:dyDescent="0.35">
      <c r="A9648" s="5" t="s">
        <v>2155</v>
      </c>
      <c r="B9648" s="50" t="s">
        <v>32</v>
      </c>
      <c r="C9648" s="7">
        <v>4.17</v>
      </c>
      <c r="D9648" s="7">
        <v>10.34</v>
      </c>
      <c r="E9648" s="85">
        <f>C9648*D9648</f>
        <v>43.117799999999995</v>
      </c>
    </row>
    <row r="9649" spans="1:5" ht="18" x14ac:dyDescent="0.35">
      <c r="A9649" s="5" t="s">
        <v>2156</v>
      </c>
      <c r="B9649" s="50" t="s">
        <v>33</v>
      </c>
      <c r="C9649" s="7">
        <v>67.751999999999995</v>
      </c>
      <c r="D9649" s="7">
        <v>10</v>
      </c>
      <c r="E9649" s="85">
        <f>C9649*D9649</f>
        <v>677.52</v>
      </c>
    </row>
    <row r="9650" spans="1:5" ht="18" x14ac:dyDescent="0.35">
      <c r="A9650" s="5" t="s">
        <v>2157</v>
      </c>
      <c r="B9650" s="50" t="s">
        <v>137</v>
      </c>
      <c r="C9650" s="7">
        <v>2.7</v>
      </c>
      <c r="D9650" s="7">
        <v>17.190000000000001</v>
      </c>
      <c r="E9650" s="85">
        <f>C9650*D9650</f>
        <v>46.413000000000004</v>
      </c>
    </row>
    <row r="9651" spans="1:5" ht="18" x14ac:dyDescent="0.35">
      <c r="A9651" s="5" t="s">
        <v>2100</v>
      </c>
      <c r="B9651" s="50" t="s">
        <v>35</v>
      </c>
      <c r="C9651" s="7">
        <v>4</v>
      </c>
      <c r="D9651" s="7">
        <v>2.91</v>
      </c>
      <c r="E9651" s="85">
        <f>C9651*D9651</f>
        <v>11.64</v>
      </c>
    </row>
    <row r="9652" spans="1:5" ht="18" x14ac:dyDescent="0.35">
      <c r="A9652" s="5"/>
      <c r="B9652" s="50" t="s">
        <v>36</v>
      </c>
      <c r="C9652" s="7">
        <v>4</v>
      </c>
      <c r="D9652" s="7">
        <v>0.61</v>
      </c>
      <c r="E9652" s="85">
        <f>C9652*D9652</f>
        <v>2.44</v>
      </c>
    </row>
    <row r="9653" spans="1:5" ht="18" x14ac:dyDescent="0.35">
      <c r="A9653" s="5"/>
      <c r="B9653" s="50"/>
      <c r="C9653" s="87"/>
      <c r="D9653" s="88"/>
      <c r="E9653" s="85">
        <f>SUM(E9648:E9652)</f>
        <v>781.13080000000002</v>
      </c>
    </row>
    <row r="9654" spans="1:5" ht="18" x14ac:dyDescent="0.35">
      <c r="A9654" s="5"/>
      <c r="B9654" s="50"/>
      <c r="C9654" s="87"/>
      <c r="D9654" s="88" t="s">
        <v>1266</v>
      </c>
      <c r="E9654" s="85">
        <f>E9653+E9653*40%</f>
        <v>1093.58312</v>
      </c>
    </row>
    <row r="9655" spans="1:5" ht="18" x14ac:dyDescent="0.35">
      <c r="A9655" s="5"/>
      <c r="B9655" s="50" t="s">
        <v>37</v>
      </c>
      <c r="C9655" s="54">
        <v>2</v>
      </c>
      <c r="D9655" s="86">
        <v>200</v>
      </c>
      <c r="E9655" s="85">
        <f>C9655*D9655</f>
        <v>400</v>
      </c>
    </row>
    <row r="9656" spans="1:5" ht="18" x14ac:dyDescent="0.35">
      <c r="A9656" s="5"/>
      <c r="B9656" s="5"/>
      <c r="C9656" s="54"/>
      <c r="D9656" s="54"/>
      <c r="E9656" s="85">
        <f>SUM(E9654:E9655)</f>
        <v>1493.58312</v>
      </c>
    </row>
    <row r="9658" spans="1:5" ht="21" x14ac:dyDescent="0.4">
      <c r="A9658" s="40" t="s">
        <v>2066</v>
      </c>
      <c r="B9658" s="40"/>
      <c r="C9658" s="40"/>
      <c r="D9658" s="12"/>
      <c r="E9658" s="12"/>
    </row>
    <row r="9659" spans="1:5" ht="18" x14ac:dyDescent="0.35">
      <c r="A9659" s="5" t="s">
        <v>2014</v>
      </c>
      <c r="B9659" s="5"/>
      <c r="C9659" s="7" t="s">
        <v>28</v>
      </c>
      <c r="D9659" s="7" t="s">
        <v>29</v>
      </c>
      <c r="E9659" s="7" t="s">
        <v>30</v>
      </c>
    </row>
    <row r="9660" spans="1:5" ht="18" x14ac:dyDescent="0.35">
      <c r="A9660" s="5" t="s">
        <v>44</v>
      </c>
      <c r="B9660" s="50" t="s">
        <v>32</v>
      </c>
      <c r="C9660" s="7">
        <v>1.6080000000000001</v>
      </c>
      <c r="D9660" s="7">
        <v>10.34</v>
      </c>
      <c r="E9660" s="85">
        <f>C9660*D9660</f>
        <v>16.626720000000002</v>
      </c>
    </row>
    <row r="9661" spans="1:5" ht="18" x14ac:dyDescent="0.35">
      <c r="A9661" s="5" t="s">
        <v>143</v>
      </c>
      <c r="B9661" s="50" t="s">
        <v>33</v>
      </c>
      <c r="C9661" s="7">
        <v>2.4780000000000002</v>
      </c>
      <c r="D9661" s="7">
        <v>10</v>
      </c>
      <c r="E9661" s="85">
        <f>C9661*D9661</f>
        <v>24.78</v>
      </c>
    </row>
    <row r="9662" spans="1:5" ht="18" x14ac:dyDescent="0.35">
      <c r="A9662" s="5" t="s">
        <v>976</v>
      </c>
      <c r="B9662" s="50" t="s">
        <v>137</v>
      </c>
      <c r="C9662" s="7">
        <v>0.1</v>
      </c>
      <c r="D9662" s="7">
        <v>17.190000000000001</v>
      </c>
      <c r="E9662" s="85">
        <f>C9662*D9662</f>
        <v>1.7190000000000003</v>
      </c>
    </row>
    <row r="9663" spans="1:5" ht="18" x14ac:dyDescent="0.35">
      <c r="A9663" s="5" t="s">
        <v>2100</v>
      </c>
      <c r="B9663" s="50" t="s">
        <v>35</v>
      </c>
      <c r="C9663" s="7">
        <v>4</v>
      </c>
      <c r="D9663" s="7">
        <v>2.91</v>
      </c>
      <c r="E9663" s="85">
        <f>C9663*D9663</f>
        <v>11.64</v>
      </c>
    </row>
    <row r="9664" spans="1:5" ht="18" x14ac:dyDescent="0.35">
      <c r="A9664" s="5"/>
      <c r="B9664" s="50" t="s">
        <v>36</v>
      </c>
      <c r="C9664" s="7">
        <v>4</v>
      </c>
      <c r="D9664" s="7">
        <v>0.61</v>
      </c>
      <c r="E9664" s="85">
        <f>C9664*D9664</f>
        <v>2.44</v>
      </c>
    </row>
    <row r="9665" spans="1:5" ht="18" x14ac:dyDescent="0.35">
      <c r="A9665" s="5"/>
      <c r="B9665" s="50"/>
      <c r="C9665" s="87"/>
      <c r="D9665" s="88"/>
      <c r="E9665" s="85">
        <f>SUM(E9660:E9664)</f>
        <v>57.205720000000007</v>
      </c>
    </row>
    <row r="9666" spans="1:5" ht="18" x14ac:dyDescent="0.35">
      <c r="A9666" s="5"/>
      <c r="B9666" s="50"/>
      <c r="C9666" s="87"/>
      <c r="D9666" s="88" t="s">
        <v>1266</v>
      </c>
      <c r="E9666" s="85">
        <f>E9665+E9665*40%</f>
        <v>80.088008000000002</v>
      </c>
    </row>
    <row r="9667" spans="1:5" ht="18" x14ac:dyDescent="0.35">
      <c r="A9667" s="5"/>
      <c r="B9667" s="50" t="s">
        <v>37</v>
      </c>
      <c r="C9667" s="54">
        <v>0.5</v>
      </c>
      <c r="D9667" s="86">
        <v>200</v>
      </c>
      <c r="E9667" s="85">
        <f>C9667*D9667</f>
        <v>100</v>
      </c>
    </row>
    <row r="9668" spans="1:5" ht="18" x14ac:dyDescent="0.35">
      <c r="A9668" s="5"/>
      <c r="B9668" s="5"/>
      <c r="C9668" s="54"/>
      <c r="D9668" s="54"/>
      <c r="E9668" s="85">
        <f>SUM(E9666:E9667)</f>
        <v>180.088008</v>
      </c>
    </row>
    <row r="9670" spans="1:5" ht="21" x14ac:dyDescent="0.4">
      <c r="A9670" s="40" t="s">
        <v>1919</v>
      </c>
      <c r="B9670" s="40"/>
      <c r="C9670" s="84"/>
    </row>
    <row r="9671" spans="1:5" ht="18" x14ac:dyDescent="0.35">
      <c r="A9671" s="5" t="s">
        <v>107</v>
      </c>
      <c r="B9671" s="5"/>
      <c r="C9671" s="7" t="s">
        <v>28</v>
      </c>
      <c r="D9671" s="7" t="s">
        <v>29</v>
      </c>
      <c r="E9671" s="7" t="s">
        <v>30</v>
      </c>
    </row>
    <row r="9672" spans="1:5" ht="18" x14ac:dyDescent="0.35">
      <c r="A9672" s="5" t="s">
        <v>217</v>
      </c>
      <c r="B9672" s="50" t="s">
        <v>32</v>
      </c>
      <c r="C9672" s="7">
        <v>2.448</v>
      </c>
      <c r="D9672" s="7">
        <v>11.37</v>
      </c>
      <c r="E9672" s="85">
        <f t="shared" ref="E9672:E9677" si="565">C9672*D9672</f>
        <v>27.833759999999998</v>
      </c>
    </row>
    <row r="9673" spans="1:5" ht="18" x14ac:dyDescent="0.35">
      <c r="A9673" s="5" t="s">
        <v>431</v>
      </c>
      <c r="B9673" s="50" t="s">
        <v>33</v>
      </c>
      <c r="C9673" s="7">
        <v>11.613</v>
      </c>
      <c r="D9673" s="7">
        <v>10</v>
      </c>
      <c r="E9673" s="85">
        <f t="shared" si="565"/>
        <v>116.13</v>
      </c>
    </row>
    <row r="9674" spans="1:5" ht="18" x14ac:dyDescent="0.35">
      <c r="A9674" s="102"/>
      <c r="B9674" s="50" t="s">
        <v>86</v>
      </c>
      <c r="C9674" s="7">
        <v>2</v>
      </c>
      <c r="D9674" s="7">
        <v>1.7</v>
      </c>
      <c r="E9674" s="85">
        <f t="shared" si="565"/>
        <v>3.4</v>
      </c>
    </row>
    <row r="9675" spans="1:5" ht="18" x14ac:dyDescent="0.35">
      <c r="A9675" s="5"/>
      <c r="B9675" s="50" t="s">
        <v>34</v>
      </c>
      <c r="C9675" s="7">
        <v>0.31</v>
      </c>
      <c r="D9675" s="7">
        <v>18.059999999999999</v>
      </c>
      <c r="E9675" s="85">
        <f t="shared" si="565"/>
        <v>5.5985999999999994</v>
      </c>
    </row>
    <row r="9676" spans="1:5" ht="18" x14ac:dyDescent="0.35">
      <c r="A9676" s="5"/>
      <c r="B9676" s="50" t="s">
        <v>35</v>
      </c>
      <c r="C9676" s="7">
        <v>4</v>
      </c>
      <c r="D9676" s="7">
        <v>2.91</v>
      </c>
      <c r="E9676" s="85">
        <f t="shared" si="565"/>
        <v>11.64</v>
      </c>
    </row>
    <row r="9677" spans="1:5" ht="18" x14ac:dyDescent="0.35">
      <c r="A9677" s="5"/>
      <c r="B9677" s="50" t="s">
        <v>36</v>
      </c>
      <c r="C9677" s="7">
        <v>4</v>
      </c>
      <c r="D9677" s="7">
        <v>0.61</v>
      </c>
      <c r="E9677" s="85">
        <f t="shared" si="565"/>
        <v>2.44</v>
      </c>
    </row>
    <row r="9678" spans="1:5" ht="18" x14ac:dyDescent="0.35">
      <c r="A9678" s="5"/>
      <c r="B9678" s="5"/>
      <c r="C9678" s="54"/>
      <c r="D9678" s="54"/>
      <c r="E9678" s="89">
        <f>SUM(E9672:E9677)</f>
        <v>167.04235999999997</v>
      </c>
    </row>
    <row r="9679" spans="1:5" ht="18" x14ac:dyDescent="0.35">
      <c r="A9679" s="5"/>
      <c r="B9679" s="5"/>
      <c r="C9679" s="54"/>
      <c r="D9679" s="54" t="s">
        <v>1066</v>
      </c>
      <c r="E9679" s="89">
        <f>E9678+E9678*40%</f>
        <v>233.85930399999995</v>
      </c>
    </row>
    <row r="9680" spans="1:5" ht="18" x14ac:dyDescent="0.35">
      <c r="A9680" s="5"/>
      <c r="B9680" s="50" t="s">
        <v>37</v>
      </c>
      <c r="C9680" s="54">
        <v>0.6</v>
      </c>
      <c r="D9680" s="54">
        <v>200</v>
      </c>
      <c r="E9680" s="85">
        <f>C9680*D9680</f>
        <v>120</v>
      </c>
    </row>
    <row r="9681" spans="1:5" ht="18" x14ac:dyDescent="0.35">
      <c r="A9681" s="5"/>
      <c r="B9681" s="5"/>
      <c r="C9681" s="54"/>
      <c r="D9681" s="54"/>
      <c r="E9681" s="85">
        <f>SUM(E9679:E9680)</f>
        <v>353.85930399999995</v>
      </c>
    </row>
    <row r="9683" spans="1:5" ht="21" x14ac:dyDescent="0.4">
      <c r="A9683" s="40" t="s">
        <v>2160</v>
      </c>
      <c r="B9683" s="40"/>
    </row>
    <row r="9684" spans="1:5" ht="21" x14ac:dyDescent="0.4">
      <c r="A9684" s="40" t="s">
        <v>107</v>
      </c>
      <c r="B9684" s="5"/>
      <c r="C9684" s="7" t="s">
        <v>28</v>
      </c>
      <c r="D9684" s="7" t="s">
        <v>29</v>
      </c>
      <c r="E9684" s="7" t="s">
        <v>30</v>
      </c>
    </row>
    <row r="9685" spans="1:5" ht="21" x14ac:dyDescent="0.4">
      <c r="A9685" s="40" t="s">
        <v>217</v>
      </c>
      <c r="B9685" s="50" t="s">
        <v>32</v>
      </c>
      <c r="C9685" s="7">
        <v>2.448</v>
      </c>
      <c r="D9685" s="7">
        <v>14.93</v>
      </c>
      <c r="E9685" s="85">
        <f t="shared" ref="E9685:E9692" si="566">C9685*D9685</f>
        <v>36.548639999999999</v>
      </c>
    </row>
    <row r="9686" spans="1:5" ht="21" x14ac:dyDescent="0.4">
      <c r="A9686" s="40" t="s">
        <v>397</v>
      </c>
      <c r="B9686" s="50" t="s">
        <v>33</v>
      </c>
      <c r="C9686" s="7">
        <v>11.613</v>
      </c>
      <c r="D9686" s="7">
        <v>10</v>
      </c>
      <c r="E9686" s="85">
        <f t="shared" si="566"/>
        <v>116.13</v>
      </c>
    </row>
    <row r="9687" spans="1:5" ht="18" x14ac:dyDescent="0.35">
      <c r="B9687" s="50" t="s">
        <v>33</v>
      </c>
      <c r="C9687" s="7">
        <v>12.18</v>
      </c>
      <c r="D9687" s="7">
        <v>10</v>
      </c>
      <c r="E9687" s="85">
        <f t="shared" si="566"/>
        <v>121.8</v>
      </c>
    </row>
    <row r="9688" spans="1:5" ht="18" x14ac:dyDescent="0.35">
      <c r="B9688" s="50" t="s">
        <v>86</v>
      </c>
      <c r="C9688" s="7">
        <v>2</v>
      </c>
      <c r="D9688" s="7">
        <v>1.7</v>
      </c>
      <c r="E9688" s="85">
        <f t="shared" si="566"/>
        <v>3.4</v>
      </c>
    </row>
    <row r="9689" spans="1:5" ht="18" x14ac:dyDescent="0.35">
      <c r="B9689" s="50" t="s">
        <v>92</v>
      </c>
      <c r="C9689" s="7">
        <v>2</v>
      </c>
      <c r="D9689" s="7">
        <v>3.62</v>
      </c>
      <c r="E9689" s="85">
        <f t="shared" si="566"/>
        <v>7.24</v>
      </c>
    </row>
    <row r="9690" spans="1:5" ht="18" x14ac:dyDescent="0.35">
      <c r="B9690" s="50" t="s">
        <v>34</v>
      </c>
      <c r="C9690" s="7">
        <v>0.31</v>
      </c>
      <c r="D9690" s="7">
        <v>18.059999999999999</v>
      </c>
      <c r="E9690" s="85">
        <f t="shared" si="566"/>
        <v>5.5985999999999994</v>
      </c>
    </row>
    <row r="9691" spans="1:5" ht="18" x14ac:dyDescent="0.35">
      <c r="B9691" s="50" t="s">
        <v>35</v>
      </c>
      <c r="C9691" s="7">
        <v>4</v>
      </c>
      <c r="D9691" s="7">
        <v>2.91</v>
      </c>
      <c r="E9691" s="85">
        <f t="shared" si="566"/>
        <v>11.64</v>
      </c>
    </row>
    <row r="9692" spans="1:5" ht="18" x14ac:dyDescent="0.35">
      <c r="B9692" s="50" t="s">
        <v>36</v>
      </c>
      <c r="C9692" s="7">
        <v>4</v>
      </c>
      <c r="D9692" s="7">
        <v>0.61</v>
      </c>
      <c r="E9692" s="85">
        <f t="shared" si="566"/>
        <v>2.44</v>
      </c>
    </row>
    <row r="9693" spans="1:5" ht="18" x14ac:dyDescent="0.35">
      <c r="B9693" s="5"/>
      <c r="C9693" s="54"/>
      <c r="D9693" s="54"/>
      <c r="E9693" s="89">
        <f>SUM(E9685:E9692)</f>
        <v>304.79723999999993</v>
      </c>
    </row>
    <row r="9694" spans="1:5" ht="18" x14ac:dyDescent="0.35">
      <c r="B9694" s="5"/>
      <c r="C9694" s="54"/>
      <c r="D9694" s="54" t="s">
        <v>1063</v>
      </c>
      <c r="E9694" s="89">
        <f>E9693+E9693*40%</f>
        <v>426.71613599999989</v>
      </c>
    </row>
    <row r="9695" spans="1:5" ht="18" x14ac:dyDescent="0.35">
      <c r="B9695" s="50" t="s">
        <v>37</v>
      </c>
      <c r="C9695" s="54">
        <v>0.8</v>
      </c>
      <c r="D9695" s="54">
        <v>200</v>
      </c>
      <c r="E9695" s="85">
        <f>C9695*D9695</f>
        <v>160</v>
      </c>
    </row>
    <row r="9696" spans="1:5" ht="18" x14ac:dyDescent="0.35">
      <c r="E9696" s="85">
        <f>SUM(E9694:E9695)</f>
        <v>586.71613599999989</v>
      </c>
    </row>
    <row r="9698" spans="1:5" ht="21" x14ac:dyDescent="0.4">
      <c r="A9698" s="40" t="s">
        <v>2066</v>
      </c>
      <c r="B9698" s="40"/>
      <c r="C9698" s="40"/>
      <c r="D9698" s="12"/>
      <c r="E9698" s="12"/>
    </row>
    <row r="9699" spans="1:5" ht="18" x14ac:dyDescent="0.35">
      <c r="A9699" s="5" t="s">
        <v>2054</v>
      </c>
      <c r="B9699" s="5"/>
      <c r="C9699" s="7" t="s">
        <v>28</v>
      </c>
      <c r="D9699" s="7" t="s">
        <v>29</v>
      </c>
      <c r="E9699" s="7" t="s">
        <v>30</v>
      </c>
    </row>
    <row r="9700" spans="1:5" ht="18" x14ac:dyDescent="0.35">
      <c r="A9700" s="5" t="s">
        <v>1460</v>
      </c>
      <c r="B9700" s="50" t="s">
        <v>32</v>
      </c>
      <c r="C9700" s="7">
        <v>2.6579999999999999</v>
      </c>
      <c r="D9700" s="7">
        <v>11.37</v>
      </c>
      <c r="E9700" s="85">
        <f>C9700*D9700</f>
        <v>30.221459999999997</v>
      </c>
    </row>
    <row r="9701" spans="1:5" ht="18" x14ac:dyDescent="0.35">
      <c r="A9701" s="5" t="s">
        <v>519</v>
      </c>
      <c r="B9701" s="50" t="s">
        <v>33</v>
      </c>
      <c r="C9701" s="7">
        <v>24.57</v>
      </c>
      <c r="D9701" s="7">
        <v>10</v>
      </c>
      <c r="E9701" s="85">
        <f>C9701*D9701</f>
        <v>245.7</v>
      </c>
    </row>
    <row r="9702" spans="1:5" ht="18" x14ac:dyDescent="0.35">
      <c r="A9702" s="5" t="s">
        <v>2161</v>
      </c>
      <c r="B9702" s="50" t="s">
        <v>137</v>
      </c>
      <c r="C9702" s="7">
        <v>1.68</v>
      </c>
      <c r="D9702" s="7">
        <v>17.190000000000001</v>
      </c>
      <c r="E9702" s="85">
        <f>C9702*D9702</f>
        <v>28.879200000000001</v>
      </c>
    </row>
    <row r="9703" spans="1:5" ht="18" x14ac:dyDescent="0.35">
      <c r="A9703" s="5" t="s">
        <v>2100</v>
      </c>
      <c r="B9703" s="50" t="s">
        <v>35</v>
      </c>
      <c r="C9703" s="7">
        <v>4</v>
      </c>
      <c r="D9703" s="7">
        <v>2.91</v>
      </c>
      <c r="E9703" s="85">
        <f>C9703*D9703</f>
        <v>11.64</v>
      </c>
    </row>
    <row r="9704" spans="1:5" ht="18" x14ac:dyDescent="0.35">
      <c r="A9704" s="5"/>
      <c r="B9704" s="50" t="s">
        <v>36</v>
      </c>
      <c r="C9704" s="7">
        <v>4</v>
      </c>
      <c r="D9704" s="7">
        <v>0.61</v>
      </c>
      <c r="E9704" s="85">
        <f>C9704*D9704</f>
        <v>2.44</v>
      </c>
    </row>
    <row r="9705" spans="1:5" ht="18" x14ac:dyDescent="0.35">
      <c r="A9705" s="5"/>
      <c r="B9705" s="50"/>
      <c r="C9705" s="87"/>
      <c r="D9705" s="88"/>
      <c r="E9705" s="85">
        <f>SUM(E9700:E9704)</f>
        <v>318.88065999999998</v>
      </c>
    </row>
    <row r="9706" spans="1:5" ht="18" x14ac:dyDescent="0.35">
      <c r="A9706" s="5"/>
      <c r="B9706" s="50"/>
      <c r="C9706" s="87"/>
      <c r="D9706" s="88" t="s">
        <v>1266</v>
      </c>
      <c r="E9706" s="85">
        <f>E9705+E9705*40%</f>
        <v>446.43292399999996</v>
      </c>
    </row>
    <row r="9707" spans="1:5" ht="18" x14ac:dyDescent="0.35">
      <c r="A9707" s="5"/>
      <c r="B9707" s="50" t="s">
        <v>37</v>
      </c>
      <c r="C9707" s="54">
        <v>0.7</v>
      </c>
      <c r="D9707" s="86">
        <v>200</v>
      </c>
      <c r="E9707" s="85">
        <f>C9707*D9707</f>
        <v>140</v>
      </c>
    </row>
    <row r="9708" spans="1:5" ht="18" x14ac:dyDescent="0.35">
      <c r="A9708" s="5"/>
      <c r="B9708" s="5"/>
      <c r="C9708" s="54"/>
      <c r="D9708" s="54"/>
      <c r="E9708" s="85">
        <f>SUM(E9706:E9707)</f>
        <v>586.43292399999996</v>
      </c>
    </row>
    <row r="9710" spans="1:5" ht="21" x14ac:dyDescent="0.4">
      <c r="A9710" s="40" t="s">
        <v>1919</v>
      </c>
      <c r="B9710" s="40"/>
      <c r="C9710" s="84"/>
    </row>
    <row r="9711" spans="1:5" ht="18" x14ac:dyDescent="0.35">
      <c r="A9711" s="5" t="s">
        <v>81</v>
      </c>
      <c r="B9711" s="5"/>
      <c r="C9711" s="7" t="s">
        <v>28</v>
      </c>
      <c r="D9711" s="7" t="s">
        <v>29</v>
      </c>
      <c r="E9711" s="7" t="s">
        <v>30</v>
      </c>
    </row>
    <row r="9712" spans="1:5" ht="18" x14ac:dyDescent="0.35">
      <c r="A9712" s="5" t="s">
        <v>178</v>
      </c>
      <c r="B9712" s="50" t="s">
        <v>32</v>
      </c>
      <c r="C9712" s="7">
        <v>2.6579999999999999</v>
      </c>
      <c r="D9712" s="7">
        <v>11.37</v>
      </c>
      <c r="E9712" s="85">
        <f t="shared" ref="E9712:E9717" si="567">C9712*D9712</f>
        <v>30.221459999999997</v>
      </c>
    </row>
    <row r="9713" spans="1:5" ht="18" x14ac:dyDescent="0.35">
      <c r="A9713" s="5" t="s">
        <v>659</v>
      </c>
      <c r="B9713" s="50" t="s">
        <v>33</v>
      </c>
      <c r="C9713" s="7">
        <v>9.3550000000000004</v>
      </c>
      <c r="D9713" s="7">
        <v>10</v>
      </c>
      <c r="E9713" s="85">
        <f t="shared" si="567"/>
        <v>93.550000000000011</v>
      </c>
    </row>
    <row r="9714" spans="1:5" ht="18" x14ac:dyDescent="0.35">
      <c r="A9714" s="102"/>
      <c r="B9714" s="50" t="s">
        <v>85</v>
      </c>
      <c r="C9714" s="7">
        <v>2</v>
      </c>
      <c r="D9714" s="7">
        <v>1.7</v>
      </c>
      <c r="E9714" s="85">
        <f t="shared" si="567"/>
        <v>3.4</v>
      </c>
    </row>
    <row r="9715" spans="1:5" ht="18" x14ac:dyDescent="0.35">
      <c r="A9715" s="5"/>
      <c r="B9715" s="50" t="s">
        <v>34</v>
      </c>
      <c r="C9715" s="7">
        <v>0.63</v>
      </c>
      <c r="D9715" s="7">
        <v>18.059999999999999</v>
      </c>
      <c r="E9715" s="85">
        <f t="shared" si="567"/>
        <v>11.377799999999999</v>
      </c>
    </row>
    <row r="9716" spans="1:5" ht="18" x14ac:dyDescent="0.35">
      <c r="A9716" s="5"/>
      <c r="B9716" s="50" t="s">
        <v>35</v>
      </c>
      <c r="C9716" s="7">
        <v>4</v>
      </c>
      <c r="D9716" s="7">
        <v>2.91</v>
      </c>
      <c r="E9716" s="85">
        <f t="shared" si="567"/>
        <v>11.64</v>
      </c>
    </row>
    <row r="9717" spans="1:5" ht="18" x14ac:dyDescent="0.35">
      <c r="A9717" s="5"/>
      <c r="B9717" s="50" t="s">
        <v>36</v>
      </c>
      <c r="C9717" s="7">
        <v>4</v>
      </c>
      <c r="D9717" s="7">
        <v>0.61</v>
      </c>
      <c r="E9717" s="85">
        <f t="shared" si="567"/>
        <v>2.44</v>
      </c>
    </row>
    <row r="9718" spans="1:5" ht="18" x14ac:dyDescent="0.35">
      <c r="A9718" s="5"/>
      <c r="B9718" s="5"/>
      <c r="C9718" s="54"/>
      <c r="D9718" s="54"/>
      <c r="E9718" s="89">
        <f>SUM(E9712:E9717)</f>
        <v>152.62925999999999</v>
      </c>
    </row>
    <row r="9719" spans="1:5" ht="18" x14ac:dyDescent="0.35">
      <c r="A9719" s="5"/>
      <c r="B9719" s="5"/>
      <c r="C9719" s="54"/>
      <c r="D9719" s="54" t="s">
        <v>1066</v>
      </c>
      <c r="E9719" s="89">
        <f>E9718+E9718*40%</f>
        <v>213.68096399999999</v>
      </c>
    </row>
    <row r="9720" spans="1:5" ht="18" x14ac:dyDescent="0.35">
      <c r="A9720" s="5"/>
      <c r="B9720" s="50" t="s">
        <v>37</v>
      </c>
      <c r="C9720" s="54">
        <v>0.7</v>
      </c>
      <c r="D9720" s="54">
        <v>200</v>
      </c>
      <c r="E9720" s="85">
        <f>C9720*D9720</f>
        <v>140</v>
      </c>
    </row>
    <row r="9721" spans="1:5" ht="18" x14ac:dyDescent="0.35">
      <c r="A9721" s="5"/>
      <c r="B9721" s="5"/>
      <c r="C9721" s="54"/>
      <c r="D9721" s="54"/>
      <c r="E9721" s="85">
        <f>SUM(E9719:E9720)</f>
        <v>353.68096400000002</v>
      </c>
    </row>
    <row r="9723" spans="1:5" ht="21" x14ac:dyDescent="0.4">
      <c r="A9723" s="40" t="s">
        <v>1919</v>
      </c>
      <c r="B9723" s="40"/>
      <c r="C9723" s="84"/>
    </row>
    <row r="9724" spans="1:5" ht="18" x14ac:dyDescent="0.35">
      <c r="A9724" s="5" t="s">
        <v>929</v>
      </c>
      <c r="B9724" s="5"/>
      <c r="C9724" s="7" t="s">
        <v>28</v>
      </c>
      <c r="D9724" s="7" t="s">
        <v>29</v>
      </c>
      <c r="E9724" s="7" t="s">
        <v>30</v>
      </c>
    </row>
    <row r="9725" spans="1:5" ht="18" x14ac:dyDescent="0.35">
      <c r="A9725" s="5" t="s">
        <v>1544</v>
      </c>
      <c r="B9725" s="50" t="s">
        <v>32</v>
      </c>
      <c r="C9725" s="7">
        <v>2.9729999999999999</v>
      </c>
      <c r="D9725" s="7">
        <v>11.37</v>
      </c>
      <c r="E9725" s="85">
        <f t="shared" ref="E9725:E9730" si="568">C9725*D9725</f>
        <v>33.803009999999993</v>
      </c>
    </row>
    <row r="9726" spans="1:5" ht="18" x14ac:dyDescent="0.35">
      <c r="A9726" s="5" t="s">
        <v>2162</v>
      </c>
      <c r="B9726" s="50" t="s">
        <v>33</v>
      </c>
      <c r="C9726" s="7">
        <v>15.592000000000001</v>
      </c>
      <c r="D9726" s="7">
        <v>10</v>
      </c>
      <c r="E9726" s="85">
        <f t="shared" si="568"/>
        <v>155.92000000000002</v>
      </c>
    </row>
    <row r="9727" spans="1:5" ht="18" x14ac:dyDescent="0.35">
      <c r="A9727" s="102"/>
      <c r="B9727" s="50" t="s">
        <v>657</v>
      </c>
      <c r="C9727" s="7">
        <v>2</v>
      </c>
      <c r="D9727" s="7">
        <v>1.7</v>
      </c>
      <c r="E9727" s="85">
        <f t="shared" si="568"/>
        <v>3.4</v>
      </c>
    </row>
    <row r="9728" spans="1:5" ht="18" x14ac:dyDescent="0.35">
      <c r="A9728" s="5"/>
      <c r="B9728" s="50" t="s">
        <v>34</v>
      </c>
      <c r="C9728" s="7">
        <v>0.73</v>
      </c>
      <c r="D9728" s="7">
        <v>18.059999999999999</v>
      </c>
      <c r="E9728" s="85">
        <f t="shared" si="568"/>
        <v>13.183799999999998</v>
      </c>
    </row>
    <row r="9729" spans="1:5" ht="18" x14ac:dyDescent="0.35">
      <c r="A9729" s="5"/>
      <c r="B9729" s="50" t="s">
        <v>35</v>
      </c>
      <c r="C9729" s="7">
        <v>4</v>
      </c>
      <c r="D9729" s="7">
        <v>2.91</v>
      </c>
      <c r="E9729" s="85">
        <f t="shared" si="568"/>
        <v>11.64</v>
      </c>
    </row>
    <row r="9730" spans="1:5" ht="18" x14ac:dyDescent="0.35">
      <c r="A9730" s="5"/>
      <c r="B9730" s="50" t="s">
        <v>36</v>
      </c>
      <c r="C9730" s="7">
        <v>4</v>
      </c>
      <c r="D9730" s="7">
        <v>0.61</v>
      </c>
      <c r="E9730" s="85">
        <f t="shared" si="568"/>
        <v>2.44</v>
      </c>
    </row>
    <row r="9731" spans="1:5" ht="18" x14ac:dyDescent="0.35">
      <c r="A9731" s="5"/>
      <c r="B9731" s="5"/>
      <c r="C9731" s="54"/>
      <c r="D9731" s="54"/>
      <c r="E9731" s="89">
        <f>SUM(E9725:E9730)</f>
        <v>220.38681000000003</v>
      </c>
    </row>
    <row r="9732" spans="1:5" ht="18" x14ac:dyDescent="0.35">
      <c r="A9732" s="5"/>
      <c r="B9732" s="5"/>
      <c r="C9732" s="54"/>
      <c r="D9732" s="54" t="s">
        <v>1066</v>
      </c>
      <c r="E9732" s="89">
        <f>E9731+E9731*40%</f>
        <v>308.54153400000007</v>
      </c>
    </row>
    <row r="9733" spans="1:5" ht="18" x14ac:dyDescent="0.35">
      <c r="A9733" s="5"/>
      <c r="B9733" s="50" t="s">
        <v>37</v>
      </c>
      <c r="C9733" s="54">
        <v>0.7</v>
      </c>
      <c r="D9733" s="54">
        <v>200</v>
      </c>
      <c r="E9733" s="85">
        <f>C9733*D9733</f>
        <v>140</v>
      </c>
    </row>
    <row r="9734" spans="1:5" ht="18" x14ac:dyDescent="0.35">
      <c r="A9734" s="5"/>
      <c r="B9734" s="5"/>
      <c r="C9734" s="54"/>
      <c r="D9734" s="54"/>
      <c r="E9734" s="85">
        <f>SUM(E9732:E9733)</f>
        <v>448.54153400000007</v>
      </c>
    </row>
    <row r="9736" spans="1:5" ht="21" x14ac:dyDescent="0.4">
      <c r="A9736" s="40" t="s">
        <v>1919</v>
      </c>
      <c r="B9736" s="40"/>
      <c r="C9736" s="84"/>
    </row>
    <row r="9737" spans="1:5" ht="18" x14ac:dyDescent="0.35">
      <c r="A9737" s="5" t="s">
        <v>110</v>
      </c>
      <c r="B9737" s="5"/>
      <c r="C9737" s="7" t="s">
        <v>28</v>
      </c>
      <c r="D9737" s="7" t="s">
        <v>29</v>
      </c>
      <c r="E9737" s="7" t="s">
        <v>30</v>
      </c>
    </row>
    <row r="9738" spans="1:5" ht="18" x14ac:dyDescent="0.35">
      <c r="A9738" s="5" t="s">
        <v>217</v>
      </c>
      <c r="B9738" s="50" t="s">
        <v>32</v>
      </c>
      <c r="C9738" s="7">
        <v>3.2879999999999998</v>
      </c>
      <c r="D9738" s="7">
        <v>11.37</v>
      </c>
      <c r="E9738" s="85">
        <f t="shared" ref="E9738:E9743" si="569">C9738*D9738</f>
        <v>37.384559999999993</v>
      </c>
    </row>
    <row r="9739" spans="1:5" ht="18" x14ac:dyDescent="0.35">
      <c r="A9739" s="5" t="s">
        <v>681</v>
      </c>
      <c r="B9739" s="50" t="s">
        <v>33</v>
      </c>
      <c r="C9739" s="7">
        <v>17.492999999999999</v>
      </c>
      <c r="D9739" s="7">
        <v>10</v>
      </c>
      <c r="E9739" s="85">
        <f t="shared" si="569"/>
        <v>174.92999999999998</v>
      </c>
    </row>
    <row r="9740" spans="1:5" ht="18" x14ac:dyDescent="0.35">
      <c r="A9740" s="102"/>
      <c r="B9740" s="50" t="s">
        <v>86</v>
      </c>
      <c r="C9740" s="7">
        <v>2</v>
      </c>
      <c r="D9740" s="7">
        <v>1.7</v>
      </c>
      <c r="E9740" s="85">
        <f t="shared" si="569"/>
        <v>3.4</v>
      </c>
    </row>
    <row r="9741" spans="1:5" ht="18" x14ac:dyDescent="0.35">
      <c r="A9741" s="5"/>
      <c r="B9741" s="50" t="s">
        <v>34</v>
      </c>
      <c r="C9741" s="7">
        <v>0.94</v>
      </c>
      <c r="D9741" s="7">
        <v>18.059999999999999</v>
      </c>
      <c r="E9741" s="85">
        <f t="shared" si="569"/>
        <v>16.976399999999998</v>
      </c>
    </row>
    <row r="9742" spans="1:5" ht="18" x14ac:dyDescent="0.35">
      <c r="A9742" s="5"/>
      <c r="B9742" s="50" t="s">
        <v>35</v>
      </c>
      <c r="C9742" s="7">
        <v>4</v>
      </c>
      <c r="D9742" s="7">
        <v>2.91</v>
      </c>
      <c r="E9742" s="85">
        <f t="shared" si="569"/>
        <v>11.64</v>
      </c>
    </row>
    <row r="9743" spans="1:5" ht="18" x14ac:dyDescent="0.35">
      <c r="A9743" s="5"/>
      <c r="B9743" s="50" t="s">
        <v>36</v>
      </c>
      <c r="C9743" s="7">
        <v>4</v>
      </c>
      <c r="D9743" s="7">
        <v>0.61</v>
      </c>
      <c r="E9743" s="85">
        <f t="shared" si="569"/>
        <v>2.44</v>
      </c>
    </row>
    <row r="9744" spans="1:5" ht="18" x14ac:dyDescent="0.35">
      <c r="A9744" s="5"/>
      <c r="B9744" s="5"/>
      <c r="C9744" s="54"/>
      <c r="D9744" s="54"/>
      <c r="E9744" s="89">
        <f>SUM(E9738:E9743)</f>
        <v>246.77095999999995</v>
      </c>
    </row>
    <row r="9745" spans="1:5" ht="18" x14ac:dyDescent="0.35">
      <c r="A9745" s="5"/>
      <c r="B9745" s="5"/>
      <c r="C9745" s="54"/>
      <c r="D9745" s="54" t="s">
        <v>1066</v>
      </c>
      <c r="E9745" s="89">
        <f>E9744+E9744*40%</f>
        <v>345.47934399999991</v>
      </c>
    </row>
    <row r="9746" spans="1:5" ht="18" x14ac:dyDescent="0.35">
      <c r="A9746" s="5"/>
      <c r="B9746" s="50" t="s">
        <v>37</v>
      </c>
      <c r="C9746" s="54">
        <v>1</v>
      </c>
      <c r="D9746" s="54">
        <v>200</v>
      </c>
      <c r="E9746" s="85">
        <f>C9746*D9746</f>
        <v>200</v>
      </c>
    </row>
    <row r="9747" spans="1:5" ht="18" x14ac:dyDescent="0.35">
      <c r="A9747" s="5"/>
      <c r="B9747" s="5"/>
      <c r="C9747" s="54"/>
      <c r="D9747" s="54"/>
      <c r="E9747" s="85">
        <f>SUM(E9745:E9746)</f>
        <v>545.47934399999986</v>
      </c>
    </row>
    <row r="9749" spans="1:5" ht="21" x14ac:dyDescent="0.4">
      <c r="A9749" s="40" t="s">
        <v>1919</v>
      </c>
      <c r="B9749" s="40"/>
      <c r="C9749" s="84"/>
    </row>
    <row r="9750" spans="1:5" ht="18" x14ac:dyDescent="0.35">
      <c r="A9750" s="5" t="s">
        <v>124</v>
      </c>
      <c r="B9750" s="5"/>
      <c r="C9750" s="7" t="s">
        <v>28</v>
      </c>
      <c r="D9750" s="7" t="s">
        <v>29</v>
      </c>
      <c r="E9750" s="7" t="s">
        <v>30</v>
      </c>
    </row>
    <row r="9751" spans="1:5" ht="18" x14ac:dyDescent="0.35">
      <c r="A9751" s="5" t="s">
        <v>54</v>
      </c>
      <c r="B9751" s="50" t="s">
        <v>32</v>
      </c>
      <c r="C9751" s="7">
        <v>3.4980000000000002</v>
      </c>
      <c r="D9751" s="7">
        <v>11.37</v>
      </c>
      <c r="E9751" s="85">
        <f t="shared" ref="E9751:E9756" si="570">C9751*D9751</f>
        <v>39.772260000000003</v>
      </c>
    </row>
    <row r="9752" spans="1:5" ht="18" x14ac:dyDescent="0.35">
      <c r="A9752" s="5" t="s">
        <v>615</v>
      </c>
      <c r="B9752" s="50" t="s">
        <v>33</v>
      </c>
      <c r="C9752" s="7">
        <v>23.74</v>
      </c>
      <c r="D9752" s="7">
        <v>10</v>
      </c>
      <c r="E9752" s="85">
        <f t="shared" si="570"/>
        <v>237.39999999999998</v>
      </c>
    </row>
    <row r="9753" spans="1:5" ht="18" x14ac:dyDescent="0.35">
      <c r="A9753" s="102"/>
      <c r="B9753" s="50" t="s">
        <v>87</v>
      </c>
      <c r="C9753" s="7">
        <v>2</v>
      </c>
      <c r="D9753" s="7">
        <v>1.81</v>
      </c>
      <c r="E9753" s="85">
        <f t="shared" si="570"/>
        <v>3.62</v>
      </c>
    </row>
    <row r="9754" spans="1:5" ht="18" x14ac:dyDescent="0.35">
      <c r="A9754" s="5"/>
      <c r="B9754" s="50" t="s">
        <v>34</v>
      </c>
      <c r="C9754" s="7">
        <v>0.94</v>
      </c>
      <c r="D9754" s="7">
        <v>18.059999999999999</v>
      </c>
      <c r="E9754" s="85">
        <f t="shared" si="570"/>
        <v>16.976399999999998</v>
      </c>
    </row>
    <row r="9755" spans="1:5" ht="18" x14ac:dyDescent="0.35">
      <c r="A9755" s="5"/>
      <c r="B9755" s="50" t="s">
        <v>35</v>
      </c>
      <c r="C9755" s="7">
        <v>4</v>
      </c>
      <c r="D9755" s="7">
        <v>2.91</v>
      </c>
      <c r="E9755" s="85">
        <f t="shared" si="570"/>
        <v>11.64</v>
      </c>
    </row>
    <row r="9756" spans="1:5" ht="18" x14ac:dyDescent="0.35">
      <c r="A9756" s="5"/>
      <c r="B9756" s="50" t="s">
        <v>36</v>
      </c>
      <c r="C9756" s="7">
        <v>4</v>
      </c>
      <c r="D9756" s="7">
        <v>0.61</v>
      </c>
      <c r="E9756" s="85">
        <f t="shared" si="570"/>
        <v>2.44</v>
      </c>
    </row>
    <row r="9757" spans="1:5" ht="18" x14ac:dyDescent="0.35">
      <c r="A9757" s="5"/>
      <c r="B9757" s="5"/>
      <c r="C9757" s="54"/>
      <c r="D9757" s="54"/>
      <c r="E9757" s="89">
        <f>SUM(E9751:E9756)</f>
        <v>311.84866</v>
      </c>
    </row>
    <row r="9758" spans="1:5" ht="18" x14ac:dyDescent="0.35">
      <c r="A9758" s="5"/>
      <c r="B9758" s="5"/>
      <c r="C9758" s="54"/>
      <c r="D9758" s="54" t="s">
        <v>1066</v>
      </c>
      <c r="E9758" s="89">
        <f>E9757+E9757*40%</f>
        <v>436.58812399999999</v>
      </c>
    </row>
    <row r="9759" spans="1:5" ht="18" x14ac:dyDescent="0.35">
      <c r="A9759" s="5"/>
      <c r="B9759" s="50" t="s">
        <v>37</v>
      </c>
      <c r="C9759" s="54">
        <v>1</v>
      </c>
      <c r="D9759" s="54">
        <v>200</v>
      </c>
      <c r="E9759" s="85">
        <f>C9759*D9759</f>
        <v>200</v>
      </c>
    </row>
    <row r="9760" spans="1:5" ht="18" x14ac:dyDescent="0.35">
      <c r="A9760" s="5"/>
      <c r="B9760" s="5"/>
      <c r="C9760" s="54"/>
      <c r="D9760" s="54"/>
      <c r="E9760" s="85">
        <f>SUM(E9758:E9759)</f>
        <v>636.58812399999999</v>
      </c>
    </row>
    <row r="9762" spans="1:5" ht="21" x14ac:dyDescent="0.4">
      <c r="A9762" s="40" t="s">
        <v>2160</v>
      </c>
      <c r="B9762" s="40"/>
    </row>
    <row r="9763" spans="1:5" ht="21" x14ac:dyDescent="0.4">
      <c r="A9763" s="40" t="s">
        <v>123</v>
      </c>
      <c r="B9763" s="5"/>
      <c r="C9763" s="7" t="s">
        <v>28</v>
      </c>
      <c r="D9763" s="7" t="s">
        <v>29</v>
      </c>
      <c r="E9763" s="7" t="s">
        <v>30</v>
      </c>
    </row>
    <row r="9764" spans="1:5" ht="21" x14ac:dyDescent="0.4">
      <c r="A9764" s="40" t="s">
        <v>54</v>
      </c>
      <c r="B9764" s="50" t="s">
        <v>32</v>
      </c>
      <c r="C9764" s="7">
        <v>3.0779999999999998</v>
      </c>
      <c r="D9764" s="7">
        <v>14.93</v>
      </c>
      <c r="E9764" s="85">
        <f t="shared" ref="E9764:E9771" si="571">C9764*D9764</f>
        <v>45.954539999999994</v>
      </c>
    </row>
    <row r="9765" spans="1:5" ht="21" x14ac:dyDescent="0.4">
      <c r="A9765" s="40" t="s">
        <v>377</v>
      </c>
      <c r="B9765" s="50" t="s">
        <v>33</v>
      </c>
      <c r="C9765" s="7">
        <v>19.75</v>
      </c>
      <c r="D9765" s="7">
        <v>10</v>
      </c>
      <c r="E9765" s="85">
        <f t="shared" si="571"/>
        <v>197.5</v>
      </c>
    </row>
    <row r="9766" spans="1:5" ht="18" x14ac:dyDescent="0.35">
      <c r="B9766" s="50" t="s">
        <v>33</v>
      </c>
      <c r="C9766" s="7">
        <v>20.475000000000001</v>
      </c>
      <c r="D9766" s="7">
        <v>10</v>
      </c>
      <c r="E9766" s="85">
        <f t="shared" si="571"/>
        <v>204.75</v>
      </c>
    </row>
    <row r="9767" spans="1:5" ht="18" x14ac:dyDescent="0.35">
      <c r="B9767" s="50" t="s">
        <v>87</v>
      </c>
      <c r="C9767" s="7">
        <v>2</v>
      </c>
      <c r="D9767" s="7">
        <v>1.81</v>
      </c>
      <c r="E9767" s="85">
        <f t="shared" si="571"/>
        <v>3.62</v>
      </c>
    </row>
    <row r="9768" spans="1:5" ht="18" x14ac:dyDescent="0.35">
      <c r="B9768" s="50" t="s">
        <v>100</v>
      </c>
      <c r="C9768" s="7">
        <v>4</v>
      </c>
      <c r="D9768" s="7">
        <v>2.2400000000000002</v>
      </c>
      <c r="E9768" s="85">
        <f t="shared" si="571"/>
        <v>8.9600000000000009</v>
      </c>
    </row>
    <row r="9769" spans="1:5" ht="18" x14ac:dyDescent="0.35">
      <c r="B9769" s="50" t="s">
        <v>34</v>
      </c>
      <c r="C9769" s="7">
        <v>0.84</v>
      </c>
      <c r="D9769" s="7">
        <v>18.059999999999999</v>
      </c>
      <c r="E9769" s="85">
        <f t="shared" si="571"/>
        <v>15.170399999999999</v>
      </c>
    </row>
    <row r="9770" spans="1:5" ht="18" x14ac:dyDescent="0.35">
      <c r="B9770" s="50" t="s">
        <v>35</v>
      </c>
      <c r="C9770" s="7">
        <v>4</v>
      </c>
      <c r="D9770" s="7">
        <v>2.91</v>
      </c>
      <c r="E9770" s="85">
        <f t="shared" si="571"/>
        <v>11.64</v>
      </c>
    </row>
    <row r="9771" spans="1:5" ht="18" x14ac:dyDescent="0.35">
      <c r="B9771" s="50" t="s">
        <v>36</v>
      </c>
      <c r="C9771" s="7">
        <v>4</v>
      </c>
      <c r="D9771" s="7">
        <v>0.61</v>
      </c>
      <c r="E9771" s="85">
        <f t="shared" si="571"/>
        <v>2.44</v>
      </c>
    </row>
    <row r="9772" spans="1:5" ht="18" x14ac:dyDescent="0.35">
      <c r="B9772" s="5"/>
      <c r="C9772" s="54"/>
      <c r="D9772" s="54"/>
      <c r="E9772" s="89">
        <f>SUM(E9764:E9771)</f>
        <v>490.03493999999995</v>
      </c>
    </row>
    <row r="9773" spans="1:5" ht="18" x14ac:dyDescent="0.35">
      <c r="B9773" s="5"/>
      <c r="C9773" s="54"/>
      <c r="D9773" s="54" t="s">
        <v>1063</v>
      </c>
      <c r="E9773" s="89">
        <f>E9772+E9772*40%</f>
        <v>686.04891599999996</v>
      </c>
    </row>
    <row r="9774" spans="1:5" ht="18" x14ac:dyDescent="0.35">
      <c r="B9774" s="50" t="s">
        <v>37</v>
      </c>
      <c r="C9774" s="54">
        <v>1.5</v>
      </c>
      <c r="D9774" s="54">
        <v>200</v>
      </c>
      <c r="E9774" s="85">
        <f>C9774*D9774</f>
        <v>300</v>
      </c>
    </row>
    <row r="9775" spans="1:5" ht="18" x14ac:dyDescent="0.35">
      <c r="E9775" s="85">
        <f>SUM(E9773:E9774)</f>
        <v>986.04891599999996</v>
      </c>
    </row>
    <row r="9777" spans="1:5" ht="21" x14ac:dyDescent="0.4">
      <c r="A9777" s="40" t="s">
        <v>2160</v>
      </c>
      <c r="B9777" s="40"/>
    </row>
    <row r="9778" spans="1:5" ht="21" x14ac:dyDescent="0.4">
      <c r="A9778" s="40" t="s">
        <v>376</v>
      </c>
      <c r="B9778" s="5"/>
      <c r="C9778" s="7" t="s">
        <v>28</v>
      </c>
      <c r="D9778" s="7" t="s">
        <v>29</v>
      </c>
      <c r="E9778" s="7" t="s">
        <v>30</v>
      </c>
    </row>
    <row r="9779" spans="1:5" ht="21" x14ac:dyDescent="0.4">
      <c r="A9779" s="40" t="s">
        <v>56</v>
      </c>
      <c r="B9779" s="50" t="s">
        <v>32</v>
      </c>
      <c r="C9779" s="7">
        <v>3.4980000000000002</v>
      </c>
      <c r="D9779" s="7">
        <v>14.93</v>
      </c>
      <c r="E9779" s="85">
        <f t="shared" ref="E9779:E9786" si="572">C9779*D9779</f>
        <v>52.225140000000003</v>
      </c>
    </row>
    <row r="9780" spans="1:5" ht="21" x14ac:dyDescent="0.4">
      <c r="A9780" s="40" t="s">
        <v>377</v>
      </c>
      <c r="B9780" s="50" t="s">
        <v>33</v>
      </c>
      <c r="C9780" s="7">
        <v>30.145</v>
      </c>
      <c r="D9780" s="7">
        <v>10</v>
      </c>
      <c r="E9780" s="85">
        <f t="shared" si="572"/>
        <v>301.45</v>
      </c>
    </row>
    <row r="9781" spans="1:5" ht="18" x14ac:dyDescent="0.35">
      <c r="B9781" s="50" t="s">
        <v>33</v>
      </c>
      <c r="C9781" s="7">
        <v>30.975000000000001</v>
      </c>
      <c r="D9781" s="7">
        <v>10</v>
      </c>
      <c r="E9781" s="85">
        <f t="shared" si="572"/>
        <v>309.75</v>
      </c>
    </row>
    <row r="9782" spans="1:5" ht="18" x14ac:dyDescent="0.35">
      <c r="B9782" s="50" t="s">
        <v>98</v>
      </c>
      <c r="C9782" s="7">
        <v>2</v>
      </c>
      <c r="D9782" s="7">
        <v>3.39</v>
      </c>
      <c r="E9782" s="85">
        <f t="shared" si="572"/>
        <v>6.78</v>
      </c>
    </row>
    <row r="9783" spans="1:5" ht="18" x14ac:dyDescent="0.35">
      <c r="B9783" s="50" t="s">
        <v>100</v>
      </c>
      <c r="C9783" s="7">
        <v>4</v>
      </c>
      <c r="D9783" s="7">
        <v>2.2400000000000002</v>
      </c>
      <c r="E9783" s="85">
        <f t="shared" si="572"/>
        <v>8.9600000000000009</v>
      </c>
    </row>
    <row r="9784" spans="1:5" ht="18" x14ac:dyDescent="0.35">
      <c r="B9784" s="50" t="s">
        <v>34</v>
      </c>
      <c r="C9784" s="7">
        <v>1.89</v>
      </c>
      <c r="D9784" s="7">
        <v>18.059999999999999</v>
      </c>
      <c r="E9784" s="85">
        <f t="shared" si="572"/>
        <v>34.133399999999995</v>
      </c>
    </row>
    <row r="9785" spans="1:5" ht="18" x14ac:dyDescent="0.35">
      <c r="B9785" s="50" t="s">
        <v>35</v>
      </c>
      <c r="C9785" s="7">
        <v>4</v>
      </c>
      <c r="D9785" s="7">
        <v>2.91</v>
      </c>
      <c r="E9785" s="85">
        <f t="shared" si="572"/>
        <v>11.64</v>
      </c>
    </row>
    <row r="9786" spans="1:5" ht="18" x14ac:dyDescent="0.35">
      <c r="B9786" s="50" t="s">
        <v>36</v>
      </c>
      <c r="C9786" s="7">
        <v>4</v>
      </c>
      <c r="D9786" s="7">
        <v>0.61</v>
      </c>
      <c r="E9786" s="85">
        <f t="shared" si="572"/>
        <v>2.44</v>
      </c>
    </row>
    <row r="9787" spans="1:5" ht="18" x14ac:dyDescent="0.35">
      <c r="B9787" s="5"/>
      <c r="C9787" s="54"/>
      <c r="D9787" s="54"/>
      <c r="E9787" s="89">
        <f>SUM(E9779:E9786)</f>
        <v>727.37854000000004</v>
      </c>
    </row>
    <row r="9788" spans="1:5" ht="18" x14ac:dyDescent="0.35">
      <c r="B9788" s="5"/>
      <c r="C9788" s="54"/>
      <c r="D9788" s="54" t="s">
        <v>1063</v>
      </c>
      <c r="E9788" s="89">
        <f>E9787+E9787*40%</f>
        <v>1018.329956</v>
      </c>
    </row>
    <row r="9789" spans="1:5" ht="18" x14ac:dyDescent="0.35">
      <c r="B9789" s="50" t="s">
        <v>37</v>
      </c>
      <c r="C9789" s="54">
        <v>1.5</v>
      </c>
      <c r="D9789" s="54">
        <v>200</v>
      </c>
      <c r="E9789" s="85">
        <f>C9789*D9789</f>
        <v>300</v>
      </c>
    </row>
    <row r="9790" spans="1:5" ht="18" x14ac:dyDescent="0.35">
      <c r="E9790" s="85">
        <f>SUM(E9788:E9789)</f>
        <v>1318.329956</v>
      </c>
    </row>
    <row r="9792" spans="1:5" ht="21" x14ac:dyDescent="0.4">
      <c r="A9792" s="40" t="s">
        <v>2160</v>
      </c>
      <c r="B9792" s="40"/>
    </row>
    <row r="9793" spans="1:5" ht="21" x14ac:dyDescent="0.4">
      <c r="A9793" s="40" t="s">
        <v>294</v>
      </c>
      <c r="B9793" s="5"/>
      <c r="C9793" s="7" t="s">
        <v>28</v>
      </c>
      <c r="D9793" s="7" t="s">
        <v>29</v>
      </c>
      <c r="E9793" s="7" t="s">
        <v>30</v>
      </c>
    </row>
    <row r="9794" spans="1:5" ht="21" x14ac:dyDescent="0.4">
      <c r="A9794" s="40" t="s">
        <v>55</v>
      </c>
      <c r="B9794" s="50" t="s">
        <v>32</v>
      </c>
      <c r="C9794" s="7">
        <v>3.7080000000000002</v>
      </c>
      <c r="D9794" s="7">
        <v>14.93</v>
      </c>
      <c r="E9794" s="85">
        <f t="shared" ref="E9794:E9801" si="573">C9794*D9794</f>
        <v>55.360440000000004</v>
      </c>
    </row>
    <row r="9795" spans="1:5" ht="21" x14ac:dyDescent="0.4">
      <c r="A9795" s="40" t="s">
        <v>519</v>
      </c>
      <c r="B9795" s="50" t="s">
        <v>33</v>
      </c>
      <c r="C9795" s="7">
        <v>29.988</v>
      </c>
      <c r="D9795" s="7">
        <v>10</v>
      </c>
      <c r="E9795" s="85">
        <f t="shared" si="573"/>
        <v>299.88</v>
      </c>
    </row>
    <row r="9796" spans="1:5" ht="18" x14ac:dyDescent="0.35">
      <c r="B9796" s="50" t="s">
        <v>33</v>
      </c>
      <c r="C9796" s="7">
        <v>30.87</v>
      </c>
      <c r="D9796" s="7">
        <v>10</v>
      </c>
      <c r="E9796" s="85">
        <f t="shared" si="573"/>
        <v>308.7</v>
      </c>
    </row>
    <row r="9797" spans="1:5" ht="18" x14ac:dyDescent="0.35">
      <c r="B9797" s="50" t="s">
        <v>113</v>
      </c>
      <c r="C9797" s="7">
        <v>2</v>
      </c>
      <c r="D9797" s="7">
        <v>2.2400000000000002</v>
      </c>
      <c r="E9797" s="85">
        <f t="shared" si="573"/>
        <v>4.4800000000000004</v>
      </c>
    </row>
    <row r="9798" spans="1:5" ht="18" x14ac:dyDescent="0.35">
      <c r="B9798" s="50" t="s">
        <v>101</v>
      </c>
      <c r="C9798" s="7">
        <v>4</v>
      </c>
      <c r="D9798" s="7">
        <v>3.39</v>
      </c>
      <c r="E9798" s="85">
        <f t="shared" si="573"/>
        <v>13.56</v>
      </c>
    </row>
    <row r="9799" spans="1:5" ht="18" x14ac:dyDescent="0.35">
      <c r="B9799" s="50" t="s">
        <v>34</v>
      </c>
      <c r="C9799" s="7">
        <v>1.57</v>
      </c>
      <c r="D9799" s="7">
        <v>18.059999999999999</v>
      </c>
      <c r="E9799" s="85">
        <f t="shared" si="573"/>
        <v>28.354199999999999</v>
      </c>
    </row>
    <row r="9800" spans="1:5" ht="18" x14ac:dyDescent="0.35">
      <c r="B9800" s="50" t="s">
        <v>35</v>
      </c>
      <c r="C9800" s="7">
        <v>4</v>
      </c>
      <c r="D9800" s="7">
        <v>2.91</v>
      </c>
      <c r="E9800" s="85">
        <f t="shared" si="573"/>
        <v>11.64</v>
      </c>
    </row>
    <row r="9801" spans="1:5" ht="18" x14ac:dyDescent="0.35">
      <c r="B9801" s="50" t="s">
        <v>36</v>
      </c>
      <c r="C9801" s="7">
        <v>4</v>
      </c>
      <c r="D9801" s="7">
        <v>0.61</v>
      </c>
      <c r="E9801" s="85">
        <f t="shared" si="573"/>
        <v>2.44</v>
      </c>
    </row>
    <row r="9802" spans="1:5" ht="18" x14ac:dyDescent="0.35">
      <c r="B9802" s="5"/>
      <c r="C9802" s="54"/>
      <c r="D9802" s="54"/>
      <c r="E9802" s="89">
        <f>SUM(E9794:E9801)</f>
        <v>724.41463999999996</v>
      </c>
    </row>
    <row r="9803" spans="1:5" ht="18" x14ac:dyDescent="0.35">
      <c r="B9803" s="5"/>
      <c r="C9803" s="54"/>
      <c r="D9803" s="54" t="s">
        <v>1063</v>
      </c>
      <c r="E9803" s="89">
        <f>E9802+E9802*40%</f>
        <v>1014.1804959999999</v>
      </c>
    </row>
    <row r="9804" spans="1:5" ht="18" x14ac:dyDescent="0.35">
      <c r="B9804" s="50" t="s">
        <v>37</v>
      </c>
      <c r="C9804" s="54">
        <v>1.5</v>
      </c>
      <c r="D9804" s="54">
        <v>200</v>
      </c>
      <c r="E9804" s="85">
        <f>C9804*D9804</f>
        <v>300</v>
      </c>
    </row>
    <row r="9805" spans="1:5" ht="18" x14ac:dyDescent="0.35">
      <c r="E9805" s="85">
        <f>SUM(E9803:E9804)</f>
        <v>1314.1804959999999</v>
      </c>
    </row>
    <row r="9807" spans="1:5" ht="21" x14ac:dyDescent="0.4">
      <c r="A9807" s="40" t="s">
        <v>2160</v>
      </c>
      <c r="B9807" s="40"/>
    </row>
    <row r="9808" spans="1:5" ht="21" x14ac:dyDescent="0.4">
      <c r="A9808" s="40" t="s">
        <v>409</v>
      </c>
      <c r="B9808" s="5"/>
      <c r="C9808" s="7" t="s">
        <v>28</v>
      </c>
      <c r="D9808" s="7" t="s">
        <v>29</v>
      </c>
      <c r="E9808" s="7" t="s">
        <v>30</v>
      </c>
    </row>
    <row r="9809" spans="1:5" ht="21" x14ac:dyDescent="0.4">
      <c r="A9809" s="40" t="s">
        <v>56</v>
      </c>
      <c r="B9809" s="50" t="s">
        <v>32</v>
      </c>
      <c r="C9809" s="7">
        <v>3.9180000000000001</v>
      </c>
      <c r="D9809" s="7">
        <v>14.93</v>
      </c>
      <c r="E9809" s="85">
        <f t="shared" ref="E9809:E9816" si="574">C9809*D9809</f>
        <v>58.495739999999998</v>
      </c>
    </row>
    <row r="9810" spans="1:5" ht="21" x14ac:dyDescent="0.4">
      <c r="A9810" s="40" t="s">
        <v>519</v>
      </c>
      <c r="B9810" s="50" t="s">
        <v>33</v>
      </c>
      <c r="C9810" s="7">
        <v>36.234999999999999</v>
      </c>
      <c r="D9810" s="7">
        <v>10</v>
      </c>
      <c r="E9810" s="85">
        <f t="shared" si="574"/>
        <v>362.35</v>
      </c>
    </row>
    <row r="9811" spans="1:5" ht="18" x14ac:dyDescent="0.35">
      <c r="B9811" s="50" t="s">
        <v>33</v>
      </c>
      <c r="C9811" s="7">
        <v>30.87</v>
      </c>
      <c r="D9811" s="7">
        <v>10</v>
      </c>
      <c r="E9811" s="85">
        <f t="shared" si="574"/>
        <v>308.7</v>
      </c>
    </row>
    <row r="9812" spans="1:5" ht="18" x14ac:dyDescent="0.35">
      <c r="B9812" s="50" t="s">
        <v>98</v>
      </c>
      <c r="C9812" s="7">
        <v>2</v>
      </c>
      <c r="D9812" s="7">
        <v>3.39</v>
      </c>
      <c r="E9812" s="85">
        <f t="shared" si="574"/>
        <v>6.78</v>
      </c>
    </row>
    <row r="9813" spans="1:5" ht="18" x14ac:dyDescent="0.35">
      <c r="B9813" s="50" t="s">
        <v>101</v>
      </c>
      <c r="C9813" s="7">
        <v>4</v>
      </c>
      <c r="D9813" s="7">
        <v>3.39</v>
      </c>
      <c r="E9813" s="85">
        <f t="shared" si="574"/>
        <v>13.56</v>
      </c>
    </row>
    <row r="9814" spans="1:5" ht="18" x14ac:dyDescent="0.35">
      <c r="B9814" s="50" t="s">
        <v>34</v>
      </c>
      <c r="C9814" s="7">
        <v>1.89</v>
      </c>
      <c r="D9814" s="7">
        <v>18.059999999999999</v>
      </c>
      <c r="E9814" s="85">
        <f t="shared" si="574"/>
        <v>34.133399999999995</v>
      </c>
    </row>
    <row r="9815" spans="1:5" ht="18" x14ac:dyDescent="0.35">
      <c r="B9815" s="50" t="s">
        <v>35</v>
      </c>
      <c r="C9815" s="7">
        <v>4</v>
      </c>
      <c r="D9815" s="7">
        <v>2.91</v>
      </c>
      <c r="E9815" s="85">
        <f t="shared" si="574"/>
        <v>11.64</v>
      </c>
    </row>
    <row r="9816" spans="1:5" ht="18" x14ac:dyDescent="0.35">
      <c r="B9816" s="50" t="s">
        <v>36</v>
      </c>
      <c r="C9816" s="7">
        <v>4</v>
      </c>
      <c r="D9816" s="7">
        <v>0.61</v>
      </c>
      <c r="E9816" s="85">
        <f t="shared" si="574"/>
        <v>2.44</v>
      </c>
    </row>
    <row r="9817" spans="1:5" ht="18" x14ac:dyDescent="0.35">
      <c r="B9817" s="5"/>
      <c r="C9817" s="54"/>
      <c r="D9817" s="54"/>
      <c r="E9817" s="89">
        <f>SUM(E9809:E9816)</f>
        <v>798.09913999999992</v>
      </c>
    </row>
    <row r="9818" spans="1:5" ht="18" x14ac:dyDescent="0.35">
      <c r="B9818" s="5"/>
      <c r="C9818" s="54"/>
      <c r="D9818" s="54" t="s">
        <v>1063</v>
      </c>
      <c r="E9818" s="89">
        <f>E9817+E9817*40%</f>
        <v>1117.338796</v>
      </c>
    </row>
    <row r="9819" spans="1:5" ht="18" x14ac:dyDescent="0.35">
      <c r="B9819" s="50" t="s">
        <v>37</v>
      </c>
      <c r="C9819" s="54">
        <v>1.5</v>
      </c>
      <c r="D9819" s="54">
        <v>200</v>
      </c>
      <c r="E9819" s="85">
        <f>C9819*D9819</f>
        <v>300</v>
      </c>
    </row>
    <row r="9820" spans="1:5" ht="18" x14ac:dyDescent="0.35">
      <c r="E9820" s="85">
        <f>SUM(E9818:E9819)</f>
        <v>1417.338796</v>
      </c>
    </row>
    <row r="9822" spans="1:5" ht="21" x14ac:dyDescent="0.4">
      <c r="A9822" s="40" t="s">
        <v>2066</v>
      </c>
      <c r="B9822" s="40"/>
      <c r="C9822" s="40"/>
      <c r="D9822" s="12"/>
      <c r="E9822" s="12"/>
    </row>
    <row r="9823" spans="1:5" ht="18" x14ac:dyDescent="0.35">
      <c r="A9823" s="5" t="s">
        <v>2163</v>
      </c>
      <c r="B9823" s="5"/>
      <c r="C9823" s="7" t="s">
        <v>28</v>
      </c>
      <c r="D9823" s="7" t="s">
        <v>29</v>
      </c>
      <c r="E9823" s="7" t="s">
        <v>30</v>
      </c>
    </row>
    <row r="9824" spans="1:5" ht="18" x14ac:dyDescent="0.35">
      <c r="A9824" s="5" t="s">
        <v>2164</v>
      </c>
      <c r="B9824" s="50" t="s">
        <v>32</v>
      </c>
      <c r="C9824" s="7">
        <v>5.0519999999999996</v>
      </c>
      <c r="D9824" s="7">
        <v>11.37</v>
      </c>
      <c r="E9824" s="85">
        <f>C9824*D9824</f>
        <v>57.441239999999993</v>
      </c>
    </row>
    <row r="9825" spans="1:5" ht="18" x14ac:dyDescent="0.35">
      <c r="A9825" t="s">
        <v>2166</v>
      </c>
      <c r="B9825" s="50" t="s">
        <v>33</v>
      </c>
      <c r="C9825" s="7">
        <v>63.167999999999999</v>
      </c>
      <c r="D9825" s="7">
        <v>10</v>
      </c>
      <c r="E9825" s="85">
        <f>C9825*D9825</f>
        <v>631.67999999999995</v>
      </c>
    </row>
    <row r="9826" spans="1:5" ht="18" x14ac:dyDescent="0.35">
      <c r="A9826" s="5" t="s">
        <v>2165</v>
      </c>
      <c r="B9826" s="50" t="s">
        <v>137</v>
      </c>
      <c r="C9826" s="7">
        <v>1.41</v>
      </c>
      <c r="D9826" s="7">
        <v>17.190000000000001</v>
      </c>
      <c r="E9826" s="85">
        <f>C9826*D9826</f>
        <v>24.2379</v>
      </c>
    </row>
    <row r="9827" spans="1:5" ht="18" x14ac:dyDescent="0.35">
      <c r="A9827" s="5" t="s">
        <v>2169</v>
      </c>
      <c r="B9827" s="50" t="s">
        <v>35</v>
      </c>
      <c r="C9827" s="7">
        <v>4</v>
      </c>
      <c r="D9827" s="7">
        <v>2.91</v>
      </c>
      <c r="E9827" s="85">
        <f>C9827*D9827</f>
        <v>11.64</v>
      </c>
    </row>
    <row r="9828" spans="1:5" ht="18" x14ac:dyDescent="0.35">
      <c r="A9828" s="5" t="s">
        <v>2100</v>
      </c>
      <c r="B9828" s="50" t="s">
        <v>36</v>
      </c>
      <c r="C9828" s="7">
        <v>4</v>
      </c>
      <c r="D9828" s="7">
        <v>0.61</v>
      </c>
      <c r="E9828" s="85">
        <f>C9828*D9828</f>
        <v>2.44</v>
      </c>
    </row>
    <row r="9829" spans="1:5" ht="18" x14ac:dyDescent="0.35">
      <c r="A9829" s="5"/>
      <c r="B9829" s="50"/>
      <c r="C9829" s="87"/>
      <c r="D9829" s="88"/>
      <c r="E9829" s="85">
        <f>SUM(E9824:E9828)</f>
        <v>727.43913999999995</v>
      </c>
    </row>
    <row r="9830" spans="1:5" ht="18" x14ac:dyDescent="0.35">
      <c r="A9830" s="5"/>
      <c r="B9830" s="50"/>
      <c r="C9830" s="87"/>
      <c r="D9830" s="88" t="s">
        <v>1266</v>
      </c>
      <c r="E9830" s="85">
        <f>E9829+E9829*40%</f>
        <v>1018.414796</v>
      </c>
    </row>
    <row r="9831" spans="1:5" ht="18" x14ac:dyDescent="0.35">
      <c r="A9831" s="5"/>
      <c r="B9831" s="50" t="s">
        <v>37</v>
      </c>
      <c r="C9831" s="54">
        <v>1.5</v>
      </c>
      <c r="D9831" s="86">
        <v>200</v>
      </c>
      <c r="E9831" s="85">
        <f>C9831*D9831</f>
        <v>300</v>
      </c>
    </row>
    <row r="9832" spans="1:5" ht="18" x14ac:dyDescent="0.35">
      <c r="A9832" s="5"/>
      <c r="B9832" s="5"/>
      <c r="C9832" s="54"/>
      <c r="D9832" s="54"/>
      <c r="E9832" s="85">
        <f>SUM(E9830:E9831)</f>
        <v>1318.414796</v>
      </c>
    </row>
    <row r="9833" spans="1:5" ht="18" x14ac:dyDescent="0.35">
      <c r="E9833" s="112" t="s">
        <v>2173</v>
      </c>
    </row>
    <row r="9835" spans="1:5" ht="21" x14ac:dyDescent="0.4">
      <c r="A9835" s="40" t="s">
        <v>2066</v>
      </c>
      <c r="B9835" s="40"/>
      <c r="C9835" s="40"/>
      <c r="D9835" s="12"/>
      <c r="E9835" s="12"/>
    </row>
    <row r="9836" spans="1:5" ht="18" x14ac:dyDescent="0.35">
      <c r="A9836" s="5" t="s">
        <v>2163</v>
      </c>
      <c r="B9836" s="5"/>
      <c r="C9836" s="7" t="s">
        <v>28</v>
      </c>
      <c r="D9836" s="7" t="s">
        <v>29</v>
      </c>
      <c r="E9836" s="7" t="s">
        <v>30</v>
      </c>
    </row>
    <row r="9837" spans="1:5" ht="18" x14ac:dyDescent="0.35">
      <c r="A9837" s="5" t="s">
        <v>2167</v>
      </c>
      <c r="B9837" s="50" t="s">
        <v>32</v>
      </c>
      <c r="C9837" s="7">
        <v>4.6529999999999996</v>
      </c>
      <c r="D9837" s="7">
        <v>11.37</v>
      </c>
      <c r="E9837" s="85">
        <f>C9837*D9837</f>
        <v>52.904609999999991</v>
      </c>
    </row>
    <row r="9838" spans="1:5" ht="18" x14ac:dyDescent="0.35">
      <c r="A9838" t="s">
        <v>2168</v>
      </c>
      <c r="B9838" s="50" t="s">
        <v>33</v>
      </c>
      <c r="C9838" s="7">
        <v>56.783999999999999</v>
      </c>
      <c r="D9838" s="7">
        <v>10</v>
      </c>
      <c r="E9838" s="85">
        <f>C9838*D9838</f>
        <v>567.84</v>
      </c>
    </row>
    <row r="9839" spans="1:5" ht="18" x14ac:dyDescent="0.35">
      <c r="A9839" s="5" t="s">
        <v>2165</v>
      </c>
      <c r="B9839" s="50" t="s">
        <v>137</v>
      </c>
      <c r="C9839" s="7">
        <v>1.41</v>
      </c>
      <c r="D9839" s="7">
        <v>17.190000000000001</v>
      </c>
      <c r="E9839" s="85">
        <f>C9839*D9839</f>
        <v>24.2379</v>
      </c>
    </row>
    <row r="9840" spans="1:5" ht="18" x14ac:dyDescent="0.35">
      <c r="A9840" s="5" t="s">
        <v>2170</v>
      </c>
      <c r="B9840" s="50" t="s">
        <v>35</v>
      </c>
      <c r="C9840" s="7">
        <v>4</v>
      </c>
      <c r="D9840" s="7">
        <v>2.91</v>
      </c>
      <c r="E9840" s="85">
        <f>C9840*D9840</f>
        <v>11.64</v>
      </c>
    </row>
    <row r="9841" spans="1:5" ht="18" x14ac:dyDescent="0.35">
      <c r="A9841" s="5" t="s">
        <v>2100</v>
      </c>
      <c r="B9841" s="50" t="s">
        <v>36</v>
      </c>
      <c r="C9841" s="7">
        <v>4</v>
      </c>
      <c r="D9841" s="7">
        <v>0.61</v>
      </c>
      <c r="E9841" s="85">
        <f>C9841*D9841</f>
        <v>2.44</v>
      </c>
    </row>
    <row r="9842" spans="1:5" ht="18" x14ac:dyDescent="0.35">
      <c r="A9842" s="5"/>
      <c r="B9842" s="50"/>
      <c r="C9842" s="87"/>
      <c r="D9842" s="88"/>
      <c r="E9842" s="85">
        <f>SUM(E9837:E9841)</f>
        <v>659.06250999999997</v>
      </c>
    </row>
    <row r="9843" spans="1:5" ht="18" x14ac:dyDescent="0.35">
      <c r="A9843" s="5"/>
      <c r="B9843" s="50"/>
      <c r="C9843" s="87"/>
      <c r="D9843" s="88" t="s">
        <v>1266</v>
      </c>
      <c r="E9843" s="85">
        <f>E9842+E9842*40%</f>
        <v>922.68751399999996</v>
      </c>
    </row>
    <row r="9844" spans="1:5" ht="18" x14ac:dyDescent="0.35">
      <c r="A9844" s="5"/>
      <c r="B9844" s="50" t="s">
        <v>37</v>
      </c>
      <c r="C9844" s="54">
        <v>1.5</v>
      </c>
      <c r="D9844" s="86">
        <v>200</v>
      </c>
      <c r="E9844" s="85">
        <f>C9844*D9844</f>
        <v>300</v>
      </c>
    </row>
    <row r="9845" spans="1:5" ht="18" x14ac:dyDescent="0.35">
      <c r="A9845" s="5"/>
      <c r="B9845" s="5"/>
      <c r="C9845" s="54"/>
      <c r="D9845" s="54"/>
      <c r="E9845" s="85">
        <f>SUM(E9843:E9844)</f>
        <v>1222.687514</v>
      </c>
    </row>
    <row r="9846" spans="1:5" ht="18" x14ac:dyDescent="0.35">
      <c r="E9846" s="112" t="s">
        <v>2173</v>
      </c>
    </row>
    <row r="9847" spans="1:5" ht="21" x14ac:dyDescent="0.4">
      <c r="A9847" s="40" t="s">
        <v>2066</v>
      </c>
      <c r="B9847" s="40"/>
      <c r="C9847" s="40"/>
      <c r="D9847" s="12"/>
      <c r="E9847" s="12"/>
    </row>
    <row r="9848" spans="1:5" ht="18" x14ac:dyDescent="0.35">
      <c r="A9848" s="5" t="s">
        <v>2163</v>
      </c>
      <c r="B9848" s="5"/>
      <c r="C9848" s="7" t="s">
        <v>28</v>
      </c>
      <c r="D9848" s="7" t="s">
        <v>29</v>
      </c>
      <c r="E9848" s="7" t="s">
        <v>30</v>
      </c>
    </row>
    <row r="9849" spans="1:5" ht="18" x14ac:dyDescent="0.35">
      <c r="A9849" s="5" t="s">
        <v>2171</v>
      </c>
      <c r="B9849" s="50" t="s">
        <v>32</v>
      </c>
      <c r="C9849" s="7">
        <v>5.6820000000000004</v>
      </c>
      <c r="D9849" s="7">
        <v>11.37</v>
      </c>
      <c r="E9849" s="85">
        <f>C9849*D9849</f>
        <v>64.604339999999993</v>
      </c>
    </row>
    <row r="9850" spans="1:5" ht="18" x14ac:dyDescent="0.35">
      <c r="A9850" t="s">
        <v>2172</v>
      </c>
      <c r="B9850" s="50" t="s">
        <v>33</v>
      </c>
      <c r="C9850" s="7">
        <v>73.248000000000005</v>
      </c>
      <c r="D9850" s="7">
        <v>10</v>
      </c>
      <c r="E9850" s="85">
        <f>C9850*D9850</f>
        <v>732.48</v>
      </c>
    </row>
    <row r="9851" spans="1:5" ht="18" x14ac:dyDescent="0.35">
      <c r="A9851" s="5" t="s">
        <v>2165</v>
      </c>
      <c r="B9851" s="50" t="s">
        <v>137</v>
      </c>
      <c r="C9851" s="7">
        <v>1.89</v>
      </c>
      <c r="D9851" s="7">
        <v>17.190000000000001</v>
      </c>
      <c r="E9851" s="85">
        <f>C9851*D9851</f>
        <v>32.489100000000001</v>
      </c>
    </row>
    <row r="9852" spans="1:5" ht="18" x14ac:dyDescent="0.35">
      <c r="A9852" s="5" t="s">
        <v>2170</v>
      </c>
      <c r="B9852" s="50" t="s">
        <v>35</v>
      </c>
      <c r="C9852" s="7">
        <v>4</v>
      </c>
      <c r="D9852" s="7">
        <v>2.91</v>
      </c>
      <c r="E9852" s="85">
        <f>C9852*D9852</f>
        <v>11.64</v>
      </c>
    </row>
    <row r="9853" spans="1:5" ht="18" x14ac:dyDescent="0.35">
      <c r="A9853" s="5" t="s">
        <v>2100</v>
      </c>
      <c r="B9853" s="50" t="s">
        <v>36</v>
      </c>
      <c r="C9853" s="7">
        <v>4</v>
      </c>
      <c r="D9853" s="7">
        <v>0.61</v>
      </c>
      <c r="E9853" s="85">
        <f>C9853*D9853</f>
        <v>2.44</v>
      </c>
    </row>
    <row r="9854" spans="1:5" ht="18" x14ac:dyDescent="0.35">
      <c r="A9854" s="5"/>
      <c r="B9854" s="50"/>
      <c r="C9854" s="87"/>
      <c r="D9854" s="88"/>
      <c r="E9854" s="85">
        <f>SUM(E9849:E9853)</f>
        <v>843.65344000000005</v>
      </c>
    </row>
    <row r="9855" spans="1:5" ht="18" x14ac:dyDescent="0.35">
      <c r="A9855" s="5"/>
      <c r="B9855" s="50"/>
      <c r="C9855" s="87"/>
      <c r="D9855" s="88" t="s">
        <v>1266</v>
      </c>
      <c r="E9855" s="85">
        <f>E9854+E9854*40%</f>
        <v>1181.114816</v>
      </c>
    </row>
    <row r="9856" spans="1:5" ht="18" x14ac:dyDescent="0.35">
      <c r="A9856" s="5"/>
      <c r="B9856" s="50" t="s">
        <v>37</v>
      </c>
      <c r="C9856" s="54">
        <v>1.7</v>
      </c>
      <c r="D9856" s="86">
        <v>200</v>
      </c>
      <c r="E9856" s="85">
        <f>C9856*D9856</f>
        <v>340</v>
      </c>
    </row>
    <row r="9857" spans="1:5" ht="18" x14ac:dyDescent="0.35">
      <c r="A9857" s="5"/>
      <c r="B9857" s="5"/>
      <c r="C9857" s="54"/>
      <c r="D9857" s="54"/>
      <c r="E9857" s="85">
        <f>SUM(E9855:E9856)</f>
        <v>1521.114816</v>
      </c>
    </row>
    <row r="9859" spans="1:5" ht="21" x14ac:dyDescent="0.4">
      <c r="A9859" s="40" t="s">
        <v>2066</v>
      </c>
      <c r="B9859" s="40"/>
      <c r="C9859" s="40"/>
      <c r="D9859" s="12"/>
      <c r="E9859" s="12"/>
    </row>
    <row r="9860" spans="1:5" ht="18" x14ac:dyDescent="0.35">
      <c r="A9860" s="5" t="s">
        <v>2163</v>
      </c>
      <c r="B9860" s="5"/>
      <c r="C9860" s="7" t="s">
        <v>28</v>
      </c>
      <c r="D9860" s="7" t="s">
        <v>29</v>
      </c>
      <c r="E9860" s="7" t="s">
        <v>30</v>
      </c>
    </row>
    <row r="9861" spans="1:5" ht="18" x14ac:dyDescent="0.35">
      <c r="A9861" s="5" t="s">
        <v>2174</v>
      </c>
      <c r="B9861" s="50" t="s">
        <v>32</v>
      </c>
      <c r="C9861" s="7">
        <v>4.758</v>
      </c>
      <c r="D9861" s="7">
        <v>11.37</v>
      </c>
      <c r="E9861" s="85">
        <f>C9861*D9861</f>
        <v>54.098459999999996</v>
      </c>
    </row>
    <row r="9862" spans="1:5" ht="18" x14ac:dyDescent="0.35">
      <c r="A9862" t="s">
        <v>2175</v>
      </c>
      <c r="B9862" s="50" t="s">
        <v>33</v>
      </c>
      <c r="C9862" s="7">
        <v>58.463999999999999</v>
      </c>
      <c r="D9862" s="7">
        <v>10</v>
      </c>
      <c r="E9862" s="85">
        <f>C9862*D9862</f>
        <v>584.64</v>
      </c>
    </row>
    <row r="9863" spans="1:5" ht="18" x14ac:dyDescent="0.35">
      <c r="A9863" s="5" t="s">
        <v>2165</v>
      </c>
      <c r="B9863" s="50" t="s">
        <v>137</v>
      </c>
      <c r="C9863" s="7">
        <v>1.41</v>
      </c>
      <c r="D9863" s="7">
        <v>17.190000000000001</v>
      </c>
      <c r="E9863" s="85">
        <f>C9863*D9863</f>
        <v>24.2379</v>
      </c>
    </row>
    <row r="9864" spans="1:5" ht="18" x14ac:dyDescent="0.35">
      <c r="A9864" s="5" t="s">
        <v>2170</v>
      </c>
      <c r="B9864" s="50" t="s">
        <v>35</v>
      </c>
      <c r="C9864" s="7">
        <v>4</v>
      </c>
      <c r="D9864" s="7">
        <v>2.91</v>
      </c>
      <c r="E9864" s="85">
        <f>C9864*D9864</f>
        <v>11.64</v>
      </c>
    </row>
    <row r="9865" spans="1:5" ht="18" x14ac:dyDescent="0.35">
      <c r="A9865" s="5" t="s">
        <v>2100</v>
      </c>
      <c r="B9865" s="50" t="s">
        <v>36</v>
      </c>
      <c r="C9865" s="7">
        <v>4</v>
      </c>
      <c r="D9865" s="7">
        <v>0.61</v>
      </c>
      <c r="E9865" s="85">
        <f>C9865*D9865</f>
        <v>2.44</v>
      </c>
    </row>
    <row r="9866" spans="1:5" ht="18" x14ac:dyDescent="0.35">
      <c r="A9866" s="5"/>
      <c r="B9866" s="50"/>
      <c r="C9866" s="87"/>
      <c r="D9866" s="88"/>
      <c r="E9866" s="85">
        <f>SUM(E9861:E9865)</f>
        <v>677.05636000000004</v>
      </c>
    </row>
    <row r="9867" spans="1:5" ht="18" x14ac:dyDescent="0.35">
      <c r="A9867" s="5"/>
      <c r="B9867" s="50"/>
      <c r="C9867" s="87"/>
      <c r="D9867" s="88" t="s">
        <v>1266</v>
      </c>
      <c r="E9867" s="85">
        <f>E9866+E9866*40%</f>
        <v>947.87890400000015</v>
      </c>
    </row>
    <row r="9868" spans="1:5" ht="18" x14ac:dyDescent="0.35">
      <c r="A9868" s="5"/>
      <c r="B9868" s="50" t="s">
        <v>37</v>
      </c>
      <c r="C9868" s="54">
        <v>1.5</v>
      </c>
      <c r="D9868" s="86">
        <v>200</v>
      </c>
      <c r="E9868" s="85">
        <f>C9868*D9868</f>
        <v>300</v>
      </c>
    </row>
    <row r="9869" spans="1:5" ht="18" x14ac:dyDescent="0.35">
      <c r="A9869" s="5"/>
      <c r="B9869" s="5"/>
      <c r="C9869" s="54"/>
      <c r="D9869" s="54"/>
      <c r="E9869" s="85">
        <f>SUM(E9867:E9868)</f>
        <v>1247.8789040000001</v>
      </c>
    </row>
    <row r="9871" spans="1:5" ht="21" x14ac:dyDescent="0.4">
      <c r="A9871" s="40" t="s">
        <v>2066</v>
      </c>
      <c r="B9871" s="40"/>
      <c r="C9871" s="40"/>
      <c r="D9871" s="12"/>
      <c r="E9871" s="12"/>
    </row>
    <row r="9872" spans="1:5" ht="18" x14ac:dyDescent="0.35">
      <c r="A9872" s="5" t="s">
        <v>2163</v>
      </c>
      <c r="B9872" s="5"/>
      <c r="C9872" s="7" t="s">
        <v>28</v>
      </c>
      <c r="D9872" s="7" t="s">
        <v>29</v>
      </c>
      <c r="E9872" s="7" t="s">
        <v>30</v>
      </c>
    </row>
    <row r="9873" spans="1:5" ht="18" x14ac:dyDescent="0.35">
      <c r="A9873" s="5" t="s">
        <v>2176</v>
      </c>
      <c r="B9873" s="50" t="s">
        <v>32</v>
      </c>
      <c r="C9873" s="7">
        <v>4.9470000000000001</v>
      </c>
      <c r="D9873" s="7">
        <v>11.37</v>
      </c>
      <c r="E9873" s="85">
        <f>C9873*D9873</f>
        <v>56.247389999999996</v>
      </c>
    </row>
    <row r="9874" spans="1:5" ht="18" x14ac:dyDescent="0.35">
      <c r="A9874" t="s">
        <v>2177</v>
      </c>
      <c r="B9874" s="50" t="s">
        <v>33</v>
      </c>
      <c r="C9874" s="7">
        <v>61.488</v>
      </c>
      <c r="D9874" s="7">
        <v>10</v>
      </c>
      <c r="E9874" s="85">
        <f>C9874*D9874</f>
        <v>614.88</v>
      </c>
    </row>
    <row r="9875" spans="1:5" ht="18" x14ac:dyDescent="0.35">
      <c r="A9875" s="5" t="s">
        <v>2165</v>
      </c>
      <c r="B9875" s="50" t="s">
        <v>137</v>
      </c>
      <c r="C9875" s="7">
        <v>1.41</v>
      </c>
      <c r="D9875" s="7">
        <v>17.190000000000001</v>
      </c>
      <c r="E9875" s="85">
        <f>C9875*D9875</f>
        <v>24.2379</v>
      </c>
    </row>
    <row r="9876" spans="1:5" ht="18" x14ac:dyDescent="0.35">
      <c r="A9876" s="5" t="s">
        <v>2170</v>
      </c>
      <c r="B9876" s="50" t="s">
        <v>35</v>
      </c>
      <c r="C9876" s="7">
        <v>4</v>
      </c>
      <c r="D9876" s="7">
        <v>2.91</v>
      </c>
      <c r="E9876" s="85">
        <f>C9876*D9876</f>
        <v>11.64</v>
      </c>
    </row>
    <row r="9877" spans="1:5" ht="18" x14ac:dyDescent="0.35">
      <c r="A9877" s="5" t="s">
        <v>2100</v>
      </c>
      <c r="B9877" s="50" t="s">
        <v>36</v>
      </c>
      <c r="C9877" s="7">
        <v>4</v>
      </c>
      <c r="D9877" s="7">
        <v>0.61</v>
      </c>
      <c r="E9877" s="85">
        <f>C9877*D9877</f>
        <v>2.44</v>
      </c>
    </row>
    <row r="9878" spans="1:5" ht="18" x14ac:dyDescent="0.35">
      <c r="A9878" s="5"/>
      <c r="B9878" s="50"/>
      <c r="C9878" s="87"/>
      <c r="D9878" s="88"/>
      <c r="E9878" s="85">
        <f>SUM(E9873:E9877)</f>
        <v>709.44529</v>
      </c>
    </row>
    <row r="9879" spans="1:5" ht="18" x14ac:dyDescent="0.35">
      <c r="A9879" s="5"/>
      <c r="B9879" s="50"/>
      <c r="C9879" s="87"/>
      <c r="D9879" s="88" t="s">
        <v>1266</v>
      </c>
      <c r="E9879" s="85">
        <f>E9878+E9878*40%</f>
        <v>993.22340600000007</v>
      </c>
    </row>
    <row r="9880" spans="1:5" ht="18" x14ac:dyDescent="0.35">
      <c r="A9880" s="5"/>
      <c r="B9880" s="50" t="s">
        <v>37</v>
      </c>
      <c r="C9880" s="54">
        <v>1.5</v>
      </c>
      <c r="D9880" s="86">
        <v>200</v>
      </c>
      <c r="E9880" s="85">
        <f>C9880*D9880</f>
        <v>300</v>
      </c>
    </row>
    <row r="9881" spans="1:5" ht="18" x14ac:dyDescent="0.35">
      <c r="A9881" s="5"/>
      <c r="B9881" s="5"/>
      <c r="C9881" s="54"/>
      <c r="D9881" s="54"/>
      <c r="E9881" s="85">
        <f>SUM(E9879:E9880)</f>
        <v>1293.2234060000001</v>
      </c>
    </row>
    <row r="9883" spans="1:5" ht="21" x14ac:dyDescent="0.4">
      <c r="A9883" s="40" t="s">
        <v>2066</v>
      </c>
      <c r="B9883" s="40"/>
      <c r="C9883" s="40"/>
      <c r="D9883" s="12"/>
      <c r="E9883" s="12"/>
    </row>
    <row r="9884" spans="1:5" ht="18" x14ac:dyDescent="0.35">
      <c r="A9884" s="5" t="s">
        <v>1202</v>
      </c>
      <c r="B9884" s="5"/>
      <c r="C9884" s="7" t="s">
        <v>28</v>
      </c>
      <c r="D9884" s="7" t="s">
        <v>29</v>
      </c>
      <c r="E9884" s="7" t="s">
        <v>30</v>
      </c>
    </row>
    <row r="9885" spans="1:5" ht="18" x14ac:dyDescent="0.35">
      <c r="A9885" s="5" t="s">
        <v>291</v>
      </c>
      <c r="B9885" s="50" t="s">
        <v>32</v>
      </c>
      <c r="C9885" s="7">
        <v>2.6579999999999999</v>
      </c>
      <c r="D9885" s="7">
        <v>11.37</v>
      </c>
      <c r="E9885" s="85">
        <f>C9885*D9885</f>
        <v>30.221459999999997</v>
      </c>
    </row>
    <row r="9886" spans="1:5" ht="18" x14ac:dyDescent="0.35">
      <c r="A9886" s="5" t="s">
        <v>804</v>
      </c>
      <c r="B9886" s="50" t="s">
        <v>33</v>
      </c>
      <c r="C9886" s="7">
        <v>26.638000000000002</v>
      </c>
      <c r="D9886" s="7">
        <v>10</v>
      </c>
      <c r="E9886" s="85">
        <f>C9886*D9886</f>
        <v>266.38</v>
      </c>
    </row>
    <row r="9887" spans="1:5" ht="18" x14ac:dyDescent="0.35">
      <c r="A9887" s="5" t="s">
        <v>820</v>
      </c>
      <c r="B9887" s="50" t="s">
        <v>137</v>
      </c>
      <c r="C9887" s="7">
        <v>1.2</v>
      </c>
      <c r="D9887" s="7">
        <v>17.190000000000001</v>
      </c>
      <c r="E9887" s="85">
        <f>C9887*D9887</f>
        <v>20.628</v>
      </c>
    </row>
    <row r="9888" spans="1:5" ht="18" x14ac:dyDescent="0.35">
      <c r="A9888" s="5" t="s">
        <v>2100</v>
      </c>
      <c r="B9888" s="50" t="s">
        <v>35</v>
      </c>
      <c r="C9888" s="7">
        <v>4</v>
      </c>
      <c r="D9888" s="7">
        <v>2.91</v>
      </c>
      <c r="E9888" s="85">
        <f>C9888*D9888</f>
        <v>11.64</v>
      </c>
    </row>
    <row r="9889" spans="1:5" ht="18" x14ac:dyDescent="0.35">
      <c r="B9889" s="50" t="s">
        <v>36</v>
      </c>
      <c r="C9889" s="7">
        <v>4</v>
      </c>
      <c r="D9889" s="7">
        <v>0.61</v>
      </c>
      <c r="E9889" s="85">
        <f>C9889*D9889</f>
        <v>2.44</v>
      </c>
    </row>
    <row r="9890" spans="1:5" ht="18" x14ac:dyDescent="0.35">
      <c r="A9890" s="5"/>
      <c r="B9890" s="50"/>
      <c r="C9890" s="87"/>
      <c r="D9890" s="88"/>
      <c r="E9890" s="85">
        <f>SUM(E9885:E9889)</f>
        <v>331.30945999999994</v>
      </c>
    </row>
    <row r="9891" spans="1:5" ht="18" x14ac:dyDescent="0.35">
      <c r="A9891" s="5"/>
      <c r="B9891" s="50"/>
      <c r="C9891" s="87"/>
      <c r="D9891" s="88" t="s">
        <v>1266</v>
      </c>
      <c r="E9891" s="85">
        <f>E9890+E9890*40%</f>
        <v>463.83324399999992</v>
      </c>
    </row>
    <row r="9892" spans="1:5" ht="18" x14ac:dyDescent="0.35">
      <c r="A9892" s="5"/>
      <c r="B9892" s="50" t="s">
        <v>37</v>
      </c>
      <c r="C9892" s="54">
        <v>1</v>
      </c>
      <c r="D9892" s="86">
        <v>200</v>
      </c>
      <c r="E9892" s="85">
        <f>C9892*D9892</f>
        <v>200</v>
      </c>
    </row>
    <row r="9893" spans="1:5" ht="18" x14ac:dyDescent="0.35">
      <c r="A9893" s="5"/>
      <c r="B9893" s="5"/>
      <c r="C9893" s="54"/>
      <c r="D9893" s="54"/>
      <c r="E9893" s="85">
        <f>SUM(E9891:E9892)</f>
        <v>663.83324399999992</v>
      </c>
    </row>
    <row r="9895" spans="1:5" ht="21" x14ac:dyDescent="0.4">
      <c r="A9895" s="40" t="s">
        <v>2160</v>
      </c>
      <c r="B9895" s="40"/>
    </row>
    <row r="9896" spans="1:5" ht="21" x14ac:dyDescent="0.4">
      <c r="A9896" s="40" t="s">
        <v>40</v>
      </c>
      <c r="B9896" s="5"/>
      <c r="C9896" s="7" t="s">
        <v>28</v>
      </c>
      <c r="D9896" s="7" t="s">
        <v>29</v>
      </c>
      <c r="E9896" s="7" t="s">
        <v>30</v>
      </c>
    </row>
    <row r="9897" spans="1:5" ht="21" x14ac:dyDescent="0.4">
      <c r="A9897" s="40" t="s">
        <v>238</v>
      </c>
      <c r="B9897" s="50" t="s">
        <v>32</v>
      </c>
      <c r="C9897" s="7">
        <v>1.1879999999999999</v>
      </c>
      <c r="D9897" s="7">
        <v>16.43</v>
      </c>
      <c r="E9897" s="85">
        <f t="shared" ref="E9897:E9904" si="575">C9897*D9897</f>
        <v>19.518839999999997</v>
      </c>
    </row>
    <row r="9898" spans="1:5" ht="21" x14ac:dyDescent="0.4">
      <c r="A9898" s="40" t="s">
        <v>54</v>
      </c>
      <c r="B9898" s="50" t="s">
        <v>33</v>
      </c>
      <c r="C9898" s="7">
        <v>1.6379999999999999</v>
      </c>
      <c r="D9898" s="7">
        <v>10</v>
      </c>
      <c r="E9898" s="85">
        <f t="shared" si="575"/>
        <v>16.38</v>
      </c>
    </row>
    <row r="9899" spans="1:5" ht="18" x14ac:dyDescent="0.35">
      <c r="B9899" s="50" t="s">
        <v>33</v>
      </c>
      <c r="C9899" s="7">
        <v>1.7949999999999999</v>
      </c>
      <c r="D9899" s="7">
        <v>10</v>
      </c>
      <c r="E9899" s="85">
        <f t="shared" si="575"/>
        <v>17.95</v>
      </c>
    </row>
    <row r="9900" spans="1:5" ht="18" x14ac:dyDescent="0.35">
      <c r="B9900" s="50" t="s">
        <v>42</v>
      </c>
      <c r="C9900" s="7">
        <v>2</v>
      </c>
      <c r="D9900" s="7">
        <v>1.1499999999999999</v>
      </c>
      <c r="E9900" s="85">
        <f t="shared" si="575"/>
        <v>2.2999999999999998</v>
      </c>
    </row>
    <row r="9901" spans="1:5" ht="18" x14ac:dyDescent="0.35">
      <c r="B9901" s="50" t="s">
        <v>87</v>
      </c>
      <c r="C9901" s="7">
        <v>2</v>
      </c>
      <c r="D9901" s="7">
        <v>1.81</v>
      </c>
      <c r="E9901" s="85">
        <f t="shared" si="575"/>
        <v>3.62</v>
      </c>
    </row>
    <row r="9902" spans="1:5" ht="18" x14ac:dyDescent="0.35">
      <c r="B9902" s="50" t="s">
        <v>34</v>
      </c>
      <c r="C9902" s="7"/>
      <c r="D9902" s="7">
        <v>18.059999999999999</v>
      </c>
      <c r="E9902" s="85">
        <f t="shared" si="575"/>
        <v>0</v>
      </c>
    </row>
    <row r="9903" spans="1:5" ht="18" x14ac:dyDescent="0.35">
      <c r="B9903" s="50" t="s">
        <v>35</v>
      </c>
      <c r="C9903" s="7">
        <v>4</v>
      </c>
      <c r="D9903" s="7">
        <v>2.91</v>
      </c>
      <c r="E9903" s="85">
        <f t="shared" si="575"/>
        <v>11.64</v>
      </c>
    </row>
    <row r="9904" spans="1:5" ht="18" x14ac:dyDescent="0.35">
      <c r="B9904" s="50" t="s">
        <v>36</v>
      </c>
      <c r="C9904" s="7">
        <v>4</v>
      </c>
      <c r="D9904" s="7">
        <v>0.61</v>
      </c>
      <c r="E9904" s="85">
        <f t="shared" si="575"/>
        <v>2.44</v>
      </c>
    </row>
    <row r="9905" spans="1:5" ht="18" x14ac:dyDescent="0.35">
      <c r="B9905" s="5"/>
      <c r="C9905" s="54"/>
      <c r="D9905" s="54"/>
      <c r="E9905" s="89">
        <f>SUM(E9897:E9904)</f>
        <v>73.848839999999996</v>
      </c>
    </row>
    <row r="9906" spans="1:5" ht="18" x14ac:dyDescent="0.35">
      <c r="B9906" s="5"/>
      <c r="C9906" s="54"/>
      <c r="D9906" s="54" t="s">
        <v>1063</v>
      </c>
      <c r="E9906" s="89">
        <f>E9905+E9905*40%</f>
        <v>103.38837599999999</v>
      </c>
    </row>
    <row r="9907" spans="1:5" ht="18" x14ac:dyDescent="0.35">
      <c r="B9907" s="50" t="s">
        <v>37</v>
      </c>
      <c r="C9907" s="54">
        <v>0.5</v>
      </c>
      <c r="D9907" s="54">
        <v>200</v>
      </c>
      <c r="E9907" s="85">
        <f>C9907*D9907</f>
        <v>100</v>
      </c>
    </row>
    <row r="9908" spans="1:5" ht="18" x14ac:dyDescent="0.35">
      <c r="E9908" s="85">
        <f>SUM(E9906:E9907)</f>
        <v>203.38837599999999</v>
      </c>
    </row>
    <row r="9910" spans="1:5" ht="21" x14ac:dyDescent="0.4">
      <c r="A9910" s="40" t="s">
        <v>2160</v>
      </c>
      <c r="B9910" s="40"/>
    </row>
    <row r="9911" spans="1:5" ht="21" x14ac:dyDescent="0.4">
      <c r="A9911" s="40" t="s">
        <v>41</v>
      </c>
      <c r="B9911" s="5"/>
      <c r="C9911" s="7" t="s">
        <v>28</v>
      </c>
      <c r="D9911" s="7" t="s">
        <v>29</v>
      </c>
      <c r="E9911" s="7" t="s">
        <v>30</v>
      </c>
    </row>
    <row r="9912" spans="1:5" ht="21" x14ac:dyDescent="0.4">
      <c r="A9912" s="40" t="s">
        <v>238</v>
      </c>
      <c r="B9912" s="50" t="s">
        <v>32</v>
      </c>
      <c r="C9912" s="7">
        <v>1.3979999999999999</v>
      </c>
      <c r="D9912" s="7">
        <v>16.43</v>
      </c>
      <c r="E9912" s="85">
        <f t="shared" ref="E9912:E9919" si="576">C9912*D9912</f>
        <v>22.969139999999999</v>
      </c>
    </row>
    <row r="9913" spans="1:5" ht="21" x14ac:dyDescent="0.4">
      <c r="A9913" s="40" t="s">
        <v>55</v>
      </c>
      <c r="B9913" s="50" t="s">
        <v>33</v>
      </c>
      <c r="C9913" s="7">
        <v>2.0579999999999998</v>
      </c>
      <c r="D9913" s="7">
        <v>10</v>
      </c>
      <c r="E9913" s="85">
        <f t="shared" si="576"/>
        <v>20.58</v>
      </c>
    </row>
    <row r="9914" spans="1:5" ht="18" x14ac:dyDescent="0.35">
      <c r="B9914" s="50" t="s">
        <v>33</v>
      </c>
      <c r="C9914" s="7">
        <v>2.2679999999999998</v>
      </c>
      <c r="D9914" s="7">
        <v>10</v>
      </c>
      <c r="E9914" s="85">
        <f t="shared" si="576"/>
        <v>22.68</v>
      </c>
    </row>
    <row r="9915" spans="1:5" ht="18" x14ac:dyDescent="0.35">
      <c r="B9915" s="50" t="s">
        <v>42</v>
      </c>
      <c r="C9915" s="7">
        <v>2</v>
      </c>
      <c r="D9915" s="7">
        <v>1.1499999999999999</v>
      </c>
      <c r="E9915" s="85">
        <f t="shared" si="576"/>
        <v>2.2999999999999998</v>
      </c>
    </row>
    <row r="9916" spans="1:5" ht="18" x14ac:dyDescent="0.35">
      <c r="B9916" s="50" t="s">
        <v>87</v>
      </c>
      <c r="C9916" s="7">
        <v>2</v>
      </c>
      <c r="D9916" s="7">
        <v>1.81</v>
      </c>
      <c r="E9916" s="85">
        <f t="shared" si="576"/>
        <v>3.62</v>
      </c>
    </row>
    <row r="9917" spans="1:5" ht="18" x14ac:dyDescent="0.35">
      <c r="B9917" s="50" t="s">
        <v>34</v>
      </c>
      <c r="C9917" s="7"/>
      <c r="D9917" s="7">
        <v>18.059999999999999</v>
      </c>
      <c r="E9917" s="85">
        <f t="shared" si="576"/>
        <v>0</v>
      </c>
    </row>
    <row r="9918" spans="1:5" ht="18" x14ac:dyDescent="0.35">
      <c r="B9918" s="50" t="s">
        <v>35</v>
      </c>
      <c r="C9918" s="7">
        <v>4</v>
      </c>
      <c r="D9918" s="7">
        <v>2.91</v>
      </c>
      <c r="E9918" s="85">
        <f t="shared" si="576"/>
        <v>11.64</v>
      </c>
    </row>
    <row r="9919" spans="1:5" ht="18" x14ac:dyDescent="0.35">
      <c r="B9919" s="50" t="s">
        <v>36</v>
      </c>
      <c r="C9919" s="7">
        <v>4</v>
      </c>
      <c r="D9919" s="7">
        <v>0.61</v>
      </c>
      <c r="E9919" s="85">
        <f t="shared" si="576"/>
        <v>2.44</v>
      </c>
    </row>
    <row r="9920" spans="1:5" ht="18" x14ac:dyDescent="0.35">
      <c r="B9920" s="5"/>
      <c r="C9920" s="54"/>
      <c r="D9920" s="54"/>
      <c r="E9920" s="89">
        <f>SUM(E9912:E9919)</f>
        <v>86.229140000000001</v>
      </c>
    </row>
    <row r="9921" spans="1:5" ht="18" x14ac:dyDescent="0.35">
      <c r="B9921" s="5"/>
      <c r="C9921" s="54"/>
      <c r="D9921" s="54" t="s">
        <v>1063</v>
      </c>
      <c r="E9921" s="89">
        <f>E9920+E9920*40%</f>
        <v>120.72079600000001</v>
      </c>
    </row>
    <row r="9922" spans="1:5" ht="18" x14ac:dyDescent="0.35">
      <c r="B9922" s="50" t="s">
        <v>37</v>
      </c>
      <c r="C9922" s="54">
        <v>0.5</v>
      </c>
      <c r="D9922" s="54">
        <v>200</v>
      </c>
      <c r="E9922" s="85">
        <f>C9922*D9922</f>
        <v>100</v>
      </c>
    </row>
    <row r="9923" spans="1:5" ht="18" x14ac:dyDescent="0.35">
      <c r="E9923" s="85">
        <f>SUM(E9921:E9922)</f>
        <v>220.72079600000001</v>
      </c>
    </row>
    <row r="9925" spans="1:5" ht="21" x14ac:dyDescent="0.4">
      <c r="A9925" s="40" t="s">
        <v>2066</v>
      </c>
      <c r="B9925" s="40"/>
      <c r="C9925" s="40"/>
      <c r="D9925" s="12"/>
      <c r="E9925" s="12"/>
    </row>
    <row r="9926" spans="1:5" ht="18" x14ac:dyDescent="0.35">
      <c r="A9926" s="5" t="s">
        <v>1202</v>
      </c>
      <c r="B9926" s="5"/>
      <c r="C9926" s="7" t="s">
        <v>28</v>
      </c>
      <c r="D9926" s="7" t="s">
        <v>29</v>
      </c>
      <c r="E9926" s="7" t="s">
        <v>30</v>
      </c>
    </row>
    <row r="9927" spans="1:5" ht="18" x14ac:dyDescent="0.35">
      <c r="A9927" s="5" t="s">
        <v>2178</v>
      </c>
      <c r="B9927" s="50" t="s">
        <v>32</v>
      </c>
      <c r="C9927" s="7">
        <v>2.8679999999999999</v>
      </c>
      <c r="D9927" s="7">
        <v>11.37</v>
      </c>
      <c r="E9927" s="85">
        <f>C9927*D9927</f>
        <v>32.609159999999996</v>
      </c>
    </row>
    <row r="9928" spans="1:5" ht="18" x14ac:dyDescent="0.35">
      <c r="A9928" s="5" t="s">
        <v>377</v>
      </c>
      <c r="B9928" s="50" t="s">
        <v>33</v>
      </c>
      <c r="C9928" s="7">
        <v>30.975000000000001</v>
      </c>
      <c r="D9928" s="7">
        <v>10</v>
      </c>
      <c r="E9928" s="85">
        <f>C9928*D9928</f>
        <v>309.75</v>
      </c>
    </row>
    <row r="9929" spans="1:5" ht="18" x14ac:dyDescent="0.35">
      <c r="A9929" s="5" t="s">
        <v>2179</v>
      </c>
      <c r="B9929" s="50" t="s">
        <v>137</v>
      </c>
      <c r="C9929" s="7">
        <v>1.47</v>
      </c>
      <c r="D9929" s="7">
        <v>17.190000000000001</v>
      </c>
      <c r="E9929" s="85">
        <f>C9929*D9929</f>
        <v>25.269300000000001</v>
      </c>
    </row>
    <row r="9930" spans="1:5" ht="18" x14ac:dyDescent="0.35">
      <c r="A9930" s="5" t="s">
        <v>2100</v>
      </c>
      <c r="B9930" s="50" t="s">
        <v>35</v>
      </c>
      <c r="C9930" s="7">
        <v>4</v>
      </c>
      <c r="D9930" s="7">
        <v>2.91</v>
      </c>
      <c r="E9930" s="85">
        <f>C9930*D9930</f>
        <v>11.64</v>
      </c>
    </row>
    <row r="9931" spans="1:5" ht="18" x14ac:dyDescent="0.35">
      <c r="B9931" s="50" t="s">
        <v>36</v>
      </c>
      <c r="C9931" s="7">
        <v>4</v>
      </c>
      <c r="D9931" s="7">
        <v>0.61</v>
      </c>
      <c r="E9931" s="85">
        <f>C9931*D9931</f>
        <v>2.44</v>
      </c>
    </row>
    <row r="9932" spans="1:5" ht="18" x14ac:dyDescent="0.35">
      <c r="A9932" s="5"/>
      <c r="B9932" s="50"/>
      <c r="C9932" s="87"/>
      <c r="D9932" s="88"/>
      <c r="E9932" s="85">
        <f>SUM(E9927:E9931)</f>
        <v>381.70845999999995</v>
      </c>
    </row>
    <row r="9933" spans="1:5" ht="18" x14ac:dyDescent="0.35">
      <c r="A9933" s="5"/>
      <c r="B9933" s="50"/>
      <c r="C9933" s="87"/>
      <c r="D9933" s="88" t="s">
        <v>1266</v>
      </c>
      <c r="E9933" s="85">
        <f>E9932+E9932*40%</f>
        <v>534.39184399999999</v>
      </c>
    </row>
    <row r="9934" spans="1:5" ht="18" x14ac:dyDescent="0.35">
      <c r="A9934" s="5"/>
      <c r="B9934" s="50" t="s">
        <v>37</v>
      </c>
      <c r="C9934" s="54">
        <v>1</v>
      </c>
      <c r="D9934" s="86">
        <v>200</v>
      </c>
      <c r="E9934" s="85">
        <f>C9934*D9934</f>
        <v>200</v>
      </c>
    </row>
    <row r="9935" spans="1:5" ht="18" x14ac:dyDescent="0.35">
      <c r="A9935" s="5"/>
      <c r="B9935" s="5"/>
      <c r="C9935" s="54"/>
      <c r="D9935" s="54"/>
      <c r="E9935" s="85">
        <f>SUM(E9933:E9934)</f>
        <v>734.39184399999999</v>
      </c>
    </row>
    <row r="9938" spans="1:5" ht="21" x14ac:dyDescent="0.4">
      <c r="A9938" s="40" t="s">
        <v>2066</v>
      </c>
      <c r="B9938" s="40"/>
      <c r="C9938" s="40"/>
      <c r="D9938" s="12"/>
      <c r="E9938" s="12"/>
    </row>
    <row r="9939" spans="1:5" ht="18" x14ac:dyDescent="0.35">
      <c r="A9939" s="5" t="s">
        <v>1202</v>
      </c>
      <c r="B9939" s="5"/>
      <c r="C9939" s="7" t="s">
        <v>28</v>
      </c>
      <c r="D9939" s="7" t="s">
        <v>29</v>
      </c>
      <c r="E9939" s="7" t="s">
        <v>30</v>
      </c>
    </row>
    <row r="9940" spans="1:5" ht="18" x14ac:dyDescent="0.35">
      <c r="A9940" s="5" t="s">
        <v>2180</v>
      </c>
      <c r="B9940" s="50" t="s">
        <v>32</v>
      </c>
      <c r="C9940" s="7">
        <v>2.238</v>
      </c>
      <c r="D9940" s="7">
        <v>11.37</v>
      </c>
      <c r="E9940" s="85">
        <f>C9940*D9940</f>
        <v>25.446059999999999</v>
      </c>
    </row>
    <row r="9941" spans="1:5" ht="18" x14ac:dyDescent="0.35">
      <c r="A9941" s="5" t="s">
        <v>2096</v>
      </c>
      <c r="B9941" s="50" t="s">
        <v>33</v>
      </c>
      <c r="C9941" s="7">
        <v>13.103999999999999</v>
      </c>
      <c r="D9941" s="7">
        <v>10</v>
      </c>
      <c r="E9941" s="85">
        <f>C9941*D9941</f>
        <v>131.04</v>
      </c>
    </row>
    <row r="9942" spans="1:5" ht="18" x14ac:dyDescent="0.35">
      <c r="A9942" s="5" t="s">
        <v>1311</v>
      </c>
      <c r="B9942" s="50" t="s">
        <v>137</v>
      </c>
      <c r="C9942" s="7">
        <v>0.78700000000000003</v>
      </c>
      <c r="D9942" s="7">
        <v>17.190000000000001</v>
      </c>
      <c r="E9942" s="85">
        <f>C9942*D9942</f>
        <v>13.528530000000002</v>
      </c>
    </row>
    <row r="9943" spans="1:5" ht="18" x14ac:dyDescent="0.35">
      <c r="A9943" s="5" t="s">
        <v>2100</v>
      </c>
      <c r="B9943" s="50" t="s">
        <v>35</v>
      </c>
      <c r="C9943" s="7">
        <v>4</v>
      </c>
      <c r="D9943" s="7">
        <v>2.91</v>
      </c>
      <c r="E9943" s="85">
        <f>C9943*D9943</f>
        <v>11.64</v>
      </c>
    </row>
    <row r="9944" spans="1:5" ht="18" x14ac:dyDescent="0.35">
      <c r="B9944" s="50" t="s">
        <v>36</v>
      </c>
      <c r="C9944" s="7">
        <v>4</v>
      </c>
      <c r="D9944" s="7">
        <v>0.61</v>
      </c>
      <c r="E9944" s="85">
        <f>C9944*D9944</f>
        <v>2.44</v>
      </c>
    </row>
    <row r="9945" spans="1:5" ht="18" x14ac:dyDescent="0.35">
      <c r="A9945" s="5"/>
      <c r="B9945" s="50"/>
      <c r="C9945" s="87"/>
      <c r="D9945" s="88"/>
      <c r="E9945" s="85">
        <f>SUM(E9940:E9944)</f>
        <v>184.09458999999998</v>
      </c>
    </row>
    <row r="9946" spans="1:5" ht="18" x14ac:dyDescent="0.35">
      <c r="A9946" s="5"/>
      <c r="B9946" s="50"/>
      <c r="C9946" s="87"/>
      <c r="D9946" s="88" t="s">
        <v>1266</v>
      </c>
      <c r="E9946" s="85">
        <f>E9945+E9945*40%</f>
        <v>257.73242599999998</v>
      </c>
    </row>
    <row r="9947" spans="1:5" ht="18" x14ac:dyDescent="0.35">
      <c r="A9947" s="5"/>
      <c r="B9947" s="50" t="s">
        <v>37</v>
      </c>
      <c r="C9947" s="54">
        <v>1</v>
      </c>
      <c r="D9947" s="86">
        <v>200</v>
      </c>
      <c r="E9947" s="85">
        <f>C9947*D9947</f>
        <v>200</v>
      </c>
    </row>
    <row r="9948" spans="1:5" ht="18" x14ac:dyDescent="0.35">
      <c r="A9948" s="5"/>
      <c r="B9948" s="5"/>
      <c r="C9948" s="54"/>
      <c r="D9948" s="54"/>
      <c r="E9948" s="85">
        <f>SUM(E9946:E9947)</f>
        <v>457.73242599999998</v>
      </c>
    </row>
    <row r="9950" spans="1:5" ht="21" x14ac:dyDescent="0.4">
      <c r="A9950" s="40" t="s">
        <v>2160</v>
      </c>
      <c r="B9950" s="40"/>
    </row>
    <row r="9951" spans="1:5" x14ac:dyDescent="0.3">
      <c r="A9951" t="s">
        <v>1440</v>
      </c>
    </row>
    <row r="9952" spans="1:5" ht="21" x14ac:dyDescent="0.4">
      <c r="A9952" s="40" t="s">
        <v>244</v>
      </c>
      <c r="B9952" s="5"/>
      <c r="C9952" s="7" t="s">
        <v>28</v>
      </c>
      <c r="D9952" s="7" t="s">
        <v>29</v>
      </c>
      <c r="E9952" s="7" t="s">
        <v>30</v>
      </c>
    </row>
    <row r="9953" spans="1:5" ht="21" x14ac:dyDescent="0.4">
      <c r="A9953" s="40" t="s">
        <v>962</v>
      </c>
      <c r="B9953" s="50" t="s">
        <v>32</v>
      </c>
      <c r="C9953" s="7">
        <v>2.7629999999999999</v>
      </c>
      <c r="D9953" s="7">
        <v>16.43</v>
      </c>
      <c r="E9953" s="85">
        <f t="shared" ref="E9953:E9960" si="577">C9953*D9953</f>
        <v>45.396090000000001</v>
      </c>
    </row>
    <row r="9954" spans="1:5" ht="21" x14ac:dyDescent="0.4">
      <c r="A9954" s="40" t="s">
        <v>377</v>
      </c>
      <c r="B9954" s="50" t="s">
        <v>33</v>
      </c>
      <c r="C9954" s="7">
        <v>11.433999999999999</v>
      </c>
      <c r="D9954" s="7">
        <v>10</v>
      </c>
      <c r="E9954" s="85">
        <f t="shared" si="577"/>
        <v>114.33999999999999</v>
      </c>
    </row>
    <row r="9955" spans="1:5" ht="18" x14ac:dyDescent="0.35">
      <c r="B9955" s="50" t="s">
        <v>33</v>
      </c>
      <c r="C9955" s="7">
        <v>12.6</v>
      </c>
      <c r="D9955" s="7">
        <v>10</v>
      </c>
      <c r="E9955" s="85">
        <f t="shared" si="577"/>
        <v>126</v>
      </c>
    </row>
    <row r="9956" spans="1:5" ht="18" x14ac:dyDescent="0.35">
      <c r="B9956" s="50" t="s">
        <v>974</v>
      </c>
      <c r="C9956" s="7">
        <v>2</v>
      </c>
      <c r="D9956" s="7">
        <v>1.8</v>
      </c>
      <c r="E9956" s="85">
        <f t="shared" si="577"/>
        <v>3.6</v>
      </c>
    </row>
    <row r="9957" spans="1:5" ht="18" x14ac:dyDescent="0.35">
      <c r="B9957" s="50" t="s">
        <v>113</v>
      </c>
      <c r="C9957" s="7">
        <v>2</v>
      </c>
      <c r="D9957" s="7">
        <v>4.4800000000000004</v>
      </c>
      <c r="E9957" s="85">
        <f t="shared" si="577"/>
        <v>8.9600000000000009</v>
      </c>
    </row>
    <row r="9958" spans="1:5" ht="18" x14ac:dyDescent="0.35">
      <c r="B9958" s="50" t="s">
        <v>34</v>
      </c>
      <c r="C9958" s="7">
        <v>1.05</v>
      </c>
      <c r="D9958" s="7">
        <v>18.059999999999999</v>
      </c>
      <c r="E9958" s="85">
        <f t="shared" si="577"/>
        <v>18.963000000000001</v>
      </c>
    </row>
    <row r="9959" spans="1:5" ht="18" x14ac:dyDescent="0.35">
      <c r="B9959" s="50" t="s">
        <v>35</v>
      </c>
      <c r="C9959" s="7">
        <v>4</v>
      </c>
      <c r="D9959" s="7">
        <v>2.91</v>
      </c>
      <c r="E9959" s="85">
        <f t="shared" si="577"/>
        <v>11.64</v>
      </c>
    </row>
    <row r="9960" spans="1:5" ht="18" x14ac:dyDescent="0.35">
      <c r="B9960" s="50" t="s">
        <v>36</v>
      </c>
      <c r="C9960" s="7">
        <v>4</v>
      </c>
      <c r="D9960" s="7">
        <v>0.61</v>
      </c>
      <c r="E9960" s="85">
        <f t="shared" si="577"/>
        <v>2.44</v>
      </c>
    </row>
    <row r="9961" spans="1:5" ht="18" x14ac:dyDescent="0.35">
      <c r="B9961" s="5"/>
      <c r="C9961" s="54"/>
      <c r="D9961" s="54"/>
      <c r="E9961" s="89">
        <f>SUM(E9953:E9960)</f>
        <v>331.33909</v>
      </c>
    </row>
    <row r="9962" spans="1:5" ht="18" x14ac:dyDescent="0.35">
      <c r="B9962" s="5"/>
      <c r="C9962" s="54"/>
      <c r="D9962" s="54" t="s">
        <v>1063</v>
      </c>
      <c r="E9962" s="89">
        <f>E9961+E9961*40%</f>
        <v>463.87472600000001</v>
      </c>
    </row>
    <row r="9963" spans="1:5" ht="18" x14ac:dyDescent="0.35">
      <c r="B9963" s="50" t="s">
        <v>37</v>
      </c>
      <c r="C9963" s="54">
        <v>1.2</v>
      </c>
      <c r="D9963" s="54">
        <v>200</v>
      </c>
      <c r="E9963" s="85">
        <f>C9963*D9963</f>
        <v>240</v>
      </c>
    </row>
    <row r="9964" spans="1:5" ht="18" x14ac:dyDescent="0.35">
      <c r="E9964" s="85">
        <f>SUM(E9962:E9963)</f>
        <v>703.87472600000001</v>
      </c>
    </row>
    <row r="9966" spans="1:5" ht="21" x14ac:dyDescent="0.4">
      <c r="A9966" s="40" t="s">
        <v>1919</v>
      </c>
      <c r="B9966" s="40"/>
      <c r="C9966" s="84"/>
    </row>
    <row r="9967" spans="1:5" x14ac:dyDescent="0.3">
      <c r="A9967" t="s">
        <v>1440</v>
      </c>
    </row>
    <row r="9968" spans="1:5" ht="18" x14ac:dyDescent="0.35">
      <c r="A9968" s="5" t="s">
        <v>244</v>
      </c>
      <c r="B9968" s="5"/>
      <c r="C9968" s="7" t="s">
        <v>28</v>
      </c>
      <c r="D9968" s="7" t="s">
        <v>29</v>
      </c>
      <c r="E9968" s="7" t="s">
        <v>30</v>
      </c>
    </row>
    <row r="9969" spans="1:5" ht="18" x14ac:dyDescent="0.35">
      <c r="A9969" s="5" t="s">
        <v>962</v>
      </c>
      <c r="B9969" s="50" t="s">
        <v>32</v>
      </c>
      <c r="C9969" s="7">
        <v>2.7629999999999999</v>
      </c>
      <c r="D9969" s="7">
        <v>11.37</v>
      </c>
      <c r="E9969" s="85">
        <f t="shared" ref="E9969:E9974" si="578">C9969*D9969</f>
        <v>31.415309999999998</v>
      </c>
    </row>
    <row r="9970" spans="1:5" ht="18" x14ac:dyDescent="0.35">
      <c r="A9970" s="5" t="s">
        <v>615</v>
      </c>
      <c r="B9970" s="50" t="s">
        <v>33</v>
      </c>
      <c r="C9970" s="7">
        <v>11.433999999999999</v>
      </c>
      <c r="D9970" s="7">
        <v>10</v>
      </c>
      <c r="E9970" s="85">
        <f t="shared" si="578"/>
        <v>114.33999999999999</v>
      </c>
    </row>
    <row r="9971" spans="1:5" ht="18" x14ac:dyDescent="0.35">
      <c r="A9971" s="102"/>
      <c r="B9971" s="50" t="s">
        <v>974</v>
      </c>
      <c r="C9971" s="7">
        <v>2</v>
      </c>
      <c r="D9971" s="7">
        <v>1.8</v>
      </c>
      <c r="E9971" s="85">
        <f t="shared" si="578"/>
        <v>3.6</v>
      </c>
    </row>
    <row r="9972" spans="1:5" ht="18" x14ac:dyDescent="0.35">
      <c r="A9972" s="5"/>
      <c r="B9972" s="50" t="s">
        <v>34</v>
      </c>
      <c r="C9972" s="7">
        <v>1.05</v>
      </c>
      <c r="D9972" s="7">
        <v>18.059999999999999</v>
      </c>
      <c r="E9972" s="85">
        <f t="shared" si="578"/>
        <v>18.963000000000001</v>
      </c>
    </row>
    <row r="9973" spans="1:5" ht="18" x14ac:dyDescent="0.35">
      <c r="A9973" s="5"/>
      <c r="B9973" s="50" t="s">
        <v>35</v>
      </c>
      <c r="C9973" s="7">
        <v>4</v>
      </c>
      <c r="D9973" s="7">
        <v>2.91</v>
      </c>
      <c r="E9973" s="85">
        <f t="shared" si="578"/>
        <v>11.64</v>
      </c>
    </row>
    <row r="9974" spans="1:5" ht="18" x14ac:dyDescent="0.35">
      <c r="A9974" s="5"/>
      <c r="B9974" s="50" t="s">
        <v>36</v>
      </c>
      <c r="C9974" s="7">
        <v>4</v>
      </c>
      <c r="D9974" s="7">
        <v>0.61</v>
      </c>
      <c r="E9974" s="85">
        <f t="shared" si="578"/>
        <v>2.44</v>
      </c>
    </row>
    <row r="9975" spans="1:5" ht="18" x14ac:dyDescent="0.35">
      <c r="A9975" s="5"/>
      <c r="B9975" s="5"/>
      <c r="C9975" s="54"/>
      <c r="D9975" s="54"/>
      <c r="E9975" s="89">
        <f>SUM(E9969:E9974)</f>
        <v>182.39830999999998</v>
      </c>
    </row>
    <row r="9976" spans="1:5" ht="18" x14ac:dyDescent="0.35">
      <c r="A9976" s="5"/>
      <c r="B9976" s="5"/>
      <c r="C9976" s="54"/>
      <c r="D9976" s="54" t="s">
        <v>1066</v>
      </c>
      <c r="E9976" s="89">
        <f>E9975+E9975*40%</f>
        <v>255.35763399999996</v>
      </c>
    </row>
    <row r="9977" spans="1:5" ht="18" x14ac:dyDescent="0.35">
      <c r="A9977" s="5"/>
      <c r="B9977" s="50" t="s">
        <v>37</v>
      </c>
      <c r="C9977" s="54">
        <v>1.2</v>
      </c>
      <c r="D9977" s="54">
        <v>200</v>
      </c>
      <c r="E9977" s="85">
        <f>C9977*D9977</f>
        <v>240</v>
      </c>
    </row>
    <row r="9978" spans="1:5" ht="18" x14ac:dyDescent="0.35">
      <c r="A9978" s="5"/>
      <c r="B9978" s="5"/>
      <c r="C9978" s="54"/>
      <c r="D9978" s="54"/>
      <c r="E9978" s="85">
        <f>SUM(E9976:E9977)</f>
        <v>495.35763399999996</v>
      </c>
    </row>
    <row r="9981" spans="1:5" ht="21" x14ac:dyDescent="0.4">
      <c r="A9981" s="40" t="s">
        <v>2066</v>
      </c>
      <c r="B9981" s="40"/>
      <c r="C9981" s="40"/>
      <c r="D9981" s="12"/>
      <c r="E9981" s="12"/>
    </row>
    <row r="9982" spans="1:5" ht="18" x14ac:dyDescent="0.35">
      <c r="A9982" s="5" t="s">
        <v>1202</v>
      </c>
      <c r="B9982" s="5"/>
      <c r="C9982" s="7" t="s">
        <v>28</v>
      </c>
      <c r="D9982" s="7" t="s">
        <v>29</v>
      </c>
      <c r="E9982" s="7" t="s">
        <v>30</v>
      </c>
    </row>
    <row r="9983" spans="1:5" ht="18" x14ac:dyDescent="0.35">
      <c r="A9983" s="5" t="s">
        <v>2181</v>
      </c>
      <c r="B9983" s="50" t="s">
        <v>32</v>
      </c>
      <c r="C9983" s="7">
        <v>3.7080000000000002</v>
      </c>
      <c r="D9983" s="7">
        <v>11.37</v>
      </c>
      <c r="E9983" s="85">
        <f>C9983*D9983</f>
        <v>42.159959999999998</v>
      </c>
    </row>
    <row r="9984" spans="1:5" ht="18" x14ac:dyDescent="0.35">
      <c r="A9984" s="5" t="s">
        <v>687</v>
      </c>
      <c r="B9984" s="50" t="s">
        <v>33</v>
      </c>
      <c r="C9984" s="7">
        <v>47.082000000000001</v>
      </c>
      <c r="D9984" s="7">
        <v>10</v>
      </c>
      <c r="E9984" s="85">
        <f>C9984*D9984</f>
        <v>470.82</v>
      </c>
    </row>
    <row r="9985" spans="1:5" ht="18" x14ac:dyDescent="0.35">
      <c r="A9985" s="5" t="s">
        <v>2182</v>
      </c>
      <c r="B9985" s="50" t="s">
        <v>137</v>
      </c>
      <c r="C9985" s="7">
        <v>2.31</v>
      </c>
      <c r="D9985" s="7">
        <v>17.190000000000001</v>
      </c>
      <c r="E9985" s="85">
        <f>C9985*D9985</f>
        <v>39.708900000000007</v>
      </c>
    </row>
    <row r="9986" spans="1:5" ht="18" x14ac:dyDescent="0.35">
      <c r="A9986" s="5" t="s">
        <v>2100</v>
      </c>
      <c r="B9986" s="50" t="s">
        <v>35</v>
      </c>
      <c r="C9986" s="7">
        <v>4</v>
      </c>
      <c r="D9986" s="7">
        <v>2.91</v>
      </c>
      <c r="E9986" s="85">
        <f>C9986*D9986</f>
        <v>11.64</v>
      </c>
    </row>
    <row r="9987" spans="1:5" ht="18" x14ac:dyDescent="0.35">
      <c r="B9987" s="50" t="s">
        <v>36</v>
      </c>
      <c r="C9987" s="7">
        <v>4</v>
      </c>
      <c r="D9987" s="7">
        <v>0.61</v>
      </c>
      <c r="E9987" s="85">
        <f>C9987*D9987</f>
        <v>2.44</v>
      </c>
    </row>
    <row r="9988" spans="1:5" ht="18" x14ac:dyDescent="0.35">
      <c r="A9988" s="5"/>
      <c r="B9988" s="50"/>
      <c r="C9988" s="87"/>
      <c r="D9988" s="88"/>
      <c r="E9988" s="85">
        <f>SUM(E9983:E9987)</f>
        <v>566.76886000000002</v>
      </c>
    </row>
    <row r="9989" spans="1:5" ht="18" x14ac:dyDescent="0.35">
      <c r="A9989" s="5"/>
      <c r="B9989" s="50"/>
      <c r="C9989" s="87"/>
      <c r="D9989" s="88" t="s">
        <v>1266</v>
      </c>
      <c r="E9989" s="85">
        <f>E9988+E9988*40%</f>
        <v>793.476404</v>
      </c>
    </row>
    <row r="9990" spans="1:5" ht="18" x14ac:dyDescent="0.35">
      <c r="A9990" s="5"/>
      <c r="B9990" s="50" t="s">
        <v>37</v>
      </c>
      <c r="C9990" s="54">
        <v>1.5</v>
      </c>
      <c r="D9990" s="86">
        <v>200</v>
      </c>
      <c r="E9990" s="85">
        <f>C9990*D9990</f>
        <v>300</v>
      </c>
    </row>
    <row r="9991" spans="1:5" ht="18" x14ac:dyDescent="0.35">
      <c r="A9991" s="5"/>
      <c r="B9991" s="5"/>
      <c r="C9991" s="54"/>
      <c r="D9991" s="54"/>
      <c r="E9991" s="85">
        <f>SUM(E9989:E9990)</f>
        <v>1093.476404</v>
      </c>
    </row>
    <row r="9993" spans="1:5" ht="21" x14ac:dyDescent="0.4">
      <c r="A9993" s="40" t="s">
        <v>2160</v>
      </c>
      <c r="B9993" s="40"/>
    </row>
    <row r="9994" spans="1:5" x14ac:dyDescent="0.3">
      <c r="A9994" t="s">
        <v>1383</v>
      </c>
    </row>
    <row r="9995" spans="1:5" ht="21" x14ac:dyDescent="0.4">
      <c r="A9995" s="40" t="s">
        <v>2185</v>
      </c>
      <c r="B9995" s="5"/>
      <c r="C9995" s="7" t="s">
        <v>28</v>
      </c>
      <c r="D9995" s="7" t="s">
        <v>29</v>
      </c>
      <c r="E9995" s="7" t="s">
        <v>30</v>
      </c>
    </row>
    <row r="9996" spans="1:5" ht="21" x14ac:dyDescent="0.4">
      <c r="A9996" s="40" t="s">
        <v>962</v>
      </c>
      <c r="B9996" s="50" t="s">
        <v>32</v>
      </c>
      <c r="C9996" s="7">
        <v>1.671</v>
      </c>
      <c r="D9996" s="7">
        <v>16.43</v>
      </c>
      <c r="E9996" s="85">
        <f t="shared" ref="E9996:E10003" si="579">C9996*D9996</f>
        <v>27.454530000000002</v>
      </c>
    </row>
    <row r="9997" spans="1:5" ht="21" x14ac:dyDescent="0.4">
      <c r="A9997" s="40" t="s">
        <v>55</v>
      </c>
      <c r="B9997" s="50" t="s">
        <v>33</v>
      </c>
      <c r="C9997" s="7">
        <v>5.5439999999999996</v>
      </c>
      <c r="D9997" s="7">
        <v>10</v>
      </c>
      <c r="E9997" s="85">
        <f t="shared" si="579"/>
        <v>55.44</v>
      </c>
    </row>
    <row r="9998" spans="1:5" ht="18" x14ac:dyDescent="0.35">
      <c r="B9998" s="50" t="s">
        <v>33</v>
      </c>
      <c r="C9998" s="7">
        <v>5.7960000000000003</v>
      </c>
      <c r="D9998" s="7">
        <v>10</v>
      </c>
      <c r="E9998" s="85">
        <f t="shared" si="579"/>
        <v>57.96</v>
      </c>
    </row>
    <row r="9999" spans="1:5" ht="18" x14ac:dyDescent="0.35">
      <c r="B9999" s="50" t="s">
        <v>1738</v>
      </c>
      <c r="C9999" s="7">
        <v>2</v>
      </c>
      <c r="D9999" s="7">
        <v>1.8</v>
      </c>
      <c r="E9999" s="85">
        <f t="shared" si="579"/>
        <v>3.6</v>
      </c>
    </row>
    <row r="10000" spans="1:5" ht="18" x14ac:dyDescent="0.35">
      <c r="B10000" s="50" t="s">
        <v>1584</v>
      </c>
      <c r="C10000" s="7">
        <v>2</v>
      </c>
      <c r="D10000" s="7">
        <v>2.2400000000000002</v>
      </c>
      <c r="E10000" s="85">
        <f t="shared" si="579"/>
        <v>4.4800000000000004</v>
      </c>
    </row>
    <row r="10001" spans="1:5" ht="18" x14ac:dyDescent="0.35">
      <c r="B10001" s="50" t="s">
        <v>34</v>
      </c>
      <c r="C10001" s="7">
        <v>1.05</v>
      </c>
      <c r="D10001" s="7">
        <v>18.059999999999999</v>
      </c>
      <c r="E10001" s="85">
        <f t="shared" si="579"/>
        <v>18.963000000000001</v>
      </c>
    </row>
    <row r="10002" spans="1:5" ht="18" x14ac:dyDescent="0.35">
      <c r="B10002" s="50" t="s">
        <v>35</v>
      </c>
      <c r="C10002" s="7">
        <v>4</v>
      </c>
      <c r="D10002" s="7">
        <v>2.91</v>
      </c>
      <c r="E10002" s="85">
        <f t="shared" si="579"/>
        <v>11.64</v>
      </c>
    </row>
    <row r="10003" spans="1:5" ht="18" x14ac:dyDescent="0.35">
      <c r="B10003" s="50" t="s">
        <v>36</v>
      </c>
      <c r="C10003" s="7">
        <v>4</v>
      </c>
      <c r="D10003" s="7">
        <v>0.61</v>
      </c>
      <c r="E10003" s="85">
        <f t="shared" si="579"/>
        <v>2.44</v>
      </c>
    </row>
    <row r="10004" spans="1:5" ht="18" x14ac:dyDescent="0.35">
      <c r="B10004" s="5"/>
      <c r="C10004" s="54"/>
      <c r="D10004" s="54"/>
      <c r="E10004" s="89">
        <f>SUM(E9996:E10003)</f>
        <v>181.97753</v>
      </c>
    </row>
    <row r="10005" spans="1:5" ht="18" x14ac:dyDescent="0.35">
      <c r="B10005" s="5"/>
      <c r="C10005" s="54"/>
      <c r="D10005" s="54" t="s">
        <v>1063</v>
      </c>
      <c r="E10005" s="89">
        <f>E10004+E10004*40%</f>
        <v>254.76854200000002</v>
      </c>
    </row>
    <row r="10006" spans="1:5" ht="18" x14ac:dyDescent="0.35">
      <c r="B10006" s="50" t="s">
        <v>37</v>
      </c>
      <c r="C10006" s="54">
        <v>0.45</v>
      </c>
      <c r="D10006" s="54">
        <v>200</v>
      </c>
      <c r="E10006" s="85">
        <f>C10006*D10006</f>
        <v>90</v>
      </c>
    </row>
    <row r="10007" spans="1:5" ht="18" x14ac:dyDescent="0.35">
      <c r="E10007" s="85">
        <f>SUM(E10005:E10006)</f>
        <v>344.76854200000002</v>
      </c>
    </row>
    <row r="10009" spans="1:5" ht="21" x14ac:dyDescent="0.4">
      <c r="A10009" s="40" t="s">
        <v>2066</v>
      </c>
      <c r="B10009" s="40"/>
      <c r="C10009" s="40"/>
      <c r="D10009" s="12"/>
      <c r="E10009" s="12"/>
    </row>
    <row r="10010" spans="1:5" ht="18" x14ac:dyDescent="0.35">
      <c r="A10010" s="5" t="s">
        <v>1202</v>
      </c>
      <c r="B10010" s="5"/>
      <c r="C10010" s="7" t="s">
        <v>28</v>
      </c>
      <c r="D10010" s="7" t="s">
        <v>29</v>
      </c>
      <c r="E10010" s="7" t="s">
        <v>30</v>
      </c>
    </row>
    <row r="10011" spans="1:5" ht="18" x14ac:dyDescent="0.35">
      <c r="A10011" s="5" t="s">
        <v>2180</v>
      </c>
      <c r="B10011" s="50" t="s">
        <v>32</v>
      </c>
      <c r="C10011" s="7">
        <v>2.8679999999999999</v>
      </c>
      <c r="D10011" s="7">
        <v>11.37</v>
      </c>
      <c r="E10011" s="85">
        <f>C10011*D10011</f>
        <v>32.609159999999996</v>
      </c>
    </row>
    <row r="10012" spans="1:5" ht="18" x14ac:dyDescent="0.35">
      <c r="A10012" s="5" t="s">
        <v>377</v>
      </c>
      <c r="B10012" s="50" t="s">
        <v>33</v>
      </c>
      <c r="C10012" s="7">
        <v>30.975000000000001</v>
      </c>
      <c r="D10012" s="7">
        <v>10</v>
      </c>
      <c r="E10012" s="85">
        <f>C10012*D10012</f>
        <v>309.75</v>
      </c>
    </row>
    <row r="10013" spans="1:5" ht="18" x14ac:dyDescent="0.35">
      <c r="A10013" s="5" t="s">
        <v>2179</v>
      </c>
      <c r="B10013" s="50" t="s">
        <v>137</v>
      </c>
      <c r="C10013" s="7">
        <v>1.47</v>
      </c>
      <c r="D10013" s="7">
        <v>17.190000000000001</v>
      </c>
      <c r="E10013" s="85">
        <f>C10013*D10013</f>
        <v>25.269300000000001</v>
      </c>
    </row>
    <row r="10014" spans="1:5" ht="18" x14ac:dyDescent="0.35">
      <c r="A10014" s="5" t="s">
        <v>2100</v>
      </c>
      <c r="B10014" s="50" t="s">
        <v>35</v>
      </c>
      <c r="C10014" s="7">
        <v>4</v>
      </c>
      <c r="D10014" s="7">
        <v>2.91</v>
      </c>
      <c r="E10014" s="85">
        <f>C10014*D10014</f>
        <v>11.64</v>
      </c>
    </row>
    <row r="10015" spans="1:5" ht="18" x14ac:dyDescent="0.35">
      <c r="B10015" s="50" t="s">
        <v>36</v>
      </c>
      <c r="C10015" s="7">
        <v>4</v>
      </c>
      <c r="D10015" s="7">
        <v>0.61</v>
      </c>
      <c r="E10015" s="85">
        <f>C10015*D10015</f>
        <v>2.44</v>
      </c>
    </row>
    <row r="10016" spans="1:5" ht="18" x14ac:dyDescent="0.35">
      <c r="A10016" s="5"/>
      <c r="B10016" s="50"/>
      <c r="C10016" s="87"/>
      <c r="D10016" s="88"/>
      <c r="E10016" s="85">
        <f>SUM(E10011:E10015)</f>
        <v>381.70845999999995</v>
      </c>
    </row>
    <row r="10017" spans="1:5" ht="18" x14ac:dyDescent="0.35">
      <c r="A10017" s="5"/>
      <c r="B10017" s="50"/>
      <c r="C10017" s="87"/>
      <c r="D10017" s="88" t="s">
        <v>1266</v>
      </c>
      <c r="E10017" s="85">
        <f>E10016+E10016*40%</f>
        <v>534.39184399999999</v>
      </c>
    </row>
    <row r="10018" spans="1:5" ht="18" x14ac:dyDescent="0.35">
      <c r="A10018" s="5"/>
      <c r="B10018" s="50" t="s">
        <v>37</v>
      </c>
      <c r="C10018" s="54">
        <v>1</v>
      </c>
      <c r="D10018" s="86">
        <v>200</v>
      </c>
      <c r="E10018" s="85">
        <f>C10018*D10018</f>
        <v>200</v>
      </c>
    </row>
    <row r="10019" spans="1:5" ht="18" x14ac:dyDescent="0.35">
      <c r="A10019" s="5"/>
      <c r="B10019" s="5"/>
      <c r="C10019" s="54"/>
      <c r="D10019" s="54"/>
      <c r="E10019" s="85">
        <f>SUM(E10017:E10018)</f>
        <v>734.39184399999999</v>
      </c>
    </row>
    <row r="10021" spans="1:5" ht="21" x14ac:dyDescent="0.4">
      <c r="A10021" s="40" t="s">
        <v>2066</v>
      </c>
      <c r="B10021" s="40"/>
      <c r="C10021" s="40"/>
      <c r="D10021" s="12"/>
      <c r="E10021" s="12"/>
    </row>
    <row r="10022" spans="1:5" ht="18" x14ac:dyDescent="0.35">
      <c r="A10022" s="5" t="s">
        <v>1202</v>
      </c>
      <c r="B10022" s="5"/>
      <c r="C10022" s="7" t="s">
        <v>28</v>
      </c>
      <c r="D10022" s="7" t="s">
        <v>29</v>
      </c>
      <c r="E10022" s="7" t="s">
        <v>30</v>
      </c>
    </row>
    <row r="10023" spans="1:5" ht="18" x14ac:dyDescent="0.35">
      <c r="A10023" s="5" t="s">
        <v>2186</v>
      </c>
      <c r="B10023" s="50" t="s">
        <v>32</v>
      </c>
      <c r="C10023" s="7">
        <v>1.6080000000000001</v>
      </c>
      <c r="D10023" s="7">
        <v>11.37</v>
      </c>
      <c r="E10023" s="85">
        <f>C10023*D10023</f>
        <v>18.282959999999999</v>
      </c>
    </row>
    <row r="10024" spans="1:5" ht="18" x14ac:dyDescent="0.35">
      <c r="A10024" s="5" t="s">
        <v>1806</v>
      </c>
      <c r="B10024" s="50" t="s">
        <v>33</v>
      </c>
      <c r="C10024" s="7">
        <v>7.8120000000000003</v>
      </c>
      <c r="D10024" s="7">
        <v>10</v>
      </c>
      <c r="E10024" s="85">
        <f>C10024*D10024</f>
        <v>78.12</v>
      </c>
    </row>
    <row r="10025" spans="1:5" ht="18" x14ac:dyDescent="0.35">
      <c r="A10025" s="5" t="s">
        <v>2187</v>
      </c>
      <c r="B10025" s="50" t="s">
        <v>137</v>
      </c>
      <c r="C10025" s="7">
        <v>0.94499999999999995</v>
      </c>
      <c r="D10025" s="7">
        <v>17.190000000000001</v>
      </c>
      <c r="E10025" s="85">
        <f>C10025*D10025</f>
        <v>16.24455</v>
      </c>
    </row>
    <row r="10026" spans="1:5" ht="18" x14ac:dyDescent="0.35">
      <c r="A10026" s="5" t="s">
        <v>2100</v>
      </c>
      <c r="B10026" s="50" t="s">
        <v>35</v>
      </c>
      <c r="C10026" s="7">
        <v>4</v>
      </c>
      <c r="D10026" s="7">
        <v>2.91</v>
      </c>
      <c r="E10026" s="85">
        <f>C10026*D10026</f>
        <v>11.64</v>
      </c>
    </row>
    <row r="10027" spans="1:5" ht="18" x14ac:dyDescent="0.35">
      <c r="B10027" s="50" t="s">
        <v>36</v>
      </c>
      <c r="C10027" s="7">
        <v>4</v>
      </c>
      <c r="D10027" s="7">
        <v>0.61</v>
      </c>
      <c r="E10027" s="85">
        <f>C10027*D10027</f>
        <v>2.44</v>
      </c>
    </row>
    <row r="10028" spans="1:5" ht="18" x14ac:dyDescent="0.35">
      <c r="A10028" s="5"/>
      <c r="B10028" s="50"/>
      <c r="C10028" s="87"/>
      <c r="D10028" s="88"/>
      <c r="E10028" s="85">
        <f>SUM(E10023:E10027)</f>
        <v>126.72751000000001</v>
      </c>
    </row>
    <row r="10029" spans="1:5" ht="18" x14ac:dyDescent="0.35">
      <c r="A10029" s="5"/>
      <c r="B10029" s="50"/>
      <c r="C10029" s="87"/>
      <c r="D10029" s="88" t="s">
        <v>1266</v>
      </c>
      <c r="E10029" s="85">
        <f>E10028+E10028*40%</f>
        <v>177.41851400000002</v>
      </c>
    </row>
    <row r="10030" spans="1:5" ht="18" x14ac:dyDescent="0.35">
      <c r="A10030" s="5"/>
      <c r="B10030" s="50" t="s">
        <v>37</v>
      </c>
      <c r="C10030" s="54">
        <v>0.6</v>
      </c>
      <c r="D10030" s="86">
        <v>200</v>
      </c>
      <c r="E10030" s="85">
        <f>C10030*D10030</f>
        <v>120</v>
      </c>
    </row>
    <row r="10031" spans="1:5" ht="18" x14ac:dyDescent="0.35">
      <c r="A10031" s="5"/>
      <c r="B10031" s="5"/>
      <c r="C10031" s="54"/>
      <c r="D10031" s="54"/>
      <c r="E10031" s="85">
        <f>SUM(E10029:E10030)</f>
        <v>297.41851400000002</v>
      </c>
    </row>
    <row r="10033" spans="1:5" ht="21" x14ac:dyDescent="0.4">
      <c r="A10033" s="40" t="s">
        <v>2066</v>
      </c>
      <c r="B10033" s="40"/>
      <c r="C10033" s="40"/>
      <c r="D10033" s="12"/>
      <c r="E10033" s="12"/>
    </row>
    <row r="10034" spans="1:5" ht="18" x14ac:dyDescent="0.35">
      <c r="A10034" s="5" t="s">
        <v>1202</v>
      </c>
      <c r="B10034" s="5"/>
      <c r="C10034" s="7" t="s">
        <v>28</v>
      </c>
      <c r="D10034" s="7" t="s">
        <v>29</v>
      </c>
      <c r="E10034" s="7" t="s">
        <v>30</v>
      </c>
    </row>
    <row r="10035" spans="1:5" ht="18" x14ac:dyDescent="0.35">
      <c r="A10035" s="5" t="s">
        <v>858</v>
      </c>
      <c r="B10035" s="50" t="s">
        <v>32</v>
      </c>
      <c r="C10035" s="7">
        <v>2.028</v>
      </c>
      <c r="D10035" s="7">
        <v>11.37</v>
      </c>
      <c r="E10035" s="85">
        <f>C10035*D10035</f>
        <v>23.05836</v>
      </c>
    </row>
    <row r="10036" spans="1:5" ht="18" x14ac:dyDescent="0.35">
      <c r="A10036" s="5" t="s">
        <v>538</v>
      </c>
      <c r="B10036" s="50" t="s">
        <v>33</v>
      </c>
      <c r="C10036" s="7">
        <v>14.332000000000001</v>
      </c>
      <c r="D10036" s="7">
        <v>10</v>
      </c>
      <c r="E10036" s="85">
        <f>C10036*D10036</f>
        <v>143.32</v>
      </c>
    </row>
    <row r="10037" spans="1:5" ht="18" x14ac:dyDescent="0.35">
      <c r="A10037" s="5" t="s">
        <v>859</v>
      </c>
      <c r="B10037" s="50" t="s">
        <v>137</v>
      </c>
      <c r="C10037" s="7">
        <v>1.05</v>
      </c>
      <c r="D10037" s="7">
        <v>17.190000000000001</v>
      </c>
      <c r="E10037" s="85">
        <f>C10037*D10037</f>
        <v>18.049500000000002</v>
      </c>
    </row>
    <row r="10038" spans="1:5" ht="18" x14ac:dyDescent="0.35">
      <c r="A10038" s="5" t="s">
        <v>2100</v>
      </c>
      <c r="B10038" s="50" t="s">
        <v>35</v>
      </c>
      <c r="C10038" s="7">
        <v>4</v>
      </c>
      <c r="D10038" s="7">
        <v>2.91</v>
      </c>
      <c r="E10038" s="85">
        <f>C10038*D10038</f>
        <v>11.64</v>
      </c>
    </row>
    <row r="10039" spans="1:5" ht="18" x14ac:dyDescent="0.35">
      <c r="B10039" s="50" t="s">
        <v>36</v>
      </c>
      <c r="C10039" s="7">
        <v>4</v>
      </c>
      <c r="D10039" s="7">
        <v>0.61</v>
      </c>
      <c r="E10039" s="85">
        <f>C10039*D10039</f>
        <v>2.44</v>
      </c>
    </row>
    <row r="10040" spans="1:5" ht="18" x14ac:dyDescent="0.35">
      <c r="A10040" s="5"/>
      <c r="B10040" s="50"/>
      <c r="C10040" s="87"/>
      <c r="D10040" s="88"/>
      <c r="E10040" s="85">
        <f>SUM(E10035:E10039)</f>
        <v>198.50785999999999</v>
      </c>
    </row>
    <row r="10041" spans="1:5" ht="18" x14ac:dyDescent="0.35">
      <c r="A10041" s="5"/>
      <c r="B10041" s="50"/>
      <c r="C10041" s="87"/>
      <c r="D10041" s="88" t="s">
        <v>1266</v>
      </c>
      <c r="E10041" s="85">
        <f>E10040+E10040*40%</f>
        <v>277.91100399999999</v>
      </c>
    </row>
    <row r="10042" spans="1:5" ht="18" x14ac:dyDescent="0.35">
      <c r="A10042" s="5"/>
      <c r="B10042" s="50" t="s">
        <v>37</v>
      </c>
      <c r="C10042" s="54">
        <v>0.6</v>
      </c>
      <c r="D10042" s="86">
        <v>200</v>
      </c>
      <c r="E10042" s="85">
        <f>C10042*D10042</f>
        <v>120</v>
      </c>
    </row>
    <row r="10043" spans="1:5" ht="18" x14ac:dyDescent="0.35">
      <c r="A10043" s="5"/>
      <c r="B10043" s="5"/>
      <c r="C10043" s="54"/>
      <c r="D10043" s="54"/>
      <c r="E10043" s="85">
        <f>SUM(E10041:E10042)</f>
        <v>397.91100399999999</v>
      </c>
    </row>
    <row r="10045" spans="1:5" ht="21" x14ac:dyDescent="0.4">
      <c r="A10045" s="40" t="s">
        <v>2066</v>
      </c>
      <c r="B10045" s="40"/>
      <c r="C10045" s="40"/>
      <c r="D10045" s="12"/>
      <c r="E10045" s="12"/>
    </row>
    <row r="10046" spans="1:5" ht="18" x14ac:dyDescent="0.35">
      <c r="A10046" s="5" t="s">
        <v>1202</v>
      </c>
      <c r="B10046" s="5"/>
      <c r="C10046" s="7" t="s">
        <v>28</v>
      </c>
      <c r="D10046" s="7" t="s">
        <v>29</v>
      </c>
      <c r="E10046" s="7" t="s">
        <v>30</v>
      </c>
    </row>
    <row r="10047" spans="1:5" ht="18" x14ac:dyDescent="0.35">
      <c r="A10047" s="5" t="s">
        <v>697</v>
      </c>
      <c r="B10047" s="50" t="s">
        <v>32</v>
      </c>
      <c r="C10047" s="7">
        <v>2.238</v>
      </c>
      <c r="D10047" s="7">
        <v>11.37</v>
      </c>
      <c r="E10047" s="85">
        <f>C10047*D10047</f>
        <v>25.446059999999999</v>
      </c>
    </row>
    <row r="10048" spans="1:5" ht="18" x14ac:dyDescent="0.35">
      <c r="A10048" s="5" t="s">
        <v>804</v>
      </c>
      <c r="B10048" s="50" t="s">
        <v>33</v>
      </c>
      <c r="C10048" s="7">
        <v>17.608000000000001</v>
      </c>
      <c r="D10048" s="7">
        <v>10</v>
      </c>
      <c r="E10048" s="85">
        <f>C10048*D10048</f>
        <v>176.08</v>
      </c>
    </row>
    <row r="10049" spans="1:5" ht="18" x14ac:dyDescent="0.35">
      <c r="A10049" s="5" t="s">
        <v>859</v>
      </c>
      <c r="B10049" s="50" t="s">
        <v>137</v>
      </c>
      <c r="C10049" s="7">
        <v>1.26</v>
      </c>
      <c r="D10049" s="7">
        <v>17.190000000000001</v>
      </c>
      <c r="E10049" s="85">
        <f>C10049*D10049</f>
        <v>21.659400000000002</v>
      </c>
    </row>
    <row r="10050" spans="1:5" ht="18" x14ac:dyDescent="0.35">
      <c r="A10050" s="5" t="s">
        <v>2100</v>
      </c>
      <c r="B10050" s="50" t="s">
        <v>35</v>
      </c>
      <c r="C10050" s="7">
        <v>4</v>
      </c>
      <c r="D10050" s="7">
        <v>2.91</v>
      </c>
      <c r="E10050" s="85">
        <f>C10050*D10050</f>
        <v>11.64</v>
      </c>
    </row>
    <row r="10051" spans="1:5" ht="18" x14ac:dyDescent="0.35">
      <c r="B10051" s="50" t="s">
        <v>36</v>
      </c>
      <c r="C10051" s="7">
        <v>4</v>
      </c>
      <c r="D10051" s="7">
        <v>0.61</v>
      </c>
      <c r="E10051" s="85">
        <f>C10051*D10051</f>
        <v>2.44</v>
      </c>
    </row>
    <row r="10052" spans="1:5" ht="18" x14ac:dyDescent="0.35">
      <c r="A10052" s="5"/>
      <c r="B10052" s="50"/>
      <c r="C10052" s="87"/>
      <c r="D10052" s="88"/>
      <c r="E10052" s="85">
        <f>SUM(E10047:E10051)</f>
        <v>237.26546000000002</v>
      </c>
    </row>
    <row r="10053" spans="1:5" ht="18" x14ac:dyDescent="0.35">
      <c r="A10053" s="5"/>
      <c r="B10053" s="50"/>
      <c r="C10053" s="87"/>
      <c r="D10053" s="88" t="s">
        <v>1266</v>
      </c>
      <c r="E10053" s="85">
        <f>E10052+E10052*40%</f>
        <v>332.17164400000001</v>
      </c>
    </row>
    <row r="10054" spans="1:5" ht="18" x14ac:dyDescent="0.35">
      <c r="A10054" s="5"/>
      <c r="B10054" s="50" t="s">
        <v>37</v>
      </c>
      <c r="C10054" s="54">
        <v>0.6</v>
      </c>
      <c r="D10054" s="86">
        <v>200</v>
      </c>
      <c r="E10054" s="85">
        <f>C10054*D10054</f>
        <v>120</v>
      </c>
    </row>
    <row r="10055" spans="1:5" ht="18" x14ac:dyDescent="0.35">
      <c r="A10055" s="5"/>
      <c r="B10055" s="5"/>
      <c r="C10055" s="54"/>
      <c r="D10055" s="54"/>
      <c r="E10055" s="85">
        <f>SUM(E10053:E10054)</f>
        <v>452.17164400000001</v>
      </c>
    </row>
    <row r="10057" spans="1:5" ht="21" x14ac:dyDescent="0.4">
      <c r="A10057" s="40" t="s">
        <v>2066</v>
      </c>
      <c r="B10057" s="40"/>
      <c r="C10057" s="40"/>
      <c r="D10057" s="12"/>
      <c r="E10057" s="12"/>
    </row>
    <row r="10058" spans="1:5" ht="18" x14ac:dyDescent="0.35">
      <c r="A10058" s="5" t="s">
        <v>1202</v>
      </c>
      <c r="B10058" s="5"/>
      <c r="C10058" s="7" t="s">
        <v>28</v>
      </c>
      <c r="D10058" s="7" t="s">
        <v>29</v>
      </c>
      <c r="E10058" s="7" t="s">
        <v>30</v>
      </c>
    </row>
    <row r="10059" spans="1:5" ht="18" x14ac:dyDescent="0.35">
      <c r="A10059" s="5" t="s">
        <v>1460</v>
      </c>
      <c r="B10059" s="50" t="s">
        <v>32</v>
      </c>
      <c r="C10059" s="7">
        <v>2.6579999999999999</v>
      </c>
      <c r="D10059" s="7">
        <v>11.37</v>
      </c>
      <c r="E10059" s="85">
        <f>C10059*D10059</f>
        <v>30.221459999999997</v>
      </c>
    </row>
    <row r="10060" spans="1:5" ht="18" x14ac:dyDescent="0.35">
      <c r="A10060" s="5" t="s">
        <v>797</v>
      </c>
      <c r="B10060" s="50" t="s">
        <v>33</v>
      </c>
      <c r="C10060" s="7">
        <v>23.751000000000001</v>
      </c>
      <c r="D10060" s="7">
        <v>10</v>
      </c>
      <c r="E10060" s="85">
        <f>C10060*D10060</f>
        <v>237.51000000000002</v>
      </c>
    </row>
    <row r="10061" spans="1:5" ht="18" x14ac:dyDescent="0.35">
      <c r="A10061" s="5" t="s">
        <v>2161</v>
      </c>
      <c r="B10061" s="50" t="s">
        <v>137</v>
      </c>
      <c r="C10061" s="7">
        <v>1.68</v>
      </c>
      <c r="D10061" s="7">
        <v>17.190000000000001</v>
      </c>
      <c r="E10061" s="85">
        <f>C10061*D10061</f>
        <v>28.879200000000001</v>
      </c>
    </row>
    <row r="10062" spans="1:5" ht="18" x14ac:dyDescent="0.35">
      <c r="A10062" s="5" t="s">
        <v>2100</v>
      </c>
      <c r="B10062" s="50" t="s">
        <v>35</v>
      </c>
      <c r="C10062" s="7">
        <v>4</v>
      </c>
      <c r="D10062" s="7">
        <v>2.91</v>
      </c>
      <c r="E10062" s="85">
        <f>C10062*D10062</f>
        <v>11.64</v>
      </c>
    </row>
    <row r="10063" spans="1:5" ht="18" x14ac:dyDescent="0.35">
      <c r="B10063" s="50" t="s">
        <v>36</v>
      </c>
      <c r="C10063" s="7">
        <v>4</v>
      </c>
      <c r="D10063" s="7">
        <v>0.61</v>
      </c>
      <c r="E10063" s="85">
        <f>C10063*D10063</f>
        <v>2.44</v>
      </c>
    </row>
    <row r="10064" spans="1:5" ht="18" x14ac:dyDescent="0.35">
      <c r="A10064" s="5"/>
      <c r="B10064" s="50"/>
      <c r="C10064" s="87"/>
      <c r="D10064" s="88"/>
      <c r="E10064" s="85">
        <f>SUM(E10059:E10063)</f>
        <v>310.69066000000004</v>
      </c>
    </row>
    <row r="10065" spans="1:5" ht="18" x14ac:dyDescent="0.35">
      <c r="A10065" s="5"/>
      <c r="B10065" s="50"/>
      <c r="C10065" s="87"/>
      <c r="D10065" s="88" t="s">
        <v>1266</v>
      </c>
      <c r="E10065" s="85">
        <f>E10064+E10064*40%</f>
        <v>434.96692400000006</v>
      </c>
    </row>
    <row r="10066" spans="1:5" ht="18" x14ac:dyDescent="0.35">
      <c r="A10066" s="5"/>
      <c r="B10066" s="50" t="s">
        <v>37</v>
      </c>
      <c r="C10066" s="54">
        <v>1</v>
      </c>
      <c r="D10066" s="86">
        <v>200</v>
      </c>
      <c r="E10066" s="85">
        <f>C10066*D10066</f>
        <v>200</v>
      </c>
    </row>
    <row r="10067" spans="1:5" ht="18" x14ac:dyDescent="0.35">
      <c r="A10067" s="5"/>
      <c r="B10067" s="5"/>
      <c r="C10067" s="54"/>
      <c r="D10067" s="54"/>
      <c r="E10067" s="85">
        <f>SUM(E10065:E10066)</f>
        <v>634.96692400000006</v>
      </c>
    </row>
    <row r="10069" spans="1:5" ht="21" x14ac:dyDescent="0.4">
      <c r="A10069" s="40" t="s">
        <v>2066</v>
      </c>
      <c r="B10069" s="40"/>
      <c r="C10069" s="40"/>
      <c r="D10069" s="12"/>
      <c r="E10069" s="12"/>
    </row>
    <row r="10070" spans="1:5" ht="18" x14ac:dyDescent="0.35">
      <c r="A10070" s="5" t="s">
        <v>1202</v>
      </c>
      <c r="B10070" s="5"/>
      <c r="C10070" s="7" t="s">
        <v>28</v>
      </c>
      <c r="D10070" s="7" t="s">
        <v>29</v>
      </c>
      <c r="E10070" s="7" t="s">
        <v>30</v>
      </c>
    </row>
    <row r="10071" spans="1:5" ht="18" x14ac:dyDescent="0.35">
      <c r="A10071" s="5" t="s">
        <v>2188</v>
      </c>
      <c r="B10071" s="50" t="s">
        <v>32</v>
      </c>
      <c r="C10071" s="7">
        <v>4.968</v>
      </c>
      <c r="D10071" s="7">
        <v>11.37</v>
      </c>
      <c r="E10071" s="85">
        <f>C10071*D10071</f>
        <v>56.486159999999998</v>
      </c>
    </row>
    <row r="10072" spans="1:5" ht="18" x14ac:dyDescent="0.35">
      <c r="A10072" s="5" t="s">
        <v>2189</v>
      </c>
      <c r="B10072" s="50" t="s">
        <v>33</v>
      </c>
      <c r="C10072" s="7">
        <v>97.460999999999999</v>
      </c>
      <c r="D10072" s="7">
        <v>10</v>
      </c>
      <c r="E10072" s="85">
        <f>C10072*D10072</f>
        <v>974.61</v>
      </c>
    </row>
    <row r="10073" spans="1:5" ht="18" x14ac:dyDescent="0.35">
      <c r="A10073" s="5" t="s">
        <v>2190</v>
      </c>
      <c r="B10073" s="50" t="s">
        <v>137</v>
      </c>
      <c r="C10073" s="7">
        <v>4.62</v>
      </c>
      <c r="D10073" s="7">
        <v>17.190000000000001</v>
      </c>
      <c r="E10073" s="85">
        <f>C10073*D10073</f>
        <v>79.417800000000014</v>
      </c>
    </row>
    <row r="10074" spans="1:5" ht="18" x14ac:dyDescent="0.35">
      <c r="A10074" s="5" t="s">
        <v>2100</v>
      </c>
      <c r="B10074" s="50" t="s">
        <v>35</v>
      </c>
      <c r="C10074" s="7">
        <v>4</v>
      </c>
      <c r="D10074" s="7">
        <v>2.91</v>
      </c>
      <c r="E10074" s="85">
        <f>C10074*D10074</f>
        <v>11.64</v>
      </c>
    </row>
    <row r="10075" spans="1:5" ht="18" x14ac:dyDescent="0.35">
      <c r="B10075" s="50" t="s">
        <v>36</v>
      </c>
      <c r="C10075" s="7">
        <v>4</v>
      </c>
      <c r="D10075" s="7">
        <v>0.61</v>
      </c>
      <c r="E10075" s="85">
        <f>C10075*D10075</f>
        <v>2.44</v>
      </c>
    </row>
    <row r="10076" spans="1:5" ht="18" x14ac:dyDescent="0.35">
      <c r="A10076" s="5"/>
      <c r="B10076" s="50"/>
      <c r="C10076" s="87"/>
      <c r="D10076" s="88"/>
      <c r="E10076" s="85">
        <f>SUM(E10071:E10075)</f>
        <v>1124.5939600000002</v>
      </c>
    </row>
    <row r="10077" spans="1:5" ht="18" x14ac:dyDescent="0.35">
      <c r="A10077" s="5"/>
      <c r="B10077" s="50"/>
      <c r="C10077" s="87"/>
      <c r="D10077" s="88" t="s">
        <v>1266</v>
      </c>
      <c r="E10077" s="85">
        <f>E10076+E10076*40%</f>
        <v>1574.4315440000003</v>
      </c>
    </row>
    <row r="10078" spans="1:5" ht="18" x14ac:dyDescent="0.35">
      <c r="A10078" s="5"/>
      <c r="B10078" s="50" t="s">
        <v>37</v>
      </c>
      <c r="C10078" s="54">
        <v>2</v>
      </c>
      <c r="D10078" s="86">
        <v>200</v>
      </c>
      <c r="E10078" s="85">
        <f>C10078*D10078</f>
        <v>400</v>
      </c>
    </row>
    <row r="10079" spans="1:5" ht="18" x14ac:dyDescent="0.35">
      <c r="A10079" s="5"/>
      <c r="B10079" s="5"/>
      <c r="C10079" s="54"/>
      <c r="D10079" s="54"/>
      <c r="E10079" s="85">
        <f>SUM(E10077:E10078)</f>
        <v>1974.4315440000003</v>
      </c>
    </row>
    <row r="10081" spans="1:5" ht="21" x14ac:dyDescent="0.4">
      <c r="A10081" s="40" t="s">
        <v>2066</v>
      </c>
      <c r="B10081" s="40"/>
      <c r="C10081" s="40"/>
      <c r="D10081" s="12"/>
      <c r="E10081" s="12"/>
    </row>
    <row r="10082" spans="1:5" ht="18" x14ac:dyDescent="0.35">
      <c r="A10082" s="5" t="s">
        <v>1202</v>
      </c>
      <c r="B10082" s="5"/>
      <c r="C10082" s="7" t="s">
        <v>28</v>
      </c>
      <c r="D10082" s="7" t="s">
        <v>29</v>
      </c>
      <c r="E10082" s="7" t="s">
        <v>30</v>
      </c>
    </row>
    <row r="10083" spans="1:5" ht="18" x14ac:dyDescent="0.35">
      <c r="A10083" s="5" t="s">
        <v>166</v>
      </c>
      <c r="B10083" s="50" t="s">
        <v>32</v>
      </c>
      <c r="C10083" s="7">
        <v>1.5029999999999999</v>
      </c>
      <c r="D10083" s="7">
        <v>11.37</v>
      </c>
      <c r="E10083" s="85">
        <f>C10083*D10083</f>
        <v>17.089109999999998</v>
      </c>
    </row>
    <row r="10084" spans="1:5" ht="18" x14ac:dyDescent="0.35">
      <c r="A10084" s="5" t="s">
        <v>221</v>
      </c>
      <c r="B10084" s="50" t="s">
        <v>33</v>
      </c>
      <c r="C10084" s="7">
        <v>6.9610000000000003</v>
      </c>
      <c r="D10084" s="7">
        <v>10</v>
      </c>
      <c r="E10084" s="85">
        <f>C10084*D10084</f>
        <v>69.61</v>
      </c>
    </row>
    <row r="10085" spans="1:5" ht="18" x14ac:dyDescent="0.35">
      <c r="A10085" s="5" t="s">
        <v>2191</v>
      </c>
      <c r="B10085" s="50" t="s">
        <v>137</v>
      </c>
      <c r="C10085" s="7">
        <v>0.52500000000000002</v>
      </c>
      <c r="D10085" s="7">
        <v>17.190000000000001</v>
      </c>
      <c r="E10085" s="85">
        <f>C10085*D10085</f>
        <v>9.0247500000000009</v>
      </c>
    </row>
    <row r="10086" spans="1:5" ht="18" x14ac:dyDescent="0.35">
      <c r="A10086" s="5" t="s">
        <v>2100</v>
      </c>
      <c r="B10086" s="50" t="s">
        <v>35</v>
      </c>
      <c r="C10086" s="7">
        <v>4</v>
      </c>
      <c r="D10086" s="7">
        <v>2.91</v>
      </c>
      <c r="E10086" s="85">
        <f>C10086*D10086</f>
        <v>11.64</v>
      </c>
    </row>
    <row r="10087" spans="1:5" ht="18" x14ac:dyDescent="0.35">
      <c r="B10087" s="50" t="s">
        <v>36</v>
      </c>
      <c r="C10087" s="7">
        <v>4</v>
      </c>
      <c r="D10087" s="7">
        <v>0.61</v>
      </c>
      <c r="E10087" s="85">
        <f>C10087*D10087</f>
        <v>2.44</v>
      </c>
    </row>
    <row r="10088" spans="1:5" ht="18" x14ac:dyDescent="0.35">
      <c r="A10088" s="5"/>
      <c r="B10088" s="50"/>
      <c r="C10088" s="87"/>
      <c r="D10088" s="88"/>
      <c r="E10088" s="85">
        <f>SUM(E10083:E10087)</f>
        <v>109.80385999999999</v>
      </c>
    </row>
    <row r="10089" spans="1:5" ht="18" x14ac:dyDescent="0.35">
      <c r="A10089" s="5"/>
      <c r="B10089" s="50"/>
      <c r="C10089" s="87"/>
      <c r="D10089" s="88" t="s">
        <v>1266</v>
      </c>
      <c r="E10089" s="85">
        <f>E10088+E10088*40%</f>
        <v>153.72540399999997</v>
      </c>
    </row>
    <row r="10090" spans="1:5" ht="18" x14ac:dyDescent="0.35">
      <c r="A10090" s="5"/>
      <c r="B10090" s="50" t="s">
        <v>37</v>
      </c>
      <c r="C10090" s="54">
        <v>0.5</v>
      </c>
      <c r="D10090" s="86">
        <v>200</v>
      </c>
      <c r="E10090" s="85">
        <f>C10090*D10090</f>
        <v>100</v>
      </c>
    </row>
    <row r="10091" spans="1:5" ht="18" x14ac:dyDescent="0.35">
      <c r="A10091" s="5"/>
      <c r="B10091" s="5"/>
      <c r="C10091" s="54"/>
      <c r="D10091" s="54"/>
      <c r="E10091" s="85">
        <f>SUM(E10089:E10090)</f>
        <v>253.72540399999997</v>
      </c>
    </row>
    <row r="10093" spans="1:5" ht="21" x14ac:dyDescent="0.4">
      <c r="A10093" s="40" t="s">
        <v>1919</v>
      </c>
      <c r="B10093" s="40"/>
      <c r="C10093" s="84"/>
    </row>
    <row r="10094" spans="1:5" x14ac:dyDescent="0.3">
      <c r="A10094" t="s">
        <v>1451</v>
      </c>
    </row>
    <row r="10095" spans="1:5" ht="18" x14ac:dyDescent="0.35">
      <c r="A10095" s="5" t="s">
        <v>2192</v>
      </c>
      <c r="B10095" s="5"/>
      <c r="C10095" s="7" t="s">
        <v>28</v>
      </c>
      <c r="D10095" s="7" t="s">
        <v>29</v>
      </c>
      <c r="E10095" s="7" t="s">
        <v>30</v>
      </c>
    </row>
    <row r="10096" spans="1:5" ht="18" x14ac:dyDescent="0.35">
      <c r="A10096" s="5" t="s">
        <v>819</v>
      </c>
      <c r="B10096" s="50" t="s">
        <v>32</v>
      </c>
      <c r="C10096" s="7">
        <v>2.133</v>
      </c>
      <c r="D10096" s="7">
        <v>11.37</v>
      </c>
      <c r="E10096" s="85">
        <f t="shared" ref="E10096:E10101" si="580">C10096*D10096</f>
        <v>24.252209999999998</v>
      </c>
    </row>
    <row r="10097" spans="1:5" ht="18" x14ac:dyDescent="0.35">
      <c r="A10097" s="5" t="s">
        <v>615</v>
      </c>
      <c r="B10097" s="50" t="s">
        <v>33</v>
      </c>
      <c r="C10097" s="7">
        <v>10.353</v>
      </c>
      <c r="D10097" s="7">
        <v>10</v>
      </c>
      <c r="E10097" s="85">
        <f t="shared" si="580"/>
        <v>103.53</v>
      </c>
    </row>
    <row r="10098" spans="1:5" ht="18" x14ac:dyDescent="0.35">
      <c r="A10098" s="102"/>
      <c r="B10098" s="50" t="s">
        <v>98</v>
      </c>
      <c r="C10098" s="7">
        <v>2</v>
      </c>
      <c r="D10098" s="7">
        <v>3.4</v>
      </c>
      <c r="E10098" s="85">
        <f t="shared" si="580"/>
        <v>6.8</v>
      </c>
    </row>
    <row r="10099" spans="1:5" ht="18" x14ac:dyDescent="0.35">
      <c r="A10099" s="5"/>
      <c r="B10099" s="50" t="s">
        <v>34</v>
      </c>
      <c r="C10099" s="7"/>
      <c r="D10099" s="7">
        <v>18.059999999999999</v>
      </c>
      <c r="E10099" s="85">
        <f t="shared" si="580"/>
        <v>0</v>
      </c>
    </row>
    <row r="10100" spans="1:5" ht="18" x14ac:dyDescent="0.35">
      <c r="A10100" s="5"/>
      <c r="B10100" s="50" t="s">
        <v>35</v>
      </c>
      <c r="C10100" s="7">
        <v>4</v>
      </c>
      <c r="D10100" s="7">
        <v>2.91</v>
      </c>
      <c r="E10100" s="85">
        <f t="shared" si="580"/>
        <v>11.64</v>
      </c>
    </row>
    <row r="10101" spans="1:5" ht="18" x14ac:dyDescent="0.35">
      <c r="A10101" s="5"/>
      <c r="B10101" s="50" t="s">
        <v>36</v>
      </c>
      <c r="C10101" s="7">
        <v>4</v>
      </c>
      <c r="D10101" s="7">
        <v>0.61</v>
      </c>
      <c r="E10101" s="85">
        <f t="shared" si="580"/>
        <v>2.44</v>
      </c>
    </row>
    <row r="10102" spans="1:5" ht="18" x14ac:dyDescent="0.35">
      <c r="A10102" s="5"/>
      <c r="B10102" s="5"/>
      <c r="C10102" s="54"/>
      <c r="D10102" s="54"/>
      <c r="E10102" s="89">
        <f>SUM(E10096:E10101)</f>
        <v>148.66221000000002</v>
      </c>
    </row>
    <row r="10103" spans="1:5" ht="18" x14ac:dyDescent="0.35">
      <c r="A10103" s="5"/>
      <c r="B10103" s="5"/>
      <c r="C10103" s="54"/>
      <c r="D10103" s="54" t="s">
        <v>1066</v>
      </c>
      <c r="E10103" s="89">
        <f>E10102+E10102*40%</f>
        <v>208.12709400000003</v>
      </c>
    </row>
    <row r="10104" spans="1:5" ht="18" x14ac:dyDescent="0.35">
      <c r="A10104" s="5"/>
      <c r="B10104" s="50" t="s">
        <v>37</v>
      </c>
      <c r="C10104" s="54">
        <v>1</v>
      </c>
      <c r="D10104" s="54">
        <v>200</v>
      </c>
      <c r="E10104" s="85">
        <f>C10104*D10104</f>
        <v>200</v>
      </c>
    </row>
    <row r="10105" spans="1:5" ht="18" x14ac:dyDescent="0.35">
      <c r="A10105" s="5"/>
      <c r="B10105" s="5"/>
      <c r="C10105" s="54"/>
      <c r="D10105" s="54"/>
      <c r="E10105" s="85">
        <f>SUM(E10103:E10104)</f>
        <v>408.12709400000006</v>
      </c>
    </row>
    <row r="10107" spans="1:5" ht="21" x14ac:dyDescent="0.4">
      <c r="A10107" s="40" t="s">
        <v>2066</v>
      </c>
      <c r="B10107" s="40"/>
      <c r="C10107" s="40"/>
      <c r="D10107" s="12"/>
      <c r="E10107" s="12"/>
    </row>
    <row r="10108" spans="1:5" ht="18" x14ac:dyDescent="0.35">
      <c r="A10108" s="5" t="s">
        <v>1202</v>
      </c>
      <c r="B10108" s="5"/>
      <c r="C10108" s="7" t="s">
        <v>28</v>
      </c>
      <c r="D10108" s="7" t="s">
        <v>29</v>
      </c>
      <c r="E10108" s="7" t="s">
        <v>30</v>
      </c>
    </row>
    <row r="10109" spans="1:5" ht="18" x14ac:dyDescent="0.35">
      <c r="A10109" s="5" t="s">
        <v>2193</v>
      </c>
      <c r="B10109" s="50" t="s">
        <v>32</v>
      </c>
      <c r="C10109" s="7">
        <v>4.1280000000000001</v>
      </c>
      <c r="D10109" s="7">
        <v>11.37</v>
      </c>
      <c r="E10109" s="85">
        <f>C10109*D10109</f>
        <v>46.935359999999996</v>
      </c>
    </row>
    <row r="10110" spans="1:5" ht="18" x14ac:dyDescent="0.35">
      <c r="A10110" s="5" t="s">
        <v>2194</v>
      </c>
      <c r="B10110" s="50" t="s">
        <v>33</v>
      </c>
      <c r="C10110" s="7">
        <v>65.415000000000006</v>
      </c>
      <c r="D10110" s="7">
        <v>10</v>
      </c>
      <c r="E10110" s="85">
        <f>C10110*D10110</f>
        <v>654.15000000000009</v>
      </c>
    </row>
    <row r="10111" spans="1:5" ht="18" x14ac:dyDescent="0.35">
      <c r="A10111" s="5" t="s">
        <v>2195</v>
      </c>
      <c r="B10111" s="50" t="s">
        <v>137</v>
      </c>
      <c r="C10111" s="7">
        <v>3.15</v>
      </c>
      <c r="D10111" s="7">
        <v>17.190000000000001</v>
      </c>
      <c r="E10111" s="85">
        <f>C10111*D10111</f>
        <v>54.148500000000006</v>
      </c>
    </row>
    <row r="10112" spans="1:5" ht="18" x14ac:dyDescent="0.35">
      <c r="A10112" s="5" t="s">
        <v>2100</v>
      </c>
      <c r="B10112" s="50" t="s">
        <v>35</v>
      </c>
      <c r="C10112" s="7">
        <v>4</v>
      </c>
      <c r="D10112" s="7">
        <v>2.91</v>
      </c>
      <c r="E10112" s="85">
        <f>C10112*D10112</f>
        <v>11.64</v>
      </c>
    </row>
    <row r="10113" spans="1:5" ht="18" x14ac:dyDescent="0.35">
      <c r="B10113" s="50" t="s">
        <v>36</v>
      </c>
      <c r="C10113" s="7">
        <v>4</v>
      </c>
      <c r="D10113" s="7">
        <v>0.61</v>
      </c>
      <c r="E10113" s="85">
        <f>C10113*D10113</f>
        <v>2.44</v>
      </c>
    </row>
    <row r="10114" spans="1:5" ht="18" x14ac:dyDescent="0.35">
      <c r="A10114" s="5"/>
      <c r="B10114" s="50"/>
      <c r="C10114" s="87"/>
      <c r="D10114" s="88"/>
      <c r="E10114" s="85">
        <f>SUM(E10109:E10113)</f>
        <v>769.31386000000009</v>
      </c>
    </row>
    <row r="10115" spans="1:5" ht="18" x14ac:dyDescent="0.35">
      <c r="A10115" s="5"/>
      <c r="B10115" s="50"/>
      <c r="C10115" s="87"/>
      <c r="D10115" s="88" t="s">
        <v>1266</v>
      </c>
      <c r="E10115" s="85">
        <f>E10114+E10114*40%</f>
        <v>1077.0394040000001</v>
      </c>
    </row>
    <row r="10116" spans="1:5" ht="18" x14ac:dyDescent="0.35">
      <c r="A10116" s="5"/>
      <c r="B10116" s="50" t="s">
        <v>37</v>
      </c>
      <c r="C10116" s="54">
        <v>2</v>
      </c>
      <c r="D10116" s="86">
        <v>200</v>
      </c>
      <c r="E10116" s="85">
        <f>C10116*D10116</f>
        <v>400</v>
      </c>
    </row>
    <row r="10117" spans="1:5" ht="18" x14ac:dyDescent="0.35">
      <c r="A10117" s="5"/>
      <c r="B10117" s="5"/>
      <c r="C10117" s="54"/>
      <c r="D10117" s="54"/>
      <c r="E10117" s="85">
        <f>SUM(E10115:E10116)</f>
        <v>1477.0394040000001</v>
      </c>
    </row>
    <row r="10119" spans="1:5" ht="21" x14ac:dyDescent="0.4">
      <c r="A10119" s="40" t="s">
        <v>2066</v>
      </c>
      <c r="B10119" s="40"/>
      <c r="C10119" s="40"/>
      <c r="D10119" s="12"/>
      <c r="E10119" s="12"/>
    </row>
    <row r="10120" spans="1:5" ht="18" x14ac:dyDescent="0.35">
      <c r="A10120" s="5" t="s">
        <v>1202</v>
      </c>
      <c r="B10120" s="5"/>
      <c r="C10120" s="7" t="s">
        <v>28</v>
      </c>
      <c r="D10120" s="7" t="s">
        <v>29</v>
      </c>
      <c r="E10120" s="7" t="s">
        <v>30</v>
      </c>
    </row>
    <row r="10121" spans="1:5" ht="18" x14ac:dyDescent="0.35">
      <c r="A10121" s="5" t="s">
        <v>2197</v>
      </c>
      <c r="B10121" s="50" t="s">
        <v>32</v>
      </c>
      <c r="C10121" s="7">
        <v>4.968</v>
      </c>
      <c r="D10121" s="7">
        <v>11.37</v>
      </c>
      <c r="E10121" s="85">
        <f>C10121*D10121</f>
        <v>56.486159999999998</v>
      </c>
    </row>
    <row r="10122" spans="1:5" ht="18" x14ac:dyDescent="0.35">
      <c r="A10122" s="5" t="s">
        <v>2189</v>
      </c>
      <c r="B10122" s="50" t="s">
        <v>33</v>
      </c>
      <c r="C10122" s="7">
        <v>105.651</v>
      </c>
      <c r="D10122" s="7">
        <v>10</v>
      </c>
      <c r="E10122" s="85">
        <f>C10122*D10122</f>
        <v>1056.51</v>
      </c>
    </row>
    <row r="10123" spans="1:5" ht="18" x14ac:dyDescent="0.35">
      <c r="A10123" s="5" t="s">
        <v>2198</v>
      </c>
      <c r="B10123" s="50" t="s">
        <v>137</v>
      </c>
      <c r="C10123" s="7">
        <v>5.5</v>
      </c>
      <c r="D10123" s="7">
        <v>17.190000000000001</v>
      </c>
      <c r="E10123" s="85">
        <f>C10123*D10123</f>
        <v>94.545000000000002</v>
      </c>
    </row>
    <row r="10124" spans="1:5" ht="18" x14ac:dyDescent="0.35">
      <c r="A10124" s="5" t="s">
        <v>2100</v>
      </c>
      <c r="B10124" s="50" t="s">
        <v>35</v>
      </c>
      <c r="C10124" s="7">
        <v>4</v>
      </c>
      <c r="D10124" s="7">
        <v>2.91</v>
      </c>
      <c r="E10124" s="85">
        <f>C10124*D10124</f>
        <v>11.64</v>
      </c>
    </row>
    <row r="10125" spans="1:5" ht="18" x14ac:dyDescent="0.35">
      <c r="B10125" s="50" t="s">
        <v>36</v>
      </c>
      <c r="C10125" s="7">
        <v>4</v>
      </c>
      <c r="D10125" s="7">
        <v>0.61</v>
      </c>
      <c r="E10125" s="85">
        <f>C10125*D10125</f>
        <v>2.44</v>
      </c>
    </row>
    <row r="10126" spans="1:5" ht="18" x14ac:dyDescent="0.35">
      <c r="A10126" s="5"/>
      <c r="B10126" s="50"/>
      <c r="C10126" s="87"/>
      <c r="D10126" s="88"/>
      <c r="E10126" s="85">
        <f>SUM(E10121:E10125)</f>
        <v>1221.6211600000001</v>
      </c>
    </row>
    <row r="10127" spans="1:5" ht="18" x14ac:dyDescent="0.35">
      <c r="A10127" s="5"/>
      <c r="B10127" s="50"/>
      <c r="C10127" s="87"/>
      <c r="D10127" s="88" t="s">
        <v>1266</v>
      </c>
      <c r="E10127" s="85">
        <f>E10126+E10126*40%</f>
        <v>1710.2696240000002</v>
      </c>
    </row>
    <row r="10128" spans="1:5" ht="18" x14ac:dyDescent="0.35">
      <c r="A10128" s="5"/>
      <c r="B10128" s="50" t="s">
        <v>37</v>
      </c>
      <c r="C10128" s="54">
        <v>2.5</v>
      </c>
      <c r="D10128" s="86">
        <v>200</v>
      </c>
      <c r="E10128" s="85">
        <f>C10128*D10128</f>
        <v>500</v>
      </c>
    </row>
    <row r="10129" spans="1:5" ht="18" x14ac:dyDescent="0.35">
      <c r="A10129" s="5"/>
      <c r="B10129" s="5"/>
      <c r="C10129" s="54"/>
      <c r="D10129" s="54"/>
      <c r="E10129" s="85">
        <f>SUM(E10127:E10128)</f>
        <v>2210.2696240000005</v>
      </c>
    </row>
    <row r="10131" spans="1:5" ht="21" x14ac:dyDescent="0.4">
      <c r="A10131" s="40" t="s">
        <v>1919</v>
      </c>
      <c r="B10131" s="40"/>
      <c r="C10131" s="84"/>
    </row>
    <row r="10132" spans="1:5" x14ac:dyDescent="0.3">
      <c r="A10132" t="s">
        <v>1840</v>
      </c>
    </row>
    <row r="10133" spans="1:5" ht="18" x14ac:dyDescent="0.35">
      <c r="A10133" s="5" t="s">
        <v>537</v>
      </c>
      <c r="B10133" s="5"/>
      <c r="C10133" s="7" t="s">
        <v>28</v>
      </c>
      <c r="D10133" s="7" t="s">
        <v>29</v>
      </c>
      <c r="E10133" s="7" t="s">
        <v>30</v>
      </c>
    </row>
    <row r="10134" spans="1:5" ht="18" x14ac:dyDescent="0.35">
      <c r="A10134" s="5" t="s">
        <v>2199</v>
      </c>
      <c r="B10134" s="50" t="s">
        <v>32</v>
      </c>
      <c r="C10134" s="7">
        <v>3.0790000000000002</v>
      </c>
      <c r="D10134" s="7">
        <v>11.37</v>
      </c>
      <c r="E10134" s="85">
        <f t="shared" ref="E10134:E10139" si="581">C10134*D10134</f>
        <v>35.008229999999998</v>
      </c>
    </row>
    <row r="10135" spans="1:5" ht="18" x14ac:dyDescent="0.35">
      <c r="A10135" s="5" t="s">
        <v>615</v>
      </c>
      <c r="B10135" s="50" t="s">
        <v>33</v>
      </c>
      <c r="C10135" s="7">
        <v>24.632999999999999</v>
      </c>
      <c r="D10135" s="7">
        <v>10</v>
      </c>
      <c r="E10135" s="85">
        <f t="shared" si="581"/>
        <v>246.32999999999998</v>
      </c>
    </row>
    <row r="10136" spans="1:5" ht="18" x14ac:dyDescent="0.35">
      <c r="A10136" s="102"/>
      <c r="B10136" s="50" t="s">
        <v>99</v>
      </c>
      <c r="C10136" s="7">
        <v>2</v>
      </c>
      <c r="D10136" s="7">
        <v>3.51</v>
      </c>
      <c r="E10136" s="85">
        <f t="shared" si="581"/>
        <v>7.02</v>
      </c>
    </row>
    <row r="10137" spans="1:5" ht="18" x14ac:dyDescent="0.35">
      <c r="A10137" s="5"/>
      <c r="B10137" s="50" t="s">
        <v>34</v>
      </c>
      <c r="C10137" s="7">
        <v>1.47</v>
      </c>
      <c r="D10137" s="7">
        <v>18.059999999999999</v>
      </c>
      <c r="E10137" s="85">
        <f t="shared" si="581"/>
        <v>26.548199999999998</v>
      </c>
    </row>
    <row r="10138" spans="1:5" ht="18" x14ac:dyDescent="0.35">
      <c r="A10138" s="5"/>
      <c r="B10138" s="50" t="s">
        <v>35</v>
      </c>
      <c r="C10138" s="7">
        <v>4</v>
      </c>
      <c r="D10138" s="7">
        <v>2.91</v>
      </c>
      <c r="E10138" s="85">
        <f t="shared" si="581"/>
        <v>11.64</v>
      </c>
    </row>
    <row r="10139" spans="1:5" ht="18" x14ac:dyDescent="0.35">
      <c r="A10139" s="5"/>
      <c r="B10139" s="50" t="s">
        <v>36</v>
      </c>
      <c r="C10139" s="7">
        <v>4</v>
      </c>
      <c r="D10139" s="7">
        <v>0.61</v>
      </c>
      <c r="E10139" s="85">
        <f t="shared" si="581"/>
        <v>2.44</v>
      </c>
    </row>
    <row r="10140" spans="1:5" ht="18" x14ac:dyDescent="0.35">
      <c r="A10140" s="5"/>
      <c r="B10140" s="5"/>
      <c r="C10140" s="54"/>
      <c r="D10140" s="54"/>
      <c r="E10140" s="89">
        <f>SUM(E10134:E10139)</f>
        <v>328.98642999999993</v>
      </c>
    </row>
    <row r="10141" spans="1:5" ht="18" x14ac:dyDescent="0.35">
      <c r="A10141" s="5"/>
      <c r="B10141" s="5"/>
      <c r="C10141" s="54"/>
      <c r="D10141" s="54" t="s">
        <v>1066</v>
      </c>
      <c r="E10141" s="89">
        <f>E10140+E10140*40%</f>
        <v>460.5810019999999</v>
      </c>
    </row>
    <row r="10142" spans="1:5" ht="18" x14ac:dyDescent="0.35">
      <c r="A10142" s="5"/>
      <c r="B10142" s="50" t="s">
        <v>37</v>
      </c>
      <c r="C10142" s="54">
        <v>1</v>
      </c>
      <c r="D10142" s="54">
        <v>200</v>
      </c>
      <c r="E10142" s="85">
        <f>C10142*D10142</f>
        <v>200</v>
      </c>
    </row>
    <row r="10143" spans="1:5" ht="18" x14ac:dyDescent="0.35">
      <c r="A10143" s="5"/>
      <c r="B10143" s="5"/>
      <c r="C10143" s="54"/>
      <c r="D10143" s="54"/>
      <c r="E10143" s="85">
        <f>SUM(E10141:E10142)</f>
        <v>660.5810019999999</v>
      </c>
    </row>
    <row r="10145" spans="1:6" ht="21" x14ac:dyDescent="0.4">
      <c r="A10145" s="40" t="s">
        <v>2066</v>
      </c>
      <c r="B10145" s="40"/>
      <c r="C10145" s="40"/>
      <c r="D10145" s="12"/>
      <c r="E10145" s="12"/>
    </row>
    <row r="10146" spans="1:6" ht="18" x14ac:dyDescent="0.35">
      <c r="A10146" s="5" t="s">
        <v>1746</v>
      </c>
      <c r="B10146" s="5"/>
      <c r="C10146" s="7" t="s">
        <v>28</v>
      </c>
      <c r="D10146" s="7" t="s">
        <v>29</v>
      </c>
      <c r="E10146" s="7" t="s">
        <v>30</v>
      </c>
    </row>
    <row r="10147" spans="1:6" ht="18" x14ac:dyDescent="0.35">
      <c r="A10147" s="5" t="s">
        <v>223</v>
      </c>
      <c r="B10147" s="50" t="s">
        <v>32</v>
      </c>
      <c r="C10147" s="7"/>
      <c r="D10147" s="7">
        <v>11.37</v>
      </c>
      <c r="E10147" s="85">
        <f>C10147*D10147</f>
        <v>0</v>
      </c>
    </row>
    <row r="10148" spans="1:6" ht="18" x14ac:dyDescent="0.35">
      <c r="A10148" s="5" t="s">
        <v>214</v>
      </c>
      <c r="B10148" s="50" t="s">
        <v>33</v>
      </c>
      <c r="C10148" s="7">
        <v>2.8029999999999999</v>
      </c>
      <c r="D10148" s="7">
        <v>10</v>
      </c>
      <c r="E10148" s="85">
        <f>C10148*D10148</f>
        <v>28.03</v>
      </c>
    </row>
    <row r="10149" spans="1:6" ht="18" x14ac:dyDescent="0.35">
      <c r="A10149" s="5" t="s">
        <v>2200</v>
      </c>
      <c r="B10149" s="50" t="s">
        <v>137</v>
      </c>
      <c r="C10149" s="7">
        <v>0.126</v>
      </c>
      <c r="D10149" s="7">
        <v>17.190000000000001</v>
      </c>
      <c r="E10149" s="85">
        <f>C10149*D10149</f>
        <v>2.16594</v>
      </c>
    </row>
    <row r="10150" spans="1:6" ht="18" x14ac:dyDescent="0.35">
      <c r="A10150" s="5" t="s">
        <v>2202</v>
      </c>
      <c r="B10150" s="50" t="s">
        <v>35</v>
      </c>
      <c r="C10150" s="7">
        <v>4</v>
      </c>
      <c r="D10150" s="7">
        <v>2.91</v>
      </c>
      <c r="E10150" s="85">
        <f>C10150*D10150</f>
        <v>11.64</v>
      </c>
    </row>
    <row r="10151" spans="1:6" ht="18" x14ac:dyDescent="0.35">
      <c r="B10151" s="50" t="s">
        <v>36</v>
      </c>
      <c r="C10151" s="7">
        <v>4</v>
      </c>
      <c r="D10151" s="7">
        <v>0.61</v>
      </c>
      <c r="E10151" s="85">
        <f>C10151*D10151</f>
        <v>2.44</v>
      </c>
    </row>
    <row r="10152" spans="1:6" ht="18" x14ac:dyDescent="0.35">
      <c r="A10152" s="5"/>
      <c r="B10152" s="50"/>
      <c r="C10152" s="87"/>
      <c r="D10152" s="88"/>
      <c r="E10152" s="85">
        <f>SUM(E10147:E10151)</f>
        <v>44.275939999999999</v>
      </c>
    </row>
    <row r="10153" spans="1:6" ht="18" x14ac:dyDescent="0.35">
      <c r="A10153" s="5"/>
      <c r="B10153" s="50"/>
      <c r="C10153" s="87"/>
      <c r="D10153" s="88" t="s">
        <v>1266</v>
      </c>
      <c r="E10153" s="85">
        <f>E10152+E10152*40%</f>
        <v>61.986316000000002</v>
      </c>
    </row>
    <row r="10154" spans="1:6" ht="18" x14ac:dyDescent="0.35">
      <c r="A10154" s="5"/>
      <c r="B10154" s="50" t="s">
        <v>37</v>
      </c>
      <c r="C10154" s="54">
        <v>0.2</v>
      </c>
      <c r="D10154" s="86">
        <v>200</v>
      </c>
      <c r="E10154" s="85">
        <f>C10154*D10154</f>
        <v>40</v>
      </c>
    </row>
    <row r="10155" spans="1:6" ht="18" x14ac:dyDescent="0.35">
      <c r="A10155" s="5"/>
      <c r="B10155" s="5"/>
      <c r="C10155" s="54"/>
      <c r="D10155" s="54"/>
      <c r="E10155" s="85">
        <f>SUM(E10153:E10154)</f>
        <v>101.986316</v>
      </c>
      <c r="F10155">
        <v>140</v>
      </c>
    </row>
    <row r="10158" spans="1:6" ht="21" x14ac:dyDescent="0.4">
      <c r="A10158" s="40" t="s">
        <v>2066</v>
      </c>
      <c r="B10158" s="40"/>
      <c r="C10158" s="40"/>
      <c r="D10158" s="12"/>
      <c r="E10158" s="12"/>
    </row>
    <row r="10159" spans="1:6" ht="18" x14ac:dyDescent="0.35">
      <c r="A10159" s="5" t="s">
        <v>1746</v>
      </c>
      <c r="B10159" s="5"/>
      <c r="C10159" s="7" t="s">
        <v>28</v>
      </c>
      <c r="D10159" s="7" t="s">
        <v>29</v>
      </c>
      <c r="E10159" s="7" t="s">
        <v>30</v>
      </c>
    </row>
    <row r="10160" spans="1:6" ht="18" x14ac:dyDescent="0.35">
      <c r="A10160" s="5" t="s">
        <v>2201</v>
      </c>
      <c r="B10160" s="50" t="s">
        <v>32</v>
      </c>
      <c r="C10160" s="7"/>
      <c r="D10160" s="7">
        <v>11.37</v>
      </c>
      <c r="E10160" s="85">
        <f>C10160*D10160</f>
        <v>0</v>
      </c>
    </row>
    <row r="10161" spans="1:6" ht="18" x14ac:dyDescent="0.35">
      <c r="A10161" s="5" t="s">
        <v>214</v>
      </c>
      <c r="B10161" s="50" t="s">
        <v>33</v>
      </c>
      <c r="C10161" s="7">
        <v>1.7010000000000001</v>
      </c>
      <c r="D10161" s="7">
        <v>10</v>
      </c>
      <c r="E10161" s="85">
        <f>C10161*D10161</f>
        <v>17.010000000000002</v>
      </c>
    </row>
    <row r="10162" spans="1:6" ht="18" x14ac:dyDescent="0.35">
      <c r="A10162" s="5" t="s">
        <v>2203</v>
      </c>
      <c r="B10162" s="50" t="s">
        <v>137</v>
      </c>
      <c r="C10162" s="7">
        <v>0.126</v>
      </c>
      <c r="D10162" s="7">
        <v>17.190000000000001</v>
      </c>
      <c r="E10162" s="85">
        <f>C10162*D10162</f>
        <v>2.16594</v>
      </c>
    </row>
    <row r="10163" spans="1:6" ht="18" x14ac:dyDescent="0.35">
      <c r="A10163" s="5" t="s">
        <v>2204</v>
      </c>
      <c r="B10163" s="50" t="s">
        <v>35</v>
      </c>
      <c r="C10163" s="7">
        <v>4</v>
      </c>
      <c r="D10163" s="7">
        <v>2.91</v>
      </c>
      <c r="E10163" s="85">
        <f>C10163*D10163</f>
        <v>11.64</v>
      </c>
    </row>
    <row r="10164" spans="1:6" ht="18" x14ac:dyDescent="0.35">
      <c r="B10164" s="50" t="s">
        <v>36</v>
      </c>
      <c r="C10164" s="7">
        <v>4</v>
      </c>
      <c r="D10164" s="7">
        <v>0.61</v>
      </c>
      <c r="E10164" s="85">
        <f>C10164*D10164</f>
        <v>2.44</v>
      </c>
    </row>
    <row r="10165" spans="1:6" ht="18" x14ac:dyDescent="0.35">
      <c r="A10165" s="5"/>
      <c r="B10165" s="50"/>
      <c r="C10165" s="87"/>
      <c r="D10165" s="88"/>
      <c r="E10165" s="85">
        <f>SUM(E10160:E10164)</f>
        <v>33.255940000000002</v>
      </c>
    </row>
    <row r="10166" spans="1:6" ht="18" x14ac:dyDescent="0.35">
      <c r="A10166" s="5"/>
      <c r="B10166" s="50"/>
      <c r="C10166" s="87"/>
      <c r="D10166" s="88" t="s">
        <v>1266</v>
      </c>
      <c r="E10166" s="85">
        <f>E10165+E10165*40%</f>
        <v>46.558316000000005</v>
      </c>
    </row>
    <row r="10167" spans="1:6" ht="18" x14ac:dyDescent="0.35">
      <c r="A10167" s="5"/>
      <c r="B10167" s="50" t="s">
        <v>37</v>
      </c>
      <c r="C10167" s="54">
        <v>0.2</v>
      </c>
      <c r="D10167" s="86">
        <v>200</v>
      </c>
      <c r="E10167" s="85">
        <f>C10167*D10167</f>
        <v>40</v>
      </c>
    </row>
    <row r="10168" spans="1:6" ht="18" x14ac:dyDescent="0.35">
      <c r="A10168" s="5"/>
      <c r="B10168" s="5"/>
      <c r="C10168" s="54"/>
      <c r="D10168" s="54"/>
      <c r="E10168" s="85">
        <f>SUM(E10166:E10167)</f>
        <v>86.558316000000005</v>
      </c>
      <c r="F10168">
        <v>120</v>
      </c>
    </row>
    <row r="10170" spans="1:6" ht="21" x14ac:dyDescent="0.4">
      <c r="A10170" s="40" t="s">
        <v>2066</v>
      </c>
      <c r="B10170" s="40"/>
      <c r="C10170" s="40"/>
      <c r="D10170" s="12"/>
      <c r="E10170" s="12"/>
    </row>
    <row r="10171" spans="1:6" ht="18" x14ac:dyDescent="0.35">
      <c r="A10171" s="5" t="s">
        <v>2207</v>
      </c>
      <c r="B10171" s="5"/>
      <c r="C10171" s="7" t="s">
        <v>28</v>
      </c>
      <c r="D10171" s="7" t="s">
        <v>29</v>
      </c>
      <c r="E10171" s="7" t="s">
        <v>30</v>
      </c>
    </row>
    <row r="10172" spans="1:6" ht="18" x14ac:dyDescent="0.35">
      <c r="A10172" s="5" t="s">
        <v>2208</v>
      </c>
      <c r="B10172" s="50" t="s">
        <v>32</v>
      </c>
      <c r="C10172" s="7">
        <v>2.5110000000000001</v>
      </c>
      <c r="D10172" s="7">
        <v>11.37</v>
      </c>
      <c r="E10172" s="85">
        <f>C10172*D10172</f>
        <v>28.550069999999998</v>
      </c>
    </row>
    <row r="10173" spans="1:6" ht="18" x14ac:dyDescent="0.35">
      <c r="A10173" s="5" t="s">
        <v>232</v>
      </c>
      <c r="B10173" s="50" t="s">
        <v>33</v>
      </c>
      <c r="C10173" s="7">
        <v>10.29</v>
      </c>
      <c r="D10173" s="7">
        <v>10</v>
      </c>
      <c r="E10173" s="85">
        <f>C10173*D10173</f>
        <v>102.89999999999999</v>
      </c>
    </row>
    <row r="10174" spans="1:6" ht="18" x14ac:dyDescent="0.35">
      <c r="A10174" s="5" t="s">
        <v>2209</v>
      </c>
      <c r="B10174" s="50" t="s">
        <v>137</v>
      </c>
      <c r="C10174" s="7">
        <v>0.29399999999999998</v>
      </c>
      <c r="D10174" s="7">
        <v>17.190000000000001</v>
      </c>
      <c r="E10174" s="85">
        <f>C10174*D10174</f>
        <v>5.0538600000000002</v>
      </c>
    </row>
    <row r="10175" spans="1:6" ht="18" x14ac:dyDescent="0.35">
      <c r="A10175" s="5" t="s">
        <v>2100</v>
      </c>
      <c r="B10175" s="50" t="s">
        <v>35</v>
      </c>
      <c r="C10175" s="7">
        <v>4</v>
      </c>
      <c r="D10175" s="7">
        <v>2.91</v>
      </c>
      <c r="E10175" s="85">
        <f>C10175*D10175</f>
        <v>11.64</v>
      </c>
    </row>
    <row r="10176" spans="1:6" ht="18" x14ac:dyDescent="0.35">
      <c r="B10176" s="50" t="s">
        <v>36</v>
      </c>
      <c r="C10176" s="7">
        <v>4</v>
      </c>
      <c r="D10176" s="7">
        <v>0.61</v>
      </c>
      <c r="E10176" s="85">
        <f>C10176*D10176</f>
        <v>2.44</v>
      </c>
    </row>
    <row r="10177" spans="1:5" ht="18" x14ac:dyDescent="0.35">
      <c r="A10177" s="5"/>
      <c r="B10177" s="50"/>
      <c r="C10177" s="87"/>
      <c r="D10177" s="88"/>
      <c r="E10177" s="85">
        <f>SUM(E10172:E10176)</f>
        <v>150.58392999999995</v>
      </c>
    </row>
    <row r="10178" spans="1:5" ht="18" x14ac:dyDescent="0.35">
      <c r="A10178" s="5"/>
      <c r="B10178" s="50"/>
      <c r="C10178" s="87"/>
      <c r="D10178" s="88" t="s">
        <v>1266</v>
      </c>
      <c r="E10178" s="85">
        <f>E10177+E10177*40%</f>
        <v>210.81750199999993</v>
      </c>
    </row>
    <row r="10179" spans="1:5" ht="18" x14ac:dyDescent="0.35">
      <c r="A10179" s="5"/>
      <c r="B10179" s="50" t="s">
        <v>37</v>
      </c>
      <c r="C10179" s="54">
        <v>0.5</v>
      </c>
      <c r="D10179" s="86">
        <v>200</v>
      </c>
      <c r="E10179" s="85">
        <f>C10179*D10179</f>
        <v>100</v>
      </c>
    </row>
    <row r="10180" spans="1:5" ht="18" x14ac:dyDescent="0.35">
      <c r="A10180" s="5"/>
      <c r="B10180" s="5"/>
      <c r="C10180" s="54"/>
      <c r="D10180" s="54"/>
      <c r="E10180" s="85">
        <f>SUM(E10178:E10179)</f>
        <v>310.81750199999993</v>
      </c>
    </row>
    <row r="10182" spans="1:5" ht="21" x14ac:dyDescent="0.4">
      <c r="A10182" s="40" t="s">
        <v>2066</v>
      </c>
      <c r="B10182" s="40"/>
      <c r="C10182" s="40"/>
      <c r="D10182" s="12"/>
      <c r="E10182" s="12"/>
    </row>
    <row r="10183" spans="1:5" ht="18" x14ac:dyDescent="0.35">
      <c r="A10183" s="5" t="s">
        <v>2207</v>
      </c>
      <c r="B10183" s="5"/>
      <c r="C10183" s="7" t="s">
        <v>28</v>
      </c>
      <c r="D10183" s="7" t="s">
        <v>29</v>
      </c>
      <c r="E10183" s="7" t="s">
        <v>30</v>
      </c>
    </row>
    <row r="10184" spans="1:5" ht="18" x14ac:dyDescent="0.35">
      <c r="A10184" s="5" t="s">
        <v>999</v>
      </c>
      <c r="B10184" s="50" t="s">
        <v>32</v>
      </c>
      <c r="C10184" s="7">
        <v>2.0920000000000001</v>
      </c>
      <c r="D10184" s="7">
        <v>11.37</v>
      </c>
      <c r="E10184" s="85">
        <f>C10184*D10184</f>
        <v>23.78604</v>
      </c>
    </row>
    <row r="10185" spans="1:5" ht="18" x14ac:dyDescent="0.35">
      <c r="A10185" s="5" t="s">
        <v>232</v>
      </c>
      <c r="B10185" s="50" t="s">
        <v>33</v>
      </c>
      <c r="C10185" s="7">
        <v>8.0850000000000009</v>
      </c>
      <c r="D10185" s="7">
        <v>10</v>
      </c>
      <c r="E10185" s="85">
        <f>C10185*D10185</f>
        <v>80.850000000000009</v>
      </c>
    </row>
    <row r="10186" spans="1:5" ht="18" x14ac:dyDescent="0.35">
      <c r="A10186" s="5" t="s">
        <v>2209</v>
      </c>
      <c r="B10186" s="50" t="s">
        <v>137</v>
      </c>
      <c r="C10186" s="7">
        <v>0.29399999999999998</v>
      </c>
      <c r="D10186" s="7">
        <v>17.190000000000001</v>
      </c>
      <c r="E10186" s="85">
        <f>C10186*D10186</f>
        <v>5.0538600000000002</v>
      </c>
    </row>
    <row r="10187" spans="1:5" ht="18" x14ac:dyDescent="0.35">
      <c r="A10187" s="5" t="s">
        <v>2100</v>
      </c>
      <c r="B10187" s="50" t="s">
        <v>35</v>
      </c>
      <c r="C10187" s="7">
        <v>4</v>
      </c>
      <c r="D10187" s="7">
        <v>2.91</v>
      </c>
      <c r="E10187" s="85">
        <f>C10187*D10187</f>
        <v>11.64</v>
      </c>
    </row>
    <row r="10188" spans="1:5" ht="18" x14ac:dyDescent="0.35">
      <c r="B10188" s="50" t="s">
        <v>36</v>
      </c>
      <c r="C10188" s="7">
        <v>4</v>
      </c>
      <c r="D10188" s="7">
        <v>0.61</v>
      </c>
      <c r="E10188" s="85">
        <f>C10188*D10188</f>
        <v>2.44</v>
      </c>
    </row>
    <row r="10189" spans="1:5" ht="18" x14ac:dyDescent="0.35">
      <c r="A10189" s="5"/>
      <c r="B10189" s="50"/>
      <c r="C10189" s="87"/>
      <c r="D10189" s="88"/>
      <c r="E10189" s="85">
        <f>SUM(E10184:E10188)</f>
        <v>123.76990000000001</v>
      </c>
    </row>
    <row r="10190" spans="1:5" ht="18" x14ac:dyDescent="0.35">
      <c r="A10190" s="5"/>
      <c r="B10190" s="50"/>
      <c r="C10190" s="87"/>
      <c r="D10190" s="88" t="s">
        <v>1266</v>
      </c>
      <c r="E10190" s="85">
        <f>E10189+E10189*40%</f>
        <v>173.27786</v>
      </c>
    </row>
    <row r="10191" spans="1:5" ht="18" x14ac:dyDescent="0.35">
      <c r="A10191" s="5"/>
      <c r="B10191" s="50" t="s">
        <v>37</v>
      </c>
      <c r="C10191" s="54">
        <v>0.5</v>
      </c>
      <c r="D10191" s="86">
        <v>200</v>
      </c>
      <c r="E10191" s="85">
        <f>C10191*D10191</f>
        <v>100</v>
      </c>
    </row>
    <row r="10192" spans="1:5" ht="18" x14ac:dyDescent="0.35">
      <c r="A10192" s="5"/>
      <c r="B10192" s="5"/>
      <c r="C10192" s="54"/>
      <c r="D10192" s="54"/>
      <c r="E10192" s="85">
        <f>SUM(E10190:E10191)</f>
        <v>273.27786000000003</v>
      </c>
    </row>
    <row r="10194" spans="1:5" ht="21" x14ac:dyDescent="0.4">
      <c r="A10194" s="40" t="s">
        <v>2066</v>
      </c>
      <c r="B10194" s="40"/>
      <c r="C10194" s="40"/>
      <c r="D10194" s="12"/>
      <c r="E10194" s="12"/>
    </row>
    <row r="10195" spans="1:5" ht="18" x14ac:dyDescent="0.35">
      <c r="A10195" s="5" t="s">
        <v>2210</v>
      </c>
      <c r="B10195" s="5"/>
      <c r="C10195" s="7" t="s">
        <v>28</v>
      </c>
      <c r="D10195" s="7" t="s">
        <v>29</v>
      </c>
      <c r="E10195" s="7" t="s">
        <v>30</v>
      </c>
    </row>
    <row r="10196" spans="1:5" ht="18" x14ac:dyDescent="0.35">
      <c r="A10196" s="5" t="s">
        <v>999</v>
      </c>
      <c r="B10196" s="50" t="s">
        <v>32</v>
      </c>
      <c r="C10196" s="7">
        <v>2.0920000000000001</v>
      </c>
      <c r="D10196" s="7">
        <v>11.37</v>
      </c>
      <c r="E10196" s="85">
        <f>C10196*D10196</f>
        <v>23.78604</v>
      </c>
    </row>
    <row r="10197" spans="1:5" ht="18" x14ac:dyDescent="0.35">
      <c r="A10197" s="5" t="s">
        <v>232</v>
      </c>
      <c r="B10197" s="50" t="s">
        <v>33</v>
      </c>
      <c r="C10197" s="7">
        <v>8.0850000000000009</v>
      </c>
      <c r="D10197" s="7">
        <v>10</v>
      </c>
      <c r="E10197" s="85">
        <f>C10197*D10197</f>
        <v>80.850000000000009</v>
      </c>
    </row>
    <row r="10198" spans="1:5" ht="18" x14ac:dyDescent="0.35">
      <c r="A10198" s="5" t="s">
        <v>2209</v>
      </c>
      <c r="B10198" s="50" t="s">
        <v>137</v>
      </c>
      <c r="C10198" s="7">
        <v>0.29399999999999998</v>
      </c>
      <c r="D10198" s="7">
        <v>17.190000000000001</v>
      </c>
      <c r="E10198" s="85">
        <f>C10198*D10198</f>
        <v>5.0538600000000002</v>
      </c>
    </row>
    <row r="10199" spans="1:5" ht="18" x14ac:dyDescent="0.35">
      <c r="A10199" s="5" t="s">
        <v>2100</v>
      </c>
      <c r="B10199" s="50" t="s">
        <v>35</v>
      </c>
      <c r="C10199" s="7">
        <v>4</v>
      </c>
      <c r="D10199" s="7">
        <v>2.91</v>
      </c>
      <c r="E10199" s="85">
        <f>C10199*D10199</f>
        <v>11.64</v>
      </c>
    </row>
    <row r="10200" spans="1:5" ht="18" x14ac:dyDescent="0.35">
      <c r="B10200" s="50" t="s">
        <v>36</v>
      </c>
      <c r="C10200" s="7">
        <v>4</v>
      </c>
      <c r="D10200" s="7">
        <v>0.61</v>
      </c>
      <c r="E10200" s="85">
        <f>C10200*D10200</f>
        <v>2.44</v>
      </c>
    </row>
    <row r="10201" spans="1:5" ht="18" x14ac:dyDescent="0.35">
      <c r="A10201" s="5"/>
      <c r="B10201" s="50"/>
      <c r="C10201" s="87"/>
      <c r="D10201" s="88"/>
      <c r="E10201" s="85">
        <f>SUM(E10196:E10200)</f>
        <v>123.76990000000001</v>
      </c>
    </row>
    <row r="10202" spans="1:5" ht="18" x14ac:dyDescent="0.35">
      <c r="A10202" s="5"/>
      <c r="B10202" s="50"/>
      <c r="C10202" s="87"/>
      <c r="D10202" s="88" t="s">
        <v>1266</v>
      </c>
      <c r="E10202" s="85">
        <f>E10201+E10201*40%</f>
        <v>173.27786</v>
      </c>
    </row>
    <row r="10203" spans="1:5" ht="18" x14ac:dyDescent="0.35">
      <c r="A10203" s="5"/>
      <c r="B10203" s="50" t="s">
        <v>37</v>
      </c>
      <c r="C10203" s="54">
        <v>0.5</v>
      </c>
      <c r="D10203" s="86">
        <v>200</v>
      </c>
      <c r="E10203" s="85">
        <f>C10203*D10203</f>
        <v>100</v>
      </c>
    </row>
    <row r="10204" spans="1:5" ht="18" x14ac:dyDescent="0.35">
      <c r="A10204" s="5"/>
      <c r="B10204" s="5"/>
      <c r="C10204" s="54"/>
      <c r="D10204" s="54"/>
      <c r="E10204" s="85">
        <f>SUM(E10202:E10203)</f>
        <v>273.27786000000003</v>
      </c>
    </row>
    <row r="10206" spans="1:5" ht="21" x14ac:dyDescent="0.4">
      <c r="A10206" s="40" t="s">
        <v>2066</v>
      </c>
      <c r="B10206" s="40"/>
      <c r="C10206" s="40"/>
      <c r="D10206" s="12"/>
      <c r="E10206" s="12"/>
    </row>
    <row r="10207" spans="1:5" ht="18" x14ac:dyDescent="0.35">
      <c r="A10207" s="5" t="s">
        <v>2211</v>
      </c>
      <c r="B10207" s="5"/>
      <c r="C10207" s="7" t="s">
        <v>28</v>
      </c>
      <c r="D10207" s="7" t="s">
        <v>29</v>
      </c>
      <c r="E10207" s="7" t="s">
        <v>30</v>
      </c>
    </row>
    <row r="10208" spans="1:5" ht="18" x14ac:dyDescent="0.35">
      <c r="A10208" s="5" t="s">
        <v>110</v>
      </c>
      <c r="B10208" s="50" t="s">
        <v>32</v>
      </c>
      <c r="C10208" s="7">
        <v>3.2879999999999998</v>
      </c>
      <c r="D10208" s="7">
        <v>11.37</v>
      </c>
      <c r="E10208" s="85">
        <f>C10208*D10208</f>
        <v>37.384559999999993</v>
      </c>
    </row>
    <row r="10209" spans="1:5" ht="18" x14ac:dyDescent="0.35">
      <c r="A10209" s="5" t="s">
        <v>213</v>
      </c>
      <c r="B10209" s="50" t="s">
        <v>33</v>
      </c>
      <c r="C10209" s="7">
        <v>26.239000000000001</v>
      </c>
      <c r="D10209" s="7">
        <v>10</v>
      </c>
      <c r="E10209" s="85">
        <f>C10209*D10209</f>
        <v>262.39</v>
      </c>
    </row>
    <row r="10210" spans="1:5" ht="18" x14ac:dyDescent="0.35">
      <c r="A10210" s="5" t="s">
        <v>681</v>
      </c>
      <c r="B10210" s="50" t="s">
        <v>137</v>
      </c>
      <c r="C10210" s="7">
        <v>3</v>
      </c>
      <c r="D10210" s="7">
        <v>17.190000000000001</v>
      </c>
      <c r="E10210" s="85">
        <f>C10210*D10210</f>
        <v>51.570000000000007</v>
      </c>
    </row>
    <row r="10211" spans="1:5" ht="18" x14ac:dyDescent="0.35">
      <c r="A10211" s="5" t="s">
        <v>2100</v>
      </c>
      <c r="B10211" s="50" t="s">
        <v>35</v>
      </c>
      <c r="C10211" s="7">
        <v>4</v>
      </c>
      <c r="D10211" s="7">
        <v>2.91</v>
      </c>
      <c r="E10211" s="85">
        <f>C10211*D10211</f>
        <v>11.64</v>
      </c>
    </row>
    <row r="10212" spans="1:5" ht="18" x14ac:dyDescent="0.35">
      <c r="B10212" s="50" t="s">
        <v>36</v>
      </c>
      <c r="C10212" s="7">
        <v>4</v>
      </c>
      <c r="D10212" s="7">
        <v>0.61</v>
      </c>
      <c r="E10212" s="85">
        <f>C10212*D10212</f>
        <v>2.44</v>
      </c>
    </row>
    <row r="10213" spans="1:5" ht="18" x14ac:dyDescent="0.35">
      <c r="A10213" s="5"/>
      <c r="B10213" s="50"/>
      <c r="C10213" s="87"/>
      <c r="D10213" s="88"/>
      <c r="E10213" s="85">
        <f>SUM(E10208:E10212)</f>
        <v>365.42455999999993</v>
      </c>
    </row>
    <row r="10214" spans="1:5" ht="18" x14ac:dyDescent="0.35">
      <c r="A10214" s="5"/>
      <c r="B10214" s="50"/>
      <c r="C10214" s="87"/>
      <c r="D10214" s="88" t="s">
        <v>1266</v>
      </c>
      <c r="E10214" s="85">
        <f>E10213+E10213*40%</f>
        <v>511.59438399999988</v>
      </c>
    </row>
    <row r="10215" spans="1:5" ht="18" x14ac:dyDescent="0.35">
      <c r="A10215" s="5"/>
      <c r="B10215" s="50" t="s">
        <v>37</v>
      </c>
      <c r="C10215" s="54">
        <v>1</v>
      </c>
      <c r="D10215" s="86">
        <v>200</v>
      </c>
      <c r="E10215" s="85">
        <f>C10215*D10215</f>
        <v>200</v>
      </c>
    </row>
    <row r="10216" spans="1:5" ht="18" x14ac:dyDescent="0.35">
      <c r="A10216" s="5"/>
      <c r="B10216" s="5"/>
      <c r="C10216" s="54"/>
      <c r="D10216" s="54"/>
      <c r="E10216" s="85">
        <f>SUM(E10214:E10215)</f>
        <v>711.59438399999988</v>
      </c>
    </row>
    <row r="10218" spans="1:5" ht="21" x14ac:dyDescent="0.4">
      <c r="A10218" s="40" t="s">
        <v>1919</v>
      </c>
      <c r="B10218" s="40"/>
      <c r="C10218" s="84"/>
    </row>
    <row r="10219" spans="1:5" x14ac:dyDescent="0.3">
      <c r="A10219" t="s">
        <v>2213</v>
      </c>
    </row>
    <row r="10220" spans="1:5" ht="18" x14ac:dyDescent="0.35">
      <c r="A10220" s="5" t="s">
        <v>2212</v>
      </c>
      <c r="B10220" s="5"/>
      <c r="C10220" s="7" t="s">
        <v>28</v>
      </c>
      <c r="D10220" s="7" t="s">
        <v>29</v>
      </c>
      <c r="E10220" s="7" t="s">
        <v>30</v>
      </c>
    </row>
    <row r="10221" spans="1:5" ht="18" x14ac:dyDescent="0.35">
      <c r="A10221" s="5" t="s">
        <v>828</v>
      </c>
      <c r="B10221" s="50" t="s">
        <v>32</v>
      </c>
      <c r="C10221" s="7">
        <v>1.4930000000000001</v>
      </c>
      <c r="D10221" s="7">
        <v>11.37</v>
      </c>
      <c r="E10221" s="85">
        <f t="shared" ref="E10221:E10226" si="582">C10221*D10221</f>
        <v>16.97541</v>
      </c>
    </row>
    <row r="10222" spans="1:5" ht="18" x14ac:dyDescent="0.35">
      <c r="A10222" s="5" t="s">
        <v>615</v>
      </c>
      <c r="B10222" s="50" t="s">
        <v>33</v>
      </c>
      <c r="C10222" s="7">
        <v>4.1100000000000003</v>
      </c>
      <c r="D10222" s="7">
        <v>10</v>
      </c>
      <c r="E10222" s="85">
        <f t="shared" si="582"/>
        <v>41.1</v>
      </c>
    </row>
    <row r="10223" spans="1:5" ht="18" x14ac:dyDescent="0.35">
      <c r="A10223" s="102"/>
      <c r="B10223" s="50" t="s">
        <v>85</v>
      </c>
      <c r="C10223" s="7">
        <v>2</v>
      </c>
      <c r="D10223" s="7">
        <v>1.48</v>
      </c>
      <c r="E10223" s="85">
        <f t="shared" si="582"/>
        <v>2.96</v>
      </c>
    </row>
    <row r="10224" spans="1:5" ht="18" x14ac:dyDescent="0.35">
      <c r="A10224" s="5"/>
      <c r="B10224" s="50" t="s">
        <v>34</v>
      </c>
      <c r="C10224" s="7"/>
      <c r="D10224" s="7">
        <v>18.059999999999999</v>
      </c>
      <c r="E10224" s="85">
        <f t="shared" si="582"/>
        <v>0</v>
      </c>
    </row>
    <row r="10225" spans="1:5" ht="18" x14ac:dyDescent="0.35">
      <c r="A10225" s="5"/>
      <c r="B10225" s="50" t="s">
        <v>35</v>
      </c>
      <c r="C10225" s="7">
        <v>4</v>
      </c>
      <c r="D10225" s="7">
        <v>2.91</v>
      </c>
      <c r="E10225" s="85">
        <f t="shared" si="582"/>
        <v>11.64</v>
      </c>
    </row>
    <row r="10226" spans="1:5" ht="18" x14ac:dyDescent="0.35">
      <c r="A10226" s="5"/>
      <c r="B10226" s="50" t="s">
        <v>36</v>
      </c>
      <c r="C10226" s="7">
        <v>4</v>
      </c>
      <c r="D10226" s="7">
        <v>0.61</v>
      </c>
      <c r="E10226" s="85">
        <f t="shared" si="582"/>
        <v>2.44</v>
      </c>
    </row>
    <row r="10227" spans="1:5" ht="18" x14ac:dyDescent="0.35">
      <c r="A10227" s="5"/>
      <c r="B10227" s="5"/>
      <c r="C10227" s="54"/>
      <c r="D10227" s="54"/>
      <c r="E10227" s="89">
        <f>SUM(E10221:E10226)</f>
        <v>75.115409999999997</v>
      </c>
    </row>
    <row r="10228" spans="1:5" ht="18" x14ac:dyDescent="0.35">
      <c r="A10228" s="5"/>
      <c r="B10228" s="5"/>
      <c r="C10228" s="54"/>
      <c r="D10228" s="54" t="s">
        <v>1066</v>
      </c>
      <c r="E10228" s="89">
        <f>E10227+E10227*40%</f>
        <v>105.161574</v>
      </c>
    </row>
    <row r="10229" spans="1:5" ht="18" x14ac:dyDescent="0.35">
      <c r="A10229" s="5"/>
      <c r="B10229" s="50" t="s">
        <v>37</v>
      </c>
      <c r="C10229" s="54">
        <v>0.2</v>
      </c>
      <c r="D10229" s="54">
        <v>200</v>
      </c>
      <c r="E10229" s="85">
        <f>C10229*D10229</f>
        <v>40</v>
      </c>
    </row>
    <row r="10230" spans="1:5" ht="18" x14ac:dyDescent="0.35">
      <c r="A10230" s="5"/>
      <c r="B10230" s="5"/>
      <c r="C10230" s="54"/>
      <c r="D10230" s="54"/>
      <c r="E10230" s="85">
        <f>SUM(E10228:E10229)</f>
        <v>145.161574</v>
      </c>
    </row>
    <row r="10232" spans="1:5" ht="21" x14ac:dyDescent="0.4">
      <c r="A10232" s="40" t="s">
        <v>1919</v>
      </c>
      <c r="B10232" s="40"/>
      <c r="C10232" s="84"/>
    </row>
    <row r="10233" spans="1:5" x14ac:dyDescent="0.3">
      <c r="A10233" t="s">
        <v>2213</v>
      </c>
    </row>
    <row r="10234" spans="1:5" ht="18" x14ac:dyDescent="0.35">
      <c r="A10234" s="5" t="s">
        <v>64</v>
      </c>
      <c r="B10234" s="5"/>
      <c r="C10234" s="7" t="s">
        <v>28</v>
      </c>
      <c r="D10234" s="7" t="s">
        <v>29</v>
      </c>
      <c r="E10234" s="7" t="s">
        <v>30</v>
      </c>
    </row>
    <row r="10235" spans="1:5" ht="18" x14ac:dyDescent="0.35">
      <c r="A10235" s="5" t="s">
        <v>791</v>
      </c>
      <c r="B10235" s="50" t="s">
        <v>32</v>
      </c>
      <c r="C10235" s="7">
        <v>1.083</v>
      </c>
      <c r="D10235" s="7">
        <v>11.37</v>
      </c>
      <c r="E10235" s="85">
        <f t="shared" ref="E10235:E10240" si="583">C10235*D10235</f>
        <v>12.313709999999999</v>
      </c>
    </row>
    <row r="10236" spans="1:5" ht="18" x14ac:dyDescent="0.35">
      <c r="A10236" s="5" t="s">
        <v>615</v>
      </c>
      <c r="B10236" s="50" t="s">
        <v>33</v>
      </c>
      <c r="C10236" s="7">
        <v>1.827</v>
      </c>
      <c r="D10236" s="7">
        <v>10</v>
      </c>
      <c r="E10236" s="85">
        <f t="shared" si="583"/>
        <v>18.27</v>
      </c>
    </row>
    <row r="10237" spans="1:5" ht="18" x14ac:dyDescent="0.35">
      <c r="A10237" s="102"/>
      <c r="B10237" s="50" t="s">
        <v>84</v>
      </c>
      <c r="C10237" s="7">
        <v>2</v>
      </c>
      <c r="D10237" s="7">
        <v>1.48</v>
      </c>
      <c r="E10237" s="85">
        <f t="shared" si="583"/>
        <v>2.96</v>
      </c>
    </row>
    <row r="10238" spans="1:5" ht="18" x14ac:dyDescent="0.35">
      <c r="A10238" s="5"/>
      <c r="B10238" s="50" t="s">
        <v>34</v>
      </c>
      <c r="C10238" s="7"/>
      <c r="D10238" s="7">
        <v>18.059999999999999</v>
      </c>
      <c r="E10238" s="85">
        <f t="shared" si="583"/>
        <v>0</v>
      </c>
    </row>
    <row r="10239" spans="1:5" ht="18" x14ac:dyDescent="0.35">
      <c r="A10239" s="5"/>
      <c r="B10239" s="50" t="s">
        <v>35</v>
      </c>
      <c r="C10239" s="7">
        <v>4</v>
      </c>
      <c r="D10239" s="7">
        <v>2.91</v>
      </c>
      <c r="E10239" s="85">
        <f t="shared" si="583"/>
        <v>11.64</v>
      </c>
    </row>
    <row r="10240" spans="1:5" ht="18" x14ac:dyDescent="0.35">
      <c r="A10240" s="5"/>
      <c r="B10240" s="50" t="s">
        <v>36</v>
      </c>
      <c r="C10240" s="7">
        <v>4</v>
      </c>
      <c r="D10240" s="7">
        <v>0.61</v>
      </c>
      <c r="E10240" s="85">
        <f t="shared" si="583"/>
        <v>2.44</v>
      </c>
    </row>
    <row r="10241" spans="1:5" ht="18" x14ac:dyDescent="0.35">
      <c r="A10241" s="5"/>
      <c r="B10241" s="5"/>
      <c r="C10241" s="54"/>
      <c r="D10241" s="54"/>
      <c r="E10241" s="89">
        <f>SUM(E10235:E10240)</f>
        <v>47.623709999999996</v>
      </c>
    </row>
    <row r="10242" spans="1:5" ht="18" x14ac:dyDescent="0.35">
      <c r="A10242" s="5"/>
      <c r="B10242" s="5"/>
      <c r="C10242" s="54"/>
      <c r="D10242" s="54" t="s">
        <v>1066</v>
      </c>
      <c r="E10242" s="89">
        <f>E10241+E10241*40%</f>
        <v>66.673193999999995</v>
      </c>
    </row>
    <row r="10243" spans="1:5" ht="18" x14ac:dyDescent="0.35">
      <c r="A10243" s="5"/>
      <c r="B10243" s="50" t="s">
        <v>37</v>
      </c>
      <c r="C10243" s="54">
        <v>0.2</v>
      </c>
      <c r="D10243" s="54">
        <v>200</v>
      </c>
      <c r="E10243" s="85">
        <f>C10243*D10243</f>
        <v>40</v>
      </c>
    </row>
    <row r="10244" spans="1:5" ht="18" x14ac:dyDescent="0.35">
      <c r="A10244" s="5"/>
      <c r="B10244" s="5"/>
      <c r="C10244" s="54"/>
      <c r="D10244" s="54"/>
      <c r="E10244" s="85">
        <f>SUM(E10242:E10243)</f>
        <v>106.673194</v>
      </c>
    </row>
    <row r="10246" spans="1:5" ht="21" x14ac:dyDescent="0.4">
      <c r="A10246" s="40" t="s">
        <v>2160</v>
      </c>
      <c r="B10246" s="40"/>
    </row>
    <row r="10247" spans="1:5" x14ac:dyDescent="0.3">
      <c r="A10247" t="s">
        <v>2213</v>
      </c>
    </row>
    <row r="10248" spans="1:5" ht="21" x14ac:dyDescent="0.4">
      <c r="A10248" s="40" t="s">
        <v>38</v>
      </c>
      <c r="B10248" s="5"/>
      <c r="C10248" s="7" t="s">
        <v>28</v>
      </c>
      <c r="D10248" s="7" t="s">
        <v>29</v>
      </c>
      <c r="E10248" s="7" t="s">
        <v>30</v>
      </c>
    </row>
    <row r="10249" spans="1:5" ht="21" x14ac:dyDescent="0.4">
      <c r="A10249" s="40" t="s">
        <v>238</v>
      </c>
      <c r="B10249" s="50" t="s">
        <v>32</v>
      </c>
      <c r="C10249" s="7">
        <v>0.97899999999999998</v>
      </c>
      <c r="D10249" s="7">
        <v>16.43</v>
      </c>
      <c r="E10249" s="85">
        <f t="shared" ref="E10249:E10256" si="584">C10249*D10249</f>
        <v>16.084969999999998</v>
      </c>
    </row>
    <row r="10250" spans="1:5" ht="21" x14ac:dyDescent="0.4">
      <c r="A10250" s="40" t="s">
        <v>217</v>
      </c>
      <c r="B10250" s="50" t="s">
        <v>33</v>
      </c>
      <c r="C10250" s="7">
        <v>1.218</v>
      </c>
      <c r="D10250" s="7">
        <v>10</v>
      </c>
      <c r="E10250" s="85">
        <f t="shared" si="584"/>
        <v>12.18</v>
      </c>
    </row>
    <row r="10251" spans="1:5" ht="18" x14ac:dyDescent="0.35">
      <c r="B10251" s="50" t="s">
        <v>33</v>
      </c>
      <c r="C10251" s="7">
        <v>1.323</v>
      </c>
      <c r="D10251" s="7">
        <v>10</v>
      </c>
      <c r="E10251" s="85">
        <f t="shared" si="584"/>
        <v>13.23</v>
      </c>
    </row>
    <row r="10252" spans="1:5" ht="18" x14ac:dyDescent="0.35">
      <c r="B10252" s="50" t="s">
        <v>86</v>
      </c>
      <c r="C10252" s="7">
        <v>2</v>
      </c>
      <c r="D10252" s="7">
        <v>1.7</v>
      </c>
      <c r="E10252" s="85">
        <f t="shared" si="584"/>
        <v>3.4</v>
      </c>
    </row>
    <row r="10253" spans="1:5" ht="18" x14ac:dyDescent="0.35">
      <c r="B10253" s="50" t="s">
        <v>42</v>
      </c>
      <c r="C10253" s="7">
        <v>2</v>
      </c>
      <c r="D10253" s="7">
        <v>1.1499999999999999</v>
      </c>
      <c r="E10253" s="85">
        <f t="shared" si="584"/>
        <v>2.2999999999999998</v>
      </c>
    </row>
    <row r="10254" spans="1:5" ht="18" x14ac:dyDescent="0.35">
      <c r="B10254" s="50" t="s">
        <v>34</v>
      </c>
      <c r="C10254" s="7"/>
      <c r="D10254" s="7">
        <v>18.059999999999999</v>
      </c>
      <c r="E10254" s="85">
        <f t="shared" si="584"/>
        <v>0</v>
      </c>
    </row>
    <row r="10255" spans="1:5" ht="18" x14ac:dyDescent="0.35">
      <c r="B10255" s="50" t="s">
        <v>35</v>
      </c>
      <c r="C10255" s="7">
        <v>4</v>
      </c>
      <c r="D10255" s="7">
        <v>2.91</v>
      </c>
      <c r="E10255" s="85">
        <f t="shared" si="584"/>
        <v>11.64</v>
      </c>
    </row>
    <row r="10256" spans="1:5" ht="18" x14ac:dyDescent="0.35">
      <c r="B10256" s="50" t="s">
        <v>36</v>
      </c>
      <c r="C10256" s="7">
        <v>4</v>
      </c>
      <c r="D10256" s="7">
        <v>0.61</v>
      </c>
      <c r="E10256" s="85">
        <f t="shared" si="584"/>
        <v>2.44</v>
      </c>
    </row>
    <row r="10257" spans="1:5" ht="18" x14ac:dyDescent="0.35">
      <c r="B10257" s="5"/>
      <c r="C10257" s="54"/>
      <c r="D10257" s="54"/>
      <c r="E10257" s="89">
        <f>SUM(E10249:E10256)</f>
        <v>61.274969999999989</v>
      </c>
    </row>
    <row r="10258" spans="1:5" ht="18" x14ac:dyDescent="0.35">
      <c r="B10258" s="5"/>
      <c r="C10258" s="54"/>
      <c r="D10258" s="54" t="s">
        <v>1063</v>
      </c>
      <c r="E10258" s="89">
        <f>E10257+E10257*40%</f>
        <v>85.784957999999989</v>
      </c>
    </row>
    <row r="10259" spans="1:5" ht="18" x14ac:dyDescent="0.35">
      <c r="B10259" s="50" t="s">
        <v>37</v>
      </c>
      <c r="C10259" s="54">
        <v>0.45</v>
      </c>
      <c r="D10259" s="54">
        <v>200</v>
      </c>
      <c r="E10259" s="85">
        <f>C10259*D10259</f>
        <v>90</v>
      </c>
    </row>
    <row r="10260" spans="1:5" ht="18" x14ac:dyDescent="0.35">
      <c r="E10260" s="85">
        <f>SUM(E10258:E10259)</f>
        <v>175.78495799999999</v>
      </c>
    </row>
    <row r="10263" spans="1:5" ht="21" x14ac:dyDescent="0.4">
      <c r="A10263" s="40" t="s">
        <v>2160</v>
      </c>
      <c r="B10263" s="40"/>
    </row>
    <row r="10264" spans="1:5" x14ac:dyDescent="0.3">
      <c r="A10264" t="s">
        <v>1840</v>
      </c>
    </row>
    <row r="10265" spans="1:5" ht="21" x14ac:dyDescent="0.4">
      <c r="A10265" s="40" t="s">
        <v>537</v>
      </c>
      <c r="B10265" s="5"/>
      <c r="C10265" s="7" t="s">
        <v>28</v>
      </c>
      <c r="D10265" s="7" t="s">
        <v>29</v>
      </c>
      <c r="E10265" s="7" t="s">
        <v>30</v>
      </c>
    </row>
    <row r="10266" spans="1:5" ht="21" x14ac:dyDescent="0.4">
      <c r="A10266" s="40" t="s">
        <v>57</v>
      </c>
      <c r="B10266" s="50" t="s">
        <v>32</v>
      </c>
      <c r="C10266" s="7">
        <v>3.0779999999999998</v>
      </c>
      <c r="D10266" s="7">
        <v>16.43</v>
      </c>
      <c r="E10266" s="85">
        <f t="shared" ref="E10266:E10273" si="585">C10266*D10266</f>
        <v>50.571539999999999</v>
      </c>
    </row>
    <row r="10267" spans="1:5" ht="21" x14ac:dyDescent="0.4">
      <c r="A10267" s="40" t="s">
        <v>57</v>
      </c>
      <c r="B10267" s="50" t="s">
        <v>33</v>
      </c>
      <c r="C10267" s="7">
        <v>24.632999999999999</v>
      </c>
      <c r="D10267" s="7">
        <v>10</v>
      </c>
      <c r="E10267" s="85">
        <f t="shared" si="585"/>
        <v>246.32999999999998</v>
      </c>
    </row>
    <row r="10268" spans="1:5" ht="18" x14ac:dyDescent="0.35">
      <c r="B10268" s="50" t="s">
        <v>33</v>
      </c>
      <c r="C10268" s="7">
        <v>24.632999999999999</v>
      </c>
      <c r="D10268" s="7">
        <v>10</v>
      </c>
      <c r="E10268" s="85">
        <f t="shared" si="585"/>
        <v>246.32999999999998</v>
      </c>
    </row>
    <row r="10269" spans="1:5" ht="18" x14ac:dyDescent="0.35">
      <c r="B10269" s="50" t="s">
        <v>99</v>
      </c>
      <c r="C10269" s="7">
        <v>2</v>
      </c>
      <c r="D10269" s="7">
        <v>3.51</v>
      </c>
      <c r="E10269" s="85">
        <f t="shared" si="585"/>
        <v>7.02</v>
      </c>
    </row>
    <row r="10270" spans="1:5" ht="18" x14ac:dyDescent="0.35">
      <c r="B10270" s="50" t="s">
        <v>42</v>
      </c>
      <c r="C10270" s="7">
        <v>2</v>
      </c>
      <c r="D10270" s="7">
        <v>3.51</v>
      </c>
      <c r="E10270" s="85">
        <f t="shared" si="585"/>
        <v>7.02</v>
      </c>
    </row>
    <row r="10271" spans="1:5" ht="18" x14ac:dyDescent="0.35">
      <c r="B10271" s="50" t="s">
        <v>34</v>
      </c>
      <c r="C10271" s="7">
        <v>1.47</v>
      </c>
      <c r="D10271" s="7">
        <v>18.059999999999999</v>
      </c>
      <c r="E10271" s="85">
        <f t="shared" si="585"/>
        <v>26.548199999999998</v>
      </c>
    </row>
    <row r="10272" spans="1:5" ht="18" x14ac:dyDescent="0.35">
      <c r="B10272" s="50" t="s">
        <v>35</v>
      </c>
      <c r="C10272" s="7">
        <v>4</v>
      </c>
      <c r="D10272" s="7">
        <v>2.91</v>
      </c>
      <c r="E10272" s="85">
        <f t="shared" si="585"/>
        <v>11.64</v>
      </c>
    </row>
    <row r="10273" spans="1:5" ht="18" x14ac:dyDescent="0.35">
      <c r="B10273" s="50" t="s">
        <v>36</v>
      </c>
      <c r="C10273" s="7">
        <v>4</v>
      </c>
      <c r="D10273" s="7">
        <v>0.61</v>
      </c>
      <c r="E10273" s="85">
        <f t="shared" si="585"/>
        <v>2.44</v>
      </c>
    </row>
    <row r="10274" spans="1:5" ht="18" x14ac:dyDescent="0.35">
      <c r="B10274" s="5"/>
      <c r="C10274" s="54"/>
      <c r="D10274" s="54"/>
      <c r="E10274" s="89">
        <f>SUM(E10266:E10273)</f>
        <v>597.89973999999995</v>
      </c>
    </row>
    <row r="10275" spans="1:5" ht="18" x14ac:dyDescent="0.35">
      <c r="B10275" s="5"/>
      <c r="C10275" s="54"/>
      <c r="D10275" s="54" t="s">
        <v>1063</v>
      </c>
      <c r="E10275" s="89">
        <f>E10274+E10274*40%</f>
        <v>837.05963599999995</v>
      </c>
    </row>
    <row r="10276" spans="1:5" ht="18" x14ac:dyDescent="0.35">
      <c r="B10276" s="50" t="s">
        <v>37</v>
      </c>
      <c r="C10276" s="54">
        <v>1.5</v>
      </c>
      <c r="D10276" s="54">
        <v>200</v>
      </c>
      <c r="E10276" s="85">
        <f>C10276*D10276</f>
        <v>300</v>
      </c>
    </row>
    <row r="10277" spans="1:5" ht="18" x14ac:dyDescent="0.35">
      <c r="E10277" s="85">
        <f>SUM(E10275:E10276)</f>
        <v>1137.059636</v>
      </c>
    </row>
    <row r="10279" spans="1:5" ht="21" x14ac:dyDescent="0.4">
      <c r="A10279" s="40" t="s">
        <v>1919</v>
      </c>
      <c r="B10279" s="40"/>
      <c r="C10279" s="84"/>
    </row>
    <row r="10280" spans="1:5" x14ac:dyDescent="0.3">
      <c r="A10280" t="s">
        <v>2214</v>
      </c>
    </row>
    <row r="10281" spans="1:5" ht="18" x14ac:dyDescent="0.35">
      <c r="A10281" s="5" t="s">
        <v>2215</v>
      </c>
      <c r="B10281" s="5"/>
      <c r="C10281" s="7" t="s">
        <v>28</v>
      </c>
      <c r="D10281" s="7" t="s">
        <v>29</v>
      </c>
      <c r="E10281" s="7" t="s">
        <v>30</v>
      </c>
    </row>
    <row r="10282" spans="1:5" ht="18" x14ac:dyDescent="0.35">
      <c r="A10282" s="5" t="s">
        <v>1196</v>
      </c>
      <c r="B10282" s="50" t="s">
        <v>32</v>
      </c>
      <c r="C10282" s="7">
        <v>1.7450000000000001</v>
      </c>
      <c r="D10282" s="7">
        <v>11.37</v>
      </c>
      <c r="E10282" s="85">
        <f t="shared" ref="E10282:E10287" si="586">C10282*D10282</f>
        <v>19.84065</v>
      </c>
    </row>
    <row r="10283" spans="1:5" ht="18" x14ac:dyDescent="0.35">
      <c r="A10283" s="5" t="s">
        <v>2216</v>
      </c>
      <c r="B10283" s="50" t="s">
        <v>33</v>
      </c>
      <c r="C10283" s="7">
        <v>6.6779999999999999</v>
      </c>
      <c r="D10283" s="7">
        <v>10</v>
      </c>
      <c r="E10283" s="85">
        <f t="shared" si="586"/>
        <v>66.78</v>
      </c>
    </row>
    <row r="10284" spans="1:5" ht="18" x14ac:dyDescent="0.35">
      <c r="A10284" s="102"/>
      <c r="B10284" s="50" t="s">
        <v>1738</v>
      </c>
      <c r="C10284" s="7">
        <v>2</v>
      </c>
      <c r="D10284" s="7">
        <v>2.2400000000000002</v>
      </c>
      <c r="E10284" s="85">
        <f t="shared" si="586"/>
        <v>4.4800000000000004</v>
      </c>
    </row>
    <row r="10285" spans="1:5" ht="18" x14ac:dyDescent="0.35">
      <c r="A10285" s="5"/>
      <c r="B10285" s="50" t="s">
        <v>34</v>
      </c>
      <c r="C10285" s="7"/>
      <c r="D10285" s="7">
        <v>18.059999999999999</v>
      </c>
      <c r="E10285" s="85">
        <f t="shared" si="586"/>
        <v>0</v>
      </c>
    </row>
    <row r="10286" spans="1:5" ht="18" x14ac:dyDescent="0.35">
      <c r="A10286" s="5"/>
      <c r="B10286" s="50" t="s">
        <v>35</v>
      </c>
      <c r="C10286" s="7">
        <v>4</v>
      </c>
      <c r="D10286" s="7">
        <v>2.91</v>
      </c>
      <c r="E10286" s="85">
        <f t="shared" si="586"/>
        <v>11.64</v>
      </c>
    </row>
    <row r="10287" spans="1:5" ht="18" x14ac:dyDescent="0.35">
      <c r="A10287" s="5"/>
      <c r="B10287" s="50" t="s">
        <v>36</v>
      </c>
      <c r="C10287" s="7">
        <v>4</v>
      </c>
      <c r="D10287" s="7">
        <v>0.61</v>
      </c>
      <c r="E10287" s="85">
        <f t="shared" si="586"/>
        <v>2.44</v>
      </c>
    </row>
    <row r="10288" spans="1:5" ht="18" x14ac:dyDescent="0.35">
      <c r="A10288" s="5"/>
      <c r="B10288" s="5"/>
      <c r="C10288" s="54"/>
      <c r="D10288" s="54"/>
      <c r="E10288" s="89">
        <f>SUM(E10282:E10287)</f>
        <v>105.18065</v>
      </c>
    </row>
    <row r="10289" spans="1:5" ht="18" x14ac:dyDescent="0.35">
      <c r="A10289" s="5"/>
      <c r="B10289" s="5"/>
      <c r="C10289" s="54"/>
      <c r="D10289" s="54" t="s">
        <v>1066</v>
      </c>
      <c r="E10289" s="89">
        <f>E10288+E10288*40%</f>
        <v>147.25290999999999</v>
      </c>
    </row>
    <row r="10290" spans="1:5" ht="18" x14ac:dyDescent="0.35">
      <c r="A10290" s="5"/>
      <c r="B10290" s="50" t="s">
        <v>37</v>
      </c>
      <c r="C10290" s="54">
        <v>0.5</v>
      </c>
      <c r="D10290" s="54">
        <v>200</v>
      </c>
      <c r="E10290" s="85">
        <f>C10290*D10290</f>
        <v>100</v>
      </c>
    </row>
    <row r="10291" spans="1:5" ht="18" x14ac:dyDescent="0.35">
      <c r="A10291" s="5"/>
      <c r="B10291" s="5"/>
      <c r="C10291" s="54"/>
      <c r="D10291" s="54"/>
      <c r="E10291" s="85">
        <f>SUM(E10289:E10290)</f>
        <v>247.25290999999999</v>
      </c>
    </row>
    <row r="10294" spans="1:5" ht="21" x14ac:dyDescent="0.4">
      <c r="A10294" s="40" t="s">
        <v>1919</v>
      </c>
      <c r="B10294" s="40"/>
      <c r="C10294" s="84"/>
    </row>
    <row r="10295" spans="1:5" x14ac:dyDescent="0.3">
      <c r="A10295" t="s">
        <v>1427</v>
      </c>
    </row>
    <row r="10296" spans="1:5" ht="18" x14ac:dyDescent="0.35">
      <c r="A10296" s="5" t="s">
        <v>363</v>
      </c>
      <c r="B10296" s="5"/>
      <c r="C10296" s="7" t="s">
        <v>28</v>
      </c>
      <c r="D10296" s="7" t="s">
        <v>29</v>
      </c>
      <c r="E10296" s="7" t="s">
        <v>30</v>
      </c>
    </row>
    <row r="10297" spans="1:5" ht="18" x14ac:dyDescent="0.35">
      <c r="A10297" s="5" t="s">
        <v>810</v>
      </c>
      <c r="B10297" s="50" t="s">
        <v>32</v>
      </c>
      <c r="C10297" s="7">
        <v>2.4060000000000001</v>
      </c>
      <c r="D10297" s="7">
        <v>11.37</v>
      </c>
      <c r="E10297" s="85">
        <f t="shared" ref="E10297:E10302" si="587">C10297*D10297</f>
        <v>27.35622</v>
      </c>
    </row>
    <row r="10298" spans="1:5" ht="18" x14ac:dyDescent="0.35">
      <c r="A10298" s="5" t="s">
        <v>2216</v>
      </c>
      <c r="B10298" s="50" t="s">
        <v>33</v>
      </c>
      <c r="C10298" s="7">
        <v>3.1179999999999999</v>
      </c>
      <c r="D10298" s="7">
        <v>10</v>
      </c>
      <c r="E10298" s="85">
        <f t="shared" si="587"/>
        <v>31.18</v>
      </c>
    </row>
    <row r="10299" spans="1:5" ht="18" x14ac:dyDescent="0.35">
      <c r="A10299" s="102"/>
      <c r="B10299" s="50" t="s">
        <v>1402</v>
      </c>
      <c r="C10299" s="7">
        <v>2</v>
      </c>
      <c r="D10299" s="7">
        <v>1.1499999999999999</v>
      </c>
      <c r="E10299" s="85">
        <f t="shared" si="587"/>
        <v>2.2999999999999998</v>
      </c>
    </row>
    <row r="10300" spans="1:5" ht="18" x14ac:dyDescent="0.35">
      <c r="A10300" s="5"/>
      <c r="B10300" s="50" t="s">
        <v>34</v>
      </c>
      <c r="C10300" s="7">
        <v>0.252</v>
      </c>
      <c r="D10300" s="7">
        <v>18.059999999999999</v>
      </c>
      <c r="E10300" s="85">
        <f t="shared" si="587"/>
        <v>4.5511200000000001</v>
      </c>
    </row>
    <row r="10301" spans="1:5" ht="18" x14ac:dyDescent="0.35">
      <c r="A10301" s="5"/>
      <c r="B10301" s="50" t="s">
        <v>35</v>
      </c>
      <c r="C10301" s="7">
        <v>4</v>
      </c>
      <c r="D10301" s="7">
        <v>2.91</v>
      </c>
      <c r="E10301" s="85">
        <f t="shared" si="587"/>
        <v>11.64</v>
      </c>
    </row>
    <row r="10302" spans="1:5" ht="18" x14ac:dyDescent="0.35">
      <c r="A10302" s="5"/>
      <c r="B10302" s="50" t="s">
        <v>36</v>
      </c>
      <c r="C10302" s="7">
        <v>4</v>
      </c>
      <c r="D10302" s="7">
        <v>0.61</v>
      </c>
      <c r="E10302" s="85">
        <f t="shared" si="587"/>
        <v>2.44</v>
      </c>
    </row>
    <row r="10303" spans="1:5" ht="18" x14ac:dyDescent="0.35">
      <c r="A10303" s="5"/>
      <c r="B10303" s="5"/>
      <c r="C10303" s="54"/>
      <c r="D10303" s="54"/>
      <c r="E10303" s="89">
        <f>SUM(E10297:E10302)</f>
        <v>79.467339999999993</v>
      </c>
    </row>
    <row r="10304" spans="1:5" ht="18" x14ac:dyDescent="0.35">
      <c r="A10304" s="5"/>
      <c r="B10304" s="5"/>
      <c r="C10304" s="54"/>
      <c r="D10304" s="54" t="s">
        <v>1066</v>
      </c>
      <c r="E10304" s="89">
        <f>E10303+E10303*40%</f>
        <v>111.25427599999999</v>
      </c>
    </row>
    <row r="10305" spans="1:5" ht="18" x14ac:dyDescent="0.35">
      <c r="A10305" s="5"/>
      <c r="B10305" s="50" t="s">
        <v>37</v>
      </c>
      <c r="C10305" s="54">
        <v>0.5</v>
      </c>
      <c r="D10305" s="54">
        <v>200</v>
      </c>
      <c r="E10305" s="85">
        <f>C10305*D10305</f>
        <v>100</v>
      </c>
    </row>
    <row r="10306" spans="1:5" ht="18" x14ac:dyDescent="0.35">
      <c r="A10306" s="5"/>
      <c r="B10306" s="5"/>
      <c r="C10306" s="54"/>
      <c r="D10306" s="54"/>
      <c r="E10306" s="85">
        <f>SUM(E10304:E10305)</f>
        <v>211.254276</v>
      </c>
    </row>
    <row r="10308" spans="1:5" ht="21" x14ac:dyDescent="0.4">
      <c r="A10308" s="40" t="s">
        <v>1919</v>
      </c>
      <c r="B10308" s="40"/>
      <c r="C10308" s="84"/>
    </row>
    <row r="10309" spans="1:5" x14ac:dyDescent="0.3">
      <c r="A10309" t="s">
        <v>1427</v>
      </c>
    </row>
    <row r="10310" spans="1:5" ht="18" x14ac:dyDescent="0.35">
      <c r="A10310" s="5" t="s">
        <v>1404</v>
      </c>
      <c r="B10310" s="5"/>
      <c r="C10310" s="7" t="s">
        <v>28</v>
      </c>
      <c r="D10310" s="7" t="s">
        <v>29</v>
      </c>
      <c r="E10310" s="7" t="s">
        <v>30</v>
      </c>
    </row>
    <row r="10311" spans="1:5" ht="18" x14ac:dyDescent="0.35">
      <c r="A10311" s="5" t="s">
        <v>810</v>
      </c>
      <c r="B10311" s="50" t="s">
        <v>32</v>
      </c>
      <c r="C10311" s="7">
        <v>1.3560000000000001</v>
      </c>
      <c r="D10311" s="7">
        <v>11.37</v>
      </c>
      <c r="E10311" s="85">
        <f t="shared" ref="E10311:E10316" si="588">C10311*D10311</f>
        <v>15.417719999999999</v>
      </c>
    </row>
    <row r="10312" spans="1:5" ht="18" x14ac:dyDescent="0.35">
      <c r="A10312" s="5" t="s">
        <v>2216</v>
      </c>
      <c r="B10312" s="50" t="s">
        <v>33</v>
      </c>
      <c r="C10312" s="7">
        <v>1.5429999999999999</v>
      </c>
      <c r="D10312" s="7">
        <v>10</v>
      </c>
      <c r="E10312" s="85">
        <f t="shared" si="588"/>
        <v>15.43</v>
      </c>
    </row>
    <row r="10313" spans="1:5" ht="18" x14ac:dyDescent="0.35">
      <c r="A10313" s="102"/>
      <c r="B10313" s="50" t="s">
        <v>1402</v>
      </c>
      <c r="C10313" s="7">
        <v>2</v>
      </c>
      <c r="D10313" s="7">
        <v>1.1499999999999999</v>
      </c>
      <c r="E10313" s="85">
        <f t="shared" si="588"/>
        <v>2.2999999999999998</v>
      </c>
    </row>
    <row r="10314" spans="1:5" ht="18" x14ac:dyDescent="0.35">
      <c r="A10314" s="5"/>
      <c r="B10314" s="50" t="s">
        <v>34</v>
      </c>
      <c r="C10314" s="7"/>
      <c r="D10314" s="7">
        <v>18.059999999999999</v>
      </c>
      <c r="E10314" s="85">
        <f t="shared" si="588"/>
        <v>0</v>
      </c>
    </row>
    <row r="10315" spans="1:5" ht="18" x14ac:dyDescent="0.35">
      <c r="A10315" s="5"/>
      <c r="B10315" s="50" t="s">
        <v>35</v>
      </c>
      <c r="C10315" s="7">
        <v>4</v>
      </c>
      <c r="D10315" s="7">
        <v>2.91</v>
      </c>
      <c r="E10315" s="85">
        <f t="shared" si="588"/>
        <v>11.64</v>
      </c>
    </row>
    <row r="10316" spans="1:5" ht="18" x14ac:dyDescent="0.35">
      <c r="A10316" s="5"/>
      <c r="B10316" s="50" t="s">
        <v>36</v>
      </c>
      <c r="C10316" s="7">
        <v>4</v>
      </c>
      <c r="D10316" s="7">
        <v>0.61</v>
      </c>
      <c r="E10316" s="85">
        <f t="shared" si="588"/>
        <v>2.44</v>
      </c>
    </row>
    <row r="10317" spans="1:5" ht="18" x14ac:dyDescent="0.35">
      <c r="A10317" s="5"/>
      <c r="B10317" s="5"/>
      <c r="C10317" s="54"/>
      <c r="D10317" s="54"/>
      <c r="E10317" s="89">
        <f>SUM(E10311:E10316)</f>
        <v>47.227719999999998</v>
      </c>
    </row>
    <row r="10318" spans="1:5" ht="18" x14ac:dyDescent="0.35">
      <c r="A10318" s="5"/>
      <c r="B10318" s="5"/>
      <c r="C10318" s="54"/>
      <c r="D10318" s="54" t="s">
        <v>1066</v>
      </c>
      <c r="E10318" s="89">
        <f>E10317+E10317*40%</f>
        <v>66.118808000000001</v>
      </c>
    </row>
    <row r="10319" spans="1:5" ht="18" x14ac:dyDescent="0.35">
      <c r="A10319" s="5"/>
      <c r="B10319" s="50" t="s">
        <v>37</v>
      </c>
      <c r="C10319" s="54">
        <v>0.2</v>
      </c>
      <c r="D10319" s="54">
        <v>200</v>
      </c>
      <c r="E10319" s="85">
        <f>C10319*D10319</f>
        <v>40</v>
      </c>
    </row>
    <row r="10320" spans="1:5" ht="18" x14ac:dyDescent="0.35">
      <c r="A10320" s="5"/>
      <c r="B10320" s="5"/>
      <c r="C10320" s="54"/>
      <c r="D10320" s="54"/>
      <c r="E10320" s="85">
        <f>SUM(E10318:E10319)</f>
        <v>106.118808</v>
      </c>
    </row>
    <row r="10322" spans="1:5" ht="21" x14ac:dyDescent="0.4">
      <c r="A10322" s="40" t="s">
        <v>2160</v>
      </c>
      <c r="B10322" s="40"/>
    </row>
    <row r="10323" spans="1:5" x14ac:dyDescent="0.3">
      <c r="A10323" t="s">
        <v>2219</v>
      </c>
    </row>
    <row r="10324" spans="1:5" ht="21" x14ac:dyDescent="0.4">
      <c r="A10324" s="40" t="s">
        <v>376</v>
      </c>
      <c r="B10324" s="5"/>
      <c r="C10324" s="7" t="s">
        <v>28</v>
      </c>
      <c r="D10324" s="7" t="s">
        <v>29</v>
      </c>
      <c r="E10324" s="7" t="s">
        <v>30</v>
      </c>
    </row>
    <row r="10325" spans="1:5" ht="21" x14ac:dyDescent="0.4">
      <c r="A10325" s="40" t="s">
        <v>56</v>
      </c>
      <c r="B10325" s="50" t="s">
        <v>32</v>
      </c>
      <c r="C10325" s="7">
        <v>3.4980000000000002</v>
      </c>
      <c r="D10325" s="7">
        <v>16.43</v>
      </c>
      <c r="E10325" s="85">
        <f t="shared" ref="E10325:E10332" si="589">C10325*D10325</f>
        <v>57.472140000000003</v>
      </c>
    </row>
    <row r="10326" spans="1:5" ht="21" x14ac:dyDescent="0.4">
      <c r="A10326" s="40" t="s">
        <v>377</v>
      </c>
      <c r="B10326" s="50" t="s">
        <v>33</v>
      </c>
      <c r="C10326" s="7">
        <v>30.145</v>
      </c>
      <c r="D10326" s="7">
        <v>10</v>
      </c>
      <c r="E10326" s="85">
        <f t="shared" si="589"/>
        <v>301.45</v>
      </c>
    </row>
    <row r="10327" spans="1:5" ht="18" x14ac:dyDescent="0.35">
      <c r="B10327" s="50" t="s">
        <v>33</v>
      </c>
      <c r="C10327" s="7">
        <v>30.975000000000001</v>
      </c>
      <c r="D10327" s="7">
        <v>10</v>
      </c>
      <c r="E10327" s="85">
        <f t="shared" si="589"/>
        <v>309.75</v>
      </c>
    </row>
    <row r="10328" spans="1:5" ht="18" x14ac:dyDescent="0.35">
      <c r="B10328" s="50" t="s">
        <v>98</v>
      </c>
      <c r="C10328" s="7">
        <v>2</v>
      </c>
      <c r="D10328" s="7">
        <v>3.39</v>
      </c>
      <c r="E10328" s="85">
        <f t="shared" si="589"/>
        <v>6.78</v>
      </c>
    </row>
    <row r="10329" spans="1:5" ht="18" x14ac:dyDescent="0.35">
      <c r="B10329" s="50" t="s">
        <v>100</v>
      </c>
      <c r="C10329" s="7">
        <v>2</v>
      </c>
      <c r="D10329" s="7">
        <v>4.4800000000000004</v>
      </c>
      <c r="E10329" s="85">
        <f t="shared" si="589"/>
        <v>8.9600000000000009</v>
      </c>
    </row>
    <row r="10330" spans="1:5" ht="18" x14ac:dyDescent="0.35">
      <c r="B10330" s="50" t="s">
        <v>34</v>
      </c>
      <c r="C10330" s="7">
        <v>1.26</v>
      </c>
      <c r="D10330" s="7">
        <v>18.059999999999999</v>
      </c>
      <c r="E10330" s="85">
        <f t="shared" si="589"/>
        <v>22.755599999999998</v>
      </c>
    </row>
    <row r="10331" spans="1:5" ht="18" x14ac:dyDescent="0.35">
      <c r="B10331" s="50" t="s">
        <v>35</v>
      </c>
      <c r="C10331" s="7">
        <v>4</v>
      </c>
      <c r="D10331" s="7">
        <v>2.91</v>
      </c>
      <c r="E10331" s="85">
        <f t="shared" si="589"/>
        <v>11.64</v>
      </c>
    </row>
    <row r="10332" spans="1:5" ht="18" x14ac:dyDescent="0.35">
      <c r="B10332" s="50" t="s">
        <v>36</v>
      </c>
      <c r="C10332" s="7">
        <v>4</v>
      </c>
      <c r="D10332" s="7">
        <v>0.61</v>
      </c>
      <c r="E10332" s="85">
        <f t="shared" si="589"/>
        <v>2.44</v>
      </c>
    </row>
    <row r="10333" spans="1:5" ht="18" x14ac:dyDescent="0.35">
      <c r="B10333" s="5"/>
      <c r="C10333" s="54"/>
      <c r="D10333" s="54"/>
      <c r="E10333" s="89">
        <f>SUM(E10325:E10332)</f>
        <v>721.24774000000002</v>
      </c>
    </row>
    <row r="10334" spans="1:5" ht="18" x14ac:dyDescent="0.35">
      <c r="B10334" s="5"/>
      <c r="C10334" s="54"/>
      <c r="D10334" s="54" t="s">
        <v>1063</v>
      </c>
      <c r="E10334" s="89">
        <f>E10333+E10333*40%</f>
        <v>1009.746836</v>
      </c>
    </row>
    <row r="10335" spans="1:5" ht="18" x14ac:dyDescent="0.35">
      <c r="B10335" s="50" t="s">
        <v>37</v>
      </c>
      <c r="C10335" s="54">
        <v>1.5</v>
      </c>
      <c r="D10335" s="54">
        <v>200</v>
      </c>
      <c r="E10335" s="85">
        <f>C10335*D10335</f>
        <v>300</v>
      </c>
    </row>
    <row r="10336" spans="1:5" ht="18" x14ac:dyDescent="0.35">
      <c r="E10336" s="85">
        <f>SUM(E10334:E10335)</f>
        <v>1309.746836</v>
      </c>
    </row>
    <row r="10338" spans="1:5" ht="21" x14ac:dyDescent="0.4">
      <c r="A10338" s="40" t="s">
        <v>2066</v>
      </c>
      <c r="B10338" s="40"/>
      <c r="C10338" s="40"/>
      <c r="D10338" s="12"/>
      <c r="E10338" s="12"/>
    </row>
    <row r="10339" spans="1:5" ht="18" x14ac:dyDescent="0.35">
      <c r="A10339" s="5" t="s">
        <v>2220</v>
      </c>
      <c r="B10339" s="5"/>
      <c r="C10339" s="7" t="s">
        <v>28</v>
      </c>
      <c r="D10339" s="7" t="s">
        <v>29</v>
      </c>
      <c r="E10339" s="7" t="s">
        <v>30</v>
      </c>
    </row>
    <row r="10340" spans="1:5" ht="18" x14ac:dyDescent="0.35">
      <c r="A10340" s="5" t="s">
        <v>2221</v>
      </c>
      <c r="B10340" s="50" t="s">
        <v>32</v>
      </c>
      <c r="C10340" s="7">
        <v>1.44</v>
      </c>
      <c r="D10340" s="7">
        <v>11.37</v>
      </c>
      <c r="E10340" s="85">
        <f>C10340*D10340</f>
        <v>16.372799999999998</v>
      </c>
    </row>
    <row r="10341" spans="1:5" ht="18" x14ac:dyDescent="0.35">
      <c r="A10341" s="5" t="s">
        <v>220</v>
      </c>
      <c r="B10341" s="50" t="s">
        <v>33</v>
      </c>
      <c r="C10341" s="7">
        <v>4.032</v>
      </c>
      <c r="D10341" s="7">
        <v>10</v>
      </c>
      <c r="E10341" s="85">
        <f>C10341*D10341</f>
        <v>40.32</v>
      </c>
    </row>
    <row r="10342" spans="1:5" ht="18" x14ac:dyDescent="0.35">
      <c r="A10342" s="5" t="s">
        <v>681</v>
      </c>
      <c r="B10342" s="50" t="s">
        <v>137</v>
      </c>
      <c r="C10342" s="7">
        <v>2</v>
      </c>
      <c r="D10342" s="7">
        <v>17.190000000000001</v>
      </c>
      <c r="E10342" s="85">
        <f>C10342*D10342</f>
        <v>34.380000000000003</v>
      </c>
    </row>
    <row r="10343" spans="1:5" ht="18" x14ac:dyDescent="0.35">
      <c r="A10343" s="5" t="s">
        <v>2100</v>
      </c>
      <c r="B10343" s="50" t="s">
        <v>35</v>
      </c>
      <c r="C10343" s="7">
        <v>4</v>
      </c>
      <c r="D10343" s="7">
        <v>2.91</v>
      </c>
      <c r="E10343" s="85">
        <f>C10343*D10343</f>
        <v>11.64</v>
      </c>
    </row>
    <row r="10344" spans="1:5" ht="18" x14ac:dyDescent="0.35">
      <c r="B10344" s="50" t="s">
        <v>36</v>
      </c>
      <c r="C10344" s="7">
        <v>4</v>
      </c>
      <c r="D10344" s="7">
        <v>0.61</v>
      </c>
      <c r="E10344" s="85">
        <f>C10344*D10344</f>
        <v>2.44</v>
      </c>
    </row>
    <row r="10345" spans="1:5" ht="18" x14ac:dyDescent="0.35">
      <c r="A10345" s="5"/>
      <c r="B10345" s="50"/>
      <c r="C10345" s="87"/>
      <c r="D10345" s="88"/>
      <c r="E10345" s="85">
        <f>SUM(E10340:E10344)</f>
        <v>105.1528</v>
      </c>
    </row>
    <row r="10346" spans="1:5" ht="18" x14ac:dyDescent="0.35">
      <c r="A10346" s="5"/>
      <c r="B10346" s="50"/>
      <c r="C10346" s="87"/>
      <c r="D10346" s="88" t="s">
        <v>1266</v>
      </c>
      <c r="E10346" s="85">
        <f>E10345+E10345*40%</f>
        <v>147.21392</v>
      </c>
    </row>
    <row r="10347" spans="1:5" ht="18" x14ac:dyDescent="0.35">
      <c r="A10347" s="5"/>
      <c r="B10347" s="50" t="s">
        <v>37</v>
      </c>
      <c r="C10347" s="54">
        <v>0.5</v>
      </c>
      <c r="D10347" s="86">
        <v>200</v>
      </c>
      <c r="E10347" s="85">
        <f>C10347*D10347</f>
        <v>100</v>
      </c>
    </row>
    <row r="10348" spans="1:5" ht="18" x14ac:dyDescent="0.35">
      <c r="A10348" s="5"/>
      <c r="B10348" s="5"/>
      <c r="C10348" s="54"/>
      <c r="D10348" s="54"/>
      <c r="E10348" s="85">
        <f>SUM(E10346:E10347)</f>
        <v>247.21392</v>
      </c>
    </row>
    <row r="10350" spans="1:5" ht="21" x14ac:dyDescent="0.4">
      <c r="A10350" s="40" t="s">
        <v>2066</v>
      </c>
      <c r="B10350" s="40"/>
      <c r="C10350" s="40"/>
      <c r="D10350" s="12"/>
      <c r="E10350" s="12"/>
    </row>
    <row r="10351" spans="1:5" ht="18" x14ac:dyDescent="0.35">
      <c r="A10351" s="5" t="s">
        <v>2222</v>
      </c>
      <c r="B10351" s="5"/>
      <c r="C10351" s="7" t="s">
        <v>28</v>
      </c>
      <c r="D10351" s="7" t="s">
        <v>29</v>
      </c>
      <c r="E10351" s="7" t="s">
        <v>30</v>
      </c>
    </row>
    <row r="10352" spans="1:5" ht="18" x14ac:dyDescent="0.35">
      <c r="A10352" s="5" t="s">
        <v>2223</v>
      </c>
      <c r="B10352" s="50" t="s">
        <v>32</v>
      </c>
      <c r="C10352" s="7">
        <v>2.3849999999999998</v>
      </c>
      <c r="D10352" s="7">
        <v>11.37</v>
      </c>
      <c r="E10352" s="85">
        <f>C10352*D10352</f>
        <v>27.117449999999995</v>
      </c>
    </row>
    <row r="10353" spans="1:5" ht="18" x14ac:dyDescent="0.35">
      <c r="A10353" s="5" t="s">
        <v>1591</v>
      </c>
      <c r="B10353" s="50" t="s">
        <v>33</v>
      </c>
      <c r="C10353" s="7">
        <v>19.372</v>
      </c>
      <c r="D10353" s="7">
        <v>10</v>
      </c>
      <c r="E10353" s="85">
        <f>C10353*D10353</f>
        <v>193.72</v>
      </c>
    </row>
    <row r="10354" spans="1:5" ht="18" x14ac:dyDescent="0.35">
      <c r="A10354" s="5" t="s">
        <v>2224</v>
      </c>
      <c r="B10354" s="50" t="s">
        <v>137</v>
      </c>
      <c r="C10354" s="7">
        <v>0.68200000000000005</v>
      </c>
      <c r="D10354" s="7">
        <v>17.190000000000001</v>
      </c>
      <c r="E10354" s="85">
        <f>C10354*D10354</f>
        <v>11.723580000000002</v>
      </c>
    </row>
    <row r="10355" spans="1:5" ht="18" x14ac:dyDescent="0.35">
      <c r="A10355" s="5" t="s">
        <v>2225</v>
      </c>
      <c r="B10355" s="50" t="s">
        <v>35</v>
      </c>
      <c r="C10355" s="7">
        <v>4</v>
      </c>
      <c r="D10355" s="7">
        <v>2.91</v>
      </c>
      <c r="E10355" s="85">
        <f>C10355*D10355</f>
        <v>11.64</v>
      </c>
    </row>
    <row r="10356" spans="1:5" ht="18" x14ac:dyDescent="0.35">
      <c r="B10356" s="50" t="s">
        <v>36</v>
      </c>
      <c r="C10356" s="7">
        <v>4</v>
      </c>
      <c r="D10356" s="7">
        <v>0.61</v>
      </c>
      <c r="E10356" s="85">
        <f>C10356*D10356</f>
        <v>2.44</v>
      </c>
    </row>
    <row r="10357" spans="1:5" ht="18" x14ac:dyDescent="0.35">
      <c r="A10357" s="5"/>
      <c r="B10357" s="50"/>
      <c r="C10357" s="87"/>
      <c r="D10357" s="88"/>
      <c r="E10357" s="85">
        <f>SUM(E10352:E10356)</f>
        <v>246.64103</v>
      </c>
    </row>
    <row r="10358" spans="1:5" ht="18" x14ac:dyDescent="0.35">
      <c r="A10358" s="5"/>
      <c r="B10358" s="50"/>
      <c r="C10358" s="87"/>
      <c r="D10358" s="88" t="s">
        <v>1266</v>
      </c>
      <c r="E10358" s="85">
        <f>E10357+E10357*40%</f>
        <v>345.29744199999999</v>
      </c>
    </row>
    <row r="10359" spans="1:5" ht="18" x14ac:dyDescent="0.35">
      <c r="A10359" s="5"/>
      <c r="B10359" s="50" t="s">
        <v>37</v>
      </c>
      <c r="C10359" s="54">
        <v>1</v>
      </c>
      <c r="D10359" s="86">
        <v>200</v>
      </c>
      <c r="E10359" s="85">
        <f>C10359*D10359</f>
        <v>200</v>
      </c>
    </row>
    <row r="10360" spans="1:5" ht="18" x14ac:dyDescent="0.35">
      <c r="A10360" s="5"/>
      <c r="B10360" s="5"/>
      <c r="C10360" s="54"/>
      <c r="D10360" s="54"/>
      <c r="E10360" s="85">
        <f>SUM(E10358:E10359)</f>
        <v>545.29744200000005</v>
      </c>
    </row>
    <row r="10362" spans="1:5" ht="21" x14ac:dyDescent="0.4">
      <c r="A10362" s="40" t="s">
        <v>2066</v>
      </c>
      <c r="B10362" s="40"/>
      <c r="C10362" s="40"/>
      <c r="D10362" s="12"/>
      <c r="E10362" s="12"/>
    </row>
    <row r="10363" spans="1:5" ht="18" x14ac:dyDescent="0.35">
      <c r="A10363" s="5" t="s">
        <v>1930</v>
      </c>
      <c r="B10363" s="5"/>
      <c r="C10363" s="7" t="s">
        <v>28</v>
      </c>
      <c r="D10363" s="7" t="s">
        <v>29</v>
      </c>
      <c r="E10363" s="7" t="s">
        <v>30</v>
      </c>
    </row>
    <row r="10364" spans="1:5" ht="18" x14ac:dyDescent="0.35">
      <c r="A10364" s="5" t="s">
        <v>2226</v>
      </c>
      <c r="B10364" s="50" t="s">
        <v>32</v>
      </c>
      <c r="C10364" s="7">
        <v>4.359</v>
      </c>
      <c r="D10364" s="7">
        <v>11.37</v>
      </c>
      <c r="E10364" s="85">
        <f>C10364*D10364</f>
        <v>49.561829999999993</v>
      </c>
    </row>
    <row r="10365" spans="1:5" ht="18" x14ac:dyDescent="0.35">
      <c r="A10365" s="5" t="s">
        <v>219</v>
      </c>
      <c r="B10365" s="50" t="s">
        <v>33</v>
      </c>
      <c r="C10365" s="7">
        <v>2.0259999999999998</v>
      </c>
      <c r="D10365" s="7">
        <v>10</v>
      </c>
      <c r="E10365" s="85">
        <f>C10365*D10365</f>
        <v>20.259999999999998</v>
      </c>
    </row>
    <row r="10366" spans="1:5" ht="18" x14ac:dyDescent="0.35">
      <c r="A10366" s="5" t="s">
        <v>2227</v>
      </c>
      <c r="B10366" s="50" t="s">
        <v>137</v>
      </c>
      <c r="C10366" s="7">
        <v>0.3</v>
      </c>
      <c r="D10366" s="7">
        <v>17.190000000000001</v>
      </c>
      <c r="E10366" s="85">
        <f>C10366*D10366</f>
        <v>5.157</v>
      </c>
    </row>
    <row r="10367" spans="1:5" ht="18" x14ac:dyDescent="0.35">
      <c r="A10367" s="5" t="s">
        <v>2225</v>
      </c>
      <c r="B10367" s="50" t="s">
        <v>35</v>
      </c>
      <c r="C10367" s="7">
        <v>4</v>
      </c>
      <c r="D10367" s="7">
        <v>2.91</v>
      </c>
      <c r="E10367" s="85">
        <f>C10367*D10367</f>
        <v>11.64</v>
      </c>
    </row>
    <row r="10368" spans="1:5" ht="18" x14ac:dyDescent="0.35">
      <c r="B10368" s="50" t="s">
        <v>36</v>
      </c>
      <c r="C10368" s="7">
        <v>4</v>
      </c>
      <c r="D10368" s="7">
        <v>0.61</v>
      </c>
      <c r="E10368" s="85">
        <f>C10368*D10368</f>
        <v>2.44</v>
      </c>
    </row>
    <row r="10369" spans="1:5" ht="18" x14ac:dyDescent="0.35">
      <c r="A10369" s="5"/>
      <c r="B10369" s="50"/>
      <c r="C10369" s="87"/>
      <c r="D10369" s="88"/>
      <c r="E10369" s="85">
        <f>SUM(E10364:E10368)</f>
        <v>89.058829999999986</v>
      </c>
    </row>
    <row r="10370" spans="1:5" ht="18" x14ac:dyDescent="0.35">
      <c r="A10370" s="5"/>
      <c r="B10370" s="50"/>
      <c r="C10370" s="87"/>
      <c r="D10370" s="88" t="s">
        <v>1266</v>
      </c>
      <c r="E10370" s="85">
        <f>E10369+E10369*40%</f>
        <v>124.68236199999998</v>
      </c>
    </row>
    <row r="10371" spans="1:5" ht="18" x14ac:dyDescent="0.35">
      <c r="A10371" s="5"/>
      <c r="B10371" s="50" t="s">
        <v>37</v>
      </c>
      <c r="C10371" s="54">
        <v>0.5</v>
      </c>
      <c r="D10371" s="86">
        <v>200</v>
      </c>
      <c r="E10371" s="85">
        <f>C10371*D10371</f>
        <v>100</v>
      </c>
    </row>
    <row r="10372" spans="1:5" ht="18" x14ac:dyDescent="0.35">
      <c r="A10372" s="5"/>
      <c r="B10372" s="5"/>
      <c r="C10372" s="54"/>
      <c r="D10372" s="54"/>
      <c r="E10372" s="85">
        <f>SUM(E10370:E10371)</f>
        <v>224.68236199999998</v>
      </c>
    </row>
    <row r="10375" spans="1:5" ht="21" x14ac:dyDescent="0.4">
      <c r="A10375" s="40" t="s">
        <v>2066</v>
      </c>
      <c r="B10375" s="40"/>
      <c r="C10375" s="40"/>
      <c r="D10375" s="12"/>
      <c r="E10375" s="12"/>
    </row>
    <row r="10376" spans="1:5" ht="18" x14ac:dyDescent="0.35">
      <c r="A10376" s="5" t="s">
        <v>1930</v>
      </c>
      <c r="B10376" s="5"/>
      <c r="C10376" s="7" t="s">
        <v>28</v>
      </c>
      <c r="D10376" s="7" t="s">
        <v>29</v>
      </c>
      <c r="E10376" s="7" t="s">
        <v>30</v>
      </c>
    </row>
    <row r="10377" spans="1:5" ht="18" x14ac:dyDescent="0.35">
      <c r="A10377" s="5" t="s">
        <v>2228</v>
      </c>
      <c r="B10377" s="50" t="s">
        <v>32</v>
      </c>
      <c r="C10377" s="7">
        <v>5.3040000000000003</v>
      </c>
      <c r="D10377" s="7">
        <v>11.37</v>
      </c>
      <c r="E10377" s="85">
        <f>C10377*D10377</f>
        <v>60.306480000000001</v>
      </c>
    </row>
    <row r="10378" spans="1:5" ht="18" x14ac:dyDescent="0.35">
      <c r="A10378" s="5" t="s">
        <v>219</v>
      </c>
      <c r="B10378" s="50" t="s">
        <v>33</v>
      </c>
      <c r="C10378" s="7">
        <v>2.4990000000000001</v>
      </c>
      <c r="D10378" s="7">
        <v>10</v>
      </c>
      <c r="E10378" s="85">
        <f>C10378*D10378</f>
        <v>24.990000000000002</v>
      </c>
    </row>
    <row r="10379" spans="1:5" ht="18" x14ac:dyDescent="0.35">
      <c r="A10379" s="5" t="s">
        <v>2229</v>
      </c>
      <c r="B10379" s="50" t="s">
        <v>137</v>
      </c>
      <c r="C10379" s="7">
        <v>0.3</v>
      </c>
      <c r="D10379" s="7">
        <v>17.190000000000001</v>
      </c>
      <c r="E10379" s="85">
        <f>C10379*D10379</f>
        <v>5.157</v>
      </c>
    </row>
    <row r="10380" spans="1:5" ht="18" x14ac:dyDescent="0.35">
      <c r="A10380" s="5" t="s">
        <v>2225</v>
      </c>
      <c r="B10380" s="50" t="s">
        <v>35</v>
      </c>
      <c r="C10380" s="7">
        <v>4</v>
      </c>
      <c r="D10380" s="7">
        <v>2.91</v>
      </c>
      <c r="E10380" s="85">
        <f>C10380*D10380</f>
        <v>11.64</v>
      </c>
    </row>
    <row r="10381" spans="1:5" ht="18" x14ac:dyDescent="0.35">
      <c r="B10381" s="50" t="s">
        <v>36</v>
      </c>
      <c r="C10381" s="7">
        <v>4</v>
      </c>
      <c r="D10381" s="7">
        <v>0.61</v>
      </c>
      <c r="E10381" s="85">
        <f>C10381*D10381</f>
        <v>2.44</v>
      </c>
    </row>
    <row r="10382" spans="1:5" ht="18" x14ac:dyDescent="0.35">
      <c r="A10382" s="5"/>
      <c r="B10382" s="50"/>
      <c r="C10382" s="87"/>
      <c r="D10382" s="88"/>
      <c r="E10382" s="85">
        <f>SUM(E10377:E10381)</f>
        <v>104.53348</v>
      </c>
    </row>
    <row r="10383" spans="1:5" ht="18" x14ac:dyDescent="0.35">
      <c r="A10383" s="5"/>
      <c r="B10383" s="50"/>
      <c r="C10383" s="87"/>
      <c r="D10383" s="88" t="s">
        <v>1266</v>
      </c>
      <c r="E10383" s="85">
        <f>E10382+E10382*40%</f>
        <v>146.34687199999999</v>
      </c>
    </row>
    <row r="10384" spans="1:5" ht="18" x14ac:dyDescent="0.35">
      <c r="A10384" s="5"/>
      <c r="B10384" s="50" t="s">
        <v>37</v>
      </c>
      <c r="C10384" s="54">
        <v>0.5</v>
      </c>
      <c r="D10384" s="86">
        <v>200</v>
      </c>
      <c r="E10384" s="85">
        <f>C10384*D10384</f>
        <v>100</v>
      </c>
    </row>
    <row r="10385" spans="1:5" ht="18" x14ac:dyDescent="0.35">
      <c r="A10385" s="5"/>
      <c r="B10385" s="5"/>
      <c r="C10385" s="54"/>
      <c r="D10385" s="54"/>
      <c r="E10385" s="85">
        <f>SUM(E10383:E10384)</f>
        <v>246.34687199999999</v>
      </c>
    </row>
    <row r="10388" spans="1:5" ht="21" x14ac:dyDescent="0.4">
      <c r="A10388" s="40" t="s">
        <v>2066</v>
      </c>
      <c r="B10388" s="40"/>
      <c r="C10388" s="40"/>
      <c r="D10388" s="12"/>
      <c r="E10388" s="12"/>
    </row>
    <row r="10389" spans="1:5" ht="18" x14ac:dyDescent="0.35">
      <c r="A10389" s="5" t="s">
        <v>1930</v>
      </c>
      <c r="B10389" s="5"/>
      <c r="C10389" s="7" t="s">
        <v>28</v>
      </c>
      <c r="D10389" s="7" t="s">
        <v>29</v>
      </c>
      <c r="E10389" s="7" t="s">
        <v>30</v>
      </c>
    </row>
    <row r="10390" spans="1:5" ht="18" x14ac:dyDescent="0.35">
      <c r="A10390" s="5" t="s">
        <v>2230</v>
      </c>
      <c r="B10390" s="50" t="s">
        <v>32</v>
      </c>
      <c r="C10390" s="7">
        <v>4.0650000000000004</v>
      </c>
      <c r="D10390" s="7">
        <v>11.37</v>
      </c>
      <c r="E10390" s="85">
        <f>C10390*D10390</f>
        <v>46.219050000000003</v>
      </c>
    </row>
    <row r="10391" spans="1:5" ht="18" x14ac:dyDescent="0.35">
      <c r="A10391" s="5" t="s">
        <v>219</v>
      </c>
      <c r="B10391" s="50" t="s">
        <v>33</v>
      </c>
      <c r="C10391" s="7">
        <v>1.879</v>
      </c>
      <c r="D10391" s="7">
        <v>10</v>
      </c>
      <c r="E10391" s="85">
        <f>C10391*D10391</f>
        <v>18.79</v>
      </c>
    </row>
    <row r="10392" spans="1:5" ht="18" x14ac:dyDescent="0.35">
      <c r="A10392" s="5" t="s">
        <v>2231</v>
      </c>
      <c r="B10392" s="50" t="s">
        <v>137</v>
      </c>
      <c r="C10392" s="7">
        <v>0.3</v>
      </c>
      <c r="D10392" s="7">
        <v>17.190000000000001</v>
      </c>
      <c r="E10392" s="85">
        <f>C10392*D10392</f>
        <v>5.157</v>
      </c>
    </row>
    <row r="10393" spans="1:5" ht="18" x14ac:dyDescent="0.35">
      <c r="A10393" s="5" t="s">
        <v>2225</v>
      </c>
      <c r="B10393" s="50" t="s">
        <v>35</v>
      </c>
      <c r="C10393" s="7">
        <v>4</v>
      </c>
      <c r="D10393" s="7">
        <v>2.91</v>
      </c>
      <c r="E10393" s="85">
        <f>C10393*D10393</f>
        <v>11.64</v>
      </c>
    </row>
    <row r="10394" spans="1:5" ht="18" x14ac:dyDescent="0.35">
      <c r="B10394" s="50" t="s">
        <v>36</v>
      </c>
      <c r="C10394" s="7">
        <v>4</v>
      </c>
      <c r="D10394" s="7">
        <v>0.61</v>
      </c>
      <c r="E10394" s="85">
        <f>C10394*D10394</f>
        <v>2.44</v>
      </c>
    </row>
    <row r="10395" spans="1:5" ht="18" x14ac:dyDescent="0.35">
      <c r="A10395" s="5"/>
      <c r="B10395" s="50"/>
      <c r="C10395" s="87"/>
      <c r="D10395" s="88"/>
      <c r="E10395" s="85">
        <f>SUM(E10390:E10394)</f>
        <v>84.246049999999997</v>
      </c>
    </row>
    <row r="10396" spans="1:5" ht="18" x14ac:dyDescent="0.35">
      <c r="A10396" s="5"/>
      <c r="B10396" s="50"/>
      <c r="C10396" s="87"/>
      <c r="D10396" s="88" t="s">
        <v>1266</v>
      </c>
      <c r="E10396" s="85">
        <f>E10395+E10395*40%</f>
        <v>117.94447</v>
      </c>
    </row>
    <row r="10397" spans="1:5" ht="18" x14ac:dyDescent="0.35">
      <c r="A10397" s="5"/>
      <c r="B10397" s="50" t="s">
        <v>37</v>
      </c>
      <c r="C10397" s="54">
        <v>0.5</v>
      </c>
      <c r="D10397" s="86">
        <v>200</v>
      </c>
      <c r="E10397" s="85">
        <f>C10397*D10397</f>
        <v>100</v>
      </c>
    </row>
    <row r="10398" spans="1:5" ht="18" x14ac:dyDescent="0.35">
      <c r="A10398" s="5"/>
      <c r="B10398" s="5"/>
      <c r="C10398" s="54"/>
      <c r="D10398" s="54"/>
      <c r="E10398" s="85">
        <f>SUM(E10396:E10397)</f>
        <v>217.94447</v>
      </c>
    </row>
    <row r="10400" spans="1:5" ht="21" x14ac:dyDescent="0.4">
      <c r="A10400" s="40" t="s">
        <v>2066</v>
      </c>
      <c r="B10400" s="40"/>
      <c r="C10400" s="40"/>
      <c r="D10400" s="12"/>
      <c r="E10400" s="12"/>
    </row>
    <row r="10401" spans="1:5" ht="18" x14ac:dyDescent="0.35">
      <c r="A10401" s="5" t="s">
        <v>1930</v>
      </c>
      <c r="B10401" s="5"/>
      <c r="C10401" s="7" t="s">
        <v>28</v>
      </c>
      <c r="D10401" s="7" t="s">
        <v>29</v>
      </c>
      <c r="E10401" s="7" t="s">
        <v>30</v>
      </c>
    </row>
    <row r="10402" spans="1:5" ht="18" x14ac:dyDescent="0.35">
      <c r="A10402" s="5" t="s">
        <v>2232</v>
      </c>
      <c r="B10402" s="50" t="s">
        <v>32</v>
      </c>
      <c r="C10402" s="7">
        <v>6.06</v>
      </c>
      <c r="D10402" s="7">
        <v>11.37</v>
      </c>
      <c r="E10402" s="85">
        <f>C10402*D10402</f>
        <v>68.902199999999993</v>
      </c>
    </row>
    <row r="10403" spans="1:5" ht="18" x14ac:dyDescent="0.35">
      <c r="A10403" s="5" t="s">
        <v>219</v>
      </c>
      <c r="B10403" s="50" t="s">
        <v>33</v>
      </c>
      <c r="C10403" s="7">
        <v>2.8769999999999998</v>
      </c>
      <c r="D10403" s="7">
        <v>10</v>
      </c>
      <c r="E10403" s="85">
        <f>C10403*D10403</f>
        <v>28.769999999999996</v>
      </c>
    </row>
    <row r="10404" spans="1:5" ht="18" x14ac:dyDescent="0.35">
      <c r="A10404" s="5" t="s">
        <v>2233</v>
      </c>
      <c r="B10404" s="50" t="s">
        <v>137</v>
      </c>
      <c r="C10404" s="7">
        <v>0.3</v>
      </c>
      <c r="D10404" s="7">
        <v>17.190000000000001</v>
      </c>
      <c r="E10404" s="85">
        <f>C10404*D10404</f>
        <v>5.157</v>
      </c>
    </row>
    <row r="10405" spans="1:5" ht="18" x14ac:dyDescent="0.35">
      <c r="A10405" s="5" t="s">
        <v>2225</v>
      </c>
      <c r="B10405" s="50" t="s">
        <v>35</v>
      </c>
      <c r="C10405" s="7">
        <v>4</v>
      </c>
      <c r="D10405" s="7">
        <v>2.91</v>
      </c>
      <c r="E10405" s="85">
        <f>C10405*D10405</f>
        <v>11.64</v>
      </c>
    </row>
    <row r="10406" spans="1:5" ht="18" x14ac:dyDescent="0.35">
      <c r="B10406" s="50" t="s">
        <v>36</v>
      </c>
      <c r="C10406" s="7">
        <v>4</v>
      </c>
      <c r="D10406" s="7">
        <v>0.61</v>
      </c>
      <c r="E10406" s="85">
        <f>C10406*D10406</f>
        <v>2.44</v>
      </c>
    </row>
    <row r="10407" spans="1:5" ht="18" x14ac:dyDescent="0.35">
      <c r="A10407" s="5"/>
      <c r="B10407" s="50"/>
      <c r="C10407" s="87"/>
      <c r="D10407" s="88"/>
      <c r="E10407" s="85">
        <f>SUM(E10402:E10406)</f>
        <v>116.90919999999998</v>
      </c>
    </row>
    <row r="10408" spans="1:5" ht="18" x14ac:dyDescent="0.35">
      <c r="A10408" s="5"/>
      <c r="B10408" s="50"/>
      <c r="C10408" s="87"/>
      <c r="D10408" s="88" t="s">
        <v>1266</v>
      </c>
      <c r="E10408" s="85">
        <f>E10407+E10407*40%</f>
        <v>163.67287999999996</v>
      </c>
    </row>
    <row r="10409" spans="1:5" ht="18" x14ac:dyDescent="0.35">
      <c r="A10409" s="5"/>
      <c r="B10409" s="50" t="s">
        <v>37</v>
      </c>
      <c r="C10409" s="54">
        <v>0.5</v>
      </c>
      <c r="D10409" s="86">
        <v>200</v>
      </c>
      <c r="E10409" s="85">
        <f>C10409*D10409</f>
        <v>100</v>
      </c>
    </row>
    <row r="10410" spans="1:5" ht="18" x14ac:dyDescent="0.35">
      <c r="A10410" s="5"/>
      <c r="B10410" s="5"/>
      <c r="C10410" s="54"/>
      <c r="D10410" s="54"/>
      <c r="E10410" s="85">
        <f>SUM(E10408:E10409)</f>
        <v>263.67287999999996</v>
      </c>
    </row>
    <row r="10412" spans="1:5" ht="21" x14ac:dyDescent="0.4">
      <c r="A10412" s="40" t="s">
        <v>2066</v>
      </c>
      <c r="B10412" s="40"/>
      <c r="C10412" s="40"/>
      <c r="D10412" s="12"/>
      <c r="E10412" s="12"/>
    </row>
    <row r="10413" spans="1:5" ht="18" x14ac:dyDescent="0.35">
      <c r="A10413" s="5" t="s">
        <v>1930</v>
      </c>
      <c r="B10413" s="5"/>
      <c r="C10413" s="7" t="s">
        <v>28</v>
      </c>
      <c r="D10413" s="7" t="s">
        <v>29</v>
      </c>
      <c r="E10413" s="7" t="s">
        <v>30</v>
      </c>
    </row>
    <row r="10414" spans="1:5" ht="18" x14ac:dyDescent="0.35">
      <c r="A10414" s="5" t="s">
        <v>2234</v>
      </c>
      <c r="B10414" s="50" t="s">
        <v>32</v>
      </c>
      <c r="C10414" s="7">
        <v>5.3570000000000002</v>
      </c>
      <c r="D10414" s="7">
        <v>11.37</v>
      </c>
      <c r="E10414" s="85">
        <f>C10414*D10414</f>
        <v>60.909089999999999</v>
      </c>
    </row>
    <row r="10415" spans="1:5" ht="18" x14ac:dyDescent="0.35">
      <c r="A10415" s="5" t="s">
        <v>219</v>
      </c>
      <c r="B10415" s="50" t="s">
        <v>33</v>
      </c>
      <c r="C10415" s="7">
        <v>2.5249999999999999</v>
      </c>
      <c r="D10415" s="7">
        <v>10</v>
      </c>
      <c r="E10415" s="85">
        <f>C10415*D10415</f>
        <v>25.25</v>
      </c>
    </row>
    <row r="10416" spans="1:5" ht="18" x14ac:dyDescent="0.35">
      <c r="A10416" s="5" t="s">
        <v>2235</v>
      </c>
      <c r="B10416" s="50" t="s">
        <v>137</v>
      </c>
      <c r="C10416" s="7">
        <v>0.3</v>
      </c>
      <c r="D10416" s="7">
        <v>17.190000000000001</v>
      </c>
      <c r="E10416" s="85">
        <f>C10416*D10416</f>
        <v>5.157</v>
      </c>
    </row>
    <row r="10417" spans="1:5" ht="18" x14ac:dyDescent="0.35">
      <c r="A10417" s="5" t="s">
        <v>2225</v>
      </c>
      <c r="B10417" s="50" t="s">
        <v>35</v>
      </c>
      <c r="C10417" s="7">
        <v>4</v>
      </c>
      <c r="D10417" s="7">
        <v>2.91</v>
      </c>
      <c r="E10417" s="85">
        <f>C10417*D10417</f>
        <v>11.64</v>
      </c>
    </row>
    <row r="10418" spans="1:5" ht="18" x14ac:dyDescent="0.35">
      <c r="B10418" s="50" t="s">
        <v>36</v>
      </c>
      <c r="C10418" s="7">
        <v>4</v>
      </c>
      <c r="D10418" s="7">
        <v>0.61</v>
      </c>
      <c r="E10418" s="85">
        <f>C10418*D10418</f>
        <v>2.44</v>
      </c>
    </row>
    <row r="10419" spans="1:5" ht="18" x14ac:dyDescent="0.35">
      <c r="A10419" s="5"/>
      <c r="B10419" s="50"/>
      <c r="C10419" s="87"/>
      <c r="D10419" s="88"/>
      <c r="E10419" s="85">
        <f>SUM(E10414:E10418)</f>
        <v>105.39608999999999</v>
      </c>
    </row>
    <row r="10420" spans="1:5" ht="18" x14ac:dyDescent="0.35">
      <c r="A10420" s="5"/>
      <c r="B10420" s="50"/>
      <c r="C10420" s="87"/>
      <c r="D10420" s="88" t="s">
        <v>1266</v>
      </c>
      <c r="E10420" s="85">
        <f>E10419+E10419*40%</f>
        <v>147.55452599999998</v>
      </c>
    </row>
    <row r="10421" spans="1:5" ht="18" x14ac:dyDescent="0.35">
      <c r="A10421" s="5"/>
      <c r="B10421" s="50" t="s">
        <v>37</v>
      </c>
      <c r="C10421" s="54">
        <v>0.5</v>
      </c>
      <c r="D10421" s="86">
        <v>200</v>
      </c>
      <c r="E10421" s="85">
        <f>C10421*D10421</f>
        <v>100</v>
      </c>
    </row>
    <row r="10422" spans="1:5" ht="18" x14ac:dyDescent="0.35">
      <c r="A10422" s="5"/>
      <c r="B10422" s="5"/>
      <c r="C10422" s="54"/>
      <c r="D10422" s="54"/>
      <c r="E10422" s="85">
        <f>SUM(E10420:E10421)</f>
        <v>247.55452599999998</v>
      </c>
    </row>
    <row r="10424" spans="1:5" ht="21" x14ac:dyDescent="0.4">
      <c r="A10424" s="40" t="s">
        <v>2066</v>
      </c>
      <c r="B10424" s="40"/>
      <c r="C10424" s="40"/>
      <c r="D10424" s="12"/>
      <c r="E10424" s="12"/>
    </row>
    <row r="10425" spans="1:5" ht="18" x14ac:dyDescent="0.35">
      <c r="A10425" s="5" t="s">
        <v>2222</v>
      </c>
      <c r="B10425" s="5"/>
      <c r="C10425" s="7" t="s">
        <v>28</v>
      </c>
      <c r="D10425" s="7" t="s">
        <v>29</v>
      </c>
      <c r="E10425" s="7" t="s">
        <v>30</v>
      </c>
    </row>
    <row r="10426" spans="1:5" ht="18" x14ac:dyDescent="0.35">
      <c r="A10426" s="5" t="s">
        <v>2236</v>
      </c>
      <c r="B10426" s="50" t="s">
        <v>32</v>
      </c>
      <c r="C10426" s="7">
        <v>2.6579999999999999</v>
      </c>
      <c r="D10426" s="7">
        <v>11.37</v>
      </c>
      <c r="E10426" s="85">
        <f>C10426*D10426</f>
        <v>30.221459999999997</v>
      </c>
    </row>
    <row r="10427" spans="1:5" ht="18" x14ac:dyDescent="0.35">
      <c r="A10427" s="5" t="s">
        <v>2087</v>
      </c>
      <c r="B10427" s="50" t="s">
        <v>33</v>
      </c>
      <c r="C10427" s="7">
        <v>25.661999999999999</v>
      </c>
      <c r="D10427" s="7">
        <v>10</v>
      </c>
      <c r="E10427" s="85">
        <f>C10427*D10427</f>
        <v>256.62</v>
      </c>
    </row>
    <row r="10428" spans="1:5" ht="18" x14ac:dyDescent="0.35">
      <c r="A10428" s="5" t="s">
        <v>2224</v>
      </c>
      <c r="B10428" s="50" t="s">
        <v>137</v>
      </c>
      <c r="C10428" s="7">
        <v>1.407</v>
      </c>
      <c r="D10428" s="7">
        <v>17.190000000000001</v>
      </c>
      <c r="E10428" s="85">
        <f>C10428*D10428</f>
        <v>24.186330000000002</v>
      </c>
    </row>
    <row r="10429" spans="1:5" ht="18" x14ac:dyDescent="0.35">
      <c r="A10429" s="5" t="s">
        <v>2225</v>
      </c>
      <c r="B10429" s="50" t="s">
        <v>35</v>
      </c>
      <c r="C10429" s="7">
        <v>4</v>
      </c>
      <c r="D10429" s="7">
        <v>2.91</v>
      </c>
      <c r="E10429" s="85">
        <f>C10429*D10429</f>
        <v>11.64</v>
      </c>
    </row>
    <row r="10430" spans="1:5" ht="18" x14ac:dyDescent="0.35">
      <c r="B10430" s="50" t="s">
        <v>36</v>
      </c>
      <c r="C10430" s="7">
        <v>4</v>
      </c>
      <c r="D10430" s="7">
        <v>0.61</v>
      </c>
      <c r="E10430" s="85">
        <f>C10430*D10430</f>
        <v>2.44</v>
      </c>
    </row>
    <row r="10431" spans="1:5" ht="18" x14ac:dyDescent="0.35">
      <c r="A10431" s="5"/>
      <c r="B10431" s="50"/>
      <c r="C10431" s="87"/>
      <c r="D10431" s="88"/>
      <c r="E10431" s="85">
        <f>SUM(E10426:E10430)</f>
        <v>325.10778999999997</v>
      </c>
    </row>
    <row r="10432" spans="1:5" ht="18" x14ac:dyDescent="0.35">
      <c r="A10432" s="5"/>
      <c r="B10432" s="50"/>
      <c r="C10432" s="87"/>
      <c r="D10432" s="88" t="s">
        <v>1266</v>
      </c>
      <c r="E10432" s="85">
        <f>E10431+E10431*40%</f>
        <v>455.15090599999996</v>
      </c>
    </row>
    <row r="10433" spans="1:5" ht="18" x14ac:dyDescent="0.35">
      <c r="A10433" s="5"/>
      <c r="B10433" s="50" t="s">
        <v>37</v>
      </c>
      <c r="C10433" s="54">
        <v>1</v>
      </c>
      <c r="D10433" s="86">
        <v>200</v>
      </c>
      <c r="E10433" s="85">
        <f>C10433*D10433</f>
        <v>200</v>
      </c>
    </row>
    <row r="10434" spans="1:5" ht="18" x14ac:dyDescent="0.35">
      <c r="A10434" s="5"/>
      <c r="B10434" s="5"/>
      <c r="C10434" s="54"/>
      <c r="D10434" s="54"/>
      <c r="E10434" s="85">
        <f>SUM(E10432:E10433)</f>
        <v>655.15090599999996</v>
      </c>
    </row>
    <row r="10436" spans="1:5" ht="21" x14ac:dyDescent="0.4">
      <c r="A10436" s="40" t="s">
        <v>2066</v>
      </c>
      <c r="B10436" s="40"/>
      <c r="C10436" s="40"/>
      <c r="D10436" s="12"/>
      <c r="E10436" s="12"/>
    </row>
    <row r="10437" spans="1:5" ht="18" x14ac:dyDescent="0.35">
      <c r="A10437" s="5" t="s">
        <v>2222</v>
      </c>
      <c r="B10437" s="5"/>
      <c r="C10437" s="7" t="s">
        <v>28</v>
      </c>
      <c r="D10437" s="7" t="s">
        <v>29</v>
      </c>
      <c r="E10437" s="7" t="s">
        <v>30</v>
      </c>
    </row>
    <row r="10438" spans="1:5" ht="18" x14ac:dyDescent="0.35">
      <c r="A10438" s="5" t="s">
        <v>2237</v>
      </c>
      <c r="B10438" s="50" t="s">
        <v>32</v>
      </c>
      <c r="C10438" s="7">
        <v>2.448</v>
      </c>
      <c r="D10438" s="7">
        <v>11.37</v>
      </c>
      <c r="E10438" s="85">
        <f>C10438*D10438</f>
        <v>27.833759999999998</v>
      </c>
    </row>
    <row r="10439" spans="1:5" ht="18" x14ac:dyDescent="0.35">
      <c r="A10439" s="5" t="s">
        <v>59</v>
      </c>
      <c r="B10439" s="50" t="s">
        <v>33</v>
      </c>
      <c r="C10439" s="7">
        <v>21.713999999999999</v>
      </c>
      <c r="D10439" s="7">
        <v>10</v>
      </c>
      <c r="E10439" s="85">
        <f>C10439*D10439</f>
        <v>217.14</v>
      </c>
    </row>
    <row r="10440" spans="1:5" ht="18" x14ac:dyDescent="0.35">
      <c r="A10440" s="5" t="s">
        <v>2224</v>
      </c>
      <c r="B10440" s="50" t="s">
        <v>137</v>
      </c>
      <c r="C10440" s="7">
        <v>1.302</v>
      </c>
      <c r="D10440" s="7">
        <v>17.190000000000001</v>
      </c>
      <c r="E10440" s="85">
        <f>C10440*D10440</f>
        <v>22.381380000000004</v>
      </c>
    </row>
    <row r="10441" spans="1:5" ht="18" x14ac:dyDescent="0.35">
      <c r="A10441" s="5" t="s">
        <v>2225</v>
      </c>
      <c r="B10441" s="50" t="s">
        <v>35</v>
      </c>
      <c r="C10441" s="7">
        <v>4</v>
      </c>
      <c r="D10441" s="7">
        <v>2.91</v>
      </c>
      <c r="E10441" s="85">
        <f>C10441*D10441</f>
        <v>11.64</v>
      </c>
    </row>
    <row r="10442" spans="1:5" ht="18" x14ac:dyDescent="0.35">
      <c r="B10442" s="50" t="s">
        <v>36</v>
      </c>
      <c r="C10442" s="7">
        <v>4</v>
      </c>
      <c r="D10442" s="7">
        <v>0.61</v>
      </c>
      <c r="E10442" s="85">
        <f>C10442*D10442</f>
        <v>2.44</v>
      </c>
    </row>
    <row r="10443" spans="1:5" ht="18" x14ac:dyDescent="0.35">
      <c r="A10443" s="5"/>
      <c r="B10443" s="50"/>
      <c r="C10443" s="87"/>
      <c r="D10443" s="88"/>
      <c r="E10443" s="85">
        <f>SUM(E10438:E10442)</f>
        <v>281.43513999999993</v>
      </c>
    </row>
    <row r="10444" spans="1:5" ht="18" x14ac:dyDescent="0.35">
      <c r="A10444" s="5"/>
      <c r="B10444" s="50"/>
      <c r="C10444" s="87"/>
      <c r="D10444" s="88" t="s">
        <v>1266</v>
      </c>
      <c r="E10444" s="85">
        <f>E10443+E10443*40%</f>
        <v>394.00919599999992</v>
      </c>
    </row>
    <row r="10445" spans="1:5" ht="18" x14ac:dyDescent="0.35">
      <c r="A10445" s="5"/>
      <c r="B10445" s="50" t="s">
        <v>37</v>
      </c>
      <c r="C10445" s="54">
        <v>1</v>
      </c>
      <c r="D10445" s="86">
        <v>200</v>
      </c>
      <c r="E10445" s="85">
        <f>C10445*D10445</f>
        <v>200</v>
      </c>
    </row>
    <row r="10446" spans="1:5" ht="18" x14ac:dyDescent="0.35">
      <c r="A10446" s="5"/>
      <c r="B10446" s="5"/>
      <c r="C10446" s="54"/>
      <c r="D10446" s="54"/>
      <c r="E10446" s="85">
        <f>SUM(E10444:E10445)</f>
        <v>594.00919599999997</v>
      </c>
    </row>
    <row r="10448" spans="1:5" ht="21" x14ac:dyDescent="0.4">
      <c r="A10448" s="40" t="s">
        <v>2066</v>
      </c>
      <c r="B10448" s="40"/>
      <c r="C10448" s="40"/>
      <c r="D10448" s="12"/>
      <c r="E10448" s="12"/>
    </row>
    <row r="10449" spans="1:5" ht="18" x14ac:dyDescent="0.35">
      <c r="A10449" s="5" t="s">
        <v>2222</v>
      </c>
      <c r="B10449" s="5"/>
      <c r="C10449" s="7" t="s">
        <v>28</v>
      </c>
      <c r="D10449" s="7" t="s">
        <v>29</v>
      </c>
      <c r="E10449" s="7" t="s">
        <v>30</v>
      </c>
    </row>
    <row r="10450" spans="1:5" ht="18" x14ac:dyDescent="0.35">
      <c r="A10450" s="5" t="s">
        <v>2238</v>
      </c>
      <c r="B10450" s="50" t="s">
        <v>32</v>
      </c>
      <c r="C10450" s="7">
        <v>2.5529999999999999</v>
      </c>
      <c r="D10450" s="7">
        <v>11.37</v>
      </c>
      <c r="E10450" s="85">
        <f>C10450*D10450</f>
        <v>29.027609999999996</v>
      </c>
    </row>
    <row r="10451" spans="1:5" ht="18" x14ac:dyDescent="0.35">
      <c r="A10451" s="5" t="s">
        <v>59</v>
      </c>
      <c r="B10451" s="50" t="s">
        <v>33</v>
      </c>
      <c r="C10451" s="7">
        <v>23.1</v>
      </c>
      <c r="D10451" s="7">
        <v>10</v>
      </c>
      <c r="E10451" s="85">
        <f>C10451*D10451</f>
        <v>231</v>
      </c>
    </row>
    <row r="10452" spans="1:5" ht="18" x14ac:dyDescent="0.35">
      <c r="A10452" s="5" t="s">
        <v>2224</v>
      </c>
      <c r="B10452" s="50" t="s">
        <v>137</v>
      </c>
      <c r="C10452" s="7">
        <v>1.3440000000000001</v>
      </c>
      <c r="D10452" s="7">
        <v>17.190000000000001</v>
      </c>
      <c r="E10452" s="85">
        <f>C10452*D10452</f>
        <v>23.103360000000002</v>
      </c>
    </row>
    <row r="10453" spans="1:5" ht="18" x14ac:dyDescent="0.35">
      <c r="A10453" s="5" t="s">
        <v>2225</v>
      </c>
      <c r="B10453" s="50" t="s">
        <v>35</v>
      </c>
      <c r="C10453" s="7">
        <v>4</v>
      </c>
      <c r="D10453" s="7">
        <v>2.91</v>
      </c>
      <c r="E10453" s="85">
        <f>C10453*D10453</f>
        <v>11.64</v>
      </c>
    </row>
    <row r="10454" spans="1:5" ht="18" x14ac:dyDescent="0.35">
      <c r="B10454" s="50" t="s">
        <v>36</v>
      </c>
      <c r="C10454" s="7">
        <v>4</v>
      </c>
      <c r="D10454" s="7">
        <v>0.61</v>
      </c>
      <c r="E10454" s="85">
        <f>C10454*D10454</f>
        <v>2.44</v>
      </c>
    </row>
    <row r="10455" spans="1:5" ht="18" x14ac:dyDescent="0.35">
      <c r="A10455" s="5"/>
      <c r="B10455" s="50"/>
      <c r="C10455" s="87"/>
      <c r="D10455" s="88"/>
      <c r="E10455" s="85">
        <f>SUM(E10450:E10454)</f>
        <v>297.21096999999997</v>
      </c>
    </row>
    <row r="10456" spans="1:5" ht="18" x14ac:dyDescent="0.35">
      <c r="A10456" s="5"/>
      <c r="B10456" s="50"/>
      <c r="C10456" s="87"/>
      <c r="D10456" s="88" t="s">
        <v>1266</v>
      </c>
      <c r="E10456" s="85">
        <f>E10455+E10455*40%</f>
        <v>416.09535799999998</v>
      </c>
    </row>
    <row r="10457" spans="1:5" ht="18" x14ac:dyDescent="0.35">
      <c r="A10457" s="5"/>
      <c r="B10457" s="50" t="s">
        <v>37</v>
      </c>
      <c r="C10457" s="54">
        <v>1</v>
      </c>
      <c r="D10457" s="86">
        <v>200</v>
      </c>
      <c r="E10457" s="85">
        <f>C10457*D10457</f>
        <v>200</v>
      </c>
    </row>
    <row r="10458" spans="1:5" ht="18" x14ac:dyDescent="0.35">
      <c r="A10458" s="5"/>
      <c r="B10458" s="5"/>
      <c r="C10458" s="54"/>
      <c r="D10458" s="54"/>
      <c r="E10458" s="85">
        <f>SUM(E10456:E10457)</f>
        <v>616.09535800000003</v>
      </c>
    </row>
    <row r="10460" spans="1:5" ht="21" x14ac:dyDescent="0.4">
      <c r="A10460" s="40" t="s">
        <v>2066</v>
      </c>
      <c r="B10460" s="40"/>
      <c r="C10460" s="40"/>
      <c r="D10460" s="12"/>
      <c r="E10460" s="12"/>
    </row>
    <row r="10461" spans="1:5" ht="18" x14ac:dyDescent="0.35">
      <c r="A10461" s="5" t="s">
        <v>2222</v>
      </c>
      <c r="B10461" s="5"/>
      <c r="C10461" s="7" t="s">
        <v>28</v>
      </c>
      <c r="D10461" s="7" t="s">
        <v>29</v>
      </c>
      <c r="E10461" s="7" t="s">
        <v>30</v>
      </c>
    </row>
    <row r="10462" spans="1:5" ht="18" x14ac:dyDescent="0.35">
      <c r="A10462" s="5" t="s">
        <v>2239</v>
      </c>
      <c r="B10462" s="50" t="s">
        <v>32</v>
      </c>
      <c r="C10462" s="7">
        <v>2.7839999999999998</v>
      </c>
      <c r="D10462" s="7">
        <v>11.37</v>
      </c>
      <c r="E10462" s="85">
        <f>C10462*D10462</f>
        <v>31.654079999999997</v>
      </c>
    </row>
    <row r="10463" spans="1:5" ht="18" x14ac:dyDescent="0.35">
      <c r="A10463" s="5" t="s">
        <v>59</v>
      </c>
      <c r="B10463" s="50" t="s">
        <v>33</v>
      </c>
      <c r="C10463" s="7">
        <v>25.41</v>
      </c>
      <c r="D10463" s="7">
        <v>10</v>
      </c>
      <c r="E10463" s="85">
        <f>C10463*D10463</f>
        <v>254.1</v>
      </c>
    </row>
    <row r="10464" spans="1:5" ht="18" x14ac:dyDescent="0.35">
      <c r="A10464" s="5" t="s">
        <v>2224</v>
      </c>
      <c r="B10464" s="50" t="s">
        <v>137</v>
      </c>
      <c r="C10464" s="7">
        <v>1.47</v>
      </c>
      <c r="D10464" s="7">
        <v>17.190000000000001</v>
      </c>
      <c r="E10464" s="85">
        <f>C10464*D10464</f>
        <v>25.269300000000001</v>
      </c>
    </row>
    <row r="10465" spans="1:5" ht="18" x14ac:dyDescent="0.35">
      <c r="A10465" s="5" t="s">
        <v>2225</v>
      </c>
      <c r="B10465" s="50" t="s">
        <v>35</v>
      </c>
      <c r="C10465" s="7">
        <v>4</v>
      </c>
      <c r="D10465" s="7">
        <v>2.91</v>
      </c>
      <c r="E10465" s="85">
        <f>C10465*D10465</f>
        <v>11.64</v>
      </c>
    </row>
    <row r="10466" spans="1:5" ht="18" x14ac:dyDescent="0.35">
      <c r="B10466" s="50" t="s">
        <v>36</v>
      </c>
      <c r="C10466" s="7">
        <v>4</v>
      </c>
      <c r="D10466" s="7">
        <v>0.61</v>
      </c>
      <c r="E10466" s="85">
        <f>C10466*D10466</f>
        <v>2.44</v>
      </c>
    </row>
    <row r="10467" spans="1:5" ht="18" x14ac:dyDescent="0.35">
      <c r="A10467" s="5"/>
      <c r="B10467" s="50"/>
      <c r="C10467" s="87"/>
      <c r="D10467" s="88"/>
      <c r="E10467" s="85">
        <f>SUM(E10462:E10466)</f>
        <v>325.10337999999996</v>
      </c>
    </row>
    <row r="10468" spans="1:5" ht="18" x14ac:dyDescent="0.35">
      <c r="A10468" s="5"/>
      <c r="B10468" s="50"/>
      <c r="C10468" s="87"/>
      <c r="D10468" s="88" t="s">
        <v>1266</v>
      </c>
      <c r="E10468" s="85">
        <f>E10467+E10467*40%</f>
        <v>455.14473199999998</v>
      </c>
    </row>
    <row r="10469" spans="1:5" ht="18" x14ac:dyDescent="0.35">
      <c r="A10469" s="5"/>
      <c r="B10469" s="50" t="s">
        <v>37</v>
      </c>
      <c r="C10469" s="54">
        <v>1</v>
      </c>
      <c r="D10469" s="86">
        <v>200</v>
      </c>
      <c r="E10469" s="85">
        <f>C10469*D10469</f>
        <v>200</v>
      </c>
    </row>
    <row r="10470" spans="1:5" ht="18" x14ac:dyDescent="0.35">
      <c r="A10470" s="5"/>
      <c r="B10470" s="5"/>
      <c r="C10470" s="54"/>
      <c r="D10470" s="54"/>
      <c r="E10470" s="85">
        <f>SUM(E10468:E10469)</f>
        <v>655.14473199999998</v>
      </c>
    </row>
    <row r="10472" spans="1:5" ht="21" x14ac:dyDescent="0.4">
      <c r="A10472" s="40" t="s">
        <v>2066</v>
      </c>
      <c r="B10472" s="40"/>
      <c r="C10472" s="40"/>
      <c r="D10472" s="12"/>
      <c r="E10472" s="12"/>
    </row>
    <row r="10473" spans="1:5" ht="18" x14ac:dyDescent="0.35">
      <c r="A10473" s="5" t="s">
        <v>2222</v>
      </c>
      <c r="B10473" s="5"/>
      <c r="C10473" s="7" t="s">
        <v>28</v>
      </c>
      <c r="D10473" s="7" t="s">
        <v>29</v>
      </c>
      <c r="E10473" s="7" t="s">
        <v>30</v>
      </c>
    </row>
    <row r="10474" spans="1:5" ht="18" x14ac:dyDescent="0.35">
      <c r="A10474" s="5" t="s">
        <v>2240</v>
      </c>
      <c r="B10474" s="50" t="s">
        <v>32</v>
      </c>
      <c r="C10474" s="7">
        <v>2.8889999999999998</v>
      </c>
      <c r="D10474" s="7">
        <v>11.37</v>
      </c>
      <c r="E10474" s="85">
        <f>C10474*D10474</f>
        <v>32.847929999999998</v>
      </c>
    </row>
    <row r="10475" spans="1:5" ht="18" x14ac:dyDescent="0.35">
      <c r="A10475" s="5" t="s">
        <v>59</v>
      </c>
      <c r="B10475" s="50" t="s">
        <v>33</v>
      </c>
      <c r="C10475" s="7">
        <v>23.1</v>
      </c>
      <c r="D10475" s="7">
        <v>10</v>
      </c>
      <c r="E10475" s="85">
        <f>C10475*D10475</f>
        <v>231</v>
      </c>
    </row>
    <row r="10476" spans="1:5" ht="18" x14ac:dyDescent="0.35">
      <c r="A10476" s="5" t="s">
        <v>2224</v>
      </c>
      <c r="B10476" s="50" t="s">
        <v>137</v>
      </c>
      <c r="C10476" s="7">
        <v>1.68</v>
      </c>
      <c r="D10476" s="7">
        <v>17.190000000000001</v>
      </c>
      <c r="E10476" s="85">
        <f>C10476*D10476</f>
        <v>28.879200000000001</v>
      </c>
    </row>
    <row r="10477" spans="1:5" ht="18" x14ac:dyDescent="0.35">
      <c r="A10477" s="5" t="s">
        <v>2225</v>
      </c>
      <c r="B10477" s="50" t="s">
        <v>35</v>
      </c>
      <c r="C10477" s="7">
        <v>4</v>
      </c>
      <c r="D10477" s="7">
        <v>2.91</v>
      </c>
      <c r="E10477" s="85">
        <f>C10477*D10477</f>
        <v>11.64</v>
      </c>
    </row>
    <row r="10478" spans="1:5" ht="18" x14ac:dyDescent="0.35">
      <c r="B10478" s="50" t="s">
        <v>36</v>
      </c>
      <c r="C10478" s="7">
        <v>4</v>
      </c>
      <c r="D10478" s="7">
        <v>0.61</v>
      </c>
      <c r="E10478" s="85">
        <f>C10478*D10478</f>
        <v>2.44</v>
      </c>
    </row>
    <row r="10479" spans="1:5" ht="18" x14ac:dyDescent="0.35">
      <c r="A10479" s="5"/>
      <c r="B10479" s="50"/>
      <c r="C10479" s="87"/>
      <c r="D10479" s="88"/>
      <c r="E10479" s="85">
        <f>SUM(E10474:E10478)</f>
        <v>306.80713000000003</v>
      </c>
    </row>
    <row r="10480" spans="1:5" ht="18" x14ac:dyDescent="0.35">
      <c r="A10480" s="5"/>
      <c r="B10480" s="50"/>
      <c r="C10480" s="87"/>
      <c r="D10480" s="88" t="s">
        <v>1266</v>
      </c>
      <c r="E10480" s="85">
        <f>E10479+E10479*40%</f>
        <v>429.52998200000002</v>
      </c>
    </row>
    <row r="10481" spans="1:5" ht="18" x14ac:dyDescent="0.35">
      <c r="A10481" s="5"/>
      <c r="B10481" s="50" t="s">
        <v>37</v>
      </c>
      <c r="C10481" s="54">
        <v>1</v>
      </c>
      <c r="D10481" s="86">
        <v>200</v>
      </c>
      <c r="E10481" s="85">
        <f>C10481*D10481</f>
        <v>200</v>
      </c>
    </row>
    <row r="10482" spans="1:5" ht="18" x14ac:dyDescent="0.35">
      <c r="A10482" s="5"/>
      <c r="B10482" s="5"/>
      <c r="C10482" s="54"/>
      <c r="D10482" s="54"/>
      <c r="E10482" s="85">
        <f>SUM(E10480:E10481)</f>
        <v>629.52998200000002</v>
      </c>
    </row>
    <row r="10484" spans="1:5" ht="21" x14ac:dyDescent="0.4">
      <c r="A10484" s="40" t="s">
        <v>1919</v>
      </c>
      <c r="B10484" s="40"/>
      <c r="C10484" s="84"/>
    </row>
    <row r="10485" spans="1:5" x14ac:dyDescent="0.3">
      <c r="A10485" t="s">
        <v>1365</v>
      </c>
    </row>
    <row r="10486" spans="1:5" ht="18" x14ac:dyDescent="0.35">
      <c r="A10486" s="5" t="s">
        <v>311</v>
      </c>
      <c r="B10486" s="5"/>
      <c r="C10486" s="7" t="s">
        <v>28</v>
      </c>
      <c r="D10486" s="7" t="s">
        <v>29</v>
      </c>
      <c r="E10486" s="7" t="s">
        <v>30</v>
      </c>
    </row>
    <row r="10487" spans="1:5" ht="18" x14ac:dyDescent="0.35">
      <c r="A10487" s="5" t="s">
        <v>2241</v>
      </c>
      <c r="B10487" s="50" t="s">
        <v>32</v>
      </c>
      <c r="C10487" s="7">
        <v>2.028</v>
      </c>
      <c r="D10487" s="7">
        <v>11.37</v>
      </c>
      <c r="E10487" s="85">
        <f t="shared" ref="E10487:E10492" si="590">C10487*D10487</f>
        <v>23.05836</v>
      </c>
    </row>
    <row r="10488" spans="1:5" ht="18" x14ac:dyDescent="0.35">
      <c r="A10488" s="5" t="s">
        <v>2216</v>
      </c>
      <c r="B10488" s="50" t="s">
        <v>33</v>
      </c>
      <c r="C10488" s="7">
        <v>10.164</v>
      </c>
      <c r="D10488" s="7">
        <v>10</v>
      </c>
      <c r="E10488" s="85">
        <f t="shared" si="590"/>
        <v>101.64</v>
      </c>
    </row>
    <row r="10489" spans="1:5" ht="18" x14ac:dyDescent="0.35">
      <c r="A10489" s="102"/>
      <c r="B10489" s="50" t="s">
        <v>1004</v>
      </c>
      <c r="C10489" s="7">
        <v>2</v>
      </c>
      <c r="D10489" s="7">
        <v>2.96</v>
      </c>
      <c r="E10489" s="85">
        <f t="shared" si="590"/>
        <v>5.92</v>
      </c>
    </row>
    <row r="10490" spans="1:5" ht="18" x14ac:dyDescent="0.35">
      <c r="A10490" s="5"/>
      <c r="B10490" s="50" t="s">
        <v>34</v>
      </c>
      <c r="C10490" s="7"/>
      <c r="D10490" s="7">
        <v>18.059999999999999</v>
      </c>
      <c r="E10490" s="85">
        <f t="shared" si="590"/>
        <v>0</v>
      </c>
    </row>
    <row r="10491" spans="1:5" ht="18" x14ac:dyDescent="0.35">
      <c r="A10491" s="5"/>
      <c r="B10491" s="50" t="s">
        <v>35</v>
      </c>
      <c r="C10491" s="7">
        <v>4</v>
      </c>
      <c r="D10491" s="7">
        <v>2.91</v>
      </c>
      <c r="E10491" s="85">
        <f t="shared" si="590"/>
        <v>11.64</v>
      </c>
    </row>
    <row r="10492" spans="1:5" ht="18" x14ac:dyDescent="0.35">
      <c r="A10492" s="5"/>
      <c r="B10492" s="50" t="s">
        <v>36</v>
      </c>
      <c r="C10492" s="7">
        <v>4</v>
      </c>
      <c r="D10492" s="7">
        <v>0.61</v>
      </c>
      <c r="E10492" s="85">
        <f t="shared" si="590"/>
        <v>2.44</v>
      </c>
    </row>
    <row r="10493" spans="1:5" ht="18" x14ac:dyDescent="0.35">
      <c r="A10493" s="5"/>
      <c r="B10493" s="5"/>
      <c r="C10493" s="54"/>
      <c r="D10493" s="54"/>
      <c r="E10493" s="89">
        <f>SUM(E10487:E10492)</f>
        <v>144.69835999999998</v>
      </c>
    </row>
    <row r="10494" spans="1:5" ht="18" x14ac:dyDescent="0.35">
      <c r="A10494" s="5"/>
      <c r="B10494" s="5"/>
      <c r="C10494" s="54"/>
      <c r="D10494" s="54" t="s">
        <v>1066</v>
      </c>
      <c r="E10494" s="89">
        <f>E10493+E10493*40%</f>
        <v>202.57770399999998</v>
      </c>
    </row>
    <row r="10495" spans="1:5" ht="18" x14ac:dyDescent="0.35">
      <c r="A10495" s="5"/>
      <c r="B10495" s="50" t="s">
        <v>37</v>
      </c>
      <c r="C10495" s="54">
        <v>0.25</v>
      </c>
      <c r="D10495" s="54">
        <v>200</v>
      </c>
      <c r="E10495" s="85">
        <f>C10495*D10495</f>
        <v>50</v>
      </c>
    </row>
    <row r="10496" spans="1:5" ht="18" x14ac:dyDescent="0.35">
      <c r="A10496" s="5"/>
      <c r="B10496" s="5"/>
      <c r="C10496" s="54"/>
      <c r="D10496" s="54"/>
      <c r="E10496" s="85">
        <f>SUM(E10494:E10495)</f>
        <v>252.57770399999998</v>
      </c>
    </row>
    <row r="10498" spans="1:5" ht="21" x14ac:dyDescent="0.4">
      <c r="A10498" s="40" t="s">
        <v>1919</v>
      </c>
      <c r="B10498" s="40"/>
      <c r="C10498" s="84"/>
    </row>
    <row r="10499" spans="1:5" x14ac:dyDescent="0.3">
      <c r="A10499" t="s">
        <v>1365</v>
      </c>
    </row>
    <row r="10500" spans="1:5" ht="18" x14ac:dyDescent="0.35">
      <c r="A10500" s="5" t="s">
        <v>347</v>
      </c>
      <c r="B10500" s="5"/>
      <c r="C10500" s="7" t="s">
        <v>28</v>
      </c>
      <c r="D10500" s="7" t="s">
        <v>29</v>
      </c>
      <c r="E10500" s="7" t="s">
        <v>30</v>
      </c>
    </row>
    <row r="10501" spans="1:5" ht="18" x14ac:dyDescent="0.35">
      <c r="A10501" s="5" t="s">
        <v>819</v>
      </c>
      <c r="B10501" s="50" t="s">
        <v>32</v>
      </c>
      <c r="C10501" s="7">
        <v>2.133</v>
      </c>
      <c r="D10501" s="7">
        <v>11.37</v>
      </c>
      <c r="E10501" s="85">
        <f t="shared" ref="E10501:E10506" si="591">C10501*D10501</f>
        <v>24.252209999999998</v>
      </c>
    </row>
    <row r="10502" spans="1:5" ht="18" x14ac:dyDescent="0.35">
      <c r="A10502" s="5" t="s">
        <v>2242</v>
      </c>
      <c r="B10502" s="50" t="s">
        <v>33</v>
      </c>
      <c r="C10502" s="7">
        <v>19.488</v>
      </c>
      <c r="D10502" s="7">
        <v>10</v>
      </c>
      <c r="E10502" s="85">
        <f t="shared" si="591"/>
        <v>194.88</v>
      </c>
    </row>
    <row r="10503" spans="1:5" ht="18" x14ac:dyDescent="0.35">
      <c r="A10503" s="102"/>
      <c r="B10503" s="50" t="s">
        <v>86</v>
      </c>
      <c r="C10503" s="7">
        <v>2</v>
      </c>
      <c r="D10503" s="7">
        <v>1.7</v>
      </c>
      <c r="E10503" s="85">
        <f t="shared" si="591"/>
        <v>3.4</v>
      </c>
    </row>
    <row r="10504" spans="1:5" ht="18" x14ac:dyDescent="0.35">
      <c r="A10504" s="5"/>
      <c r="B10504" s="50" t="s">
        <v>34</v>
      </c>
      <c r="C10504" s="7">
        <v>0.315</v>
      </c>
      <c r="D10504" s="7">
        <v>18.059999999999999</v>
      </c>
      <c r="E10504" s="85">
        <f t="shared" si="591"/>
        <v>5.6888999999999994</v>
      </c>
    </row>
    <row r="10505" spans="1:5" ht="18" x14ac:dyDescent="0.35">
      <c r="A10505" s="5"/>
      <c r="B10505" s="50" t="s">
        <v>35</v>
      </c>
      <c r="C10505" s="7">
        <v>4</v>
      </c>
      <c r="D10505" s="7">
        <v>2.91</v>
      </c>
      <c r="E10505" s="85">
        <f t="shared" si="591"/>
        <v>11.64</v>
      </c>
    </row>
    <row r="10506" spans="1:5" ht="18" x14ac:dyDescent="0.35">
      <c r="A10506" s="5"/>
      <c r="B10506" s="50" t="s">
        <v>36</v>
      </c>
      <c r="C10506" s="7">
        <v>4</v>
      </c>
      <c r="D10506" s="7">
        <v>0.61</v>
      </c>
      <c r="E10506" s="85">
        <f t="shared" si="591"/>
        <v>2.44</v>
      </c>
    </row>
    <row r="10507" spans="1:5" ht="18" x14ac:dyDescent="0.35">
      <c r="A10507" s="5"/>
      <c r="B10507" s="5"/>
      <c r="C10507" s="54"/>
      <c r="D10507" s="54"/>
      <c r="E10507" s="89">
        <f>SUM(E10501:E10506)</f>
        <v>242.30110999999999</v>
      </c>
    </row>
    <row r="10508" spans="1:5" ht="18" x14ac:dyDescent="0.35">
      <c r="A10508" s="5"/>
      <c r="B10508" s="5"/>
      <c r="C10508" s="54"/>
      <c r="D10508" s="54" t="s">
        <v>1066</v>
      </c>
      <c r="E10508" s="89">
        <f>E10507+E10507*40%</f>
        <v>339.22155399999997</v>
      </c>
    </row>
    <row r="10509" spans="1:5" ht="18" x14ac:dyDescent="0.35">
      <c r="A10509" s="5"/>
      <c r="B10509" s="50" t="s">
        <v>37</v>
      </c>
      <c r="C10509" s="54">
        <v>0.25</v>
      </c>
      <c r="D10509" s="54">
        <v>200</v>
      </c>
      <c r="E10509" s="85">
        <f>C10509*D10509</f>
        <v>50</v>
      </c>
    </row>
    <row r="10510" spans="1:5" ht="18" x14ac:dyDescent="0.35">
      <c r="A10510" s="5"/>
      <c r="B10510" s="5"/>
      <c r="C10510" s="54"/>
      <c r="D10510" s="54"/>
      <c r="E10510" s="85">
        <f>SUM(E10508:E10509)</f>
        <v>389.22155399999997</v>
      </c>
    </row>
    <row r="10512" spans="1:5" ht="21" x14ac:dyDescent="0.4">
      <c r="A10512" s="40" t="s">
        <v>1919</v>
      </c>
      <c r="B10512" s="40"/>
      <c r="C10512" s="84"/>
    </row>
    <row r="10513" spans="1:5" x14ac:dyDescent="0.3">
      <c r="A10513" t="s">
        <v>1365</v>
      </c>
    </row>
    <row r="10514" spans="1:5" ht="18" x14ac:dyDescent="0.35">
      <c r="A10514" s="5" t="s">
        <v>363</v>
      </c>
      <c r="B10514" s="5"/>
      <c r="C10514" s="7" t="s">
        <v>28</v>
      </c>
      <c r="D10514" s="7" t="s">
        <v>29</v>
      </c>
      <c r="E10514" s="7" t="s">
        <v>30</v>
      </c>
    </row>
    <row r="10515" spans="1:5" ht="18" x14ac:dyDescent="0.35">
      <c r="A10515" s="5" t="s">
        <v>810</v>
      </c>
      <c r="B10515" s="50" t="s">
        <v>32</v>
      </c>
      <c r="C10515" s="7">
        <v>2.4060000000000001</v>
      </c>
      <c r="D10515" s="7">
        <v>11.37</v>
      </c>
      <c r="E10515" s="85">
        <f t="shared" ref="E10515:E10520" si="592">C10515*D10515</f>
        <v>27.35622</v>
      </c>
    </row>
    <row r="10516" spans="1:5" ht="18" x14ac:dyDescent="0.35">
      <c r="A10516" s="5" t="s">
        <v>2242</v>
      </c>
      <c r="B10516" s="50" t="s">
        <v>33</v>
      </c>
      <c r="C10516" s="7">
        <v>3.1179999999999999</v>
      </c>
      <c r="D10516" s="7">
        <v>10</v>
      </c>
      <c r="E10516" s="85">
        <f t="shared" si="592"/>
        <v>31.18</v>
      </c>
    </row>
    <row r="10517" spans="1:5" ht="18" x14ac:dyDescent="0.35">
      <c r="A10517" s="102"/>
      <c r="B10517" s="50" t="s">
        <v>1402</v>
      </c>
      <c r="C10517" s="7">
        <v>2</v>
      </c>
      <c r="D10517" s="7">
        <v>1.1499999999999999</v>
      </c>
      <c r="E10517" s="85">
        <f t="shared" si="592"/>
        <v>2.2999999999999998</v>
      </c>
    </row>
    <row r="10518" spans="1:5" ht="18" x14ac:dyDescent="0.35">
      <c r="A10518" s="5"/>
      <c r="B10518" s="50" t="s">
        <v>34</v>
      </c>
      <c r="C10518" s="7">
        <v>0.252</v>
      </c>
      <c r="D10518" s="7">
        <v>18.059999999999999</v>
      </c>
      <c r="E10518" s="85">
        <f t="shared" si="592"/>
        <v>4.5511200000000001</v>
      </c>
    </row>
    <row r="10519" spans="1:5" ht="18" x14ac:dyDescent="0.35">
      <c r="A10519" s="5"/>
      <c r="B10519" s="50" t="s">
        <v>35</v>
      </c>
      <c r="C10519" s="7">
        <v>4</v>
      </c>
      <c r="D10519" s="7">
        <v>2.91</v>
      </c>
      <c r="E10519" s="85">
        <f t="shared" si="592"/>
        <v>11.64</v>
      </c>
    </row>
    <row r="10520" spans="1:5" ht="18" x14ac:dyDescent="0.35">
      <c r="A10520" s="5"/>
      <c r="B10520" s="50" t="s">
        <v>36</v>
      </c>
      <c r="C10520" s="7">
        <v>4</v>
      </c>
      <c r="D10520" s="7">
        <v>0.61</v>
      </c>
      <c r="E10520" s="85">
        <f t="shared" si="592"/>
        <v>2.44</v>
      </c>
    </row>
    <row r="10521" spans="1:5" ht="18" x14ac:dyDescent="0.35">
      <c r="A10521" s="5"/>
      <c r="B10521" s="5"/>
      <c r="C10521" s="54"/>
      <c r="D10521" s="54"/>
      <c r="E10521" s="89">
        <f>SUM(E10515:E10520)</f>
        <v>79.467339999999993</v>
      </c>
    </row>
    <row r="10522" spans="1:5" ht="18" x14ac:dyDescent="0.35">
      <c r="A10522" s="5"/>
      <c r="B10522" s="5"/>
      <c r="C10522" s="54"/>
      <c r="D10522" s="54" t="s">
        <v>1066</v>
      </c>
      <c r="E10522" s="89">
        <f>E10521+E10521*40%</f>
        <v>111.25427599999999</v>
      </c>
    </row>
    <row r="10523" spans="1:5" ht="18" x14ac:dyDescent="0.35">
      <c r="A10523" s="5"/>
      <c r="B10523" s="50" t="s">
        <v>37</v>
      </c>
      <c r="C10523" s="54">
        <v>0.25</v>
      </c>
      <c r="D10523" s="54">
        <v>200</v>
      </c>
      <c r="E10523" s="85">
        <f>C10523*D10523</f>
        <v>50</v>
      </c>
    </row>
    <row r="10524" spans="1:5" ht="18" x14ac:dyDescent="0.35">
      <c r="A10524" s="5"/>
      <c r="B10524" s="5"/>
      <c r="C10524" s="54"/>
      <c r="D10524" s="54"/>
      <c r="E10524" s="85">
        <f>SUM(E10522:E10523)</f>
        <v>161.254276</v>
      </c>
    </row>
    <row r="10526" spans="1:5" ht="21" x14ac:dyDescent="0.4">
      <c r="A10526" s="40" t="s">
        <v>2066</v>
      </c>
      <c r="B10526" s="40"/>
      <c r="C10526" s="40"/>
      <c r="D10526" s="12"/>
      <c r="E10526" s="12"/>
    </row>
    <row r="10527" spans="1:5" ht="18" x14ac:dyDescent="0.35">
      <c r="A10527" s="5" t="s">
        <v>2243</v>
      </c>
      <c r="B10527" s="5"/>
      <c r="C10527" s="7" t="s">
        <v>28</v>
      </c>
      <c r="D10527" s="7" t="s">
        <v>29</v>
      </c>
      <c r="E10527" s="7" t="s">
        <v>30</v>
      </c>
    </row>
    <row r="10528" spans="1:5" ht="18" x14ac:dyDescent="0.35">
      <c r="A10528" s="5" t="s">
        <v>421</v>
      </c>
      <c r="B10528" s="50" t="s">
        <v>32</v>
      </c>
      <c r="C10528" s="7">
        <v>4.3380000000000001</v>
      </c>
      <c r="D10528" s="7">
        <v>11.37</v>
      </c>
      <c r="E10528" s="85">
        <f>C10528*D10528</f>
        <v>49.323059999999998</v>
      </c>
    </row>
    <row r="10529" spans="1:5" ht="18" x14ac:dyDescent="0.35">
      <c r="A10529" s="5" t="s">
        <v>1447</v>
      </c>
      <c r="B10529" s="50" t="s">
        <v>33</v>
      </c>
      <c r="C10529" s="7">
        <v>74.884</v>
      </c>
      <c r="D10529" s="7">
        <v>10</v>
      </c>
      <c r="E10529" s="85">
        <f>C10529*D10529</f>
        <v>748.84</v>
      </c>
    </row>
    <row r="10530" spans="1:5" ht="18" x14ac:dyDescent="0.35">
      <c r="A10530" s="5" t="s">
        <v>583</v>
      </c>
      <c r="B10530" s="50" t="s">
        <v>137</v>
      </c>
      <c r="C10530" s="7">
        <v>4.2</v>
      </c>
      <c r="D10530" s="7">
        <v>17.190000000000001</v>
      </c>
      <c r="E10530" s="85">
        <f>C10530*D10530</f>
        <v>72.198000000000008</v>
      </c>
    </row>
    <row r="10531" spans="1:5" ht="18" x14ac:dyDescent="0.35">
      <c r="A10531" s="5" t="s">
        <v>2225</v>
      </c>
      <c r="B10531" s="50" t="s">
        <v>35</v>
      </c>
      <c r="C10531" s="7">
        <v>4</v>
      </c>
      <c r="D10531" s="7">
        <v>2.91</v>
      </c>
      <c r="E10531" s="85">
        <f>C10531*D10531</f>
        <v>11.64</v>
      </c>
    </row>
    <row r="10532" spans="1:5" ht="18" x14ac:dyDescent="0.35">
      <c r="B10532" s="50" t="s">
        <v>36</v>
      </c>
      <c r="C10532" s="7">
        <v>4</v>
      </c>
      <c r="D10532" s="7">
        <v>0.61</v>
      </c>
      <c r="E10532" s="85">
        <f>C10532*D10532</f>
        <v>2.44</v>
      </c>
    </row>
    <row r="10533" spans="1:5" ht="18" x14ac:dyDescent="0.35">
      <c r="A10533" s="5"/>
      <c r="B10533" s="50"/>
      <c r="C10533" s="87"/>
      <c r="D10533" s="88"/>
      <c r="E10533" s="85">
        <f>SUM(E10528:E10532)</f>
        <v>884.44106000000011</v>
      </c>
    </row>
    <row r="10534" spans="1:5" ht="18" x14ac:dyDescent="0.35">
      <c r="A10534" s="5"/>
      <c r="B10534" s="50"/>
      <c r="C10534" s="87"/>
      <c r="D10534" s="88" t="s">
        <v>1266</v>
      </c>
      <c r="E10534" s="85">
        <f>E10533+E10533*40%</f>
        <v>1238.2174840000002</v>
      </c>
    </row>
    <row r="10535" spans="1:5" ht="18" x14ac:dyDescent="0.35">
      <c r="A10535" s="5"/>
      <c r="B10535" s="50" t="s">
        <v>37</v>
      </c>
      <c r="C10535" s="54">
        <v>2</v>
      </c>
      <c r="D10535" s="86">
        <v>200</v>
      </c>
      <c r="E10535" s="85">
        <f>C10535*D10535</f>
        <v>400</v>
      </c>
    </row>
    <row r="10536" spans="1:5" ht="18" x14ac:dyDescent="0.35">
      <c r="A10536" s="5"/>
      <c r="B10536" s="5"/>
      <c r="C10536" s="54"/>
      <c r="D10536" s="54"/>
      <c r="E10536" s="85">
        <f>SUM(E10534:E10535)</f>
        <v>1638.2174840000002</v>
      </c>
    </row>
    <row r="10537" spans="1:5" ht="21" x14ac:dyDescent="0.4">
      <c r="A10537" s="40" t="s">
        <v>2244</v>
      </c>
      <c r="B10537" s="40"/>
      <c r="C10537" s="40"/>
      <c r="D10537" s="12"/>
      <c r="E10537" s="12"/>
    </row>
    <row r="10538" spans="1:5" ht="18" x14ac:dyDescent="0.35">
      <c r="A10538" s="5"/>
      <c r="B10538" s="5"/>
      <c r="C10538" s="7" t="s">
        <v>28</v>
      </c>
      <c r="D10538" s="7" t="s">
        <v>29</v>
      </c>
      <c r="E10538" s="7" t="s">
        <v>30</v>
      </c>
    </row>
    <row r="10539" spans="1:5" ht="18" x14ac:dyDescent="0.35">
      <c r="A10539" s="5" t="s">
        <v>316</v>
      </c>
      <c r="B10539" s="50" t="s">
        <v>32</v>
      </c>
      <c r="C10539" s="7">
        <v>1.6080000000000001</v>
      </c>
      <c r="D10539" s="7">
        <v>10.34</v>
      </c>
      <c r="E10539" s="85">
        <f>C10539*D10539</f>
        <v>16.626720000000002</v>
      </c>
    </row>
    <row r="10540" spans="1:5" ht="18" x14ac:dyDescent="0.35">
      <c r="A10540" s="5" t="s">
        <v>2245</v>
      </c>
      <c r="B10540" s="50" t="s">
        <v>33</v>
      </c>
      <c r="C10540" s="7">
        <v>8.2110000000000003</v>
      </c>
      <c r="D10540" s="7">
        <v>3.89</v>
      </c>
      <c r="E10540" s="85">
        <f>C10540*D10540</f>
        <v>31.940790000000003</v>
      </c>
    </row>
    <row r="10541" spans="1:5" ht="18" x14ac:dyDescent="0.35">
      <c r="A10541" s="5" t="s">
        <v>2246</v>
      </c>
      <c r="B10541" s="50" t="s">
        <v>137</v>
      </c>
      <c r="C10541" s="7">
        <v>1.05</v>
      </c>
      <c r="D10541" s="7">
        <v>15.25</v>
      </c>
      <c r="E10541" s="85">
        <f>C10541*D10541</f>
        <v>16.012499999999999</v>
      </c>
    </row>
    <row r="10542" spans="1:5" ht="18" x14ac:dyDescent="0.35">
      <c r="A10542" s="5"/>
      <c r="B10542" s="50" t="s">
        <v>35</v>
      </c>
      <c r="C10542" s="7">
        <v>4</v>
      </c>
      <c r="D10542" s="7">
        <v>2.91</v>
      </c>
      <c r="E10542" s="85">
        <f>C10542*D10542</f>
        <v>11.64</v>
      </c>
    </row>
    <row r="10543" spans="1:5" ht="18" x14ac:dyDescent="0.35">
      <c r="A10543" s="5"/>
      <c r="B10543" s="50" t="s">
        <v>36</v>
      </c>
      <c r="C10543" s="7">
        <v>4</v>
      </c>
      <c r="D10543" s="7">
        <v>0.61</v>
      </c>
      <c r="E10543" s="85">
        <f>C10543*D10543</f>
        <v>2.44</v>
      </c>
    </row>
    <row r="10544" spans="1:5" ht="18" x14ac:dyDescent="0.35">
      <c r="A10544" s="5"/>
      <c r="B10544" s="50"/>
      <c r="C10544" s="87"/>
      <c r="D10544" s="88"/>
      <c r="E10544" s="85">
        <f>SUM(E10539:E10543)</f>
        <v>78.66001</v>
      </c>
    </row>
    <row r="10545" spans="1:5" ht="18" x14ac:dyDescent="0.35">
      <c r="A10545" s="5"/>
      <c r="B10545" s="50"/>
      <c r="C10545" s="87"/>
      <c r="D10545" s="88" t="s">
        <v>1266</v>
      </c>
      <c r="E10545" s="85">
        <f>E10544+E10544*40%</f>
        <v>110.124014</v>
      </c>
    </row>
    <row r="10546" spans="1:5" ht="18" x14ac:dyDescent="0.35">
      <c r="A10546" s="5"/>
      <c r="B10546" s="50" t="s">
        <v>37</v>
      </c>
      <c r="C10546" s="54">
        <v>0.5</v>
      </c>
      <c r="D10546" s="86">
        <v>200</v>
      </c>
      <c r="E10546" s="85">
        <f>C10546*D10546</f>
        <v>100</v>
      </c>
    </row>
    <row r="10547" spans="1:5" ht="18" x14ac:dyDescent="0.35">
      <c r="A10547" s="5"/>
      <c r="B10547" s="5"/>
      <c r="C10547" s="54"/>
      <c r="D10547" s="54"/>
      <c r="E10547" s="85">
        <f>SUM(E10545:E10546)</f>
        <v>210.12401399999999</v>
      </c>
    </row>
    <row r="10549" spans="1:5" ht="21" x14ac:dyDescent="0.4">
      <c r="A10549" s="40" t="s">
        <v>2244</v>
      </c>
      <c r="B10549" s="40"/>
      <c r="C10549" s="40"/>
      <c r="D10549" s="12"/>
      <c r="E10549" s="12"/>
    </row>
    <row r="10550" spans="1:5" ht="18" x14ac:dyDescent="0.35">
      <c r="A10550" s="5"/>
      <c r="B10550" s="5"/>
      <c r="C10550" s="7" t="s">
        <v>28</v>
      </c>
      <c r="D10550" s="7" t="s">
        <v>29</v>
      </c>
      <c r="E10550" s="7" t="s">
        <v>30</v>
      </c>
    </row>
    <row r="10551" spans="1:5" ht="18" x14ac:dyDescent="0.35">
      <c r="A10551" s="5" t="s">
        <v>189</v>
      </c>
      <c r="B10551" s="50" t="s">
        <v>32</v>
      </c>
      <c r="C10551" s="7">
        <v>1.923</v>
      </c>
      <c r="D10551" s="7">
        <v>10.34</v>
      </c>
      <c r="E10551" s="85">
        <f>C10551*D10551</f>
        <v>19.88382</v>
      </c>
    </row>
    <row r="10552" spans="1:5" ht="18" x14ac:dyDescent="0.35">
      <c r="A10552" s="5" t="s">
        <v>1829</v>
      </c>
      <c r="B10552" s="50" t="s">
        <v>33</v>
      </c>
      <c r="C10552" s="7">
        <v>10.531000000000001</v>
      </c>
      <c r="D10552" s="7">
        <v>3.89</v>
      </c>
      <c r="E10552" s="85">
        <f>C10552*D10552</f>
        <v>40.965590000000006</v>
      </c>
    </row>
    <row r="10553" spans="1:5" ht="18" x14ac:dyDescent="0.35">
      <c r="A10553" s="5" t="s">
        <v>2246</v>
      </c>
      <c r="B10553" s="50" t="s">
        <v>137</v>
      </c>
      <c r="C10553" s="7">
        <v>0.75</v>
      </c>
      <c r="D10553" s="7">
        <v>15.25</v>
      </c>
      <c r="E10553" s="85">
        <f>C10553*D10553</f>
        <v>11.4375</v>
      </c>
    </row>
    <row r="10554" spans="1:5" ht="18" x14ac:dyDescent="0.35">
      <c r="A10554" s="5"/>
      <c r="B10554" s="50" t="s">
        <v>35</v>
      </c>
      <c r="C10554" s="7">
        <v>4</v>
      </c>
      <c r="D10554" s="7">
        <v>2.91</v>
      </c>
      <c r="E10554" s="85">
        <f>C10554*D10554</f>
        <v>11.64</v>
      </c>
    </row>
    <row r="10555" spans="1:5" ht="18" x14ac:dyDescent="0.35">
      <c r="A10555" s="5"/>
      <c r="B10555" s="50" t="s">
        <v>36</v>
      </c>
      <c r="C10555" s="7">
        <v>4</v>
      </c>
      <c r="D10555" s="7">
        <v>0.61</v>
      </c>
      <c r="E10555" s="85">
        <f>C10555*D10555</f>
        <v>2.44</v>
      </c>
    </row>
    <row r="10556" spans="1:5" ht="18" x14ac:dyDescent="0.35">
      <c r="A10556" s="5"/>
      <c r="B10556" s="50"/>
      <c r="C10556" s="87"/>
      <c r="D10556" s="88"/>
      <c r="E10556" s="85">
        <f>SUM(E10551:E10555)</f>
        <v>86.366910000000004</v>
      </c>
    </row>
    <row r="10557" spans="1:5" ht="18" x14ac:dyDescent="0.35">
      <c r="A10557" s="5"/>
      <c r="B10557" s="50"/>
      <c r="C10557" s="87"/>
      <c r="D10557" s="88" t="s">
        <v>1266</v>
      </c>
      <c r="E10557" s="85">
        <f>E10556+E10556*40%</f>
        <v>120.91367400000001</v>
      </c>
    </row>
    <row r="10558" spans="1:5" ht="18" x14ac:dyDescent="0.35">
      <c r="A10558" s="5"/>
      <c r="B10558" s="50" t="s">
        <v>37</v>
      </c>
      <c r="C10558" s="54">
        <v>0.5</v>
      </c>
      <c r="D10558" s="86">
        <v>200</v>
      </c>
      <c r="E10558" s="85">
        <f>C10558*D10558</f>
        <v>100</v>
      </c>
    </row>
    <row r="10559" spans="1:5" ht="18" x14ac:dyDescent="0.35">
      <c r="A10559" s="5"/>
      <c r="B10559" s="5"/>
      <c r="C10559" s="54"/>
      <c r="D10559" s="54"/>
      <c r="E10559" s="85">
        <f>SUM(E10557:E10558)</f>
        <v>220.91367400000001</v>
      </c>
    </row>
    <row r="10561" spans="1:5" ht="21" x14ac:dyDescent="0.4">
      <c r="A10561" s="40" t="s">
        <v>2244</v>
      </c>
      <c r="B10561" s="40"/>
      <c r="C10561" s="40"/>
      <c r="D10561" s="12"/>
      <c r="E10561" s="12"/>
    </row>
    <row r="10562" spans="1:5" ht="18" x14ac:dyDescent="0.35">
      <c r="A10562" s="5"/>
      <c r="B10562" s="5"/>
      <c r="C10562" s="7" t="s">
        <v>28</v>
      </c>
      <c r="D10562" s="7" t="s">
        <v>29</v>
      </c>
      <c r="E10562" s="7" t="s">
        <v>30</v>
      </c>
    </row>
    <row r="10563" spans="1:5" ht="18" x14ac:dyDescent="0.35">
      <c r="A10563" s="5" t="s">
        <v>105</v>
      </c>
      <c r="B10563" s="50" t="s">
        <v>32</v>
      </c>
      <c r="C10563" s="7">
        <v>2.028</v>
      </c>
      <c r="D10563" s="7">
        <v>10.34</v>
      </c>
      <c r="E10563" s="85">
        <f>C10563*D10563</f>
        <v>20.969519999999999</v>
      </c>
    </row>
    <row r="10564" spans="1:5" ht="18" x14ac:dyDescent="0.35">
      <c r="A10564" s="5" t="s">
        <v>1378</v>
      </c>
      <c r="B10564" s="50" t="s">
        <v>33</v>
      </c>
      <c r="C10564" s="7">
        <v>13.009</v>
      </c>
      <c r="D10564" s="7">
        <v>3.89</v>
      </c>
      <c r="E10564" s="85">
        <f>C10564*D10564</f>
        <v>50.60501</v>
      </c>
    </row>
    <row r="10565" spans="1:5" ht="18" x14ac:dyDescent="0.35">
      <c r="A10565" s="5" t="s">
        <v>2246</v>
      </c>
      <c r="B10565" s="50" t="s">
        <v>137</v>
      </c>
      <c r="C10565" s="7">
        <v>0.63</v>
      </c>
      <c r="D10565" s="7">
        <v>15.25</v>
      </c>
      <c r="E10565" s="85">
        <f>C10565*D10565</f>
        <v>9.6074999999999999</v>
      </c>
    </row>
    <row r="10566" spans="1:5" ht="18" x14ac:dyDescent="0.35">
      <c r="A10566" s="5"/>
      <c r="B10566" s="50" t="s">
        <v>35</v>
      </c>
      <c r="C10566" s="7">
        <v>4</v>
      </c>
      <c r="D10566" s="7">
        <v>2.91</v>
      </c>
      <c r="E10566" s="85">
        <f>C10566*D10566</f>
        <v>11.64</v>
      </c>
    </row>
    <row r="10567" spans="1:5" ht="18" x14ac:dyDescent="0.35">
      <c r="A10567" s="5"/>
      <c r="B10567" s="50" t="s">
        <v>36</v>
      </c>
      <c r="C10567" s="7">
        <v>4</v>
      </c>
      <c r="D10567" s="7">
        <v>0.61</v>
      </c>
      <c r="E10567" s="85">
        <f>C10567*D10567</f>
        <v>2.44</v>
      </c>
    </row>
    <row r="10568" spans="1:5" ht="18" x14ac:dyDescent="0.35">
      <c r="A10568" s="5"/>
      <c r="B10568" s="50"/>
      <c r="C10568" s="87"/>
      <c r="D10568" s="88"/>
      <c r="E10568" s="85">
        <f>SUM(E10563:E10567)</f>
        <v>95.262029999999996</v>
      </c>
    </row>
    <row r="10569" spans="1:5" ht="18" x14ac:dyDescent="0.35">
      <c r="A10569" s="5"/>
      <c r="B10569" s="50"/>
      <c r="C10569" s="87"/>
      <c r="D10569" s="88" t="s">
        <v>1266</v>
      </c>
      <c r="E10569" s="85">
        <f>E10568+E10568*40%</f>
        <v>133.36684199999999</v>
      </c>
    </row>
    <row r="10570" spans="1:5" ht="18" x14ac:dyDescent="0.35">
      <c r="A10570" s="5"/>
      <c r="B10570" s="50" t="s">
        <v>37</v>
      </c>
      <c r="C10570" s="54">
        <v>0.5</v>
      </c>
      <c r="D10570" s="86">
        <v>200</v>
      </c>
      <c r="E10570" s="85">
        <f>C10570*D10570</f>
        <v>100</v>
      </c>
    </row>
    <row r="10571" spans="1:5" ht="18" x14ac:dyDescent="0.35">
      <c r="A10571" s="5"/>
      <c r="B10571" s="5"/>
      <c r="C10571" s="54"/>
      <c r="D10571" s="54"/>
      <c r="E10571" s="85">
        <f>SUM(E10569:E10570)</f>
        <v>233.36684199999999</v>
      </c>
    </row>
    <row r="10573" spans="1:5" ht="21" x14ac:dyDescent="0.4">
      <c r="A10573" s="40" t="s">
        <v>2248</v>
      </c>
      <c r="B10573" s="40"/>
      <c r="C10573" s="40"/>
      <c r="D10573" s="12"/>
      <c r="E10573" s="12"/>
    </row>
    <row r="10574" spans="1:5" ht="18" x14ac:dyDescent="0.35">
      <c r="A10574" s="5"/>
      <c r="B10574" s="5"/>
      <c r="C10574" s="7" t="s">
        <v>28</v>
      </c>
      <c r="D10574" s="7" t="s">
        <v>29</v>
      </c>
      <c r="E10574" s="7" t="s">
        <v>30</v>
      </c>
    </row>
    <row r="10575" spans="1:5" ht="18" x14ac:dyDescent="0.35">
      <c r="A10575" s="5" t="s">
        <v>2249</v>
      </c>
      <c r="B10575" s="50" t="s">
        <v>32</v>
      </c>
      <c r="C10575" s="7">
        <v>3.593</v>
      </c>
      <c r="D10575" s="7">
        <v>10.34</v>
      </c>
      <c r="E10575" s="85">
        <f>C10575*D10575</f>
        <v>37.151620000000001</v>
      </c>
    </row>
    <row r="10576" spans="1:5" ht="18" x14ac:dyDescent="0.35">
      <c r="A10576" s="5" t="s">
        <v>810</v>
      </c>
      <c r="B10576" s="50" t="s">
        <v>33</v>
      </c>
      <c r="C10576" s="7">
        <v>4.9770000000000003</v>
      </c>
      <c r="D10576" s="7">
        <v>3.89</v>
      </c>
      <c r="E10576" s="85">
        <f>C10576*D10576</f>
        <v>19.360530000000001</v>
      </c>
    </row>
    <row r="10577" spans="1:5" ht="18" x14ac:dyDescent="0.35">
      <c r="A10577" s="5"/>
      <c r="B10577" s="50" t="s">
        <v>137</v>
      </c>
      <c r="C10577" s="7">
        <v>0.23</v>
      </c>
      <c r="D10577" s="7">
        <v>15.25</v>
      </c>
      <c r="E10577" s="85">
        <f>C10577*D10577</f>
        <v>3.5075000000000003</v>
      </c>
    </row>
    <row r="10578" spans="1:5" ht="18" x14ac:dyDescent="0.35">
      <c r="A10578" s="5"/>
      <c r="B10578" s="50" t="s">
        <v>35</v>
      </c>
      <c r="C10578" s="7">
        <v>4</v>
      </c>
      <c r="D10578" s="7">
        <v>2.91</v>
      </c>
      <c r="E10578" s="85">
        <f>C10578*D10578</f>
        <v>11.64</v>
      </c>
    </row>
    <row r="10579" spans="1:5" ht="18" x14ac:dyDescent="0.35">
      <c r="A10579" s="5"/>
      <c r="B10579" s="50" t="s">
        <v>36</v>
      </c>
      <c r="C10579" s="7">
        <v>4</v>
      </c>
      <c r="D10579" s="7">
        <v>0.61</v>
      </c>
      <c r="E10579" s="85">
        <f>C10579*D10579</f>
        <v>2.44</v>
      </c>
    </row>
    <row r="10580" spans="1:5" ht="18" x14ac:dyDescent="0.35">
      <c r="A10580" s="5"/>
      <c r="B10580" s="50"/>
      <c r="C10580" s="87"/>
      <c r="D10580" s="88"/>
      <c r="E10580" s="85">
        <f>SUM(E10575:E10579)</f>
        <v>74.099649999999997</v>
      </c>
    </row>
    <row r="10581" spans="1:5" ht="18" x14ac:dyDescent="0.35">
      <c r="A10581" s="5"/>
      <c r="B10581" s="50"/>
      <c r="C10581" s="87"/>
      <c r="D10581" s="88" t="s">
        <v>1266</v>
      </c>
      <c r="E10581" s="85">
        <f>E10580+E10580*40%</f>
        <v>103.73951</v>
      </c>
    </row>
    <row r="10582" spans="1:5" ht="18" x14ac:dyDescent="0.35">
      <c r="A10582" s="5"/>
      <c r="B10582" s="50" t="s">
        <v>37</v>
      </c>
      <c r="C10582" s="54">
        <v>0.5</v>
      </c>
      <c r="D10582" s="86">
        <v>200</v>
      </c>
      <c r="E10582" s="85">
        <f>C10582*D10582</f>
        <v>100</v>
      </c>
    </row>
    <row r="10583" spans="1:5" ht="18" x14ac:dyDescent="0.35">
      <c r="A10583" s="5"/>
      <c r="B10583" s="5"/>
      <c r="C10583" s="54"/>
      <c r="D10583" s="54"/>
      <c r="E10583" s="85">
        <f>SUM(E10581:E10582)</f>
        <v>203.73951</v>
      </c>
    </row>
    <row r="10585" spans="1:5" ht="21" x14ac:dyDescent="0.4">
      <c r="A10585" s="40" t="s">
        <v>2250</v>
      </c>
      <c r="B10585" s="40"/>
      <c r="C10585" s="40"/>
      <c r="D10585" s="12"/>
      <c r="E10585" s="12"/>
    </row>
    <row r="10586" spans="1:5" ht="18" x14ac:dyDescent="0.35">
      <c r="A10586" s="5"/>
      <c r="B10586" s="5"/>
      <c r="C10586" s="7" t="s">
        <v>28</v>
      </c>
      <c r="D10586" s="7" t="s">
        <v>29</v>
      </c>
      <c r="E10586" s="7" t="s">
        <v>30</v>
      </c>
    </row>
    <row r="10587" spans="1:5" ht="18" x14ac:dyDescent="0.35">
      <c r="A10587" s="5" t="s">
        <v>2251</v>
      </c>
      <c r="B10587" s="50" t="s">
        <v>32</v>
      </c>
      <c r="C10587" s="7">
        <v>3.5609999999999999</v>
      </c>
      <c r="D10587" s="7">
        <v>10.34</v>
      </c>
      <c r="E10587" s="85">
        <f>C10587*D10587</f>
        <v>36.820740000000001</v>
      </c>
    </row>
    <row r="10588" spans="1:5" ht="18" x14ac:dyDescent="0.35">
      <c r="A10588" s="5" t="s">
        <v>810</v>
      </c>
      <c r="B10588" s="50" t="s">
        <v>33</v>
      </c>
      <c r="C10588" s="7">
        <v>4.9450000000000003</v>
      </c>
      <c r="D10588" s="7">
        <v>3.89</v>
      </c>
      <c r="E10588" s="85">
        <f>C10588*D10588</f>
        <v>19.236050000000002</v>
      </c>
    </row>
    <row r="10589" spans="1:5" ht="18" x14ac:dyDescent="0.35">
      <c r="A10589" s="5"/>
      <c r="B10589" s="50" t="s">
        <v>137</v>
      </c>
      <c r="C10589" s="7">
        <v>0.21</v>
      </c>
      <c r="D10589" s="7">
        <v>15.25</v>
      </c>
      <c r="E10589" s="85">
        <f>C10589*D10589</f>
        <v>3.2024999999999997</v>
      </c>
    </row>
    <row r="10590" spans="1:5" ht="18" x14ac:dyDescent="0.35">
      <c r="A10590" s="5"/>
      <c r="B10590" s="50" t="s">
        <v>35</v>
      </c>
      <c r="C10590" s="7">
        <v>4</v>
      </c>
      <c r="D10590" s="7">
        <v>2.91</v>
      </c>
      <c r="E10590" s="85">
        <f>C10590*D10590</f>
        <v>11.64</v>
      </c>
    </row>
    <row r="10591" spans="1:5" ht="18" x14ac:dyDescent="0.35">
      <c r="A10591" s="5"/>
      <c r="B10591" s="50" t="s">
        <v>36</v>
      </c>
      <c r="C10591" s="7">
        <v>4</v>
      </c>
      <c r="D10591" s="7">
        <v>0.61</v>
      </c>
      <c r="E10591" s="85">
        <f>C10591*D10591</f>
        <v>2.44</v>
      </c>
    </row>
    <row r="10592" spans="1:5" ht="18" x14ac:dyDescent="0.35">
      <c r="A10592" s="5"/>
      <c r="B10592" s="50"/>
      <c r="C10592" s="87"/>
      <c r="D10592" s="88"/>
      <c r="E10592" s="85">
        <f>SUM(E10587:E10591)</f>
        <v>73.339290000000005</v>
      </c>
    </row>
    <row r="10593" spans="1:5" ht="18" x14ac:dyDescent="0.35">
      <c r="A10593" s="5"/>
      <c r="B10593" s="50"/>
      <c r="C10593" s="87"/>
      <c r="D10593" s="88" t="s">
        <v>1266</v>
      </c>
      <c r="E10593" s="85">
        <f>E10592+E10592*40%</f>
        <v>102.67500600000001</v>
      </c>
    </row>
    <row r="10594" spans="1:5" ht="18" x14ac:dyDescent="0.35">
      <c r="A10594" s="5"/>
      <c r="B10594" s="50" t="s">
        <v>37</v>
      </c>
      <c r="C10594" s="54">
        <v>0.5</v>
      </c>
      <c r="D10594" s="86">
        <v>200</v>
      </c>
      <c r="E10594" s="85">
        <f>C10594*D10594</f>
        <v>100</v>
      </c>
    </row>
    <row r="10595" spans="1:5" ht="18" x14ac:dyDescent="0.35">
      <c r="A10595" s="5"/>
      <c r="B10595" s="5"/>
      <c r="C10595" s="54"/>
      <c r="D10595" s="54"/>
      <c r="E10595" s="85">
        <f>SUM(E10593:E10594)</f>
        <v>202.675006</v>
      </c>
    </row>
    <row r="10597" spans="1:5" ht="21" x14ac:dyDescent="0.4">
      <c r="A10597" s="40" t="s">
        <v>2250</v>
      </c>
      <c r="B10597" s="40"/>
      <c r="C10597" s="40"/>
      <c r="D10597" s="12"/>
      <c r="E10597" s="12"/>
    </row>
    <row r="10598" spans="1:5" ht="18" x14ac:dyDescent="0.35">
      <c r="A10598" s="5"/>
      <c r="B10598" s="5"/>
      <c r="C10598" s="7" t="s">
        <v>28</v>
      </c>
      <c r="D10598" s="7" t="s">
        <v>29</v>
      </c>
      <c r="E10598" s="7" t="s">
        <v>30</v>
      </c>
    </row>
    <row r="10599" spans="1:5" ht="18" x14ac:dyDescent="0.35">
      <c r="A10599" s="5" t="s">
        <v>2252</v>
      </c>
      <c r="B10599" s="50" t="s">
        <v>32</v>
      </c>
      <c r="C10599" s="7">
        <v>3.593</v>
      </c>
      <c r="D10599" s="7">
        <v>10.34</v>
      </c>
      <c r="E10599" s="85">
        <f>C10599*D10599</f>
        <v>37.151620000000001</v>
      </c>
    </row>
    <row r="10600" spans="1:5" ht="18" x14ac:dyDescent="0.35">
      <c r="A10600" s="5" t="s">
        <v>909</v>
      </c>
      <c r="B10600" s="50" t="s">
        <v>33</v>
      </c>
      <c r="C10600" s="7">
        <v>3.34</v>
      </c>
      <c r="D10600" s="7">
        <v>3.89</v>
      </c>
      <c r="E10600" s="85">
        <f>C10600*D10600</f>
        <v>12.992599999999999</v>
      </c>
    </row>
    <row r="10601" spans="1:5" ht="18" x14ac:dyDescent="0.35">
      <c r="A10601" s="5"/>
      <c r="B10601" s="50" t="s">
        <v>137</v>
      </c>
      <c r="C10601" s="7">
        <v>0.21</v>
      </c>
      <c r="D10601" s="7">
        <v>15.25</v>
      </c>
      <c r="E10601" s="85">
        <f>C10601*D10601</f>
        <v>3.2024999999999997</v>
      </c>
    </row>
    <row r="10602" spans="1:5" ht="18" x14ac:dyDescent="0.35">
      <c r="A10602" s="5"/>
      <c r="B10602" s="50" t="s">
        <v>35</v>
      </c>
      <c r="C10602" s="7">
        <v>4</v>
      </c>
      <c r="D10602" s="7">
        <v>2.91</v>
      </c>
      <c r="E10602" s="85">
        <f>C10602*D10602</f>
        <v>11.64</v>
      </c>
    </row>
    <row r="10603" spans="1:5" ht="18" x14ac:dyDescent="0.35">
      <c r="A10603" s="5"/>
      <c r="B10603" s="50" t="s">
        <v>36</v>
      </c>
      <c r="C10603" s="7">
        <v>4</v>
      </c>
      <c r="D10603" s="7">
        <v>0.61</v>
      </c>
      <c r="E10603" s="85">
        <f>C10603*D10603</f>
        <v>2.44</v>
      </c>
    </row>
    <row r="10604" spans="1:5" ht="18" x14ac:dyDescent="0.35">
      <c r="A10604" s="5"/>
      <c r="B10604" s="50"/>
      <c r="C10604" s="87"/>
      <c r="D10604" s="88"/>
      <c r="E10604" s="85">
        <f>SUM(E10599:E10603)</f>
        <v>67.426720000000003</v>
      </c>
    </row>
    <row r="10605" spans="1:5" ht="18" x14ac:dyDescent="0.35">
      <c r="A10605" s="5"/>
      <c r="B10605" s="50"/>
      <c r="C10605" s="87"/>
      <c r="D10605" s="88" t="s">
        <v>1266</v>
      </c>
      <c r="E10605" s="85">
        <f>E10604+E10604*40%</f>
        <v>94.397408000000013</v>
      </c>
    </row>
    <row r="10606" spans="1:5" ht="18" x14ac:dyDescent="0.35">
      <c r="A10606" s="5"/>
      <c r="B10606" s="50" t="s">
        <v>37</v>
      </c>
      <c r="C10606" s="54">
        <v>0.5</v>
      </c>
      <c r="D10606" s="86">
        <v>200</v>
      </c>
      <c r="E10606" s="85">
        <f>C10606*D10606</f>
        <v>100</v>
      </c>
    </row>
    <row r="10607" spans="1:5" ht="18" x14ac:dyDescent="0.35">
      <c r="A10607" s="5"/>
      <c r="B10607" s="5"/>
      <c r="C10607" s="54"/>
      <c r="D10607" s="54"/>
      <c r="E10607" s="85">
        <f>SUM(E10605:E10606)</f>
        <v>194.39740800000001</v>
      </c>
    </row>
    <row r="10609" spans="1:5" ht="21" x14ac:dyDescent="0.4">
      <c r="A10609" s="40" t="s">
        <v>2253</v>
      </c>
      <c r="B10609" s="40"/>
      <c r="C10609" s="40"/>
      <c r="D10609" s="12"/>
      <c r="E10609" s="12"/>
    </row>
    <row r="10610" spans="1:5" ht="18" x14ac:dyDescent="0.35">
      <c r="A10610" s="5"/>
      <c r="B10610" s="5"/>
      <c r="C10610" s="7" t="s">
        <v>28</v>
      </c>
      <c r="D10610" s="7" t="s">
        <v>29</v>
      </c>
      <c r="E10610" s="7" t="s">
        <v>30</v>
      </c>
    </row>
    <row r="10611" spans="1:5" ht="18" x14ac:dyDescent="0.35">
      <c r="A10611" s="5" t="s">
        <v>2254</v>
      </c>
      <c r="B10611" s="50" t="s">
        <v>32</v>
      </c>
      <c r="C10611" s="7">
        <v>3.6139999999999999</v>
      </c>
      <c r="D10611" s="7">
        <v>10.34</v>
      </c>
      <c r="E10611" s="85">
        <f>C10611*D10611</f>
        <v>37.368760000000002</v>
      </c>
    </row>
    <row r="10612" spans="1:5" ht="18" x14ac:dyDescent="0.35">
      <c r="A10612" s="5" t="s">
        <v>909</v>
      </c>
      <c r="B10612" s="50" t="s">
        <v>33</v>
      </c>
      <c r="C10612" s="7">
        <v>3.34</v>
      </c>
      <c r="D10612" s="7">
        <v>3.89</v>
      </c>
      <c r="E10612" s="85">
        <f>C10612*D10612</f>
        <v>12.992599999999999</v>
      </c>
    </row>
    <row r="10613" spans="1:5" ht="18" x14ac:dyDescent="0.35">
      <c r="A10613" s="5"/>
      <c r="B10613" s="50" t="s">
        <v>137</v>
      </c>
      <c r="C10613" s="7">
        <v>0.21</v>
      </c>
      <c r="D10613" s="7">
        <v>15.25</v>
      </c>
      <c r="E10613" s="85">
        <f>C10613*D10613</f>
        <v>3.2024999999999997</v>
      </c>
    </row>
    <row r="10614" spans="1:5" ht="18" x14ac:dyDescent="0.35">
      <c r="A10614" s="5"/>
      <c r="B10614" s="50" t="s">
        <v>35</v>
      </c>
      <c r="C10614" s="7">
        <v>4</v>
      </c>
      <c r="D10614" s="7">
        <v>2.91</v>
      </c>
      <c r="E10614" s="85">
        <f>C10614*D10614</f>
        <v>11.64</v>
      </c>
    </row>
    <row r="10615" spans="1:5" ht="18" x14ac:dyDescent="0.35">
      <c r="A10615" s="5"/>
      <c r="B10615" s="50" t="s">
        <v>36</v>
      </c>
      <c r="C10615" s="7">
        <v>4</v>
      </c>
      <c r="D10615" s="7">
        <v>0.61</v>
      </c>
      <c r="E10615" s="85">
        <f>C10615*D10615</f>
        <v>2.44</v>
      </c>
    </row>
    <row r="10616" spans="1:5" ht="18" x14ac:dyDescent="0.35">
      <c r="A10616" s="5"/>
      <c r="B10616" s="50"/>
      <c r="C10616" s="87"/>
      <c r="D10616" s="88"/>
      <c r="E10616" s="85">
        <f>SUM(E10611:E10615)</f>
        <v>67.643860000000004</v>
      </c>
    </row>
    <row r="10617" spans="1:5" ht="18" x14ac:dyDescent="0.35">
      <c r="A10617" s="5"/>
      <c r="B10617" s="50"/>
      <c r="C10617" s="87"/>
      <c r="D10617" s="88" t="s">
        <v>1266</v>
      </c>
      <c r="E10617" s="85">
        <f>E10616+E10616*40%</f>
        <v>94.701404000000011</v>
      </c>
    </row>
    <row r="10618" spans="1:5" ht="18" x14ac:dyDescent="0.35">
      <c r="A10618" s="5"/>
      <c r="B10618" s="50" t="s">
        <v>37</v>
      </c>
      <c r="C10618" s="54">
        <v>0.5</v>
      </c>
      <c r="D10618" s="86">
        <v>200</v>
      </c>
      <c r="E10618" s="85">
        <f>C10618*D10618</f>
        <v>100</v>
      </c>
    </row>
    <row r="10619" spans="1:5" ht="18" x14ac:dyDescent="0.35">
      <c r="A10619" s="5"/>
      <c r="B10619" s="5"/>
      <c r="C10619" s="54"/>
      <c r="D10619" s="54"/>
      <c r="E10619" s="85">
        <f>SUM(E10617:E10618)</f>
        <v>194.70140400000003</v>
      </c>
    </row>
    <row r="10621" spans="1:5" ht="21" x14ac:dyDescent="0.4">
      <c r="A10621" s="40" t="s">
        <v>1919</v>
      </c>
      <c r="B10621" s="40"/>
      <c r="C10621" s="84"/>
    </row>
    <row r="10622" spans="1:5" x14ac:dyDescent="0.3">
      <c r="A10622" t="s">
        <v>2255</v>
      </c>
    </row>
    <row r="10623" spans="1:5" ht="18" x14ac:dyDescent="0.35">
      <c r="A10623" s="5" t="s">
        <v>77</v>
      </c>
      <c r="B10623" s="5"/>
      <c r="C10623" s="7" t="s">
        <v>28</v>
      </c>
      <c r="D10623" s="7" t="s">
        <v>29</v>
      </c>
      <c r="E10623" s="7" t="s">
        <v>30</v>
      </c>
    </row>
    <row r="10624" spans="1:5" ht="18" x14ac:dyDescent="0.35">
      <c r="A10624" s="5" t="s">
        <v>828</v>
      </c>
      <c r="B10624" s="50" t="s">
        <v>32</v>
      </c>
      <c r="C10624" s="7">
        <v>1.8180000000000001</v>
      </c>
      <c r="D10624" s="7">
        <v>11.37</v>
      </c>
      <c r="E10624" s="85">
        <f t="shared" ref="E10624:E10629" si="593">C10624*D10624</f>
        <v>20.670659999999998</v>
      </c>
    </row>
    <row r="10625" spans="1:5" ht="18" x14ac:dyDescent="0.35">
      <c r="A10625" s="5" t="s">
        <v>2242</v>
      </c>
      <c r="B10625" s="50" t="s">
        <v>33</v>
      </c>
      <c r="C10625" s="7">
        <v>5.58</v>
      </c>
      <c r="D10625" s="7">
        <v>10</v>
      </c>
      <c r="E10625" s="85">
        <f t="shared" si="593"/>
        <v>55.8</v>
      </c>
    </row>
    <row r="10626" spans="1:5" ht="18" x14ac:dyDescent="0.35">
      <c r="A10626" s="102"/>
      <c r="B10626" s="50" t="s">
        <v>85</v>
      </c>
      <c r="C10626" s="7">
        <v>2</v>
      </c>
      <c r="D10626" s="7">
        <v>1.48</v>
      </c>
      <c r="E10626" s="85">
        <f t="shared" si="593"/>
        <v>2.96</v>
      </c>
    </row>
    <row r="10627" spans="1:5" ht="18" x14ac:dyDescent="0.35">
      <c r="A10627" s="5"/>
      <c r="B10627" s="50" t="s">
        <v>34</v>
      </c>
      <c r="C10627" s="7">
        <v>0.21</v>
      </c>
      <c r="D10627" s="7">
        <v>18.059999999999999</v>
      </c>
      <c r="E10627" s="85">
        <f t="shared" si="593"/>
        <v>3.7925999999999997</v>
      </c>
    </row>
    <row r="10628" spans="1:5" ht="18" x14ac:dyDescent="0.35">
      <c r="A10628" s="5"/>
      <c r="B10628" s="50" t="s">
        <v>35</v>
      </c>
      <c r="C10628" s="7">
        <v>4</v>
      </c>
      <c r="D10628" s="7">
        <v>2.91</v>
      </c>
      <c r="E10628" s="85">
        <f t="shared" si="593"/>
        <v>11.64</v>
      </c>
    </row>
    <row r="10629" spans="1:5" ht="18" x14ac:dyDescent="0.35">
      <c r="A10629" s="5"/>
      <c r="B10629" s="50" t="s">
        <v>36</v>
      </c>
      <c r="C10629" s="7">
        <v>4</v>
      </c>
      <c r="D10629" s="7">
        <v>0.61</v>
      </c>
      <c r="E10629" s="85">
        <f t="shared" si="593"/>
        <v>2.44</v>
      </c>
    </row>
    <row r="10630" spans="1:5" ht="18" x14ac:dyDescent="0.35">
      <c r="A10630" s="5"/>
      <c r="B10630" s="5"/>
      <c r="C10630" s="54"/>
      <c r="D10630" s="54"/>
      <c r="E10630" s="89">
        <f>SUM(E10624:E10629)</f>
        <v>97.30325999999998</v>
      </c>
    </row>
    <row r="10631" spans="1:5" ht="18" x14ac:dyDescent="0.35">
      <c r="A10631" s="5"/>
      <c r="B10631" s="5"/>
      <c r="C10631" s="54"/>
      <c r="D10631" s="54" t="s">
        <v>1066</v>
      </c>
      <c r="E10631" s="89">
        <f>E10630+E10630*40%</f>
        <v>136.22456399999999</v>
      </c>
    </row>
    <row r="10632" spans="1:5" ht="18" x14ac:dyDescent="0.35">
      <c r="A10632" s="5"/>
      <c r="B10632" s="50" t="s">
        <v>37</v>
      </c>
      <c r="C10632" s="54">
        <v>0.2</v>
      </c>
      <c r="D10632" s="54">
        <v>200</v>
      </c>
      <c r="E10632" s="85">
        <f>C10632*D10632</f>
        <v>40</v>
      </c>
    </row>
    <row r="10633" spans="1:5" ht="18" x14ac:dyDescent="0.35">
      <c r="A10633" s="5"/>
      <c r="B10633" s="5"/>
      <c r="C10633" s="54"/>
      <c r="D10633" s="54"/>
      <c r="E10633" s="85">
        <f>SUM(E10631:E10632)</f>
        <v>176.22456399999999</v>
      </c>
    </row>
    <row r="10635" spans="1:5" ht="21" x14ac:dyDescent="0.4">
      <c r="A10635" s="40" t="s">
        <v>632</v>
      </c>
      <c r="B10635" s="40"/>
      <c r="C10635" s="40"/>
      <c r="D10635" s="12"/>
      <c r="E10635" s="12"/>
    </row>
    <row r="10636" spans="1:5" ht="18" x14ac:dyDescent="0.35">
      <c r="A10636" s="5"/>
      <c r="B10636" s="5"/>
      <c r="C10636" s="7" t="s">
        <v>28</v>
      </c>
      <c r="D10636" s="7" t="s">
        <v>29</v>
      </c>
      <c r="E10636" s="7" t="s">
        <v>30</v>
      </c>
    </row>
    <row r="10637" spans="1:5" ht="18" x14ac:dyDescent="0.35">
      <c r="A10637" s="5" t="s">
        <v>2256</v>
      </c>
      <c r="B10637" s="50" t="s">
        <v>32</v>
      </c>
      <c r="C10637" s="7">
        <v>3.0779999999999998</v>
      </c>
      <c r="D10637" s="7">
        <v>10.34</v>
      </c>
      <c r="E10637" s="85">
        <f>C10637*D10637</f>
        <v>31.826519999999999</v>
      </c>
    </row>
    <row r="10638" spans="1:5" ht="18" x14ac:dyDescent="0.35">
      <c r="A10638" s="5" t="s">
        <v>2124</v>
      </c>
      <c r="B10638" s="50" t="s">
        <v>33</v>
      </c>
      <c r="C10638" s="7">
        <v>28.664999999999999</v>
      </c>
      <c r="D10638" s="7">
        <v>3.89</v>
      </c>
      <c r="E10638" s="85">
        <f>C10638*D10638</f>
        <v>111.50685</v>
      </c>
    </row>
    <row r="10639" spans="1:5" ht="18" x14ac:dyDescent="0.35">
      <c r="A10639" s="5"/>
      <c r="B10639" s="50" t="s">
        <v>137</v>
      </c>
      <c r="C10639" s="7">
        <v>0.21</v>
      </c>
      <c r="D10639" s="7">
        <v>15.25</v>
      </c>
      <c r="E10639" s="85">
        <f>C10639*D10639</f>
        <v>3.2024999999999997</v>
      </c>
    </row>
    <row r="10640" spans="1:5" ht="18" x14ac:dyDescent="0.35">
      <c r="A10640" s="5"/>
      <c r="B10640" s="50" t="s">
        <v>35</v>
      </c>
      <c r="C10640" s="7">
        <v>4</v>
      </c>
      <c r="D10640" s="7">
        <v>2.91</v>
      </c>
      <c r="E10640" s="85">
        <f>C10640*D10640</f>
        <v>11.64</v>
      </c>
    </row>
    <row r="10641" spans="1:5" ht="18" x14ac:dyDescent="0.35">
      <c r="A10641" s="5"/>
      <c r="B10641" s="50" t="s">
        <v>36</v>
      </c>
      <c r="C10641" s="7">
        <v>4</v>
      </c>
      <c r="D10641" s="7">
        <v>0.61</v>
      </c>
      <c r="E10641" s="85">
        <f>C10641*D10641</f>
        <v>2.44</v>
      </c>
    </row>
    <row r="10642" spans="1:5" ht="18" x14ac:dyDescent="0.35">
      <c r="A10642" s="5"/>
      <c r="B10642" s="50"/>
      <c r="C10642" s="87"/>
      <c r="D10642" s="88"/>
      <c r="E10642" s="85">
        <f>SUM(E10637:E10641)</f>
        <v>160.61586999999997</v>
      </c>
    </row>
    <row r="10643" spans="1:5" ht="18" x14ac:dyDescent="0.35">
      <c r="A10643" s="5"/>
      <c r="B10643" s="50"/>
      <c r="C10643" s="87"/>
      <c r="D10643" s="88" t="s">
        <v>1266</v>
      </c>
      <c r="E10643" s="85">
        <f>E10642+E10642*40%</f>
        <v>224.86221799999998</v>
      </c>
    </row>
    <row r="10644" spans="1:5" ht="18" x14ac:dyDescent="0.35">
      <c r="A10644" s="5"/>
      <c r="B10644" s="50" t="s">
        <v>37</v>
      </c>
      <c r="C10644" s="54">
        <v>0.5</v>
      </c>
      <c r="D10644" s="86">
        <v>200</v>
      </c>
      <c r="E10644" s="85">
        <f>C10644*D10644</f>
        <v>100</v>
      </c>
    </row>
    <row r="10645" spans="1:5" ht="18" x14ac:dyDescent="0.35">
      <c r="A10645" s="5"/>
      <c r="B10645" s="5"/>
      <c r="C10645" s="54"/>
      <c r="D10645" s="54"/>
      <c r="E10645" s="85">
        <f>SUM(E10643:E10644)</f>
        <v>324.86221799999998</v>
      </c>
    </row>
    <row r="10647" spans="1:5" ht="21" x14ac:dyDescent="0.4">
      <c r="A10647" s="40" t="s">
        <v>1919</v>
      </c>
      <c r="B10647" s="40"/>
      <c r="C10647" s="84"/>
    </row>
    <row r="10648" spans="1:5" x14ac:dyDescent="0.3">
      <c r="A10648" t="s">
        <v>2255</v>
      </c>
    </row>
    <row r="10649" spans="1:5" ht="18" x14ac:dyDescent="0.35">
      <c r="A10649" s="5" t="s">
        <v>40</v>
      </c>
      <c r="B10649" s="5"/>
      <c r="C10649" s="7" t="s">
        <v>28</v>
      </c>
      <c r="D10649" s="7" t="s">
        <v>29</v>
      </c>
      <c r="E10649" s="7" t="s">
        <v>30</v>
      </c>
    </row>
    <row r="10650" spans="1:5" ht="18" x14ac:dyDescent="0.35">
      <c r="A10650" s="5" t="s">
        <v>829</v>
      </c>
      <c r="B10650" s="50" t="s">
        <v>32</v>
      </c>
      <c r="C10650" s="7">
        <v>1.1879999999999999</v>
      </c>
      <c r="D10650" s="7">
        <v>11.37</v>
      </c>
      <c r="E10650" s="85">
        <f t="shared" ref="E10650:E10655" si="594">C10650*D10650</f>
        <v>13.507559999999998</v>
      </c>
    </row>
    <row r="10651" spans="1:5" ht="18" x14ac:dyDescent="0.35">
      <c r="A10651" s="5" t="s">
        <v>2216</v>
      </c>
      <c r="B10651" s="50" t="s">
        <v>33</v>
      </c>
      <c r="C10651" s="7">
        <v>1.6379999999999999</v>
      </c>
      <c r="D10651" s="7">
        <v>10</v>
      </c>
      <c r="E10651" s="85">
        <f t="shared" si="594"/>
        <v>16.38</v>
      </c>
    </row>
    <row r="10652" spans="1:5" ht="18" x14ac:dyDescent="0.35">
      <c r="A10652" s="102"/>
      <c r="B10652" s="50" t="s">
        <v>42</v>
      </c>
      <c r="C10652" s="7">
        <v>2</v>
      </c>
      <c r="D10652" s="7">
        <v>1.1499999999999999</v>
      </c>
      <c r="E10652" s="85">
        <f t="shared" si="594"/>
        <v>2.2999999999999998</v>
      </c>
    </row>
    <row r="10653" spans="1:5" ht="18" x14ac:dyDescent="0.35">
      <c r="A10653" s="5"/>
      <c r="B10653" s="50" t="s">
        <v>34</v>
      </c>
      <c r="C10653" s="7"/>
      <c r="D10653" s="7">
        <v>18.059999999999999</v>
      </c>
      <c r="E10653" s="85">
        <f t="shared" si="594"/>
        <v>0</v>
      </c>
    </row>
    <row r="10654" spans="1:5" ht="18" x14ac:dyDescent="0.35">
      <c r="A10654" s="5"/>
      <c r="B10654" s="50" t="s">
        <v>35</v>
      </c>
      <c r="C10654" s="7">
        <v>4</v>
      </c>
      <c r="D10654" s="7">
        <v>2.91</v>
      </c>
      <c r="E10654" s="85">
        <f t="shared" si="594"/>
        <v>11.64</v>
      </c>
    </row>
    <row r="10655" spans="1:5" ht="18" x14ac:dyDescent="0.35">
      <c r="A10655" s="5"/>
      <c r="B10655" s="50" t="s">
        <v>36</v>
      </c>
      <c r="C10655" s="7">
        <v>4</v>
      </c>
      <c r="D10655" s="7">
        <v>0.61</v>
      </c>
      <c r="E10655" s="85">
        <f t="shared" si="594"/>
        <v>2.44</v>
      </c>
    </row>
    <row r="10656" spans="1:5" ht="18" x14ac:dyDescent="0.35">
      <c r="A10656" s="5"/>
      <c r="B10656" s="5"/>
      <c r="C10656" s="54"/>
      <c r="D10656" s="54"/>
      <c r="E10656" s="89">
        <f>SUM(E10650:E10655)</f>
        <v>46.267559999999996</v>
      </c>
    </row>
    <row r="10657" spans="1:5" ht="18" x14ac:dyDescent="0.35">
      <c r="A10657" s="5"/>
      <c r="B10657" s="5"/>
      <c r="C10657" s="54"/>
      <c r="D10657" s="54" t="s">
        <v>1066</v>
      </c>
      <c r="E10657" s="89">
        <f>E10656+E10656*40%</f>
        <v>64.77458399999999</v>
      </c>
    </row>
    <row r="10658" spans="1:5" ht="18" x14ac:dyDescent="0.35">
      <c r="A10658" s="5"/>
      <c r="B10658" s="50" t="s">
        <v>37</v>
      </c>
      <c r="C10658" s="54">
        <v>0.2</v>
      </c>
      <c r="D10658" s="54">
        <v>200</v>
      </c>
      <c r="E10658" s="85">
        <f>C10658*D10658</f>
        <v>40</v>
      </c>
    </row>
    <row r="10659" spans="1:5" ht="18" x14ac:dyDescent="0.35">
      <c r="A10659" s="5"/>
      <c r="B10659" s="5"/>
      <c r="C10659" s="54"/>
      <c r="D10659" s="54"/>
      <c r="E10659" s="85">
        <f>SUM(E10657:E10658)</f>
        <v>104.77458399999999</v>
      </c>
    </row>
    <row r="10662" spans="1:5" ht="21" x14ac:dyDescent="0.4">
      <c r="A10662" s="40" t="s">
        <v>1919</v>
      </c>
      <c r="B10662" s="40"/>
      <c r="C10662" s="84"/>
    </row>
    <row r="10663" spans="1:5" x14ac:dyDescent="0.3">
      <c r="A10663" t="s">
        <v>2255</v>
      </c>
    </row>
    <row r="10664" spans="1:5" ht="18" x14ac:dyDescent="0.35">
      <c r="A10664" s="5" t="s">
        <v>2257</v>
      </c>
      <c r="B10664" s="5"/>
      <c r="C10664" s="7" t="s">
        <v>28</v>
      </c>
      <c r="D10664" s="7" t="s">
        <v>29</v>
      </c>
      <c r="E10664" s="7" t="s">
        <v>30</v>
      </c>
    </row>
    <row r="10665" spans="1:5" ht="18" x14ac:dyDescent="0.35">
      <c r="A10665" s="5" t="s">
        <v>824</v>
      </c>
      <c r="B10665" s="50" t="s">
        <v>32</v>
      </c>
      <c r="C10665" s="7">
        <v>1.1879999999999999</v>
      </c>
      <c r="D10665" s="7">
        <v>11.37</v>
      </c>
      <c r="E10665" s="85">
        <f t="shared" ref="E10665:E10670" si="595">C10665*D10665</f>
        <v>13.507559999999998</v>
      </c>
    </row>
    <row r="10666" spans="1:5" ht="18" x14ac:dyDescent="0.35">
      <c r="A10666" s="5" t="s">
        <v>2216</v>
      </c>
      <c r="B10666" s="50" t="s">
        <v>33</v>
      </c>
      <c r="C10666" s="7">
        <v>1.7949999999999999</v>
      </c>
      <c r="D10666" s="7">
        <v>10</v>
      </c>
      <c r="E10666" s="85">
        <f t="shared" si="595"/>
        <v>17.95</v>
      </c>
    </row>
    <row r="10667" spans="1:5" ht="18" x14ac:dyDescent="0.35">
      <c r="A10667" s="102"/>
      <c r="B10667" s="50" t="s">
        <v>42</v>
      </c>
      <c r="C10667" s="7">
        <v>2</v>
      </c>
      <c r="D10667" s="7">
        <v>1.1499999999999999</v>
      </c>
      <c r="E10667" s="85">
        <f t="shared" si="595"/>
        <v>2.2999999999999998</v>
      </c>
    </row>
    <row r="10668" spans="1:5" ht="18" x14ac:dyDescent="0.35">
      <c r="A10668" s="5"/>
      <c r="B10668" s="50" t="s">
        <v>34</v>
      </c>
      <c r="C10668" s="7"/>
      <c r="D10668" s="7">
        <v>18.059999999999999</v>
      </c>
      <c r="E10668" s="85">
        <f t="shared" si="595"/>
        <v>0</v>
      </c>
    </row>
    <row r="10669" spans="1:5" ht="18" x14ac:dyDescent="0.35">
      <c r="A10669" s="5"/>
      <c r="B10669" s="50" t="s">
        <v>35</v>
      </c>
      <c r="C10669" s="7">
        <v>4</v>
      </c>
      <c r="D10669" s="7">
        <v>2.91</v>
      </c>
      <c r="E10669" s="85">
        <f t="shared" si="595"/>
        <v>11.64</v>
      </c>
    </row>
    <row r="10670" spans="1:5" ht="18" x14ac:dyDescent="0.35">
      <c r="A10670" s="5"/>
      <c r="B10670" s="50" t="s">
        <v>36</v>
      </c>
      <c r="C10670" s="7">
        <v>4</v>
      </c>
      <c r="D10670" s="7">
        <v>0.61</v>
      </c>
      <c r="E10670" s="85">
        <f t="shared" si="595"/>
        <v>2.44</v>
      </c>
    </row>
    <row r="10671" spans="1:5" ht="18" x14ac:dyDescent="0.35">
      <c r="A10671" s="5"/>
      <c r="B10671" s="5"/>
      <c r="C10671" s="54"/>
      <c r="D10671" s="54"/>
      <c r="E10671" s="89">
        <f>SUM(E10665:E10670)</f>
        <v>47.837559999999996</v>
      </c>
    </row>
    <row r="10672" spans="1:5" ht="18" x14ac:dyDescent="0.35">
      <c r="A10672" s="5"/>
      <c r="B10672" s="5"/>
      <c r="C10672" s="54"/>
      <c r="D10672" s="54" t="s">
        <v>1066</v>
      </c>
      <c r="E10672" s="89">
        <f>E10671+E10671*40%</f>
        <v>66.972583999999998</v>
      </c>
    </row>
    <row r="10673" spans="1:6" ht="18" x14ac:dyDescent="0.35">
      <c r="A10673" s="5"/>
      <c r="B10673" s="50" t="s">
        <v>37</v>
      </c>
      <c r="C10673" s="54">
        <v>0.2</v>
      </c>
      <c r="D10673" s="54">
        <v>200</v>
      </c>
      <c r="E10673" s="85">
        <f>C10673*D10673</f>
        <v>40</v>
      </c>
    </row>
    <row r="10674" spans="1:6" ht="18" x14ac:dyDescent="0.35">
      <c r="A10674" s="5"/>
      <c r="B10674" s="5"/>
      <c r="C10674" s="54"/>
      <c r="D10674" s="54"/>
      <c r="E10674" s="85">
        <f>SUM(E10672:E10673)</f>
        <v>106.972584</v>
      </c>
    </row>
    <row r="10676" spans="1:6" ht="21" x14ac:dyDescent="0.4">
      <c r="A10676" s="40" t="s">
        <v>1919</v>
      </c>
      <c r="B10676" s="40"/>
      <c r="C10676" s="84"/>
    </row>
    <row r="10677" spans="1:6" x14ac:dyDescent="0.3">
      <c r="A10677" t="s">
        <v>2258</v>
      </c>
    </row>
    <row r="10678" spans="1:6" ht="18" x14ac:dyDescent="0.35">
      <c r="A10678" s="5" t="s">
        <v>421</v>
      </c>
      <c r="B10678" s="5"/>
      <c r="C10678" s="7" t="s">
        <v>28</v>
      </c>
      <c r="D10678" s="7" t="s">
        <v>29</v>
      </c>
      <c r="E10678" s="7" t="s">
        <v>30</v>
      </c>
    </row>
    <row r="10679" spans="1:6" ht="18" x14ac:dyDescent="0.35">
      <c r="A10679" s="5" t="s">
        <v>1574</v>
      </c>
      <c r="B10679" s="50" t="s">
        <v>32</v>
      </c>
      <c r="C10679" s="7">
        <v>4.3380000000000001</v>
      </c>
      <c r="D10679" s="7">
        <v>11.37</v>
      </c>
      <c r="E10679" s="85">
        <f t="shared" ref="E10679:E10684" si="596">C10679*D10679</f>
        <v>49.323059999999998</v>
      </c>
    </row>
    <row r="10680" spans="1:6" ht="18" x14ac:dyDescent="0.35">
      <c r="A10680" s="5" t="s">
        <v>597</v>
      </c>
      <c r="B10680" s="50" t="s">
        <v>33</v>
      </c>
      <c r="C10680" s="7">
        <v>51.975000000000001</v>
      </c>
      <c r="D10680" s="7">
        <v>10</v>
      </c>
      <c r="E10680" s="85">
        <f t="shared" si="596"/>
        <v>519.75</v>
      </c>
    </row>
    <row r="10681" spans="1:6" ht="18" x14ac:dyDescent="0.35">
      <c r="A10681" s="102"/>
      <c r="B10681" s="50" t="s">
        <v>100</v>
      </c>
      <c r="C10681" s="7">
        <v>2</v>
      </c>
      <c r="D10681" s="7">
        <v>4.4800000000000004</v>
      </c>
      <c r="E10681" s="85">
        <f t="shared" si="596"/>
        <v>8.9600000000000009</v>
      </c>
    </row>
    <row r="10682" spans="1:6" ht="18" x14ac:dyDescent="0.35">
      <c r="A10682" s="5"/>
      <c r="B10682" s="50" t="s">
        <v>34</v>
      </c>
      <c r="C10682" s="7">
        <v>1.05</v>
      </c>
      <c r="D10682" s="7">
        <v>18.059999999999999</v>
      </c>
      <c r="E10682" s="85">
        <f t="shared" si="596"/>
        <v>18.963000000000001</v>
      </c>
    </row>
    <row r="10683" spans="1:6" ht="18" x14ac:dyDescent="0.35">
      <c r="A10683" s="5"/>
      <c r="B10683" s="50" t="s">
        <v>35</v>
      </c>
      <c r="C10683" s="7">
        <v>4</v>
      </c>
      <c r="D10683" s="7">
        <v>2.91</v>
      </c>
      <c r="E10683" s="85">
        <f t="shared" si="596"/>
        <v>11.64</v>
      </c>
    </row>
    <row r="10684" spans="1:6" ht="18" x14ac:dyDescent="0.35">
      <c r="A10684" s="5"/>
      <c r="B10684" s="50" t="s">
        <v>36</v>
      </c>
      <c r="C10684" s="7">
        <v>4</v>
      </c>
      <c r="D10684" s="7">
        <v>0.61</v>
      </c>
      <c r="E10684" s="85">
        <f t="shared" si="596"/>
        <v>2.44</v>
      </c>
    </row>
    <row r="10685" spans="1:6" ht="18" x14ac:dyDescent="0.35">
      <c r="A10685" s="5"/>
      <c r="B10685" s="5"/>
      <c r="C10685" s="54"/>
      <c r="D10685" s="54"/>
      <c r="E10685" s="89">
        <f>SUM(E10679:E10684)</f>
        <v>611.07605999999998</v>
      </c>
    </row>
    <row r="10686" spans="1:6" ht="18" x14ac:dyDescent="0.35">
      <c r="A10686" s="5"/>
      <c r="B10686" s="5"/>
      <c r="C10686" s="54"/>
      <c r="D10686" s="54" t="s">
        <v>1066</v>
      </c>
      <c r="E10686" s="89">
        <f>E10685+E10685*40%</f>
        <v>855.506484</v>
      </c>
    </row>
    <row r="10687" spans="1:6" ht="18" x14ac:dyDescent="0.35">
      <c r="A10687" s="5"/>
      <c r="B10687" s="50" t="s">
        <v>37</v>
      </c>
      <c r="C10687" s="54">
        <v>1.5</v>
      </c>
      <c r="D10687" s="54">
        <v>200</v>
      </c>
      <c r="E10687" s="85">
        <f>C10687*D10687</f>
        <v>300</v>
      </c>
      <c r="F10687" t="s">
        <v>2261</v>
      </c>
    </row>
    <row r="10688" spans="1:6" ht="18" x14ac:dyDescent="0.35">
      <c r="A10688" s="5"/>
      <c r="B10688" s="5"/>
      <c r="C10688" s="54"/>
      <c r="D10688" s="54"/>
      <c r="E10688" s="85">
        <f>SUM(E10686:E10687)</f>
        <v>1155.506484</v>
      </c>
    </row>
    <row r="10690" spans="1:5" ht="21" x14ac:dyDescent="0.4">
      <c r="A10690" s="40" t="s">
        <v>2259</v>
      </c>
      <c r="B10690" s="40"/>
      <c r="C10690" s="40"/>
      <c r="D10690" s="12"/>
      <c r="E10690" s="12"/>
    </row>
    <row r="10691" spans="1:5" ht="18" x14ac:dyDescent="0.35">
      <c r="A10691" s="5"/>
      <c r="B10691" s="5"/>
      <c r="C10691" s="7" t="s">
        <v>28</v>
      </c>
      <c r="D10691" s="7" t="s">
        <v>29</v>
      </c>
      <c r="E10691" s="7" t="s">
        <v>30</v>
      </c>
    </row>
    <row r="10692" spans="1:5" ht="18" x14ac:dyDescent="0.35">
      <c r="A10692" s="5" t="s">
        <v>421</v>
      </c>
      <c r="B10692" s="50" t="s">
        <v>32</v>
      </c>
      <c r="C10692" s="7">
        <v>4.3380000000000001</v>
      </c>
      <c r="D10692" s="7">
        <v>11.37</v>
      </c>
      <c r="E10692" s="85">
        <f>C10692*D10692</f>
        <v>49.323059999999998</v>
      </c>
    </row>
    <row r="10693" spans="1:5" ht="18" x14ac:dyDescent="0.35">
      <c r="A10693" s="5" t="s">
        <v>2124</v>
      </c>
      <c r="B10693" s="50" t="s">
        <v>33</v>
      </c>
      <c r="C10693" s="7">
        <v>72.765000000000001</v>
      </c>
      <c r="D10693" s="7">
        <v>10</v>
      </c>
      <c r="E10693" s="85">
        <f>C10693*D10693</f>
        <v>727.65</v>
      </c>
    </row>
    <row r="10694" spans="1:5" ht="18" x14ac:dyDescent="0.35">
      <c r="A10694" s="5"/>
      <c r="B10694" s="50" t="s">
        <v>137</v>
      </c>
      <c r="C10694" s="7">
        <v>3.15</v>
      </c>
      <c r="D10694" s="7">
        <v>15.25</v>
      </c>
      <c r="E10694" s="85">
        <f>C10694*D10694</f>
        <v>48.037500000000001</v>
      </c>
    </row>
    <row r="10695" spans="1:5" ht="18" x14ac:dyDescent="0.35">
      <c r="A10695" s="5"/>
      <c r="B10695" s="50" t="s">
        <v>35</v>
      </c>
      <c r="C10695" s="7">
        <v>4</v>
      </c>
      <c r="D10695" s="7">
        <v>2.91</v>
      </c>
      <c r="E10695" s="85">
        <f>C10695*D10695</f>
        <v>11.64</v>
      </c>
    </row>
    <row r="10696" spans="1:5" ht="18" x14ac:dyDescent="0.35">
      <c r="A10696" s="5"/>
      <c r="B10696" s="50" t="s">
        <v>36</v>
      </c>
      <c r="C10696" s="7">
        <v>4</v>
      </c>
      <c r="D10696" s="7">
        <v>0.61</v>
      </c>
      <c r="E10696" s="85">
        <f>C10696*D10696</f>
        <v>2.44</v>
      </c>
    </row>
    <row r="10697" spans="1:5" ht="18" x14ac:dyDescent="0.35">
      <c r="A10697" s="5"/>
      <c r="B10697" s="50"/>
      <c r="C10697" s="87"/>
      <c r="D10697" s="88"/>
      <c r="E10697" s="85">
        <f>SUM(E10692:E10696)</f>
        <v>839.0905600000001</v>
      </c>
    </row>
    <row r="10698" spans="1:5" ht="18" x14ac:dyDescent="0.35">
      <c r="A10698" s="5"/>
      <c r="B10698" s="50"/>
      <c r="C10698" s="87"/>
      <c r="D10698" s="88" t="s">
        <v>1266</v>
      </c>
      <c r="E10698" s="85">
        <f>E10697+E10697*40%</f>
        <v>1174.7267840000002</v>
      </c>
    </row>
    <row r="10699" spans="1:5" ht="18" x14ac:dyDescent="0.35">
      <c r="A10699" s="5"/>
      <c r="B10699" s="50" t="s">
        <v>37</v>
      </c>
      <c r="C10699" s="54">
        <v>2</v>
      </c>
      <c r="D10699" s="86">
        <v>200</v>
      </c>
      <c r="E10699" s="85">
        <f>C10699*D10699</f>
        <v>400</v>
      </c>
    </row>
    <row r="10700" spans="1:5" ht="18" x14ac:dyDescent="0.35">
      <c r="A10700" s="5"/>
      <c r="B10700" s="5"/>
      <c r="C10700" s="54"/>
      <c r="D10700" s="54"/>
      <c r="E10700" s="85">
        <f>SUM(E10698:E10699)</f>
        <v>1574.7267840000002</v>
      </c>
    </row>
    <row r="10702" spans="1:5" ht="21" x14ac:dyDescent="0.4">
      <c r="A10702" s="40" t="s">
        <v>1919</v>
      </c>
      <c r="B10702" s="40"/>
      <c r="C10702" s="84"/>
    </row>
    <row r="10703" spans="1:5" x14ac:dyDescent="0.3">
      <c r="A10703" t="s">
        <v>2260</v>
      </c>
    </row>
    <row r="10704" spans="1:5" ht="18" x14ac:dyDescent="0.35">
      <c r="A10704" s="5" t="s">
        <v>169</v>
      </c>
      <c r="B10704" s="5"/>
      <c r="C10704" s="7" t="s">
        <v>28</v>
      </c>
      <c r="D10704" s="7" t="s">
        <v>29</v>
      </c>
      <c r="E10704" s="7" t="s">
        <v>30</v>
      </c>
    </row>
    <row r="10705" spans="1:5" ht="18" x14ac:dyDescent="0.35">
      <c r="A10705" s="5" t="s">
        <v>839</v>
      </c>
      <c r="B10705" s="50" t="s">
        <v>32</v>
      </c>
      <c r="C10705" s="7">
        <v>1.272</v>
      </c>
      <c r="D10705" s="7">
        <v>11.37</v>
      </c>
      <c r="E10705" s="85">
        <f t="shared" ref="E10705:E10710" si="597">C10705*D10705</f>
        <v>14.462639999999999</v>
      </c>
    </row>
    <row r="10706" spans="1:5" ht="18" x14ac:dyDescent="0.35">
      <c r="A10706" s="5" t="s">
        <v>2216</v>
      </c>
      <c r="B10706" s="50" t="s">
        <v>33</v>
      </c>
      <c r="C10706" s="7">
        <v>0.51400000000000001</v>
      </c>
      <c r="D10706" s="7">
        <v>10</v>
      </c>
      <c r="E10706" s="85">
        <f t="shared" si="597"/>
        <v>5.1400000000000006</v>
      </c>
    </row>
    <row r="10707" spans="1:5" ht="18" x14ac:dyDescent="0.35">
      <c r="A10707" s="102"/>
      <c r="B10707" s="50" t="s">
        <v>42</v>
      </c>
      <c r="C10707" s="7">
        <v>2</v>
      </c>
      <c r="D10707" s="7">
        <v>1.1499999999999999</v>
      </c>
      <c r="E10707" s="85">
        <f t="shared" si="597"/>
        <v>2.2999999999999998</v>
      </c>
    </row>
    <row r="10708" spans="1:5" ht="18" x14ac:dyDescent="0.35">
      <c r="A10708" s="5"/>
      <c r="B10708" s="50" t="s">
        <v>34</v>
      </c>
      <c r="C10708" s="7"/>
      <c r="D10708" s="7">
        <v>18.059999999999999</v>
      </c>
      <c r="E10708" s="85">
        <f t="shared" si="597"/>
        <v>0</v>
      </c>
    </row>
    <row r="10709" spans="1:5" ht="18" x14ac:dyDescent="0.35">
      <c r="A10709" s="5"/>
      <c r="B10709" s="50" t="s">
        <v>35</v>
      </c>
      <c r="C10709" s="7">
        <v>4</v>
      </c>
      <c r="D10709" s="7">
        <v>2.91</v>
      </c>
      <c r="E10709" s="85">
        <f t="shared" si="597"/>
        <v>11.64</v>
      </c>
    </row>
    <row r="10710" spans="1:5" ht="18" x14ac:dyDescent="0.35">
      <c r="A10710" s="5"/>
      <c r="B10710" s="50" t="s">
        <v>36</v>
      </c>
      <c r="C10710" s="7">
        <v>4</v>
      </c>
      <c r="D10710" s="7">
        <v>0.61</v>
      </c>
      <c r="E10710" s="85">
        <f t="shared" si="597"/>
        <v>2.44</v>
      </c>
    </row>
    <row r="10711" spans="1:5" ht="18" x14ac:dyDescent="0.35">
      <c r="A10711" s="5"/>
      <c r="B10711" s="5"/>
      <c r="C10711" s="54"/>
      <c r="D10711" s="54"/>
      <c r="E10711" s="89">
        <f>SUM(E10705:E10710)</f>
        <v>35.982640000000004</v>
      </c>
    </row>
    <row r="10712" spans="1:5" ht="18" x14ac:dyDescent="0.35">
      <c r="A10712" s="5"/>
      <c r="B10712" s="5"/>
      <c r="C10712" s="54"/>
      <c r="D10712" s="54" t="s">
        <v>1066</v>
      </c>
      <c r="E10712" s="89">
        <f>E10711+E10711*40%</f>
        <v>50.375696000000005</v>
      </c>
    </row>
    <row r="10713" spans="1:5" ht="18" x14ac:dyDescent="0.35">
      <c r="A10713" s="5"/>
      <c r="B10713" s="50" t="s">
        <v>37</v>
      </c>
      <c r="C10713" s="54">
        <v>0.2</v>
      </c>
      <c r="D10713" s="54">
        <v>200</v>
      </c>
      <c r="E10713" s="85">
        <f>C10713*D10713</f>
        <v>40</v>
      </c>
    </row>
    <row r="10714" spans="1:5" ht="18" x14ac:dyDescent="0.35">
      <c r="A10714" s="5"/>
      <c r="B10714" s="5"/>
      <c r="C10714" s="54"/>
      <c r="D10714" s="54"/>
      <c r="E10714" s="85">
        <f>SUM(E10712:E10713)</f>
        <v>90.375696000000005</v>
      </c>
    </row>
    <row r="10716" spans="1:5" ht="21" x14ac:dyDescent="0.4">
      <c r="A10716" s="40" t="s">
        <v>2262</v>
      </c>
      <c r="B10716" s="40"/>
      <c r="C10716" s="40"/>
      <c r="D10716" s="12"/>
      <c r="E10716" s="12"/>
    </row>
    <row r="10717" spans="1:5" ht="18" x14ac:dyDescent="0.35">
      <c r="A10717" s="5"/>
      <c r="B10717" s="5"/>
      <c r="C10717" s="7" t="s">
        <v>28</v>
      </c>
      <c r="D10717" s="7" t="s">
        <v>29</v>
      </c>
      <c r="E10717" s="7" t="s">
        <v>30</v>
      </c>
    </row>
    <row r="10718" spans="1:5" ht="18" x14ac:dyDescent="0.35">
      <c r="A10718" s="5" t="s">
        <v>65</v>
      </c>
      <c r="B10718" s="50" t="s">
        <v>32</v>
      </c>
      <c r="C10718" s="7">
        <v>1.2929999999999999</v>
      </c>
      <c r="D10718" s="7">
        <v>10.34</v>
      </c>
      <c r="E10718" s="85">
        <f>C10718*D10718</f>
        <v>13.369619999999999</v>
      </c>
    </row>
    <row r="10719" spans="1:5" ht="18" x14ac:dyDescent="0.35">
      <c r="A10719" s="5" t="s">
        <v>904</v>
      </c>
      <c r="B10719" s="50" t="s">
        <v>33</v>
      </c>
      <c r="C10719" s="7">
        <v>4.0949999999999998</v>
      </c>
      <c r="D10719" s="7">
        <v>4</v>
      </c>
      <c r="E10719" s="85">
        <f>C10719*D10719</f>
        <v>16.38</v>
      </c>
    </row>
    <row r="10720" spans="1:5" ht="18" x14ac:dyDescent="0.35">
      <c r="A10720" s="5" t="s">
        <v>696</v>
      </c>
      <c r="B10720" s="50" t="s">
        <v>137</v>
      </c>
      <c r="C10720" s="7">
        <v>0.315</v>
      </c>
      <c r="D10720" s="7">
        <v>15.25</v>
      </c>
      <c r="E10720" s="85">
        <f>C10720*D10720</f>
        <v>4.80375</v>
      </c>
    </row>
    <row r="10721" spans="1:5" ht="18" x14ac:dyDescent="0.35">
      <c r="A10721" s="5"/>
      <c r="B10721" s="50" t="s">
        <v>35</v>
      </c>
      <c r="C10721" s="7">
        <v>4</v>
      </c>
      <c r="D10721" s="7">
        <v>2.91</v>
      </c>
      <c r="E10721" s="85">
        <f>C10721*D10721</f>
        <v>11.64</v>
      </c>
    </row>
    <row r="10722" spans="1:5" ht="18" x14ac:dyDescent="0.35">
      <c r="A10722" s="5"/>
      <c r="B10722" s="50" t="s">
        <v>36</v>
      </c>
      <c r="C10722" s="7">
        <v>4</v>
      </c>
      <c r="D10722" s="7">
        <v>0.61</v>
      </c>
      <c r="E10722" s="85">
        <f>C10722*D10722</f>
        <v>2.44</v>
      </c>
    </row>
    <row r="10723" spans="1:5" ht="18" x14ac:dyDescent="0.35">
      <c r="A10723" s="5"/>
      <c r="B10723" s="50"/>
      <c r="C10723" s="87"/>
      <c r="D10723" s="88"/>
      <c r="E10723" s="85">
        <f>SUM(E10718:E10722)</f>
        <v>48.633369999999999</v>
      </c>
    </row>
    <row r="10724" spans="1:5" ht="18" x14ac:dyDescent="0.35">
      <c r="A10724" s="5"/>
      <c r="B10724" s="50"/>
      <c r="C10724" s="87"/>
      <c r="D10724" s="88" t="s">
        <v>1266</v>
      </c>
      <c r="E10724" s="85">
        <f>E10723+E10723*40%</f>
        <v>68.086718000000005</v>
      </c>
    </row>
    <row r="10725" spans="1:5" ht="18" x14ac:dyDescent="0.35">
      <c r="A10725" s="5"/>
      <c r="B10725" s="50" t="s">
        <v>37</v>
      </c>
      <c r="C10725" s="54">
        <v>0.4</v>
      </c>
      <c r="D10725" s="86">
        <v>200</v>
      </c>
      <c r="E10725" s="85">
        <f>C10725*D10725</f>
        <v>80</v>
      </c>
    </row>
    <row r="10726" spans="1:5" ht="18" x14ac:dyDescent="0.35">
      <c r="A10726" s="5"/>
      <c r="B10726" s="5"/>
      <c r="C10726" s="54"/>
      <c r="D10726" s="54"/>
      <c r="E10726" s="85">
        <f>SUM(E10724:E10725)</f>
        <v>148.08671800000002</v>
      </c>
    </row>
    <row r="10728" spans="1:5" ht="21" x14ac:dyDescent="0.4">
      <c r="A10728" s="40" t="s">
        <v>2263</v>
      </c>
      <c r="B10728" s="40"/>
      <c r="C10728" s="40"/>
      <c r="D10728" s="12"/>
      <c r="E10728" s="12"/>
    </row>
    <row r="10729" spans="1:5" ht="18" x14ac:dyDescent="0.35">
      <c r="A10729" s="5"/>
      <c r="B10729" s="5"/>
      <c r="C10729" s="7" t="s">
        <v>28</v>
      </c>
      <c r="D10729" s="7" t="s">
        <v>29</v>
      </c>
      <c r="E10729" s="7" t="s">
        <v>30</v>
      </c>
    </row>
    <row r="10730" spans="1:5" ht="18" x14ac:dyDescent="0.35">
      <c r="A10730" s="5" t="s">
        <v>69</v>
      </c>
      <c r="B10730" s="50" t="s">
        <v>32</v>
      </c>
      <c r="C10730" s="7">
        <v>2.133</v>
      </c>
      <c r="D10730" s="7">
        <v>10.34</v>
      </c>
      <c r="E10730" s="85">
        <f>C10730*D10730</f>
        <v>22.055219999999998</v>
      </c>
    </row>
    <row r="10731" spans="1:5" ht="18" x14ac:dyDescent="0.35">
      <c r="A10731" s="5" t="s">
        <v>904</v>
      </c>
      <c r="B10731" s="50" t="s">
        <v>33</v>
      </c>
      <c r="C10731" s="7">
        <v>8.2949999999999999</v>
      </c>
      <c r="D10731" s="7">
        <v>4</v>
      </c>
      <c r="E10731" s="85">
        <f>C10731*D10731</f>
        <v>33.18</v>
      </c>
    </row>
    <row r="10732" spans="1:5" ht="18" x14ac:dyDescent="0.35">
      <c r="A10732" s="5" t="s">
        <v>616</v>
      </c>
      <c r="B10732" s="50" t="s">
        <v>137</v>
      </c>
      <c r="C10732" s="7">
        <v>0.47199999999999998</v>
      </c>
      <c r="D10732" s="7">
        <v>15.25</v>
      </c>
      <c r="E10732" s="85">
        <f>C10732*D10732</f>
        <v>7.1979999999999995</v>
      </c>
    </row>
    <row r="10733" spans="1:5" ht="18" x14ac:dyDescent="0.35">
      <c r="A10733" s="5"/>
      <c r="B10733" s="50" t="s">
        <v>35</v>
      </c>
      <c r="C10733" s="7">
        <v>4</v>
      </c>
      <c r="D10733" s="7">
        <v>2.91</v>
      </c>
      <c r="E10733" s="85">
        <f>C10733*D10733</f>
        <v>11.64</v>
      </c>
    </row>
    <row r="10734" spans="1:5" ht="18" x14ac:dyDescent="0.35">
      <c r="A10734" s="5"/>
      <c r="B10734" s="50" t="s">
        <v>36</v>
      </c>
      <c r="C10734" s="7">
        <v>4</v>
      </c>
      <c r="D10734" s="7">
        <v>0.61</v>
      </c>
      <c r="E10734" s="85">
        <f>C10734*D10734</f>
        <v>2.44</v>
      </c>
    </row>
    <row r="10735" spans="1:5" ht="18" x14ac:dyDescent="0.35">
      <c r="A10735" s="5"/>
      <c r="B10735" s="50"/>
      <c r="C10735" s="87"/>
      <c r="D10735" s="88"/>
      <c r="E10735" s="85">
        <f>SUM(E10730:E10734)</f>
        <v>76.51321999999999</v>
      </c>
    </row>
    <row r="10736" spans="1:5" ht="18" x14ac:dyDescent="0.35">
      <c r="A10736" s="5"/>
      <c r="B10736" s="50"/>
      <c r="C10736" s="87"/>
      <c r="D10736" s="88" t="s">
        <v>1266</v>
      </c>
      <c r="E10736" s="85">
        <f>E10735+E10735*40%</f>
        <v>107.11850799999999</v>
      </c>
    </row>
    <row r="10737" spans="1:5" ht="18" x14ac:dyDescent="0.35">
      <c r="A10737" s="5"/>
      <c r="B10737" s="50" t="s">
        <v>37</v>
      </c>
      <c r="C10737" s="54">
        <v>0.5</v>
      </c>
      <c r="D10737" s="86">
        <v>200</v>
      </c>
      <c r="E10737" s="85">
        <f>C10737*D10737</f>
        <v>100</v>
      </c>
    </row>
    <row r="10738" spans="1:5" ht="18" x14ac:dyDescent="0.35">
      <c r="A10738" s="5"/>
      <c r="B10738" s="5"/>
      <c r="C10738" s="54"/>
      <c r="D10738" s="54"/>
      <c r="E10738" s="85">
        <f>SUM(E10736:E10737)</f>
        <v>207.11850799999999</v>
      </c>
    </row>
    <row r="10741" spans="1:5" ht="21" x14ac:dyDescent="0.4">
      <c r="A10741" s="40" t="s">
        <v>2160</v>
      </c>
      <c r="B10741" s="40"/>
    </row>
    <row r="10742" spans="1:5" x14ac:dyDescent="0.3">
      <c r="A10742" t="s">
        <v>1427</v>
      </c>
    </row>
    <row r="10743" spans="1:5" ht="21" x14ac:dyDescent="0.4">
      <c r="A10743" s="40" t="s">
        <v>929</v>
      </c>
      <c r="B10743" s="5"/>
      <c r="C10743" s="7" t="s">
        <v>28</v>
      </c>
      <c r="D10743" s="7" t="s">
        <v>29</v>
      </c>
      <c r="E10743" s="7" t="s">
        <v>30</v>
      </c>
    </row>
    <row r="10744" spans="1:5" ht="21" x14ac:dyDescent="0.4">
      <c r="A10744" s="40" t="s">
        <v>1633</v>
      </c>
      <c r="B10744" s="50" t="s">
        <v>32</v>
      </c>
      <c r="C10744" s="7">
        <v>2.9740000000000002</v>
      </c>
      <c r="D10744" s="7">
        <v>16.43</v>
      </c>
      <c r="E10744" s="85">
        <f t="shared" ref="E10744:E10751" si="598">C10744*D10744</f>
        <v>48.862819999999999</v>
      </c>
    </row>
    <row r="10745" spans="1:5" ht="21" x14ac:dyDescent="0.4">
      <c r="A10745" s="40" t="s">
        <v>377</v>
      </c>
      <c r="B10745" s="50" t="s">
        <v>33</v>
      </c>
      <c r="C10745" s="7">
        <v>16.632000000000001</v>
      </c>
      <c r="D10745" s="7">
        <v>10</v>
      </c>
      <c r="E10745" s="85">
        <f t="shared" si="598"/>
        <v>166.32000000000002</v>
      </c>
    </row>
    <row r="10746" spans="1:5" ht="18" x14ac:dyDescent="0.35">
      <c r="B10746" s="50" t="s">
        <v>33</v>
      </c>
      <c r="C10746" s="7">
        <v>30.975000000000001</v>
      </c>
      <c r="D10746" s="7">
        <v>10</v>
      </c>
      <c r="E10746" s="85">
        <f t="shared" si="598"/>
        <v>309.75</v>
      </c>
    </row>
    <row r="10747" spans="1:5" ht="18" x14ac:dyDescent="0.35">
      <c r="B10747" s="50" t="s">
        <v>657</v>
      </c>
      <c r="C10747" s="7">
        <v>2</v>
      </c>
      <c r="D10747" s="7">
        <v>1.7</v>
      </c>
      <c r="E10747" s="85">
        <f t="shared" si="598"/>
        <v>3.4</v>
      </c>
    </row>
    <row r="10748" spans="1:5" ht="18" x14ac:dyDescent="0.35">
      <c r="B10748" s="50" t="s">
        <v>100</v>
      </c>
      <c r="C10748" s="7">
        <v>2</v>
      </c>
      <c r="D10748" s="7">
        <v>4.4800000000000004</v>
      </c>
      <c r="E10748" s="85">
        <f t="shared" si="598"/>
        <v>8.9600000000000009</v>
      </c>
    </row>
    <row r="10749" spans="1:5" ht="18" x14ac:dyDescent="0.35">
      <c r="B10749" s="50" t="s">
        <v>34</v>
      </c>
      <c r="C10749" s="7">
        <v>1.1000000000000001</v>
      </c>
      <c r="D10749" s="7">
        <v>18.059999999999999</v>
      </c>
      <c r="E10749" s="85">
        <f t="shared" si="598"/>
        <v>19.866</v>
      </c>
    </row>
    <row r="10750" spans="1:5" ht="18" x14ac:dyDescent="0.35">
      <c r="B10750" s="50" t="s">
        <v>35</v>
      </c>
      <c r="C10750" s="7">
        <v>4</v>
      </c>
      <c r="D10750" s="7">
        <v>2.91</v>
      </c>
      <c r="E10750" s="85">
        <f t="shared" si="598"/>
        <v>11.64</v>
      </c>
    </row>
    <row r="10751" spans="1:5" ht="18" x14ac:dyDescent="0.35">
      <c r="B10751" s="50" t="s">
        <v>36</v>
      </c>
      <c r="C10751" s="7">
        <v>4</v>
      </c>
      <c r="D10751" s="7">
        <v>0.61</v>
      </c>
      <c r="E10751" s="85">
        <f t="shared" si="598"/>
        <v>2.44</v>
      </c>
    </row>
    <row r="10752" spans="1:5" ht="18" x14ac:dyDescent="0.35">
      <c r="B10752" s="5"/>
      <c r="C10752" s="54"/>
      <c r="D10752" s="54"/>
      <c r="E10752" s="89">
        <f>SUM(E10744:E10751)</f>
        <v>571.23882000000003</v>
      </c>
    </row>
    <row r="10753" spans="1:5" ht="18" x14ac:dyDescent="0.35">
      <c r="B10753" s="5"/>
      <c r="C10753" s="54"/>
      <c r="D10753" s="54" t="s">
        <v>1063</v>
      </c>
      <c r="E10753" s="89">
        <f>E10752+E10752*40%</f>
        <v>799.73434800000007</v>
      </c>
    </row>
    <row r="10754" spans="1:5" ht="18" x14ac:dyDescent="0.35">
      <c r="B10754" s="50" t="s">
        <v>37</v>
      </c>
      <c r="C10754" s="54">
        <v>1.3</v>
      </c>
      <c r="D10754" s="54">
        <v>200</v>
      </c>
      <c r="E10754" s="85">
        <f>C10754*D10754</f>
        <v>260</v>
      </c>
    </row>
    <row r="10755" spans="1:5" ht="18" x14ac:dyDescent="0.35">
      <c r="E10755" s="85">
        <f>SUM(E10753:E10754)</f>
        <v>1059.734348</v>
      </c>
    </row>
    <row r="10758" spans="1:5" ht="21" x14ac:dyDescent="0.4">
      <c r="A10758" s="40" t="s">
        <v>634</v>
      </c>
      <c r="B10758" s="40"/>
      <c r="C10758" s="40"/>
      <c r="D10758" s="12"/>
      <c r="E10758" s="12"/>
    </row>
    <row r="10759" spans="1:5" ht="18" x14ac:dyDescent="0.35">
      <c r="A10759" s="5"/>
      <c r="B10759" s="5"/>
      <c r="C10759" s="7" t="s">
        <v>28</v>
      </c>
      <c r="D10759" s="7" t="s">
        <v>29</v>
      </c>
      <c r="E10759" s="7" t="s">
        <v>30</v>
      </c>
    </row>
    <row r="10760" spans="1:5" ht="18" x14ac:dyDescent="0.35">
      <c r="A10760" s="5" t="s">
        <v>81</v>
      </c>
      <c r="B10760" s="50" t="s">
        <v>32</v>
      </c>
      <c r="C10760" s="7">
        <v>2.6579999999999999</v>
      </c>
      <c r="D10760" s="7">
        <v>10.34</v>
      </c>
      <c r="E10760" s="85">
        <f>C10760*D10760</f>
        <v>27.483719999999998</v>
      </c>
    </row>
    <row r="10761" spans="1:5" ht="18" x14ac:dyDescent="0.35">
      <c r="A10761" s="5" t="s">
        <v>1356</v>
      </c>
      <c r="B10761" s="50" t="s">
        <v>33</v>
      </c>
      <c r="C10761" s="7">
        <v>14.553000000000001</v>
      </c>
      <c r="D10761" s="7">
        <v>4</v>
      </c>
      <c r="E10761" s="85">
        <f>C10761*D10761</f>
        <v>58.212000000000003</v>
      </c>
    </row>
    <row r="10762" spans="1:5" ht="18" x14ac:dyDescent="0.35">
      <c r="A10762" s="5" t="s">
        <v>659</v>
      </c>
      <c r="B10762" s="50" t="s">
        <v>137</v>
      </c>
      <c r="C10762" s="7">
        <v>0.63</v>
      </c>
      <c r="D10762" s="7">
        <v>15.25</v>
      </c>
      <c r="E10762" s="85">
        <f>C10762*D10762</f>
        <v>9.6074999999999999</v>
      </c>
    </row>
    <row r="10763" spans="1:5" ht="18" x14ac:dyDescent="0.35">
      <c r="A10763" s="5"/>
      <c r="B10763" s="50" t="s">
        <v>35</v>
      </c>
      <c r="C10763" s="7">
        <v>4</v>
      </c>
      <c r="D10763" s="7">
        <v>2.91</v>
      </c>
      <c r="E10763" s="85">
        <f>C10763*D10763</f>
        <v>11.64</v>
      </c>
    </row>
    <row r="10764" spans="1:5" ht="18" x14ac:dyDescent="0.35">
      <c r="A10764" s="5"/>
      <c r="B10764" s="50" t="s">
        <v>36</v>
      </c>
      <c r="C10764" s="7">
        <v>4</v>
      </c>
      <c r="D10764" s="7">
        <v>0.61</v>
      </c>
      <c r="E10764" s="85">
        <f>C10764*D10764</f>
        <v>2.44</v>
      </c>
    </row>
    <row r="10765" spans="1:5" ht="18" x14ac:dyDescent="0.35">
      <c r="A10765" s="5"/>
      <c r="B10765" s="50"/>
      <c r="C10765" s="87"/>
      <c r="D10765" s="88"/>
      <c r="E10765" s="85">
        <f>SUM(E10760:E10764)</f>
        <v>109.38321999999999</v>
      </c>
    </row>
    <row r="10766" spans="1:5" ht="18" x14ac:dyDescent="0.35">
      <c r="A10766" s="5"/>
      <c r="B10766" s="50"/>
      <c r="C10766" s="87"/>
      <c r="D10766" s="88" t="s">
        <v>1266</v>
      </c>
      <c r="E10766" s="85">
        <f>E10765+E10765*40%</f>
        <v>153.13650799999999</v>
      </c>
    </row>
    <row r="10767" spans="1:5" ht="18" x14ac:dyDescent="0.35">
      <c r="A10767" s="5"/>
      <c r="B10767" s="50" t="s">
        <v>37</v>
      </c>
      <c r="C10767" s="54">
        <v>1</v>
      </c>
      <c r="D10767" s="86">
        <v>200</v>
      </c>
      <c r="E10767" s="85">
        <f>C10767*D10767</f>
        <v>200</v>
      </c>
    </row>
    <row r="10768" spans="1:5" ht="18" x14ac:dyDescent="0.35">
      <c r="A10768" s="5"/>
      <c r="B10768" s="5"/>
      <c r="C10768" s="54"/>
      <c r="D10768" s="54"/>
      <c r="E10768" s="85">
        <f>SUM(E10766:E10767)</f>
        <v>353.13650799999999</v>
      </c>
    </row>
    <row r="10771" spans="1:5" ht="21" x14ac:dyDescent="0.4">
      <c r="A10771" s="40" t="s">
        <v>928</v>
      </c>
      <c r="B10771" s="40"/>
      <c r="C10771" s="40"/>
      <c r="D10771" s="12"/>
      <c r="E10771" s="12"/>
    </row>
    <row r="10772" spans="1:5" ht="18" x14ac:dyDescent="0.35">
      <c r="A10772" s="5"/>
      <c r="B10772" s="5"/>
      <c r="C10772" s="7" t="s">
        <v>28</v>
      </c>
      <c r="D10772" s="7" t="s">
        <v>29</v>
      </c>
      <c r="E10772" s="7" t="s">
        <v>30</v>
      </c>
    </row>
    <row r="10773" spans="1:5" ht="18" x14ac:dyDescent="0.35">
      <c r="A10773" s="5" t="s">
        <v>929</v>
      </c>
      <c r="B10773" s="50" t="s">
        <v>32</v>
      </c>
      <c r="C10773" s="7">
        <v>2.9729999999999999</v>
      </c>
      <c r="D10773" s="7">
        <v>10.34</v>
      </c>
      <c r="E10773" s="85">
        <f>C10773*D10773</f>
        <v>30.740819999999999</v>
      </c>
    </row>
    <row r="10774" spans="1:5" ht="18" x14ac:dyDescent="0.35">
      <c r="A10774" s="5" t="s">
        <v>2099</v>
      </c>
      <c r="B10774" s="50" t="s">
        <v>33</v>
      </c>
      <c r="C10774" s="7">
        <v>27.027000000000001</v>
      </c>
      <c r="D10774" s="7">
        <v>4</v>
      </c>
      <c r="E10774" s="85">
        <f>C10774*D10774</f>
        <v>108.108</v>
      </c>
    </row>
    <row r="10775" spans="1:5" ht="18" x14ac:dyDescent="0.35">
      <c r="A10775" s="5" t="s">
        <v>2162</v>
      </c>
      <c r="B10775" s="50" t="s">
        <v>137</v>
      </c>
      <c r="C10775" s="7">
        <v>0.73499999999999999</v>
      </c>
      <c r="D10775" s="7">
        <v>15.25</v>
      </c>
      <c r="E10775" s="85">
        <f>C10775*D10775</f>
        <v>11.20875</v>
      </c>
    </row>
    <row r="10776" spans="1:5" ht="18" x14ac:dyDescent="0.35">
      <c r="A10776" s="5"/>
      <c r="B10776" s="50" t="s">
        <v>35</v>
      </c>
      <c r="C10776" s="7">
        <v>4</v>
      </c>
      <c r="D10776" s="7">
        <v>2.91</v>
      </c>
      <c r="E10776" s="85">
        <f>C10776*D10776</f>
        <v>11.64</v>
      </c>
    </row>
    <row r="10777" spans="1:5" ht="18" x14ac:dyDescent="0.35">
      <c r="A10777" s="5"/>
      <c r="B10777" s="50" t="s">
        <v>36</v>
      </c>
      <c r="C10777" s="7">
        <v>4</v>
      </c>
      <c r="D10777" s="7">
        <v>0.61</v>
      </c>
      <c r="E10777" s="85">
        <f>C10777*D10777</f>
        <v>2.44</v>
      </c>
    </row>
    <row r="10778" spans="1:5" ht="18" x14ac:dyDescent="0.35">
      <c r="A10778" s="5"/>
      <c r="B10778" s="50"/>
      <c r="C10778" s="87"/>
      <c r="D10778" s="88"/>
      <c r="E10778" s="85">
        <f>SUM(E10773:E10777)</f>
        <v>164.13756999999998</v>
      </c>
    </row>
    <row r="10779" spans="1:5" ht="18" x14ac:dyDescent="0.35">
      <c r="A10779" s="5"/>
      <c r="B10779" s="50"/>
      <c r="C10779" s="87"/>
      <c r="D10779" s="88" t="s">
        <v>1266</v>
      </c>
      <c r="E10779" s="85">
        <f>E10778+E10778*40%</f>
        <v>229.792598</v>
      </c>
    </row>
    <row r="10780" spans="1:5" ht="18" x14ac:dyDescent="0.35">
      <c r="A10780" s="5"/>
      <c r="B10780" s="50" t="s">
        <v>37</v>
      </c>
      <c r="C10780" s="54">
        <v>1.2</v>
      </c>
      <c r="D10780" s="86">
        <v>200</v>
      </c>
      <c r="E10780" s="85">
        <f>C10780*D10780</f>
        <v>240</v>
      </c>
    </row>
    <row r="10781" spans="1:5" ht="18" x14ac:dyDescent="0.35">
      <c r="A10781" s="5"/>
      <c r="B10781" s="5"/>
      <c r="C10781" s="54"/>
      <c r="D10781" s="54"/>
      <c r="E10781" s="85">
        <f>SUM(E10779:E10780)</f>
        <v>469.792598</v>
      </c>
    </row>
    <row r="10783" spans="1:5" ht="21" x14ac:dyDescent="0.4">
      <c r="A10783" s="40" t="s">
        <v>1919</v>
      </c>
      <c r="B10783" s="40"/>
      <c r="C10783" s="84"/>
    </row>
    <row r="10784" spans="1:5" x14ac:dyDescent="0.3">
      <c r="A10784" t="s">
        <v>1427</v>
      </c>
    </row>
    <row r="10785" spans="1:5" ht="18" x14ac:dyDescent="0.35">
      <c r="A10785" s="5" t="s">
        <v>233</v>
      </c>
      <c r="B10785" s="5"/>
      <c r="C10785" s="7" t="s">
        <v>28</v>
      </c>
      <c r="D10785" s="7" t="s">
        <v>29</v>
      </c>
      <c r="E10785" s="7" t="s">
        <v>30</v>
      </c>
    </row>
    <row r="10786" spans="1:5" ht="18" x14ac:dyDescent="0.35">
      <c r="A10786" s="5" t="s">
        <v>1497</v>
      </c>
      <c r="B10786" s="50" t="s">
        <v>32</v>
      </c>
      <c r="C10786" s="7">
        <v>2.5529999999999999</v>
      </c>
      <c r="D10786" s="7">
        <v>11.37</v>
      </c>
      <c r="E10786" s="85">
        <f t="shared" ref="E10786:E10791" si="599">C10786*D10786</f>
        <v>29.027609999999996</v>
      </c>
    </row>
    <row r="10787" spans="1:5" ht="18" x14ac:dyDescent="0.35">
      <c r="A10787" s="5" t="s">
        <v>1619</v>
      </c>
      <c r="B10787" s="50" t="s">
        <v>33</v>
      </c>
      <c r="C10787" s="7">
        <v>10.279</v>
      </c>
      <c r="D10787" s="7">
        <v>10</v>
      </c>
      <c r="E10787" s="85">
        <f t="shared" si="599"/>
        <v>102.78999999999999</v>
      </c>
    </row>
    <row r="10788" spans="1:5" ht="18" x14ac:dyDescent="0.35">
      <c r="A10788" s="102"/>
      <c r="B10788" s="50" t="s">
        <v>974</v>
      </c>
      <c r="C10788" s="7">
        <v>2</v>
      </c>
      <c r="D10788" s="7">
        <v>1.8</v>
      </c>
      <c r="E10788" s="85">
        <f t="shared" si="599"/>
        <v>3.6</v>
      </c>
    </row>
    <row r="10789" spans="1:5" ht="18" x14ac:dyDescent="0.35">
      <c r="A10789" s="5"/>
      <c r="B10789" s="50" t="s">
        <v>34</v>
      </c>
      <c r="C10789" s="7">
        <v>0.52500000000000002</v>
      </c>
      <c r="D10789" s="7">
        <v>18.059999999999999</v>
      </c>
      <c r="E10789" s="85">
        <f t="shared" si="599"/>
        <v>9.4815000000000005</v>
      </c>
    </row>
    <row r="10790" spans="1:5" ht="18" x14ac:dyDescent="0.35">
      <c r="A10790" s="5"/>
      <c r="B10790" s="50" t="s">
        <v>35</v>
      </c>
      <c r="C10790" s="7">
        <v>4</v>
      </c>
      <c r="D10790" s="7">
        <v>2.91</v>
      </c>
      <c r="E10790" s="85">
        <f t="shared" si="599"/>
        <v>11.64</v>
      </c>
    </row>
    <row r="10791" spans="1:5" ht="18" x14ac:dyDescent="0.35">
      <c r="A10791" s="5"/>
      <c r="B10791" s="50" t="s">
        <v>36</v>
      </c>
      <c r="C10791" s="7">
        <v>4</v>
      </c>
      <c r="D10791" s="7">
        <v>0.61</v>
      </c>
      <c r="E10791" s="85">
        <f t="shared" si="599"/>
        <v>2.44</v>
      </c>
    </row>
    <row r="10792" spans="1:5" ht="18" x14ac:dyDescent="0.35">
      <c r="A10792" s="5"/>
      <c r="B10792" s="5"/>
      <c r="C10792" s="54"/>
      <c r="D10792" s="54"/>
      <c r="E10792" s="89">
        <f>SUM(E10786:E10791)</f>
        <v>158.97910999999999</v>
      </c>
    </row>
    <row r="10793" spans="1:5" ht="18" x14ac:dyDescent="0.35">
      <c r="A10793" s="5"/>
      <c r="B10793" s="5"/>
      <c r="C10793" s="54"/>
      <c r="D10793" s="54" t="s">
        <v>1066</v>
      </c>
      <c r="E10793" s="89">
        <f>E10792+E10792*40%</f>
        <v>222.57075399999999</v>
      </c>
    </row>
    <row r="10794" spans="1:5" ht="18" x14ac:dyDescent="0.35">
      <c r="A10794" s="5"/>
      <c r="B10794" s="50" t="s">
        <v>37</v>
      </c>
      <c r="C10794" s="54">
        <v>0.75</v>
      </c>
      <c r="D10794" s="54">
        <v>200</v>
      </c>
      <c r="E10794" s="85">
        <f>C10794*D10794</f>
        <v>150</v>
      </c>
    </row>
    <row r="10795" spans="1:5" ht="18" x14ac:dyDescent="0.35">
      <c r="A10795" s="5"/>
      <c r="B10795" s="5"/>
      <c r="C10795" s="54"/>
      <c r="D10795" s="54"/>
      <c r="E10795" s="85">
        <f>SUM(E10793:E10794)</f>
        <v>372.57075399999997</v>
      </c>
    </row>
    <row r="10797" spans="1:5" ht="21" x14ac:dyDescent="0.4">
      <c r="A10797" s="40" t="s">
        <v>1919</v>
      </c>
      <c r="B10797" s="40"/>
      <c r="C10797" s="84"/>
    </row>
    <row r="10798" spans="1:5" x14ac:dyDescent="0.3">
      <c r="A10798" t="s">
        <v>1427</v>
      </c>
    </row>
    <row r="10799" spans="1:5" ht="18" x14ac:dyDescent="0.35">
      <c r="A10799" s="5" t="s">
        <v>199</v>
      </c>
      <c r="B10799" s="5"/>
      <c r="C10799" s="7" t="s">
        <v>28</v>
      </c>
      <c r="D10799" s="7" t="s">
        <v>29</v>
      </c>
      <c r="E10799" s="7" t="s">
        <v>30</v>
      </c>
    </row>
    <row r="10800" spans="1:5" ht="18" x14ac:dyDescent="0.35">
      <c r="A10800" s="5" t="s">
        <v>1497</v>
      </c>
      <c r="B10800" s="50" t="s">
        <v>32</v>
      </c>
      <c r="C10800" s="7">
        <v>2.133</v>
      </c>
      <c r="D10800" s="7">
        <v>11.37</v>
      </c>
      <c r="E10800" s="85">
        <f t="shared" ref="E10800:E10805" si="600">C10800*D10800</f>
        <v>24.252209999999998</v>
      </c>
    </row>
    <row r="10801" spans="1:5" ht="18" x14ac:dyDescent="0.35">
      <c r="A10801" s="5" t="s">
        <v>2264</v>
      </c>
      <c r="B10801" s="50" t="s">
        <v>33</v>
      </c>
      <c r="C10801" s="7">
        <v>7.9690000000000003</v>
      </c>
      <c r="D10801" s="7">
        <v>10</v>
      </c>
      <c r="E10801" s="85">
        <f t="shared" si="600"/>
        <v>79.69</v>
      </c>
    </row>
    <row r="10802" spans="1:5" ht="18" x14ac:dyDescent="0.35">
      <c r="A10802" s="102"/>
      <c r="B10802" s="50" t="s">
        <v>974</v>
      </c>
      <c r="C10802" s="7">
        <v>2</v>
      </c>
      <c r="D10802" s="7">
        <v>1.8</v>
      </c>
      <c r="E10802" s="85">
        <f t="shared" si="600"/>
        <v>3.6</v>
      </c>
    </row>
    <row r="10803" spans="1:5" ht="18" x14ac:dyDescent="0.35">
      <c r="A10803" s="5"/>
      <c r="B10803" s="50" t="s">
        <v>34</v>
      </c>
      <c r="C10803" s="7">
        <v>0.26300000000000001</v>
      </c>
      <c r="D10803" s="7">
        <v>18.059999999999999</v>
      </c>
      <c r="E10803" s="85">
        <f t="shared" si="600"/>
        <v>4.7497799999999994</v>
      </c>
    </row>
    <row r="10804" spans="1:5" ht="18" x14ac:dyDescent="0.35">
      <c r="A10804" s="5"/>
      <c r="B10804" s="50" t="s">
        <v>35</v>
      </c>
      <c r="C10804" s="7">
        <v>4</v>
      </c>
      <c r="D10804" s="7">
        <v>2.91</v>
      </c>
      <c r="E10804" s="85">
        <f t="shared" si="600"/>
        <v>11.64</v>
      </c>
    </row>
    <row r="10805" spans="1:5" ht="18" x14ac:dyDescent="0.35">
      <c r="A10805" s="5"/>
      <c r="B10805" s="50" t="s">
        <v>36</v>
      </c>
      <c r="C10805" s="7">
        <v>4</v>
      </c>
      <c r="D10805" s="7">
        <v>0.61</v>
      </c>
      <c r="E10805" s="85">
        <f t="shared" si="600"/>
        <v>2.44</v>
      </c>
    </row>
    <row r="10806" spans="1:5" ht="18" x14ac:dyDescent="0.35">
      <c r="A10806" s="5"/>
      <c r="B10806" s="5"/>
      <c r="C10806" s="54"/>
      <c r="D10806" s="54"/>
      <c r="E10806" s="89">
        <f>SUM(E10800:E10805)</f>
        <v>126.37198999999998</v>
      </c>
    </row>
    <row r="10807" spans="1:5" ht="18" x14ac:dyDescent="0.35">
      <c r="A10807" s="5"/>
      <c r="B10807" s="5"/>
      <c r="C10807" s="54"/>
      <c r="D10807" s="54" t="s">
        <v>1066</v>
      </c>
      <c r="E10807" s="89">
        <f>E10806+E10806*40%</f>
        <v>176.92078599999996</v>
      </c>
    </row>
    <row r="10808" spans="1:5" ht="18" x14ac:dyDescent="0.35">
      <c r="A10808" s="5"/>
      <c r="B10808" s="50" t="s">
        <v>37</v>
      </c>
      <c r="C10808" s="54">
        <v>0.7</v>
      </c>
      <c r="D10808" s="54">
        <v>200</v>
      </c>
      <c r="E10808" s="85">
        <f>C10808*D10808</f>
        <v>140</v>
      </c>
    </row>
    <row r="10809" spans="1:5" ht="18" x14ac:dyDescent="0.35">
      <c r="A10809" s="5"/>
      <c r="B10809" s="5"/>
      <c r="C10809" s="54"/>
      <c r="D10809" s="54"/>
      <c r="E10809" s="85">
        <f>SUM(E10807:E10808)</f>
        <v>316.92078599999996</v>
      </c>
    </row>
    <row r="10811" spans="1:5" ht="21" x14ac:dyDescent="0.4">
      <c r="A10811" s="40" t="s">
        <v>1919</v>
      </c>
      <c r="B10811" s="40"/>
      <c r="C10811" s="84"/>
    </row>
    <row r="10812" spans="1:5" x14ac:dyDescent="0.3">
      <c r="A10812" t="s">
        <v>1427</v>
      </c>
    </row>
    <row r="10813" spans="1:5" ht="18" x14ac:dyDescent="0.35">
      <c r="A10813" s="5" t="s">
        <v>756</v>
      </c>
      <c r="B10813" s="5"/>
      <c r="C10813" s="7" t="s">
        <v>28</v>
      </c>
      <c r="D10813" s="7" t="s">
        <v>29</v>
      </c>
      <c r="E10813" s="7" t="s">
        <v>30</v>
      </c>
    </row>
    <row r="10814" spans="1:5" ht="18" x14ac:dyDescent="0.35">
      <c r="A10814" s="5" t="s">
        <v>1356</v>
      </c>
      <c r="B10814" s="50" t="s">
        <v>32</v>
      </c>
      <c r="C10814" s="7">
        <v>1.923</v>
      </c>
      <c r="D10814" s="7">
        <v>11.37</v>
      </c>
      <c r="E10814" s="85">
        <f t="shared" ref="E10814:E10819" si="601">C10814*D10814</f>
        <v>21.864509999999999</v>
      </c>
    </row>
    <row r="10815" spans="1:5" ht="18" x14ac:dyDescent="0.35">
      <c r="A10815" s="5" t="s">
        <v>2265</v>
      </c>
      <c r="B10815" s="50" t="s">
        <v>33</v>
      </c>
      <c r="C10815" s="7">
        <v>7.9379999999999997</v>
      </c>
      <c r="D10815" s="7">
        <v>10</v>
      </c>
      <c r="E10815" s="85">
        <f t="shared" si="601"/>
        <v>79.38</v>
      </c>
    </row>
    <row r="10816" spans="1:5" ht="18" x14ac:dyDescent="0.35">
      <c r="A10816" s="102"/>
      <c r="B10816" s="50" t="s">
        <v>86</v>
      </c>
      <c r="C10816" s="7">
        <v>2</v>
      </c>
      <c r="D10816" s="7">
        <v>1.7</v>
      </c>
      <c r="E10816" s="85">
        <f t="shared" si="601"/>
        <v>3.4</v>
      </c>
    </row>
    <row r="10817" spans="1:5" ht="18" x14ac:dyDescent="0.35">
      <c r="A10817" s="5"/>
      <c r="B10817" s="50" t="s">
        <v>34</v>
      </c>
      <c r="C10817" s="7">
        <v>0.3</v>
      </c>
      <c r="D10817" s="7">
        <v>18.059999999999999</v>
      </c>
      <c r="E10817" s="85">
        <f t="shared" si="601"/>
        <v>5.4179999999999993</v>
      </c>
    </row>
    <row r="10818" spans="1:5" ht="18" x14ac:dyDescent="0.35">
      <c r="A10818" s="5"/>
      <c r="B10818" s="50" t="s">
        <v>35</v>
      </c>
      <c r="C10818" s="7">
        <v>4</v>
      </c>
      <c r="D10818" s="7">
        <v>2.91</v>
      </c>
      <c r="E10818" s="85">
        <f t="shared" si="601"/>
        <v>11.64</v>
      </c>
    </row>
    <row r="10819" spans="1:5" ht="18" x14ac:dyDescent="0.35">
      <c r="A10819" s="5"/>
      <c r="B10819" s="50" t="s">
        <v>36</v>
      </c>
      <c r="C10819" s="7">
        <v>4</v>
      </c>
      <c r="D10819" s="7">
        <v>0.61</v>
      </c>
      <c r="E10819" s="85">
        <f t="shared" si="601"/>
        <v>2.44</v>
      </c>
    </row>
    <row r="10820" spans="1:5" ht="18" x14ac:dyDescent="0.35">
      <c r="A10820" s="5"/>
      <c r="B10820" s="5"/>
      <c r="C10820" s="54"/>
      <c r="D10820" s="54"/>
      <c r="E10820" s="89">
        <f>SUM(E10814:E10819)</f>
        <v>124.14251</v>
      </c>
    </row>
    <row r="10821" spans="1:5" ht="18" x14ac:dyDescent="0.35">
      <c r="A10821" s="5"/>
      <c r="B10821" s="5"/>
      <c r="C10821" s="54"/>
      <c r="D10821" s="54" t="s">
        <v>1066</v>
      </c>
      <c r="E10821" s="89">
        <f>E10820+E10820*40%</f>
        <v>173.79951399999999</v>
      </c>
    </row>
    <row r="10822" spans="1:5" ht="18" x14ac:dyDescent="0.35">
      <c r="A10822" s="5"/>
      <c r="B10822" s="50" t="s">
        <v>37</v>
      </c>
      <c r="C10822" s="54">
        <v>0.5</v>
      </c>
      <c r="D10822" s="54">
        <v>200</v>
      </c>
      <c r="E10822" s="85">
        <f>C10822*D10822</f>
        <v>100</v>
      </c>
    </row>
    <row r="10823" spans="1:5" ht="18" x14ac:dyDescent="0.35">
      <c r="A10823" s="5"/>
      <c r="B10823" s="5"/>
      <c r="C10823" s="54"/>
      <c r="D10823" s="54"/>
      <c r="E10823" s="85">
        <f>SUM(E10821:E10822)</f>
        <v>273.79951399999999</v>
      </c>
    </row>
    <row r="10825" spans="1:5" ht="21" x14ac:dyDescent="0.4">
      <c r="A10825" s="40" t="s">
        <v>2266</v>
      </c>
      <c r="B10825" s="40"/>
      <c r="C10825" s="40"/>
      <c r="D10825" s="12"/>
      <c r="E10825" s="12"/>
    </row>
    <row r="10826" spans="1:5" ht="18" x14ac:dyDescent="0.35">
      <c r="A10826" s="5"/>
      <c r="B10826" s="5"/>
      <c r="C10826" s="7" t="s">
        <v>28</v>
      </c>
      <c r="D10826" s="7" t="s">
        <v>29</v>
      </c>
      <c r="E10826" s="7" t="s">
        <v>30</v>
      </c>
    </row>
    <row r="10827" spans="1:5" ht="18" x14ac:dyDescent="0.35">
      <c r="A10827" s="5" t="s">
        <v>181</v>
      </c>
      <c r="B10827" s="50" t="s">
        <v>32</v>
      </c>
      <c r="C10827" s="7">
        <v>1.482</v>
      </c>
      <c r="D10827" s="7">
        <v>10.34</v>
      </c>
      <c r="E10827" s="85">
        <f>C10827*D10827</f>
        <v>15.323879999999999</v>
      </c>
    </row>
    <row r="10828" spans="1:5" ht="18" x14ac:dyDescent="0.35">
      <c r="A10828" s="5" t="s">
        <v>839</v>
      </c>
      <c r="B10828" s="50" t="s">
        <v>33</v>
      </c>
      <c r="C10828" s="7">
        <v>0.61899999999999999</v>
      </c>
      <c r="D10828" s="7">
        <v>4</v>
      </c>
      <c r="E10828" s="85">
        <f>C10828*D10828</f>
        <v>2.476</v>
      </c>
    </row>
    <row r="10829" spans="1:5" ht="18" x14ac:dyDescent="0.35">
      <c r="A10829" s="5" t="s">
        <v>2162</v>
      </c>
      <c r="B10829" s="50" t="s">
        <v>137</v>
      </c>
      <c r="C10829" s="7">
        <v>0.08</v>
      </c>
      <c r="D10829" s="7">
        <v>15.25</v>
      </c>
      <c r="E10829" s="85">
        <f>C10829*D10829</f>
        <v>1.22</v>
      </c>
    </row>
    <row r="10830" spans="1:5" ht="18" x14ac:dyDescent="0.35">
      <c r="A10830" s="5"/>
      <c r="B10830" s="50" t="s">
        <v>35</v>
      </c>
      <c r="C10830" s="7">
        <v>4</v>
      </c>
      <c r="D10830" s="7">
        <v>2.91</v>
      </c>
      <c r="E10830" s="85">
        <f>C10830*D10830</f>
        <v>11.64</v>
      </c>
    </row>
    <row r="10831" spans="1:5" ht="18" x14ac:dyDescent="0.35">
      <c r="A10831" s="5"/>
      <c r="B10831" s="50" t="s">
        <v>36</v>
      </c>
      <c r="C10831" s="7">
        <v>4</v>
      </c>
      <c r="D10831" s="7">
        <v>0.61</v>
      </c>
      <c r="E10831" s="85">
        <f>C10831*D10831</f>
        <v>2.44</v>
      </c>
    </row>
    <row r="10832" spans="1:5" ht="18" x14ac:dyDescent="0.35">
      <c r="A10832" s="5"/>
      <c r="B10832" s="50"/>
      <c r="C10832" s="87"/>
      <c r="D10832" s="88"/>
      <c r="E10832" s="85">
        <f>SUM(E10827:E10831)</f>
        <v>33.099879999999999</v>
      </c>
    </row>
    <row r="10833" spans="1:5" ht="18" x14ac:dyDescent="0.35">
      <c r="A10833" s="5"/>
      <c r="B10833" s="50"/>
      <c r="C10833" s="87"/>
      <c r="D10833" s="88" t="s">
        <v>1266</v>
      </c>
      <c r="E10833" s="85">
        <f>E10832+E10832*40%</f>
        <v>46.339832000000001</v>
      </c>
    </row>
    <row r="10834" spans="1:5" ht="18" x14ac:dyDescent="0.35">
      <c r="A10834" s="5"/>
      <c r="B10834" s="50" t="s">
        <v>37</v>
      </c>
      <c r="C10834" s="54">
        <v>0.2</v>
      </c>
      <c r="D10834" s="86">
        <v>200</v>
      </c>
      <c r="E10834" s="85">
        <f>C10834*D10834</f>
        <v>40</v>
      </c>
    </row>
    <row r="10835" spans="1:5" ht="18" x14ac:dyDescent="0.35">
      <c r="A10835" s="5"/>
      <c r="B10835" s="5"/>
      <c r="C10835" s="54"/>
      <c r="D10835" s="54"/>
      <c r="E10835" s="85">
        <f>SUM(E10833:E10834)</f>
        <v>86.339832000000001</v>
      </c>
    </row>
  </sheetData>
  <pageMargins left="0" right="0" top="0.15748031496062992" bottom="0.15748031496062992" header="0.31496062992125984" footer="0.31496062992125984"/>
  <pageSetup paperSize="9" scale="95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37"/>
  <sheetViews>
    <sheetView topLeftCell="A91" workbookViewId="0">
      <selection activeCell="C104" sqref="C104"/>
    </sheetView>
  </sheetViews>
  <sheetFormatPr baseColWidth="10" defaultColWidth="9.109375" defaultRowHeight="14.4" x14ac:dyDescent="0.3"/>
  <cols>
    <col min="1" max="1" width="37.33203125" customWidth="1"/>
    <col min="2" max="2" width="11.109375" customWidth="1"/>
    <col min="3" max="3" width="10.5546875" customWidth="1"/>
    <col min="4" max="4" width="10.33203125" customWidth="1"/>
    <col min="5" max="5" width="8" customWidth="1"/>
    <col min="6" max="6" width="9" customWidth="1"/>
    <col min="7" max="7" width="11.44140625" customWidth="1"/>
    <col min="8" max="8" width="12.6640625" customWidth="1"/>
    <col min="9" max="9" width="11" customWidth="1"/>
    <col min="10" max="10" width="11.88671875" customWidth="1"/>
    <col min="11" max="11" width="13.109375" customWidth="1"/>
  </cols>
  <sheetData>
    <row r="2" spans="1:11" ht="18" x14ac:dyDescent="0.35">
      <c r="A2" s="1" t="s">
        <v>0</v>
      </c>
      <c r="B2" s="2"/>
      <c r="C2" s="2"/>
      <c r="D2" s="2"/>
    </row>
    <row r="3" spans="1:11" x14ac:dyDescent="0.3">
      <c r="A3" t="s">
        <v>1248</v>
      </c>
    </row>
    <row r="4" spans="1:11" ht="15.6" x14ac:dyDescent="0.3">
      <c r="A4" s="3" t="s">
        <v>1</v>
      </c>
      <c r="B4" s="3" t="s">
        <v>2</v>
      </c>
      <c r="C4" s="3" t="s">
        <v>2</v>
      </c>
      <c r="D4" s="3" t="s">
        <v>2</v>
      </c>
      <c r="E4" s="3" t="s">
        <v>2</v>
      </c>
      <c r="F4" s="3" t="s">
        <v>2</v>
      </c>
      <c r="G4" s="3" t="s">
        <v>3</v>
      </c>
      <c r="H4" s="114" t="s">
        <v>593</v>
      </c>
      <c r="I4" s="125" t="s">
        <v>1181</v>
      </c>
      <c r="J4" s="122" t="s">
        <v>1246</v>
      </c>
      <c r="K4" s="123" t="s">
        <v>1247</v>
      </c>
    </row>
    <row r="5" spans="1:11" ht="18" x14ac:dyDescent="0.35">
      <c r="A5" s="43" t="s">
        <v>1243</v>
      </c>
      <c r="B5" s="119">
        <v>19.38</v>
      </c>
      <c r="C5" s="119">
        <v>19.38</v>
      </c>
      <c r="D5" s="119">
        <v>19.38</v>
      </c>
      <c r="E5" s="119">
        <v>17.37</v>
      </c>
      <c r="F5" s="119">
        <v>17.37</v>
      </c>
      <c r="G5" s="119">
        <v>17.47</v>
      </c>
      <c r="H5" s="115">
        <v>29.12</v>
      </c>
      <c r="I5" s="118">
        <v>29.12</v>
      </c>
      <c r="J5" s="121">
        <v>11.37</v>
      </c>
      <c r="K5" s="124">
        <v>68.19</v>
      </c>
    </row>
    <row r="6" spans="1:11" ht="18" x14ac:dyDescent="0.35">
      <c r="A6" s="79" t="s">
        <v>5</v>
      </c>
      <c r="B6" s="119">
        <v>18.79</v>
      </c>
      <c r="C6" s="119"/>
      <c r="D6" s="119"/>
      <c r="E6" s="119">
        <v>19.89</v>
      </c>
      <c r="F6" s="119">
        <v>17.91</v>
      </c>
      <c r="G6" s="119">
        <v>19.420000000000002</v>
      </c>
      <c r="H6" s="115">
        <v>30.29</v>
      </c>
      <c r="I6" s="117">
        <v>30.44</v>
      </c>
      <c r="J6" s="121">
        <v>10.34</v>
      </c>
      <c r="K6" s="124">
        <v>61.99</v>
      </c>
    </row>
    <row r="7" spans="1:11" ht="18" x14ac:dyDescent="0.35">
      <c r="A7" s="43" t="s">
        <v>1242</v>
      </c>
      <c r="B7" s="119">
        <v>30.59</v>
      </c>
      <c r="C7" s="119">
        <v>27.93</v>
      </c>
      <c r="D7" s="119">
        <v>30.59</v>
      </c>
      <c r="E7" s="119">
        <v>26.96</v>
      </c>
      <c r="F7" s="119">
        <v>29.52</v>
      </c>
      <c r="G7" s="119">
        <v>29.24</v>
      </c>
      <c r="H7" s="115">
        <v>29.24</v>
      </c>
      <c r="I7" s="118">
        <v>29.24</v>
      </c>
      <c r="J7" s="121">
        <v>16.43</v>
      </c>
      <c r="K7" s="124">
        <v>98.54</v>
      </c>
    </row>
    <row r="8" spans="1:11" ht="18" x14ac:dyDescent="0.35">
      <c r="A8" s="79" t="s">
        <v>6</v>
      </c>
      <c r="B8" s="119">
        <v>29.99</v>
      </c>
      <c r="C8" s="119"/>
      <c r="D8" s="119"/>
      <c r="E8" s="119">
        <v>29.99</v>
      </c>
      <c r="F8" s="119">
        <v>28.61</v>
      </c>
      <c r="G8" s="119">
        <v>31.33</v>
      </c>
      <c r="H8" s="115">
        <v>42.29</v>
      </c>
      <c r="I8" s="117">
        <v>45.07</v>
      </c>
      <c r="J8" s="121">
        <v>14.93</v>
      </c>
      <c r="K8" s="124">
        <v>89.58</v>
      </c>
    </row>
    <row r="9" spans="1:11" ht="15.6" x14ac:dyDescent="0.3">
      <c r="A9" s="43" t="s">
        <v>1244</v>
      </c>
      <c r="B9" s="119">
        <v>9.83</v>
      </c>
      <c r="C9" s="119">
        <v>9.68</v>
      </c>
      <c r="D9" s="119">
        <v>9.83</v>
      </c>
      <c r="E9" s="119">
        <v>9.68</v>
      </c>
      <c r="F9" s="119">
        <v>9.3699999999999992</v>
      </c>
      <c r="G9" s="119">
        <v>9.39</v>
      </c>
      <c r="H9" s="115">
        <v>14.94</v>
      </c>
      <c r="I9" s="118">
        <v>14.94</v>
      </c>
    </row>
    <row r="10" spans="1:11" ht="15.6" x14ac:dyDescent="0.3">
      <c r="A10" s="79" t="s">
        <v>7</v>
      </c>
      <c r="B10" s="119">
        <v>10.210000000000001</v>
      </c>
      <c r="C10" s="119"/>
      <c r="D10" s="119"/>
      <c r="E10" s="119">
        <v>10.3</v>
      </c>
      <c r="F10" s="119">
        <v>9.9</v>
      </c>
      <c r="G10" s="119">
        <v>11.03</v>
      </c>
      <c r="H10" s="115">
        <v>16.085999999999999</v>
      </c>
      <c r="I10" s="117">
        <v>16.170000000000002</v>
      </c>
    </row>
    <row r="11" spans="1:11" ht="15.6" x14ac:dyDescent="0.3">
      <c r="A11" s="43" t="s">
        <v>1245</v>
      </c>
      <c r="B11" s="119">
        <v>10.11</v>
      </c>
      <c r="C11" s="119">
        <v>9.5</v>
      </c>
      <c r="D11" s="119">
        <v>10.11</v>
      </c>
      <c r="E11" s="119">
        <v>9.02</v>
      </c>
      <c r="F11" s="119">
        <v>9.1999999999999993</v>
      </c>
      <c r="G11" s="119">
        <v>8.92</v>
      </c>
      <c r="H11" s="115">
        <v>15.25</v>
      </c>
      <c r="I11" s="118">
        <v>15.25</v>
      </c>
    </row>
    <row r="12" spans="1:11" ht="15.6" x14ac:dyDescent="0.3">
      <c r="A12" s="79" t="s">
        <v>8</v>
      </c>
      <c r="B12" s="119">
        <v>10.38</v>
      </c>
      <c r="C12" s="119"/>
      <c r="D12" s="119"/>
      <c r="E12" s="119">
        <v>10.14</v>
      </c>
      <c r="F12" s="119">
        <v>9.74</v>
      </c>
      <c r="G12" s="119">
        <v>10.86</v>
      </c>
      <c r="H12" s="115">
        <v>16</v>
      </c>
      <c r="I12" s="117">
        <v>17.059999999999999</v>
      </c>
    </row>
    <row r="13" spans="1:11" ht="15.6" x14ac:dyDescent="0.3">
      <c r="A13" s="43" t="s">
        <v>9</v>
      </c>
      <c r="B13" s="119">
        <v>19.25</v>
      </c>
      <c r="C13" s="119">
        <v>12.82</v>
      </c>
      <c r="D13" s="119">
        <v>12.82</v>
      </c>
      <c r="E13" s="119">
        <v>12.43</v>
      </c>
      <c r="F13" s="119">
        <v>12.43</v>
      </c>
      <c r="G13" s="119">
        <v>13.67</v>
      </c>
      <c r="H13" s="115">
        <v>14.61</v>
      </c>
      <c r="I13" s="117">
        <v>18.059999999999999</v>
      </c>
    </row>
    <row r="14" spans="1:11" ht="15.6" x14ac:dyDescent="0.3">
      <c r="A14" s="43" t="s">
        <v>10</v>
      </c>
      <c r="B14" s="119">
        <v>15.91</v>
      </c>
      <c r="C14" s="119">
        <v>15.36</v>
      </c>
      <c r="D14" s="119">
        <v>15.36</v>
      </c>
      <c r="E14" s="119">
        <v>13.88</v>
      </c>
      <c r="F14" s="119">
        <v>13.88</v>
      </c>
      <c r="G14" s="119">
        <v>13.88</v>
      </c>
      <c r="H14" s="115">
        <v>17.190000000000001</v>
      </c>
      <c r="I14" s="118">
        <v>17.190000000000001</v>
      </c>
    </row>
    <row r="15" spans="1:11" ht="15.6" x14ac:dyDescent="0.3">
      <c r="A15" s="43" t="s">
        <v>11</v>
      </c>
      <c r="B15" s="119">
        <v>0.77</v>
      </c>
      <c r="C15" s="119">
        <v>0.77</v>
      </c>
      <c r="D15" s="119">
        <v>0.77</v>
      </c>
      <c r="E15" s="119">
        <v>0.77</v>
      </c>
      <c r="F15" s="119">
        <v>1.24</v>
      </c>
      <c r="G15" s="119"/>
      <c r="H15" s="115">
        <v>1.1499999999999999</v>
      </c>
      <c r="I15" s="118">
        <v>1.1499999999999999</v>
      </c>
    </row>
    <row r="16" spans="1:11" ht="15.6" x14ac:dyDescent="0.3">
      <c r="A16" s="43" t="s">
        <v>12</v>
      </c>
      <c r="B16" s="119">
        <v>0.77</v>
      </c>
      <c r="C16" s="119">
        <v>0.77</v>
      </c>
      <c r="D16" s="119">
        <v>0.77</v>
      </c>
      <c r="E16" s="119">
        <v>0.77</v>
      </c>
      <c r="F16" s="119">
        <v>1.36</v>
      </c>
      <c r="G16" s="119"/>
      <c r="H16" s="115">
        <v>1.6</v>
      </c>
      <c r="I16" s="118">
        <v>1.6</v>
      </c>
    </row>
    <row r="17" spans="1:9" ht="15.6" x14ac:dyDescent="0.3">
      <c r="A17" s="43" t="s">
        <v>13</v>
      </c>
      <c r="B17" s="119">
        <v>1.08</v>
      </c>
      <c r="C17" s="119">
        <v>1.08</v>
      </c>
      <c r="D17" s="119">
        <v>1.08</v>
      </c>
      <c r="E17" s="119">
        <v>1.08</v>
      </c>
      <c r="F17" s="119">
        <v>1.08</v>
      </c>
      <c r="G17" s="119"/>
      <c r="H17" s="115">
        <v>1.48</v>
      </c>
      <c r="I17" s="118">
        <v>1.48</v>
      </c>
    </row>
    <row r="18" spans="1:9" ht="15.6" x14ac:dyDescent="0.3">
      <c r="A18" s="43" t="s">
        <v>14</v>
      </c>
      <c r="B18" s="119">
        <v>1.08</v>
      </c>
      <c r="C18" s="119">
        <v>1.08</v>
      </c>
      <c r="D18" s="119">
        <v>1.08</v>
      </c>
      <c r="E18" s="119">
        <v>1.08</v>
      </c>
      <c r="F18" s="119">
        <v>1.08</v>
      </c>
      <c r="G18" s="119"/>
      <c r="H18" s="115">
        <v>1.08</v>
      </c>
      <c r="I18" s="118">
        <v>1.08</v>
      </c>
    </row>
    <row r="19" spans="1:9" ht="15.6" x14ac:dyDescent="0.3">
      <c r="A19" s="43" t="s">
        <v>15</v>
      </c>
      <c r="B19" s="119">
        <v>1.08</v>
      </c>
      <c r="C19" s="119">
        <v>1.08</v>
      </c>
      <c r="D19" s="119">
        <v>1.85</v>
      </c>
      <c r="E19" s="119">
        <v>1.86</v>
      </c>
      <c r="F19" s="119">
        <v>1.86</v>
      </c>
      <c r="G19" s="119"/>
      <c r="H19" s="115">
        <v>1.7</v>
      </c>
      <c r="I19" s="118">
        <v>1.7</v>
      </c>
    </row>
    <row r="20" spans="1:9" ht="15.6" x14ac:dyDescent="0.3">
      <c r="A20" s="43" t="s">
        <v>16</v>
      </c>
      <c r="B20" s="119">
        <v>2.57</v>
      </c>
      <c r="C20" s="119">
        <v>2.57</v>
      </c>
      <c r="D20" s="119">
        <v>1.98</v>
      </c>
      <c r="E20" s="119">
        <v>1.99</v>
      </c>
      <c r="F20" s="119">
        <v>1.98</v>
      </c>
      <c r="G20" s="119"/>
      <c r="H20" s="115">
        <v>1.81</v>
      </c>
      <c r="I20" s="118">
        <v>1.81</v>
      </c>
    </row>
    <row r="21" spans="1:9" ht="15.6" x14ac:dyDescent="0.3">
      <c r="A21" s="43" t="s">
        <v>17</v>
      </c>
      <c r="B21" s="119">
        <v>2.89</v>
      </c>
      <c r="C21" s="119">
        <v>2.89</v>
      </c>
      <c r="D21" s="119">
        <v>2.89</v>
      </c>
      <c r="E21" s="119">
        <v>2.89</v>
      </c>
      <c r="F21" s="119">
        <v>2.2400000000000002</v>
      </c>
      <c r="G21" s="119"/>
      <c r="H21" s="116">
        <v>2.2400000000000002</v>
      </c>
      <c r="I21" s="118">
        <v>2.2400000000000002</v>
      </c>
    </row>
    <row r="22" spans="1:9" ht="15.6" x14ac:dyDescent="0.3">
      <c r="A22" s="43" t="s">
        <v>18</v>
      </c>
      <c r="B22" s="119">
        <v>0.31</v>
      </c>
      <c r="C22" s="119">
        <v>0.32</v>
      </c>
      <c r="D22" s="119">
        <v>0.25</v>
      </c>
      <c r="E22" s="119">
        <v>0.25</v>
      </c>
      <c r="F22" s="119">
        <v>0.25</v>
      </c>
      <c r="G22" s="119"/>
      <c r="H22" s="115">
        <v>0.6</v>
      </c>
      <c r="I22" s="117">
        <v>0.61</v>
      </c>
    </row>
    <row r="23" spans="1:9" ht="15.6" x14ac:dyDescent="0.3">
      <c r="A23" s="43" t="s">
        <v>19</v>
      </c>
      <c r="B23" s="119">
        <v>2.0099999999999998</v>
      </c>
      <c r="C23" s="119">
        <v>2.09</v>
      </c>
      <c r="D23" s="119">
        <v>2.09</v>
      </c>
      <c r="E23" s="119">
        <v>1.99</v>
      </c>
      <c r="F23" s="119">
        <v>2.0099999999999998</v>
      </c>
      <c r="G23" s="119"/>
      <c r="H23" s="115">
        <v>2.89</v>
      </c>
      <c r="I23" s="117">
        <v>2.91</v>
      </c>
    </row>
    <row r="24" spans="1:9" ht="15.6" x14ac:dyDescent="0.3">
      <c r="A24" s="43" t="s">
        <v>20</v>
      </c>
      <c r="B24" s="119">
        <v>0.53</v>
      </c>
      <c r="C24" s="119">
        <v>0.53</v>
      </c>
      <c r="D24" s="119">
        <v>0.53</v>
      </c>
      <c r="E24" s="119">
        <v>0.53</v>
      </c>
      <c r="F24" s="119">
        <v>0.53</v>
      </c>
      <c r="G24" s="119"/>
      <c r="H24" s="115">
        <v>1.03</v>
      </c>
      <c r="I24" s="118">
        <v>1.03</v>
      </c>
    </row>
    <row r="25" spans="1:9" ht="15.6" x14ac:dyDescent="0.3">
      <c r="A25" s="43" t="s">
        <v>21</v>
      </c>
      <c r="B25" s="119">
        <v>0.59</v>
      </c>
      <c r="C25" s="119">
        <v>0.59</v>
      </c>
      <c r="D25" s="119">
        <v>0.53</v>
      </c>
      <c r="E25" s="119">
        <v>0.53</v>
      </c>
      <c r="F25" s="119">
        <v>0.53</v>
      </c>
      <c r="G25" s="119"/>
      <c r="H25" s="116"/>
      <c r="I25" s="118"/>
    </row>
    <row r="27" spans="1:9" ht="18" x14ac:dyDescent="0.35">
      <c r="A27" s="5" t="s">
        <v>26</v>
      </c>
      <c r="B27" s="5"/>
      <c r="C27" s="5"/>
    </row>
    <row r="29" spans="1:9" ht="18" x14ac:dyDescent="0.35">
      <c r="A29" s="5"/>
      <c r="B29" s="5"/>
      <c r="C29" s="5"/>
    </row>
    <row r="30" spans="1:9" ht="18" x14ac:dyDescent="0.35">
      <c r="A30" s="1" t="s">
        <v>27</v>
      </c>
      <c r="B30" s="2"/>
      <c r="C30" s="2"/>
    </row>
    <row r="31" spans="1:9" ht="18" x14ac:dyDescent="0.35">
      <c r="A31" s="5"/>
    </row>
    <row r="32" spans="1:9" x14ac:dyDescent="0.3">
      <c r="A32" s="3" t="s">
        <v>23</v>
      </c>
      <c r="B32" s="3" t="s">
        <v>24</v>
      </c>
      <c r="C32" s="3" t="s">
        <v>25</v>
      </c>
    </row>
    <row r="33" spans="1:3" ht="21" x14ac:dyDescent="0.4">
      <c r="A33" s="6">
        <v>100</v>
      </c>
      <c r="B33" s="6">
        <v>40</v>
      </c>
      <c r="C33" s="7">
        <v>1</v>
      </c>
    </row>
    <row r="34" spans="1:3" ht="21" x14ac:dyDescent="0.4">
      <c r="A34" s="6">
        <v>100</v>
      </c>
      <c r="B34" s="6">
        <v>50</v>
      </c>
      <c r="C34" s="7">
        <v>2</v>
      </c>
    </row>
    <row r="35" spans="1:3" ht="21" x14ac:dyDescent="0.4">
      <c r="A35" s="6">
        <v>100</v>
      </c>
      <c r="B35" s="6">
        <v>60</v>
      </c>
      <c r="C35" s="7">
        <v>2</v>
      </c>
    </row>
    <row r="36" spans="1:3" ht="21" x14ac:dyDescent="0.4">
      <c r="A36" s="6">
        <v>100</v>
      </c>
      <c r="B36" s="6">
        <v>80</v>
      </c>
      <c r="C36" s="7">
        <v>3</v>
      </c>
    </row>
    <row r="37" spans="1:3" ht="21" x14ac:dyDescent="0.4">
      <c r="A37" s="6">
        <v>100</v>
      </c>
      <c r="B37" s="6">
        <v>100</v>
      </c>
      <c r="C37" s="7">
        <v>4</v>
      </c>
    </row>
    <row r="38" spans="1:3" ht="21" x14ac:dyDescent="0.4">
      <c r="A38" s="6">
        <v>200</v>
      </c>
      <c r="B38" s="6">
        <v>150</v>
      </c>
      <c r="C38" s="7">
        <v>6</v>
      </c>
    </row>
    <row r="39" spans="1:3" ht="21" x14ac:dyDescent="0.4">
      <c r="A39" s="6">
        <v>200</v>
      </c>
      <c r="B39" s="6">
        <v>200</v>
      </c>
      <c r="C39" s="7">
        <v>9</v>
      </c>
    </row>
    <row r="40" spans="1:3" ht="21" x14ac:dyDescent="0.4">
      <c r="A40" s="6">
        <v>200</v>
      </c>
      <c r="B40" s="6">
        <v>250</v>
      </c>
      <c r="C40" s="7">
        <v>11</v>
      </c>
    </row>
    <row r="41" spans="1:3" ht="21" x14ac:dyDescent="0.4">
      <c r="A41" s="6">
        <v>200</v>
      </c>
      <c r="B41" s="6">
        <v>300</v>
      </c>
      <c r="C41" s="7">
        <v>14</v>
      </c>
    </row>
    <row r="42" spans="1:3" ht="21" x14ac:dyDescent="0.4">
      <c r="A42" s="6">
        <v>200</v>
      </c>
      <c r="B42" s="6">
        <v>400</v>
      </c>
      <c r="C42" s="7">
        <v>19</v>
      </c>
    </row>
    <row r="43" spans="1:3" ht="21" x14ac:dyDescent="0.4">
      <c r="A43" s="6">
        <v>200</v>
      </c>
      <c r="B43" s="6">
        <v>500</v>
      </c>
      <c r="C43" s="7">
        <v>24</v>
      </c>
    </row>
    <row r="44" spans="1:3" ht="21" x14ac:dyDescent="0.4">
      <c r="A44" s="6">
        <v>300</v>
      </c>
      <c r="B44" s="6">
        <v>600</v>
      </c>
      <c r="C44" s="7">
        <v>29</v>
      </c>
    </row>
    <row r="46" spans="1:3" ht="15.6" x14ac:dyDescent="0.3">
      <c r="A46" s="15" t="s">
        <v>130</v>
      </c>
    </row>
    <row r="47" spans="1:3" x14ac:dyDescent="0.3">
      <c r="A47" s="13" t="s">
        <v>131</v>
      </c>
      <c r="B47" s="13" t="s">
        <v>132</v>
      </c>
      <c r="C47" s="13" t="s">
        <v>134</v>
      </c>
    </row>
    <row r="48" spans="1:3" x14ac:dyDescent="0.3">
      <c r="A48" s="14">
        <v>600</v>
      </c>
      <c r="B48" s="14">
        <v>100</v>
      </c>
      <c r="C48" s="14">
        <v>1</v>
      </c>
    </row>
    <row r="49" spans="1:3" x14ac:dyDescent="0.3">
      <c r="A49" s="14">
        <v>700</v>
      </c>
      <c r="B49" s="14">
        <v>100</v>
      </c>
      <c r="C49" s="14">
        <v>1</v>
      </c>
    </row>
    <row r="50" spans="1:3" x14ac:dyDescent="0.3">
      <c r="A50" s="14">
        <v>800</v>
      </c>
      <c r="B50" s="14">
        <v>100</v>
      </c>
      <c r="C50" s="14">
        <v>1</v>
      </c>
    </row>
    <row r="51" spans="1:3" x14ac:dyDescent="0.3">
      <c r="A51" s="14">
        <v>900</v>
      </c>
      <c r="B51" s="14">
        <v>100</v>
      </c>
      <c r="C51" s="14">
        <v>1</v>
      </c>
    </row>
    <row r="52" spans="1:3" x14ac:dyDescent="0.3">
      <c r="A52" s="14">
        <v>1000</v>
      </c>
      <c r="B52" s="14">
        <v>100</v>
      </c>
      <c r="C52" s="14">
        <v>1</v>
      </c>
    </row>
    <row r="53" spans="1:3" x14ac:dyDescent="0.3">
      <c r="A53" s="14">
        <v>1200</v>
      </c>
      <c r="B53" s="14">
        <v>100</v>
      </c>
      <c r="C53" s="14">
        <v>2</v>
      </c>
    </row>
    <row r="54" spans="1:3" ht="6.75" customHeight="1" x14ac:dyDescent="0.3">
      <c r="A54" s="12"/>
      <c r="B54" s="12"/>
      <c r="C54" s="12"/>
    </row>
    <row r="55" spans="1:3" x14ac:dyDescent="0.3">
      <c r="A55" s="14">
        <v>600</v>
      </c>
      <c r="B55" s="14">
        <v>150</v>
      </c>
      <c r="C55" s="14">
        <v>1</v>
      </c>
    </row>
    <row r="56" spans="1:3" x14ac:dyDescent="0.3">
      <c r="A56" s="14">
        <v>700</v>
      </c>
      <c r="B56" s="14">
        <v>150</v>
      </c>
      <c r="C56" s="14">
        <v>1</v>
      </c>
    </row>
    <row r="57" spans="1:3" x14ac:dyDescent="0.3">
      <c r="A57" s="14">
        <v>800</v>
      </c>
      <c r="B57" s="14">
        <v>150</v>
      </c>
      <c r="C57" s="14">
        <v>1</v>
      </c>
    </row>
    <row r="58" spans="1:3" x14ac:dyDescent="0.3">
      <c r="A58" s="14">
        <v>900</v>
      </c>
      <c r="B58" s="14">
        <v>150</v>
      </c>
      <c r="C58" s="14">
        <v>1</v>
      </c>
    </row>
    <row r="59" spans="1:3" x14ac:dyDescent="0.3">
      <c r="A59" s="14">
        <v>1000</v>
      </c>
      <c r="B59" s="14">
        <v>150</v>
      </c>
      <c r="C59" s="14">
        <v>1</v>
      </c>
    </row>
    <row r="60" spans="1:3" x14ac:dyDescent="0.3">
      <c r="A60" s="14">
        <v>1200</v>
      </c>
      <c r="B60" s="14">
        <v>150</v>
      </c>
      <c r="C60" s="14">
        <v>2</v>
      </c>
    </row>
    <row r="61" spans="1:3" ht="4.5" customHeight="1" x14ac:dyDescent="0.3">
      <c r="A61" s="12"/>
      <c r="B61" s="12"/>
      <c r="C61" s="12"/>
    </row>
    <row r="62" spans="1:3" x14ac:dyDescent="0.3">
      <c r="A62" s="14">
        <v>600</v>
      </c>
      <c r="B62" s="14">
        <v>200</v>
      </c>
      <c r="C62" s="14">
        <v>1</v>
      </c>
    </row>
    <row r="63" spans="1:3" x14ac:dyDescent="0.3">
      <c r="A63" s="14">
        <v>700</v>
      </c>
      <c r="B63" s="14">
        <v>200</v>
      </c>
      <c r="C63" s="14">
        <v>1</v>
      </c>
    </row>
    <row r="64" spans="1:3" x14ac:dyDescent="0.3">
      <c r="A64" s="14">
        <v>800</v>
      </c>
      <c r="B64" s="14">
        <v>200</v>
      </c>
      <c r="C64" s="14">
        <v>1</v>
      </c>
    </row>
    <row r="65" spans="1:3" x14ac:dyDescent="0.3">
      <c r="A65" s="14">
        <v>900</v>
      </c>
      <c r="B65" s="14">
        <v>200</v>
      </c>
      <c r="C65" s="14">
        <v>1</v>
      </c>
    </row>
    <row r="66" spans="1:3" x14ac:dyDescent="0.3">
      <c r="A66" s="14">
        <v>1000</v>
      </c>
      <c r="B66" s="14">
        <v>200</v>
      </c>
      <c r="C66" s="14">
        <v>1</v>
      </c>
    </row>
    <row r="67" spans="1:3" x14ac:dyDescent="0.3">
      <c r="A67" s="14">
        <v>1200</v>
      </c>
      <c r="B67" s="14">
        <v>200</v>
      </c>
      <c r="C67" s="14">
        <v>2</v>
      </c>
    </row>
    <row r="68" spans="1:3" ht="6" customHeight="1" x14ac:dyDescent="0.3">
      <c r="A68" s="12"/>
      <c r="B68" s="12"/>
      <c r="C68" s="12"/>
    </row>
    <row r="69" spans="1:3" x14ac:dyDescent="0.3">
      <c r="A69" s="14">
        <v>600</v>
      </c>
      <c r="B69" s="14">
        <v>300</v>
      </c>
      <c r="C69" s="14">
        <v>1</v>
      </c>
    </row>
    <row r="70" spans="1:3" x14ac:dyDescent="0.3">
      <c r="A70" s="14">
        <v>700</v>
      </c>
      <c r="B70" s="14">
        <v>300</v>
      </c>
      <c r="C70" s="14">
        <v>1</v>
      </c>
    </row>
    <row r="71" spans="1:3" x14ac:dyDescent="0.3">
      <c r="A71" s="14">
        <v>800</v>
      </c>
      <c r="B71" s="14">
        <v>300</v>
      </c>
      <c r="C71" s="14">
        <v>1</v>
      </c>
    </row>
    <row r="72" spans="1:3" x14ac:dyDescent="0.3">
      <c r="A72" s="14">
        <v>900</v>
      </c>
      <c r="B72" s="14">
        <v>300</v>
      </c>
      <c r="C72" s="14">
        <v>1</v>
      </c>
    </row>
    <row r="73" spans="1:3" x14ac:dyDescent="0.3">
      <c r="A73" s="14">
        <v>1000</v>
      </c>
      <c r="B73" s="14">
        <v>300</v>
      </c>
      <c r="C73" s="14">
        <v>1</v>
      </c>
    </row>
    <row r="74" spans="1:3" x14ac:dyDescent="0.3">
      <c r="A74" s="14">
        <v>1200</v>
      </c>
      <c r="B74" s="14">
        <v>300</v>
      </c>
      <c r="C74" s="14">
        <v>2</v>
      </c>
    </row>
    <row r="75" spans="1:3" ht="6" customHeight="1" x14ac:dyDescent="0.3">
      <c r="A75" s="12"/>
      <c r="B75" s="12"/>
      <c r="C75" s="12"/>
    </row>
    <row r="76" spans="1:3" x14ac:dyDescent="0.3">
      <c r="A76" s="14">
        <v>600</v>
      </c>
      <c r="B76" s="14">
        <v>400</v>
      </c>
      <c r="C76" s="14">
        <v>1</v>
      </c>
    </row>
    <row r="77" spans="1:3" x14ac:dyDescent="0.3">
      <c r="A77" s="14">
        <v>700</v>
      </c>
      <c r="B77" s="14">
        <v>400</v>
      </c>
      <c r="C77" s="14">
        <v>1</v>
      </c>
    </row>
    <row r="78" spans="1:3" x14ac:dyDescent="0.3">
      <c r="A78" s="14">
        <v>800</v>
      </c>
      <c r="B78" s="14">
        <v>400</v>
      </c>
      <c r="C78" s="14">
        <v>1</v>
      </c>
    </row>
    <row r="79" spans="1:3" x14ac:dyDescent="0.3">
      <c r="A79" s="14">
        <v>900</v>
      </c>
      <c r="B79" s="14">
        <v>400</v>
      </c>
      <c r="C79" s="14">
        <v>1</v>
      </c>
    </row>
    <row r="80" spans="1:3" x14ac:dyDescent="0.3">
      <c r="A80" s="14">
        <v>1000</v>
      </c>
      <c r="B80" s="14">
        <v>400</v>
      </c>
      <c r="C80" s="14">
        <v>1</v>
      </c>
    </row>
    <row r="81" spans="1:4" x14ac:dyDescent="0.3">
      <c r="A81" s="14">
        <v>1200</v>
      </c>
      <c r="B81" s="14">
        <v>400</v>
      </c>
      <c r="C81" s="14">
        <v>2</v>
      </c>
    </row>
    <row r="82" spans="1:4" ht="4.5" customHeight="1" x14ac:dyDescent="0.3">
      <c r="A82" s="12"/>
      <c r="B82" s="12"/>
      <c r="C82" s="12"/>
    </row>
    <row r="83" spans="1:4" x14ac:dyDescent="0.3">
      <c r="A83" s="14">
        <v>600</v>
      </c>
      <c r="B83" s="14">
        <v>500</v>
      </c>
      <c r="C83" s="14">
        <v>1</v>
      </c>
    </row>
    <row r="84" spans="1:4" x14ac:dyDescent="0.3">
      <c r="A84" s="14">
        <v>700</v>
      </c>
      <c r="B84" s="14">
        <v>500</v>
      </c>
      <c r="C84" s="14">
        <v>1</v>
      </c>
    </row>
    <row r="85" spans="1:4" x14ac:dyDescent="0.3">
      <c r="A85" s="14">
        <v>800</v>
      </c>
      <c r="B85" s="14">
        <v>500</v>
      </c>
      <c r="C85" s="14">
        <v>1</v>
      </c>
    </row>
    <row r="86" spans="1:4" x14ac:dyDescent="0.3">
      <c r="A86" s="14">
        <v>900</v>
      </c>
      <c r="B86" s="14">
        <v>500</v>
      </c>
      <c r="C86" s="14">
        <v>1</v>
      </c>
    </row>
    <row r="87" spans="1:4" x14ac:dyDescent="0.3">
      <c r="A87" s="14">
        <v>1000</v>
      </c>
      <c r="B87" s="14">
        <v>500</v>
      </c>
      <c r="C87" s="14">
        <v>1</v>
      </c>
    </row>
    <row r="88" spans="1:4" x14ac:dyDescent="0.3">
      <c r="A88" s="14">
        <v>1200</v>
      </c>
      <c r="B88" s="14">
        <v>500</v>
      </c>
      <c r="C88" s="14">
        <v>2</v>
      </c>
    </row>
    <row r="91" spans="1:4" ht="18" x14ac:dyDescent="0.35">
      <c r="A91" s="1" t="s">
        <v>22</v>
      </c>
      <c r="B91" s="1"/>
      <c r="C91" s="5"/>
    </row>
    <row r="93" spans="1:4" x14ac:dyDescent="0.3">
      <c r="A93" s="3" t="s">
        <v>23</v>
      </c>
      <c r="B93" s="3" t="s">
        <v>24</v>
      </c>
      <c r="C93" s="20" t="s">
        <v>25</v>
      </c>
      <c r="D93" s="3" t="s">
        <v>133</v>
      </c>
    </row>
    <row r="94" spans="1:4" ht="21" x14ac:dyDescent="0.4">
      <c r="A94" s="6">
        <v>200</v>
      </c>
      <c r="B94" s="6">
        <v>40</v>
      </c>
      <c r="C94" s="21">
        <v>1</v>
      </c>
      <c r="D94" s="4">
        <v>2</v>
      </c>
    </row>
    <row r="95" spans="1:4" ht="21" x14ac:dyDescent="0.4">
      <c r="A95" s="6">
        <v>200</v>
      </c>
      <c r="B95" s="6">
        <v>50</v>
      </c>
      <c r="C95" s="21">
        <v>2</v>
      </c>
      <c r="D95" s="4">
        <v>2</v>
      </c>
    </row>
    <row r="96" spans="1:4" ht="21" x14ac:dyDescent="0.4">
      <c r="A96" s="6">
        <v>200</v>
      </c>
      <c r="B96" s="6">
        <v>60</v>
      </c>
      <c r="C96" s="21">
        <v>3</v>
      </c>
      <c r="D96" s="4">
        <v>2</v>
      </c>
    </row>
    <row r="97" spans="1:4" ht="21" x14ac:dyDescent="0.4">
      <c r="A97" s="6">
        <v>200</v>
      </c>
      <c r="B97" s="6">
        <v>75</v>
      </c>
      <c r="C97" s="21">
        <v>4</v>
      </c>
      <c r="D97" s="4">
        <v>2</v>
      </c>
    </row>
    <row r="98" spans="1:4" ht="21" x14ac:dyDescent="0.4">
      <c r="A98" s="6">
        <v>200</v>
      </c>
      <c r="B98" s="6">
        <v>85</v>
      </c>
      <c r="C98" s="21">
        <v>5</v>
      </c>
      <c r="D98" s="4">
        <v>2</v>
      </c>
    </row>
    <row r="99" spans="1:4" ht="21" x14ac:dyDescent="0.4">
      <c r="A99" s="6">
        <v>200</v>
      </c>
      <c r="B99" s="6">
        <v>90</v>
      </c>
      <c r="C99" s="21">
        <v>5</v>
      </c>
      <c r="D99" s="4">
        <v>2</v>
      </c>
    </row>
    <row r="100" spans="1:4" ht="21" x14ac:dyDescent="0.4">
      <c r="A100" s="6">
        <v>200</v>
      </c>
      <c r="B100" s="6">
        <v>100</v>
      </c>
      <c r="C100" s="21">
        <v>6</v>
      </c>
      <c r="D100" s="4">
        <v>2</v>
      </c>
    </row>
    <row r="101" spans="1:4" ht="21" x14ac:dyDescent="0.4">
      <c r="A101" s="6">
        <v>200</v>
      </c>
      <c r="B101" s="6">
        <v>120</v>
      </c>
      <c r="C101" s="21">
        <v>7</v>
      </c>
      <c r="D101" s="4">
        <v>2</v>
      </c>
    </row>
    <row r="102" spans="1:4" ht="21" x14ac:dyDescent="0.4">
      <c r="A102" s="6">
        <v>200</v>
      </c>
      <c r="B102" s="6">
        <v>130</v>
      </c>
      <c r="C102" s="21">
        <v>8</v>
      </c>
      <c r="D102" s="4">
        <v>2</v>
      </c>
    </row>
    <row r="103" spans="1:4" ht="21" x14ac:dyDescent="0.4">
      <c r="A103" s="6">
        <v>200</v>
      </c>
      <c r="B103" s="6">
        <v>135</v>
      </c>
      <c r="C103" s="21">
        <v>9</v>
      </c>
      <c r="D103" s="4">
        <v>2</v>
      </c>
    </row>
    <row r="104" spans="1:4" ht="21" x14ac:dyDescent="0.4">
      <c r="A104" s="6">
        <v>200</v>
      </c>
      <c r="B104" s="6">
        <v>150</v>
      </c>
      <c r="C104" s="21">
        <v>10</v>
      </c>
      <c r="D104" s="4">
        <v>2</v>
      </c>
    </row>
    <row r="105" spans="1:4" ht="21" x14ac:dyDescent="0.4">
      <c r="A105" s="6">
        <v>200</v>
      </c>
      <c r="B105" s="6">
        <v>200</v>
      </c>
      <c r="C105" s="21">
        <v>14</v>
      </c>
      <c r="D105" s="4">
        <v>2</v>
      </c>
    </row>
    <row r="106" spans="1:4" ht="7.5" customHeight="1" x14ac:dyDescent="0.4">
      <c r="A106" s="16"/>
      <c r="B106" s="16"/>
      <c r="C106" s="22"/>
      <c r="D106" s="23"/>
    </row>
    <row r="107" spans="1:4" ht="21" x14ac:dyDescent="0.4">
      <c r="A107" s="6">
        <v>300</v>
      </c>
      <c r="B107" s="6">
        <v>250</v>
      </c>
      <c r="C107" s="21">
        <v>17</v>
      </c>
      <c r="D107" s="4">
        <v>2</v>
      </c>
    </row>
    <row r="108" spans="1:4" ht="21" x14ac:dyDescent="0.4">
      <c r="A108" s="6">
        <v>300</v>
      </c>
      <c r="B108" s="6">
        <v>300</v>
      </c>
      <c r="C108" s="21">
        <v>21</v>
      </c>
      <c r="D108" s="4">
        <v>2</v>
      </c>
    </row>
    <row r="109" spans="1:4" ht="7.5" customHeight="1" x14ac:dyDescent="0.4">
      <c r="A109" s="16"/>
      <c r="B109" s="16"/>
      <c r="C109" s="22"/>
      <c r="D109" s="23"/>
    </row>
    <row r="110" spans="1:4" ht="21" x14ac:dyDescent="0.4">
      <c r="A110" s="6">
        <v>400</v>
      </c>
      <c r="B110" s="6">
        <v>400</v>
      </c>
      <c r="C110" s="21">
        <v>29</v>
      </c>
      <c r="D110" s="4">
        <v>2</v>
      </c>
    </row>
    <row r="111" spans="1:4" ht="21" x14ac:dyDescent="0.4">
      <c r="A111" s="6">
        <v>400</v>
      </c>
      <c r="B111" s="6">
        <v>40</v>
      </c>
      <c r="C111" s="21">
        <v>1</v>
      </c>
      <c r="D111" s="4">
        <v>2</v>
      </c>
    </row>
    <row r="112" spans="1:4" ht="21" x14ac:dyDescent="0.4">
      <c r="A112" s="6">
        <v>400</v>
      </c>
      <c r="B112" s="6">
        <v>50</v>
      </c>
      <c r="C112" s="21">
        <v>2</v>
      </c>
      <c r="D112" s="4">
        <v>2</v>
      </c>
    </row>
    <row r="113" spans="1:4" ht="21" x14ac:dyDescent="0.4">
      <c r="A113" s="6">
        <v>400</v>
      </c>
      <c r="B113" s="6">
        <v>60</v>
      </c>
      <c r="C113" s="21">
        <v>3</v>
      </c>
      <c r="D113" s="4">
        <v>2</v>
      </c>
    </row>
    <row r="114" spans="1:4" ht="21" x14ac:dyDescent="0.4">
      <c r="A114" s="6">
        <v>400</v>
      </c>
      <c r="B114" s="6">
        <v>75</v>
      </c>
      <c r="C114" s="21">
        <v>4</v>
      </c>
      <c r="D114" s="4">
        <v>2</v>
      </c>
    </row>
    <row r="115" spans="1:4" ht="21" x14ac:dyDescent="0.4">
      <c r="A115" s="6">
        <v>400</v>
      </c>
      <c r="B115" s="6">
        <v>85</v>
      </c>
      <c r="C115" s="21">
        <v>5</v>
      </c>
      <c r="D115" s="4">
        <v>2</v>
      </c>
    </row>
    <row r="116" spans="1:4" ht="21" x14ac:dyDescent="0.4">
      <c r="A116" s="6">
        <v>400</v>
      </c>
      <c r="B116" s="6">
        <v>90</v>
      </c>
      <c r="C116" s="21">
        <v>5</v>
      </c>
      <c r="D116" s="4">
        <v>2</v>
      </c>
    </row>
    <row r="117" spans="1:4" ht="21" x14ac:dyDescent="0.4">
      <c r="A117" s="6">
        <v>400</v>
      </c>
      <c r="B117" s="6">
        <v>100</v>
      </c>
      <c r="C117" s="21">
        <v>6</v>
      </c>
      <c r="D117" s="4">
        <v>2</v>
      </c>
    </row>
    <row r="118" spans="1:4" ht="21" x14ac:dyDescent="0.4">
      <c r="A118" s="6">
        <v>400</v>
      </c>
      <c r="B118" s="6">
        <v>120</v>
      </c>
      <c r="C118" s="21">
        <v>8</v>
      </c>
      <c r="D118" s="4">
        <v>2</v>
      </c>
    </row>
    <row r="119" spans="1:4" ht="21" x14ac:dyDescent="0.4">
      <c r="A119" s="6">
        <v>400</v>
      </c>
      <c r="B119" s="6">
        <v>130</v>
      </c>
      <c r="C119" s="21">
        <v>8</v>
      </c>
      <c r="D119" s="4">
        <v>2</v>
      </c>
    </row>
    <row r="120" spans="1:4" ht="21" x14ac:dyDescent="0.4">
      <c r="A120" s="6">
        <v>400</v>
      </c>
      <c r="B120" s="6">
        <v>135</v>
      </c>
      <c r="C120" s="21">
        <v>9</v>
      </c>
      <c r="D120" s="4">
        <v>2</v>
      </c>
    </row>
    <row r="121" spans="1:4" ht="21" x14ac:dyDescent="0.4">
      <c r="A121" s="6">
        <v>400</v>
      </c>
      <c r="B121" s="6">
        <v>150</v>
      </c>
      <c r="C121" s="21">
        <v>10</v>
      </c>
      <c r="D121" s="4">
        <v>2</v>
      </c>
    </row>
    <row r="122" spans="1:4" ht="21" x14ac:dyDescent="0.4">
      <c r="A122" s="6">
        <v>400</v>
      </c>
      <c r="B122" s="6">
        <v>200</v>
      </c>
      <c r="C122" s="21">
        <v>14</v>
      </c>
      <c r="D122" s="4">
        <v>2</v>
      </c>
    </row>
    <row r="123" spans="1:4" ht="21" x14ac:dyDescent="0.4">
      <c r="A123" s="6">
        <v>400</v>
      </c>
      <c r="B123" s="6">
        <v>250</v>
      </c>
      <c r="C123" s="21">
        <v>17</v>
      </c>
      <c r="D123" s="4">
        <v>2</v>
      </c>
    </row>
    <row r="124" spans="1:4" ht="21" x14ac:dyDescent="0.4">
      <c r="A124" s="6">
        <v>400</v>
      </c>
      <c r="B124" s="6">
        <v>300</v>
      </c>
      <c r="C124" s="21">
        <v>21</v>
      </c>
      <c r="D124" s="4">
        <v>2</v>
      </c>
    </row>
    <row r="125" spans="1:4" ht="21" x14ac:dyDescent="0.4">
      <c r="A125" s="6">
        <v>400</v>
      </c>
      <c r="B125" s="6">
        <v>400</v>
      </c>
      <c r="C125" s="21">
        <v>29</v>
      </c>
      <c r="D125" s="4">
        <v>2</v>
      </c>
    </row>
    <row r="126" spans="1:4" ht="5.25" customHeight="1" x14ac:dyDescent="0.4">
      <c r="A126" s="17"/>
      <c r="B126" s="16"/>
      <c r="C126" s="22"/>
      <c r="D126" s="23"/>
    </row>
    <row r="127" spans="1:4" ht="21" x14ac:dyDescent="0.4">
      <c r="A127" s="6">
        <v>500</v>
      </c>
      <c r="B127" s="6">
        <v>40</v>
      </c>
      <c r="C127" s="21">
        <v>1</v>
      </c>
      <c r="D127" s="4">
        <v>2</v>
      </c>
    </row>
    <row r="128" spans="1:4" ht="21" x14ac:dyDescent="0.4">
      <c r="A128" s="6">
        <v>500</v>
      </c>
      <c r="B128" s="6">
        <v>50</v>
      </c>
      <c r="C128" s="21">
        <v>2</v>
      </c>
      <c r="D128" s="4">
        <v>2</v>
      </c>
    </row>
    <row r="129" spans="1:4" ht="21" x14ac:dyDescent="0.4">
      <c r="A129" s="6">
        <v>500</v>
      </c>
      <c r="B129" s="6">
        <v>60</v>
      </c>
      <c r="C129" s="21">
        <v>3</v>
      </c>
      <c r="D129" s="4">
        <v>2</v>
      </c>
    </row>
    <row r="130" spans="1:4" ht="21" x14ac:dyDescent="0.4">
      <c r="A130" s="6">
        <v>500</v>
      </c>
      <c r="B130" s="6">
        <v>75</v>
      </c>
      <c r="C130" s="21">
        <v>4</v>
      </c>
      <c r="D130" s="4">
        <v>2</v>
      </c>
    </row>
    <row r="131" spans="1:4" ht="21" x14ac:dyDescent="0.4">
      <c r="A131" s="6">
        <v>500</v>
      </c>
      <c r="B131" s="6">
        <v>85</v>
      </c>
      <c r="C131" s="21">
        <v>5</v>
      </c>
      <c r="D131" s="4">
        <v>2</v>
      </c>
    </row>
    <row r="132" spans="1:4" ht="21" x14ac:dyDescent="0.4">
      <c r="A132" s="6">
        <v>500</v>
      </c>
      <c r="B132" s="6">
        <v>90</v>
      </c>
      <c r="C132" s="21">
        <v>5</v>
      </c>
      <c r="D132" s="4">
        <v>2</v>
      </c>
    </row>
    <row r="133" spans="1:4" ht="21" x14ac:dyDescent="0.4">
      <c r="A133" s="6">
        <v>500</v>
      </c>
      <c r="B133" s="6">
        <v>100</v>
      </c>
      <c r="C133" s="21">
        <v>6</v>
      </c>
      <c r="D133" s="4">
        <v>2</v>
      </c>
    </row>
    <row r="134" spans="1:4" ht="21" x14ac:dyDescent="0.4">
      <c r="A134" s="6">
        <v>500</v>
      </c>
      <c r="B134" s="6">
        <v>120</v>
      </c>
      <c r="C134" s="21">
        <v>8</v>
      </c>
      <c r="D134" s="4">
        <v>2</v>
      </c>
    </row>
    <row r="135" spans="1:4" ht="21" x14ac:dyDescent="0.4">
      <c r="A135" s="6">
        <v>500</v>
      </c>
      <c r="B135" s="6">
        <v>130</v>
      </c>
      <c r="C135" s="21">
        <v>8</v>
      </c>
      <c r="D135" s="4">
        <v>2</v>
      </c>
    </row>
    <row r="136" spans="1:4" ht="21" x14ac:dyDescent="0.4">
      <c r="A136" s="6">
        <v>500</v>
      </c>
      <c r="B136" s="6">
        <v>135</v>
      </c>
      <c r="C136" s="21">
        <v>9</v>
      </c>
      <c r="D136" s="4">
        <v>2</v>
      </c>
    </row>
    <row r="137" spans="1:4" ht="21" x14ac:dyDescent="0.4">
      <c r="A137" s="6">
        <v>500</v>
      </c>
      <c r="B137" s="6">
        <v>150</v>
      </c>
      <c r="C137" s="21">
        <v>10</v>
      </c>
      <c r="D137" s="4">
        <v>2</v>
      </c>
    </row>
    <row r="138" spans="1:4" ht="21" x14ac:dyDescent="0.4">
      <c r="A138" s="6">
        <v>500</v>
      </c>
      <c r="B138" s="6">
        <v>200</v>
      </c>
      <c r="C138" s="21">
        <v>14</v>
      </c>
      <c r="D138" s="4">
        <v>2</v>
      </c>
    </row>
    <row r="139" spans="1:4" ht="21" x14ac:dyDescent="0.4">
      <c r="A139" s="6">
        <v>500</v>
      </c>
      <c r="B139" s="6">
        <v>250</v>
      </c>
      <c r="C139" s="21">
        <v>17</v>
      </c>
      <c r="D139" s="4">
        <v>2</v>
      </c>
    </row>
    <row r="140" spans="1:4" ht="21" x14ac:dyDescent="0.4">
      <c r="A140" s="6">
        <v>500</v>
      </c>
      <c r="B140" s="6">
        <v>300</v>
      </c>
      <c r="C140" s="21">
        <v>21</v>
      </c>
      <c r="D140" s="4">
        <v>2</v>
      </c>
    </row>
    <row r="141" spans="1:4" ht="21" x14ac:dyDescent="0.4">
      <c r="A141" s="6">
        <v>500</v>
      </c>
      <c r="B141" s="6">
        <v>400</v>
      </c>
      <c r="C141" s="21">
        <v>29</v>
      </c>
      <c r="D141" s="4">
        <v>3</v>
      </c>
    </row>
    <row r="142" spans="1:4" ht="6" customHeight="1" x14ac:dyDescent="0.4">
      <c r="A142" s="17"/>
      <c r="B142" s="18"/>
      <c r="C142" s="18"/>
      <c r="D142" s="23"/>
    </row>
    <row r="143" spans="1:4" ht="21" x14ac:dyDescent="0.4">
      <c r="A143" s="6">
        <v>600</v>
      </c>
      <c r="B143" s="6">
        <v>40</v>
      </c>
      <c r="C143" s="21">
        <v>1</v>
      </c>
      <c r="D143" s="4">
        <v>2</v>
      </c>
    </row>
    <row r="144" spans="1:4" ht="21" x14ac:dyDescent="0.4">
      <c r="A144" s="6">
        <v>600</v>
      </c>
      <c r="B144" s="6">
        <v>50</v>
      </c>
      <c r="C144" s="21">
        <v>2</v>
      </c>
      <c r="D144" s="4">
        <v>2</v>
      </c>
    </row>
    <row r="145" spans="1:4" ht="21" x14ac:dyDescent="0.4">
      <c r="A145" s="6">
        <v>600</v>
      </c>
      <c r="B145" s="6">
        <v>60</v>
      </c>
      <c r="C145" s="21">
        <v>3</v>
      </c>
      <c r="D145" s="4">
        <v>2</v>
      </c>
    </row>
    <row r="146" spans="1:4" ht="21" x14ac:dyDescent="0.4">
      <c r="A146" s="6">
        <v>600</v>
      </c>
      <c r="B146" s="6">
        <v>75</v>
      </c>
      <c r="C146" s="21">
        <v>4</v>
      </c>
      <c r="D146" s="4">
        <v>2</v>
      </c>
    </row>
    <row r="147" spans="1:4" ht="21" x14ac:dyDescent="0.4">
      <c r="A147" s="6">
        <v>600</v>
      </c>
      <c r="B147" s="6">
        <v>85</v>
      </c>
      <c r="C147" s="21">
        <v>5</v>
      </c>
      <c r="D147" s="4">
        <v>2</v>
      </c>
    </row>
    <row r="148" spans="1:4" ht="21" x14ac:dyDescent="0.4">
      <c r="A148" s="6">
        <v>600</v>
      </c>
      <c r="B148" s="6">
        <v>90</v>
      </c>
      <c r="C148" s="21">
        <v>5</v>
      </c>
      <c r="D148" s="4">
        <v>2</v>
      </c>
    </row>
    <row r="149" spans="1:4" ht="21" x14ac:dyDescent="0.4">
      <c r="A149" s="6">
        <v>600</v>
      </c>
      <c r="B149" s="6">
        <v>100</v>
      </c>
      <c r="C149" s="21">
        <v>6</v>
      </c>
      <c r="D149" s="4">
        <v>2</v>
      </c>
    </row>
    <row r="150" spans="1:4" ht="21" x14ac:dyDescent="0.4">
      <c r="A150" s="6">
        <v>600</v>
      </c>
      <c r="B150" s="6">
        <v>120</v>
      </c>
      <c r="C150" s="21">
        <v>8</v>
      </c>
      <c r="D150" s="4">
        <v>2</v>
      </c>
    </row>
    <row r="151" spans="1:4" ht="21" x14ac:dyDescent="0.4">
      <c r="A151" s="6">
        <v>600</v>
      </c>
      <c r="B151" s="6">
        <v>130</v>
      </c>
      <c r="C151" s="21">
        <v>8</v>
      </c>
      <c r="D151" s="4">
        <v>2</v>
      </c>
    </row>
    <row r="152" spans="1:4" ht="21" x14ac:dyDescent="0.4">
      <c r="A152" s="6">
        <v>600</v>
      </c>
      <c r="B152" s="6">
        <v>135</v>
      </c>
      <c r="C152" s="21">
        <v>9</v>
      </c>
      <c r="D152" s="4">
        <v>2</v>
      </c>
    </row>
    <row r="153" spans="1:4" ht="21" x14ac:dyDescent="0.4">
      <c r="A153" s="6">
        <v>600</v>
      </c>
      <c r="B153" s="6">
        <v>150</v>
      </c>
      <c r="C153" s="21">
        <v>10</v>
      </c>
      <c r="D153" s="4">
        <v>2</v>
      </c>
    </row>
    <row r="154" spans="1:4" ht="21" x14ac:dyDescent="0.4">
      <c r="A154" s="6">
        <v>600</v>
      </c>
      <c r="B154" s="6">
        <v>200</v>
      </c>
      <c r="C154" s="21">
        <v>14</v>
      </c>
      <c r="D154" s="4">
        <v>3</v>
      </c>
    </row>
    <row r="155" spans="1:4" ht="21" x14ac:dyDescent="0.4">
      <c r="A155" s="6">
        <v>600</v>
      </c>
      <c r="B155" s="6">
        <v>250</v>
      </c>
      <c r="C155" s="21">
        <v>17</v>
      </c>
      <c r="D155" s="4">
        <v>3</v>
      </c>
    </row>
    <row r="156" spans="1:4" ht="21" x14ac:dyDescent="0.4">
      <c r="A156" s="6">
        <v>600</v>
      </c>
      <c r="B156" s="6">
        <v>300</v>
      </c>
      <c r="C156" s="21">
        <v>21</v>
      </c>
      <c r="D156" s="4">
        <v>3</v>
      </c>
    </row>
    <row r="157" spans="1:4" ht="21" x14ac:dyDescent="0.4">
      <c r="A157" s="6">
        <v>600</v>
      </c>
      <c r="B157" s="6">
        <v>400</v>
      </c>
      <c r="C157" s="21">
        <v>29</v>
      </c>
      <c r="D157" s="4">
        <v>3</v>
      </c>
    </row>
    <row r="158" spans="1:4" ht="9" customHeight="1" x14ac:dyDescent="0.3">
      <c r="A158" s="19"/>
      <c r="B158" s="19"/>
      <c r="C158" s="19"/>
      <c r="D158" s="23"/>
    </row>
    <row r="159" spans="1:4" ht="21" x14ac:dyDescent="0.4">
      <c r="A159" s="6">
        <v>700</v>
      </c>
      <c r="B159" s="6">
        <v>40</v>
      </c>
      <c r="C159" s="21">
        <v>1</v>
      </c>
      <c r="D159" s="4">
        <v>3</v>
      </c>
    </row>
    <row r="160" spans="1:4" ht="21" x14ac:dyDescent="0.4">
      <c r="A160" s="6">
        <v>700</v>
      </c>
      <c r="B160" s="6">
        <v>50</v>
      </c>
      <c r="C160" s="21">
        <v>2</v>
      </c>
      <c r="D160" s="4">
        <v>3</v>
      </c>
    </row>
    <row r="161" spans="1:4" ht="21" x14ac:dyDescent="0.4">
      <c r="A161" s="6">
        <v>700</v>
      </c>
      <c r="B161" s="6">
        <v>60</v>
      </c>
      <c r="C161" s="21">
        <v>3</v>
      </c>
      <c r="D161" s="4">
        <v>3</v>
      </c>
    </row>
    <row r="162" spans="1:4" ht="21" x14ac:dyDescent="0.4">
      <c r="A162" s="6">
        <v>700</v>
      </c>
      <c r="B162" s="6">
        <v>75</v>
      </c>
      <c r="C162" s="21">
        <v>4</v>
      </c>
      <c r="D162" s="4">
        <v>3</v>
      </c>
    </row>
    <row r="163" spans="1:4" ht="21" x14ac:dyDescent="0.4">
      <c r="A163" s="6">
        <v>700</v>
      </c>
      <c r="B163" s="6">
        <v>85</v>
      </c>
      <c r="C163" s="21">
        <v>5</v>
      </c>
      <c r="D163" s="4">
        <v>3</v>
      </c>
    </row>
    <row r="164" spans="1:4" ht="21" x14ac:dyDescent="0.4">
      <c r="A164" s="6">
        <v>700</v>
      </c>
      <c r="B164" s="6">
        <v>90</v>
      </c>
      <c r="C164" s="21">
        <v>5</v>
      </c>
      <c r="D164" s="4">
        <v>3</v>
      </c>
    </row>
    <row r="165" spans="1:4" ht="21" x14ac:dyDescent="0.4">
      <c r="A165" s="6">
        <v>700</v>
      </c>
      <c r="B165" s="6">
        <v>100</v>
      </c>
      <c r="C165" s="21">
        <v>6</v>
      </c>
      <c r="D165" s="4">
        <v>3</v>
      </c>
    </row>
    <row r="166" spans="1:4" ht="21" x14ac:dyDescent="0.4">
      <c r="A166" s="6">
        <v>700</v>
      </c>
      <c r="B166" s="6">
        <v>120</v>
      </c>
      <c r="C166" s="21">
        <v>8</v>
      </c>
      <c r="D166" s="4">
        <v>3</v>
      </c>
    </row>
    <row r="167" spans="1:4" ht="21" x14ac:dyDescent="0.4">
      <c r="A167" s="6">
        <v>700</v>
      </c>
      <c r="B167" s="6">
        <v>130</v>
      </c>
      <c r="C167" s="21">
        <v>8</v>
      </c>
      <c r="D167" s="4">
        <v>3</v>
      </c>
    </row>
    <row r="168" spans="1:4" ht="21" x14ac:dyDescent="0.4">
      <c r="A168" s="6">
        <v>700</v>
      </c>
      <c r="B168" s="6">
        <v>135</v>
      </c>
      <c r="C168" s="21">
        <v>9</v>
      </c>
      <c r="D168" s="4">
        <v>3</v>
      </c>
    </row>
    <row r="169" spans="1:4" ht="21" x14ac:dyDescent="0.4">
      <c r="A169" s="6">
        <v>700</v>
      </c>
      <c r="B169" s="6">
        <v>150</v>
      </c>
      <c r="C169" s="21">
        <v>10</v>
      </c>
      <c r="D169" s="4">
        <v>3</v>
      </c>
    </row>
    <row r="170" spans="1:4" ht="21" x14ac:dyDescent="0.4">
      <c r="A170" s="6">
        <v>700</v>
      </c>
      <c r="B170" s="6">
        <v>200</v>
      </c>
      <c r="C170" s="21">
        <v>14</v>
      </c>
      <c r="D170" s="4">
        <v>3</v>
      </c>
    </row>
    <row r="171" spans="1:4" ht="21" x14ac:dyDescent="0.4">
      <c r="A171" s="6">
        <v>700</v>
      </c>
      <c r="B171" s="6">
        <v>250</v>
      </c>
      <c r="C171" s="21">
        <v>17</v>
      </c>
      <c r="D171" s="4">
        <v>3</v>
      </c>
    </row>
    <row r="172" spans="1:4" ht="21" x14ac:dyDescent="0.4">
      <c r="A172" s="6">
        <v>700</v>
      </c>
      <c r="B172" s="6">
        <v>300</v>
      </c>
      <c r="C172" s="21">
        <v>21</v>
      </c>
      <c r="D172" s="4">
        <v>3</v>
      </c>
    </row>
    <row r="173" spans="1:4" ht="21" x14ac:dyDescent="0.4">
      <c r="A173" s="6">
        <v>700</v>
      </c>
      <c r="B173" s="6">
        <v>400</v>
      </c>
      <c r="C173" s="21">
        <v>29</v>
      </c>
      <c r="D173" s="4">
        <v>3</v>
      </c>
    </row>
    <row r="174" spans="1:4" ht="6.75" customHeight="1" x14ac:dyDescent="0.3">
      <c r="A174" s="19"/>
      <c r="B174" s="19"/>
      <c r="C174" s="19"/>
      <c r="D174" s="23"/>
    </row>
    <row r="175" spans="1:4" ht="21" x14ac:dyDescent="0.4">
      <c r="A175" s="6">
        <v>800</v>
      </c>
      <c r="B175" s="6">
        <v>40</v>
      </c>
      <c r="C175" s="21">
        <v>1</v>
      </c>
      <c r="D175" s="4">
        <v>3</v>
      </c>
    </row>
    <row r="176" spans="1:4" ht="21" x14ac:dyDescent="0.4">
      <c r="A176" s="6">
        <v>800</v>
      </c>
      <c r="B176" s="6">
        <v>50</v>
      </c>
      <c r="C176" s="21">
        <v>2</v>
      </c>
      <c r="D176" s="4">
        <v>3</v>
      </c>
    </row>
    <row r="177" spans="1:4" ht="21" x14ac:dyDescent="0.4">
      <c r="A177" s="6">
        <v>800</v>
      </c>
      <c r="B177" s="6">
        <v>60</v>
      </c>
      <c r="C177" s="21">
        <v>3</v>
      </c>
      <c r="D177" s="4">
        <v>3</v>
      </c>
    </row>
    <row r="178" spans="1:4" ht="21" x14ac:dyDescent="0.4">
      <c r="A178" s="6">
        <v>800</v>
      </c>
      <c r="B178" s="6">
        <v>75</v>
      </c>
      <c r="C178" s="21">
        <v>4</v>
      </c>
      <c r="D178" s="4">
        <v>3</v>
      </c>
    </row>
    <row r="179" spans="1:4" ht="21" x14ac:dyDescent="0.4">
      <c r="A179" s="6">
        <v>800</v>
      </c>
      <c r="B179" s="6">
        <v>85</v>
      </c>
      <c r="C179" s="21">
        <v>5</v>
      </c>
      <c r="D179" s="4">
        <v>3</v>
      </c>
    </row>
    <row r="180" spans="1:4" ht="21" x14ac:dyDescent="0.4">
      <c r="A180" s="6">
        <v>800</v>
      </c>
      <c r="B180" s="6">
        <v>90</v>
      </c>
      <c r="C180" s="21">
        <v>5</v>
      </c>
      <c r="D180" s="4">
        <v>3</v>
      </c>
    </row>
    <row r="181" spans="1:4" ht="21" x14ac:dyDescent="0.4">
      <c r="A181" s="6">
        <v>800</v>
      </c>
      <c r="B181" s="6">
        <v>100</v>
      </c>
      <c r="C181" s="21">
        <v>6</v>
      </c>
      <c r="D181" s="4">
        <v>3</v>
      </c>
    </row>
    <row r="182" spans="1:4" ht="21" x14ac:dyDescent="0.4">
      <c r="A182" s="6">
        <v>800</v>
      </c>
      <c r="B182" s="6">
        <v>120</v>
      </c>
      <c r="C182" s="21">
        <v>8</v>
      </c>
      <c r="D182" s="4">
        <v>3</v>
      </c>
    </row>
    <row r="183" spans="1:4" ht="21" x14ac:dyDescent="0.4">
      <c r="A183" s="6">
        <v>800</v>
      </c>
      <c r="B183" s="6">
        <v>130</v>
      </c>
      <c r="C183" s="21">
        <v>8</v>
      </c>
      <c r="D183" s="4">
        <v>3</v>
      </c>
    </row>
    <row r="184" spans="1:4" ht="21" x14ac:dyDescent="0.4">
      <c r="A184" s="6">
        <v>800</v>
      </c>
      <c r="B184" s="6">
        <v>135</v>
      </c>
      <c r="C184" s="21">
        <v>9</v>
      </c>
      <c r="D184" s="4">
        <v>3</v>
      </c>
    </row>
    <row r="185" spans="1:4" ht="21" x14ac:dyDescent="0.4">
      <c r="A185" s="6">
        <v>800</v>
      </c>
      <c r="B185" s="6">
        <v>150</v>
      </c>
      <c r="C185" s="21">
        <v>10</v>
      </c>
      <c r="D185" s="4">
        <v>3</v>
      </c>
    </row>
    <row r="186" spans="1:4" ht="21" x14ac:dyDescent="0.4">
      <c r="A186" s="6">
        <v>800</v>
      </c>
      <c r="B186" s="6">
        <v>200</v>
      </c>
      <c r="C186" s="21">
        <v>14</v>
      </c>
      <c r="D186" s="4">
        <v>3</v>
      </c>
    </row>
    <row r="187" spans="1:4" ht="21" x14ac:dyDescent="0.4">
      <c r="A187" s="6">
        <v>800</v>
      </c>
      <c r="B187" s="6">
        <v>250</v>
      </c>
      <c r="C187" s="21">
        <v>17</v>
      </c>
      <c r="D187" s="4">
        <v>3</v>
      </c>
    </row>
    <row r="188" spans="1:4" ht="21" x14ac:dyDescent="0.4">
      <c r="A188" s="6">
        <v>800</v>
      </c>
      <c r="B188" s="6">
        <v>300</v>
      </c>
      <c r="C188" s="21">
        <v>21</v>
      </c>
      <c r="D188" s="4">
        <v>3</v>
      </c>
    </row>
    <row r="189" spans="1:4" ht="21" x14ac:dyDescent="0.4">
      <c r="A189" s="6">
        <v>800</v>
      </c>
      <c r="B189" s="6">
        <v>400</v>
      </c>
      <c r="C189" s="21">
        <v>29</v>
      </c>
      <c r="D189" s="4">
        <v>3</v>
      </c>
    </row>
    <row r="190" spans="1:4" ht="5.25" customHeight="1" x14ac:dyDescent="0.3">
      <c r="A190" s="19"/>
      <c r="B190" s="19"/>
      <c r="C190" s="19"/>
      <c r="D190" s="23"/>
    </row>
    <row r="191" spans="1:4" ht="21" x14ac:dyDescent="0.4">
      <c r="A191" s="6">
        <v>900</v>
      </c>
      <c r="B191" s="6">
        <v>40</v>
      </c>
      <c r="C191" s="21">
        <v>1</v>
      </c>
      <c r="D191" s="4">
        <v>3</v>
      </c>
    </row>
    <row r="192" spans="1:4" ht="21" x14ac:dyDescent="0.4">
      <c r="A192" s="6">
        <v>900</v>
      </c>
      <c r="B192" s="6">
        <v>50</v>
      </c>
      <c r="C192" s="21">
        <v>2</v>
      </c>
      <c r="D192" s="4">
        <v>3</v>
      </c>
    </row>
    <row r="193" spans="1:4" ht="21" x14ac:dyDescent="0.4">
      <c r="A193" s="6">
        <v>900</v>
      </c>
      <c r="B193" s="6">
        <v>60</v>
      </c>
      <c r="C193" s="21">
        <v>3</v>
      </c>
      <c r="D193" s="4">
        <v>3</v>
      </c>
    </row>
    <row r="194" spans="1:4" ht="21" x14ac:dyDescent="0.4">
      <c r="A194" s="6">
        <v>900</v>
      </c>
      <c r="B194" s="6">
        <v>75</v>
      </c>
      <c r="C194" s="21">
        <v>4</v>
      </c>
      <c r="D194" s="4">
        <v>3</v>
      </c>
    </row>
    <row r="195" spans="1:4" ht="21" x14ac:dyDescent="0.4">
      <c r="A195" s="6">
        <v>900</v>
      </c>
      <c r="B195" s="6">
        <v>85</v>
      </c>
      <c r="C195" s="21">
        <v>5</v>
      </c>
      <c r="D195" s="4">
        <v>3</v>
      </c>
    </row>
    <row r="196" spans="1:4" ht="21" x14ac:dyDescent="0.4">
      <c r="A196" s="6">
        <v>900</v>
      </c>
      <c r="B196" s="6">
        <v>90</v>
      </c>
      <c r="C196" s="21">
        <v>5</v>
      </c>
      <c r="D196" s="4">
        <v>3</v>
      </c>
    </row>
    <row r="197" spans="1:4" ht="21" x14ac:dyDescent="0.4">
      <c r="A197" s="6">
        <v>900</v>
      </c>
      <c r="B197" s="6">
        <v>100</v>
      </c>
      <c r="C197" s="21">
        <v>6</v>
      </c>
      <c r="D197" s="4">
        <v>3</v>
      </c>
    </row>
    <row r="198" spans="1:4" ht="21" x14ac:dyDescent="0.4">
      <c r="A198" s="6">
        <v>900</v>
      </c>
      <c r="B198" s="6">
        <v>120</v>
      </c>
      <c r="C198" s="21">
        <v>8</v>
      </c>
      <c r="D198" s="4">
        <v>3</v>
      </c>
    </row>
    <row r="199" spans="1:4" ht="21" x14ac:dyDescent="0.4">
      <c r="A199" s="6">
        <v>900</v>
      </c>
      <c r="B199" s="6">
        <v>130</v>
      </c>
      <c r="C199" s="21">
        <v>8</v>
      </c>
      <c r="D199" s="4">
        <v>3</v>
      </c>
    </row>
    <row r="200" spans="1:4" ht="21" x14ac:dyDescent="0.4">
      <c r="A200" s="6">
        <v>900</v>
      </c>
      <c r="B200" s="6">
        <v>135</v>
      </c>
      <c r="C200" s="21">
        <v>9</v>
      </c>
      <c r="D200" s="4">
        <v>3</v>
      </c>
    </row>
    <row r="201" spans="1:4" ht="21" x14ac:dyDescent="0.4">
      <c r="A201" s="6">
        <v>900</v>
      </c>
      <c r="B201" s="6">
        <v>150</v>
      </c>
      <c r="C201" s="21">
        <v>10</v>
      </c>
      <c r="D201" s="4">
        <v>3</v>
      </c>
    </row>
    <row r="202" spans="1:4" ht="21" x14ac:dyDescent="0.4">
      <c r="A202" s="6">
        <v>900</v>
      </c>
      <c r="B202" s="6">
        <v>200</v>
      </c>
      <c r="C202" s="21">
        <v>14</v>
      </c>
      <c r="D202" s="4">
        <v>3</v>
      </c>
    </row>
    <row r="203" spans="1:4" ht="21" x14ac:dyDescent="0.4">
      <c r="A203" s="6">
        <v>900</v>
      </c>
      <c r="B203" s="6">
        <v>250</v>
      </c>
      <c r="C203" s="21">
        <v>17</v>
      </c>
      <c r="D203" s="4">
        <v>3</v>
      </c>
    </row>
    <row r="204" spans="1:4" ht="21" x14ac:dyDescent="0.4">
      <c r="A204" s="6">
        <v>900</v>
      </c>
      <c r="B204" s="6">
        <v>300</v>
      </c>
      <c r="C204" s="21">
        <v>21</v>
      </c>
      <c r="D204" s="4">
        <v>3</v>
      </c>
    </row>
    <row r="205" spans="1:4" ht="21" x14ac:dyDescent="0.4">
      <c r="A205" s="6">
        <v>900</v>
      </c>
      <c r="B205" s="6">
        <v>400</v>
      </c>
      <c r="C205" s="21">
        <v>29</v>
      </c>
      <c r="D205" s="4">
        <v>4</v>
      </c>
    </row>
    <row r="206" spans="1:4" ht="6.75" customHeight="1" x14ac:dyDescent="0.3">
      <c r="A206" s="19"/>
      <c r="B206" s="19"/>
      <c r="C206" s="19"/>
      <c r="D206" s="23"/>
    </row>
    <row r="207" spans="1:4" ht="21" x14ac:dyDescent="0.4">
      <c r="A207" s="6">
        <v>1000</v>
      </c>
      <c r="B207" s="6">
        <v>40</v>
      </c>
      <c r="C207" s="21">
        <v>1</v>
      </c>
      <c r="D207" s="4">
        <v>3</v>
      </c>
    </row>
    <row r="208" spans="1:4" ht="21" x14ac:dyDescent="0.4">
      <c r="A208" s="6">
        <v>1000</v>
      </c>
      <c r="B208" s="6">
        <v>50</v>
      </c>
      <c r="C208" s="21">
        <v>2</v>
      </c>
      <c r="D208" s="4">
        <v>3</v>
      </c>
    </row>
    <row r="209" spans="1:4" ht="21" x14ac:dyDescent="0.4">
      <c r="A209" s="6">
        <v>1000</v>
      </c>
      <c r="B209" s="6">
        <v>60</v>
      </c>
      <c r="C209" s="21">
        <v>3</v>
      </c>
      <c r="D209" s="4">
        <v>3</v>
      </c>
    </row>
    <row r="210" spans="1:4" ht="21" x14ac:dyDescent="0.4">
      <c r="A210" s="6">
        <v>1000</v>
      </c>
      <c r="B210" s="6">
        <v>75</v>
      </c>
      <c r="C210" s="21">
        <v>4</v>
      </c>
      <c r="D210" s="4">
        <v>3</v>
      </c>
    </row>
    <row r="211" spans="1:4" ht="21" x14ac:dyDescent="0.4">
      <c r="A211" s="6">
        <v>1000</v>
      </c>
      <c r="B211" s="6">
        <v>85</v>
      </c>
      <c r="C211" s="21">
        <v>5</v>
      </c>
      <c r="D211" s="4">
        <v>3</v>
      </c>
    </row>
    <row r="212" spans="1:4" ht="21" x14ac:dyDescent="0.4">
      <c r="A212" s="6">
        <v>1000</v>
      </c>
      <c r="B212" s="6">
        <v>90</v>
      </c>
      <c r="C212" s="21">
        <v>5</v>
      </c>
      <c r="D212" s="4">
        <v>3</v>
      </c>
    </row>
    <row r="213" spans="1:4" ht="21" x14ac:dyDescent="0.4">
      <c r="A213" s="6">
        <v>1000</v>
      </c>
      <c r="B213" s="6">
        <v>100</v>
      </c>
      <c r="C213" s="21">
        <v>6</v>
      </c>
      <c r="D213" s="4">
        <v>3</v>
      </c>
    </row>
    <row r="214" spans="1:4" ht="21" x14ac:dyDescent="0.4">
      <c r="A214" s="6">
        <v>1000</v>
      </c>
      <c r="B214" s="6">
        <v>120</v>
      </c>
      <c r="C214" s="21">
        <v>8</v>
      </c>
      <c r="D214" s="4">
        <v>3</v>
      </c>
    </row>
    <row r="215" spans="1:4" ht="21" x14ac:dyDescent="0.4">
      <c r="A215" s="6">
        <v>1000</v>
      </c>
      <c r="B215" s="6">
        <v>130</v>
      </c>
      <c r="C215" s="21">
        <v>8</v>
      </c>
      <c r="D215" s="4">
        <v>3</v>
      </c>
    </row>
    <row r="216" spans="1:4" ht="21" x14ac:dyDescent="0.4">
      <c r="A216" s="6">
        <v>1000</v>
      </c>
      <c r="B216" s="6">
        <v>135</v>
      </c>
      <c r="C216" s="21">
        <v>9</v>
      </c>
      <c r="D216" s="4">
        <v>3</v>
      </c>
    </row>
    <row r="217" spans="1:4" ht="21" x14ac:dyDescent="0.4">
      <c r="A217" s="6">
        <v>1000</v>
      </c>
      <c r="B217" s="6">
        <v>150</v>
      </c>
      <c r="C217" s="21">
        <v>10</v>
      </c>
      <c r="D217" s="4">
        <v>3</v>
      </c>
    </row>
    <row r="218" spans="1:4" ht="21" x14ac:dyDescent="0.4">
      <c r="A218" s="6">
        <v>1000</v>
      </c>
      <c r="B218" s="6">
        <v>200</v>
      </c>
      <c r="C218" s="21">
        <v>14</v>
      </c>
      <c r="D218" s="4">
        <v>3</v>
      </c>
    </row>
    <row r="219" spans="1:4" ht="21" x14ac:dyDescent="0.4">
      <c r="A219" s="6">
        <v>1000</v>
      </c>
      <c r="B219" s="6">
        <v>250</v>
      </c>
      <c r="C219" s="21">
        <v>17</v>
      </c>
      <c r="D219" s="4">
        <v>4</v>
      </c>
    </row>
    <row r="220" spans="1:4" ht="21" x14ac:dyDescent="0.4">
      <c r="A220" s="6">
        <v>1000</v>
      </c>
      <c r="B220" s="6">
        <v>300</v>
      </c>
      <c r="C220" s="21">
        <v>21</v>
      </c>
      <c r="D220" s="4">
        <v>4</v>
      </c>
    </row>
    <row r="221" spans="1:4" ht="21" x14ac:dyDescent="0.4">
      <c r="A221" s="6">
        <v>1000</v>
      </c>
      <c r="B221" s="6">
        <v>400</v>
      </c>
      <c r="C221" s="21">
        <v>29</v>
      </c>
      <c r="D221" s="4">
        <v>4</v>
      </c>
    </row>
    <row r="222" spans="1:4" ht="6" customHeight="1" x14ac:dyDescent="0.3">
      <c r="A222" s="19"/>
      <c r="B222" s="19"/>
      <c r="C222" s="19"/>
      <c r="D222" s="23"/>
    </row>
    <row r="223" spans="1:4" ht="21" x14ac:dyDescent="0.4">
      <c r="A223" s="6">
        <v>1200</v>
      </c>
      <c r="B223" s="6">
        <v>40</v>
      </c>
      <c r="C223" s="21">
        <v>1</v>
      </c>
      <c r="D223" s="4">
        <v>4</v>
      </c>
    </row>
    <row r="224" spans="1:4" ht="21" x14ac:dyDescent="0.4">
      <c r="A224" s="6">
        <v>1200</v>
      </c>
      <c r="B224" s="6">
        <v>50</v>
      </c>
      <c r="C224" s="21">
        <v>2</v>
      </c>
      <c r="D224" s="4">
        <v>4</v>
      </c>
    </row>
    <row r="225" spans="1:4" ht="21" x14ac:dyDescent="0.4">
      <c r="A225" s="6">
        <v>1200</v>
      </c>
      <c r="B225" s="6">
        <v>60</v>
      </c>
      <c r="C225" s="21">
        <v>3</v>
      </c>
      <c r="D225" s="4">
        <v>4</v>
      </c>
    </row>
    <row r="226" spans="1:4" ht="21" x14ac:dyDescent="0.4">
      <c r="A226" s="6">
        <v>1200</v>
      </c>
      <c r="B226" s="6">
        <v>75</v>
      </c>
      <c r="C226" s="21">
        <v>4</v>
      </c>
      <c r="D226" s="4">
        <v>4</v>
      </c>
    </row>
    <row r="227" spans="1:4" ht="21" x14ac:dyDescent="0.4">
      <c r="A227" s="6">
        <v>1200</v>
      </c>
      <c r="B227" s="6">
        <v>85</v>
      </c>
      <c r="C227" s="21">
        <v>5</v>
      </c>
      <c r="D227" s="4">
        <v>4</v>
      </c>
    </row>
    <row r="228" spans="1:4" ht="21" x14ac:dyDescent="0.4">
      <c r="A228" s="6">
        <v>1200</v>
      </c>
      <c r="B228" s="6">
        <v>90</v>
      </c>
      <c r="C228" s="21">
        <v>5</v>
      </c>
      <c r="D228" s="4">
        <v>4</v>
      </c>
    </row>
    <row r="229" spans="1:4" ht="21" x14ac:dyDescent="0.4">
      <c r="A229" s="6">
        <v>1200</v>
      </c>
      <c r="B229" s="6">
        <v>100</v>
      </c>
      <c r="C229" s="21">
        <v>6</v>
      </c>
      <c r="D229" s="4">
        <v>4</v>
      </c>
    </row>
    <row r="230" spans="1:4" ht="21" x14ac:dyDescent="0.4">
      <c r="A230" s="6">
        <v>1200</v>
      </c>
      <c r="B230" s="6">
        <v>120</v>
      </c>
      <c r="C230" s="21">
        <v>8</v>
      </c>
      <c r="D230" s="4">
        <v>4</v>
      </c>
    </row>
    <row r="231" spans="1:4" ht="21" x14ac:dyDescent="0.4">
      <c r="A231" s="6">
        <v>1200</v>
      </c>
      <c r="B231" s="6">
        <v>130</v>
      </c>
      <c r="C231" s="21">
        <v>8</v>
      </c>
      <c r="D231" s="4">
        <v>4</v>
      </c>
    </row>
    <row r="232" spans="1:4" ht="21" x14ac:dyDescent="0.4">
      <c r="A232" s="6">
        <v>1200</v>
      </c>
      <c r="B232" s="6">
        <v>135</v>
      </c>
      <c r="C232" s="21">
        <v>9</v>
      </c>
      <c r="D232" s="4">
        <v>4</v>
      </c>
    </row>
    <row r="233" spans="1:4" ht="21" x14ac:dyDescent="0.4">
      <c r="A233" s="6">
        <v>1200</v>
      </c>
      <c r="B233" s="6">
        <v>150</v>
      </c>
      <c r="C233" s="21">
        <v>10</v>
      </c>
      <c r="D233" s="4">
        <v>4</v>
      </c>
    </row>
    <row r="234" spans="1:4" ht="21" x14ac:dyDescent="0.4">
      <c r="A234" s="6">
        <v>1200</v>
      </c>
      <c r="B234" s="6">
        <v>200</v>
      </c>
      <c r="C234" s="21">
        <v>14</v>
      </c>
      <c r="D234" s="4">
        <v>4</v>
      </c>
    </row>
    <row r="235" spans="1:4" ht="21" x14ac:dyDescent="0.4">
      <c r="A235" s="6">
        <v>1200</v>
      </c>
      <c r="B235" s="6">
        <v>250</v>
      </c>
      <c r="C235" s="21">
        <v>17</v>
      </c>
      <c r="D235" s="4">
        <v>4</v>
      </c>
    </row>
    <row r="236" spans="1:4" ht="21" x14ac:dyDescent="0.4">
      <c r="A236" s="6">
        <v>1200</v>
      </c>
      <c r="B236" s="6">
        <v>300</v>
      </c>
      <c r="C236" s="21">
        <v>21</v>
      </c>
      <c r="D236" s="4">
        <v>4</v>
      </c>
    </row>
    <row r="237" spans="1:4" ht="21" x14ac:dyDescent="0.4">
      <c r="A237" s="6">
        <v>1200</v>
      </c>
      <c r="B237" s="6">
        <v>400</v>
      </c>
      <c r="C237" s="21">
        <v>29</v>
      </c>
      <c r="D237" s="4">
        <v>4</v>
      </c>
    </row>
  </sheetData>
  <pageMargins left="0" right="0" top="0.15748031496062992" bottom="0.19685039370078741" header="0.31496062992125984" footer="0.31496062992125984"/>
  <pageSetup paperSize="9" scale="85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34998626667073579"/>
  </sheetPr>
  <dimension ref="A1:S156"/>
  <sheetViews>
    <sheetView topLeftCell="A109" workbookViewId="0">
      <selection activeCell="K125" sqref="K125"/>
    </sheetView>
  </sheetViews>
  <sheetFormatPr baseColWidth="10" defaultColWidth="9.109375" defaultRowHeight="14.4" x14ac:dyDescent="0.3"/>
  <cols>
    <col min="1" max="1" width="10.5546875" customWidth="1"/>
    <col min="2" max="2" width="9.109375" customWidth="1"/>
    <col min="3" max="3" width="9.33203125" customWidth="1"/>
    <col min="4" max="4" width="9.44140625" customWidth="1"/>
    <col min="5" max="5" width="10.33203125" customWidth="1"/>
    <col min="6" max="6" width="4.109375" customWidth="1"/>
    <col min="11" max="11" width="9.5546875" customWidth="1"/>
  </cols>
  <sheetData>
    <row r="1" spans="1:18" ht="18" x14ac:dyDescent="0.35">
      <c r="A1" s="5" t="s">
        <v>129</v>
      </c>
    </row>
    <row r="3" spans="1:18" x14ac:dyDescent="0.3">
      <c r="A3" t="s">
        <v>50</v>
      </c>
      <c r="G3" t="s">
        <v>51</v>
      </c>
      <c r="N3" t="s">
        <v>361</v>
      </c>
    </row>
    <row r="4" spans="1:18" x14ac:dyDescent="0.3">
      <c r="C4" s="4" t="s">
        <v>28</v>
      </c>
      <c r="D4" s="4" t="s">
        <v>29</v>
      </c>
      <c r="E4" s="4" t="s">
        <v>30</v>
      </c>
      <c r="I4" s="4" t="s">
        <v>28</v>
      </c>
      <c r="J4" s="4" t="s">
        <v>29</v>
      </c>
      <c r="K4" s="4" t="s">
        <v>30</v>
      </c>
      <c r="P4" s="4" t="s">
        <v>28</v>
      </c>
      <c r="Q4" s="4" t="s">
        <v>29</v>
      </c>
      <c r="R4" s="4" t="s">
        <v>30</v>
      </c>
    </row>
    <row r="5" spans="1:18" x14ac:dyDescent="0.3">
      <c r="A5" t="s">
        <v>31</v>
      </c>
      <c r="B5" s="4" t="s">
        <v>32</v>
      </c>
      <c r="C5" s="4">
        <v>0.76800000000000002</v>
      </c>
      <c r="D5" s="4">
        <v>19.38</v>
      </c>
      <c r="E5" s="8">
        <f t="shared" ref="E5:E10" si="0">C5*D5</f>
        <v>14.883839999999999</v>
      </c>
      <c r="G5" t="s">
        <v>31</v>
      </c>
      <c r="H5" s="4" t="s">
        <v>32</v>
      </c>
      <c r="I5" s="4">
        <v>0.76800000000000002</v>
      </c>
      <c r="J5" s="4">
        <v>30.59</v>
      </c>
      <c r="K5" s="8">
        <f t="shared" ref="K5:K12" si="1">I5*J5</f>
        <v>23.493120000000001</v>
      </c>
      <c r="N5" t="s">
        <v>362</v>
      </c>
      <c r="O5" s="4" t="s">
        <v>32</v>
      </c>
      <c r="P5" s="4">
        <v>0.69599999999999995</v>
      </c>
      <c r="Q5" s="4">
        <v>19.38</v>
      </c>
      <c r="R5" s="8">
        <f t="shared" ref="R5:R10" si="2">P5*Q5</f>
        <v>13.488479999999999</v>
      </c>
    </row>
    <row r="6" spans="1:18" x14ac:dyDescent="0.3">
      <c r="A6" t="s">
        <v>39</v>
      </c>
      <c r="B6" s="4" t="s">
        <v>33</v>
      </c>
      <c r="C6" s="4">
        <v>0.79800000000000004</v>
      </c>
      <c r="D6" s="4">
        <v>9.83</v>
      </c>
      <c r="E6" s="8">
        <f t="shared" si="0"/>
        <v>7.8443400000000008</v>
      </c>
      <c r="G6" t="s">
        <v>39</v>
      </c>
      <c r="H6" s="4" t="s">
        <v>33</v>
      </c>
      <c r="I6" s="4">
        <v>0.79800000000000004</v>
      </c>
      <c r="J6" s="4">
        <v>9.83</v>
      </c>
      <c r="K6" s="8">
        <f t="shared" si="1"/>
        <v>7.8443400000000008</v>
      </c>
      <c r="N6" t="s">
        <v>39</v>
      </c>
      <c r="O6" s="4" t="s">
        <v>33</v>
      </c>
      <c r="P6" s="4">
        <v>0.61599999999999999</v>
      </c>
      <c r="Q6" s="4">
        <v>9.83</v>
      </c>
      <c r="R6" s="8">
        <f t="shared" si="2"/>
        <v>6.0552799999999998</v>
      </c>
    </row>
    <row r="7" spans="1:18" x14ac:dyDescent="0.3">
      <c r="B7" s="4" t="s">
        <v>42</v>
      </c>
      <c r="C7" s="4">
        <v>2</v>
      </c>
      <c r="D7" s="4">
        <v>1.24</v>
      </c>
      <c r="E7" s="8">
        <f t="shared" si="0"/>
        <v>2.48</v>
      </c>
      <c r="G7" t="s">
        <v>52</v>
      </c>
      <c r="H7" s="4" t="s">
        <v>33</v>
      </c>
      <c r="I7" s="4">
        <v>0.85</v>
      </c>
      <c r="J7" s="4">
        <v>9.83</v>
      </c>
      <c r="K7" s="8">
        <f t="shared" si="1"/>
        <v>8.3554999999999993</v>
      </c>
      <c r="O7" s="4" t="s">
        <v>42</v>
      </c>
      <c r="P7" s="4">
        <v>2</v>
      </c>
      <c r="Q7" s="4">
        <v>1.24</v>
      </c>
      <c r="R7" s="8">
        <f t="shared" si="2"/>
        <v>2.48</v>
      </c>
    </row>
    <row r="8" spans="1:18" x14ac:dyDescent="0.3">
      <c r="B8" s="4" t="s">
        <v>34</v>
      </c>
      <c r="C8" s="4"/>
      <c r="D8" s="4"/>
      <c r="E8" s="8">
        <f t="shared" si="0"/>
        <v>0</v>
      </c>
      <c r="H8" s="4" t="s">
        <v>42</v>
      </c>
      <c r="I8" s="4">
        <v>2</v>
      </c>
      <c r="J8" s="4">
        <v>1.24</v>
      </c>
      <c r="K8" s="8">
        <f t="shared" si="1"/>
        <v>2.48</v>
      </c>
      <c r="O8" s="4" t="s">
        <v>34</v>
      </c>
      <c r="P8" s="4"/>
      <c r="Q8" s="4"/>
      <c r="R8" s="8">
        <f t="shared" si="2"/>
        <v>0</v>
      </c>
    </row>
    <row r="9" spans="1:18" x14ac:dyDescent="0.3">
      <c r="B9" s="4" t="s">
        <v>35</v>
      </c>
      <c r="C9" s="4">
        <v>4</v>
      </c>
      <c r="D9" s="4">
        <v>1.89</v>
      </c>
      <c r="E9" s="8">
        <f t="shared" si="0"/>
        <v>7.56</v>
      </c>
      <c r="H9" s="4" t="s">
        <v>85</v>
      </c>
      <c r="I9" s="10">
        <v>2</v>
      </c>
      <c r="J9" s="10">
        <v>1.36</v>
      </c>
      <c r="K9" s="11">
        <f t="shared" si="1"/>
        <v>2.72</v>
      </c>
      <c r="O9" s="4" t="s">
        <v>35</v>
      </c>
      <c r="P9" s="4">
        <v>4</v>
      </c>
      <c r="Q9" s="4">
        <v>1.89</v>
      </c>
      <c r="R9" s="8">
        <f t="shared" si="2"/>
        <v>7.56</v>
      </c>
    </row>
    <row r="10" spans="1:18" x14ac:dyDescent="0.3">
      <c r="B10" s="4" t="s">
        <v>36</v>
      </c>
      <c r="C10" s="4">
        <v>4</v>
      </c>
      <c r="D10" s="4">
        <v>0.24</v>
      </c>
      <c r="E10" s="8">
        <f t="shared" si="0"/>
        <v>0.96</v>
      </c>
      <c r="H10" s="4" t="s">
        <v>34</v>
      </c>
      <c r="I10" s="4"/>
      <c r="J10" s="4"/>
      <c r="K10" s="8">
        <f t="shared" si="1"/>
        <v>0</v>
      </c>
      <c r="O10" s="4" t="s">
        <v>36</v>
      </c>
      <c r="P10" s="4">
        <v>4</v>
      </c>
      <c r="Q10" s="4">
        <v>0.24</v>
      </c>
      <c r="R10" s="8">
        <f t="shared" si="2"/>
        <v>0.96</v>
      </c>
    </row>
    <row r="11" spans="1:18" x14ac:dyDescent="0.3">
      <c r="E11" s="8">
        <f>SUM(E5:E10)</f>
        <v>33.728180000000002</v>
      </c>
      <c r="H11" s="4" t="s">
        <v>35</v>
      </c>
      <c r="I11" s="4">
        <v>4</v>
      </c>
      <c r="J11" s="4">
        <v>1.89</v>
      </c>
      <c r="K11" s="8">
        <f t="shared" si="1"/>
        <v>7.56</v>
      </c>
      <c r="R11" s="8">
        <f>SUM(R5:R10)</f>
        <v>30.543759999999999</v>
      </c>
    </row>
    <row r="12" spans="1:18" x14ac:dyDescent="0.3">
      <c r="B12" s="4" t="s">
        <v>37</v>
      </c>
      <c r="C12">
        <v>15</v>
      </c>
      <c r="D12">
        <v>1.41</v>
      </c>
      <c r="E12" s="8">
        <f>C12*D12</f>
        <v>21.15</v>
      </c>
      <c r="H12" s="4" t="s">
        <v>36</v>
      </c>
      <c r="I12" s="4">
        <v>4</v>
      </c>
      <c r="J12" s="4">
        <v>0.24</v>
      </c>
      <c r="K12" s="8">
        <f t="shared" si="1"/>
        <v>0.96</v>
      </c>
      <c r="O12" s="4" t="s">
        <v>37</v>
      </c>
      <c r="P12">
        <v>15</v>
      </c>
      <c r="Q12">
        <v>1.41</v>
      </c>
      <c r="R12" s="8">
        <f>P12*Q12</f>
        <v>21.15</v>
      </c>
    </row>
    <row r="13" spans="1:18" x14ac:dyDescent="0.3">
      <c r="E13" s="8">
        <f>SUM(E11:E12)</f>
        <v>54.87818</v>
      </c>
      <c r="K13" s="8">
        <f>SUM(K5:K12)</f>
        <v>53.412959999999998</v>
      </c>
      <c r="R13" s="8">
        <f>SUM(R11:R12)</f>
        <v>51.693759999999997</v>
      </c>
    </row>
    <row r="14" spans="1:18" x14ac:dyDescent="0.3">
      <c r="H14" s="4" t="s">
        <v>37</v>
      </c>
      <c r="I14">
        <v>15</v>
      </c>
      <c r="J14">
        <v>1.41</v>
      </c>
      <c r="K14" s="8">
        <f>I14*J14</f>
        <v>21.15</v>
      </c>
    </row>
    <row r="15" spans="1:18" x14ac:dyDescent="0.3">
      <c r="K15" s="8">
        <f>SUM(K13:K14)</f>
        <v>74.562960000000004</v>
      </c>
    </row>
    <row r="18" spans="1:18" x14ac:dyDescent="0.3">
      <c r="I18" s="4" t="s">
        <v>28</v>
      </c>
      <c r="J18" s="4" t="s">
        <v>29</v>
      </c>
      <c r="K18" s="4" t="s">
        <v>30</v>
      </c>
    </row>
    <row r="19" spans="1:18" x14ac:dyDescent="0.3">
      <c r="C19" s="4" t="s">
        <v>28</v>
      </c>
      <c r="D19" s="4" t="s">
        <v>29</v>
      </c>
      <c r="E19" s="4" t="s">
        <v>30</v>
      </c>
      <c r="G19" t="s">
        <v>38</v>
      </c>
      <c r="H19" s="4" t="s">
        <v>32</v>
      </c>
      <c r="I19" s="4">
        <v>0.97799999999999998</v>
      </c>
      <c r="J19" s="4">
        <v>30.59</v>
      </c>
      <c r="K19" s="8">
        <f t="shared" ref="K19:K26" si="3">I19*J19</f>
        <v>29.917020000000001</v>
      </c>
    </row>
    <row r="20" spans="1:18" x14ac:dyDescent="0.3">
      <c r="A20" t="s">
        <v>38</v>
      </c>
      <c r="B20" s="4" t="s">
        <v>32</v>
      </c>
      <c r="C20" s="4">
        <v>1.026</v>
      </c>
      <c r="D20" s="4">
        <v>19.38</v>
      </c>
      <c r="E20" s="8">
        <f t="shared" ref="E20:E25" si="4">C20*D20</f>
        <v>19.883879999999998</v>
      </c>
      <c r="G20" t="s">
        <v>39</v>
      </c>
      <c r="H20" s="4" t="s">
        <v>33</v>
      </c>
      <c r="I20" s="4">
        <v>1.218</v>
      </c>
      <c r="J20" s="4">
        <v>9.83</v>
      </c>
      <c r="K20" s="8">
        <f t="shared" si="3"/>
        <v>11.972939999999999</v>
      </c>
    </row>
    <row r="21" spans="1:18" x14ac:dyDescent="0.3">
      <c r="A21" t="s">
        <v>39</v>
      </c>
      <c r="B21" s="4" t="s">
        <v>33</v>
      </c>
      <c r="C21" s="4">
        <v>1.276</v>
      </c>
      <c r="D21" s="4">
        <v>9.83</v>
      </c>
      <c r="E21" s="8">
        <f t="shared" si="4"/>
        <v>12.54308</v>
      </c>
      <c r="G21" t="s">
        <v>53</v>
      </c>
      <c r="H21" s="4" t="s">
        <v>33</v>
      </c>
      <c r="I21" s="4">
        <v>1.323</v>
      </c>
      <c r="J21" s="4">
        <v>9.83</v>
      </c>
      <c r="K21" s="8">
        <f t="shared" si="3"/>
        <v>13.005089999999999</v>
      </c>
    </row>
    <row r="22" spans="1:18" x14ac:dyDescent="0.3">
      <c r="B22" s="4" t="s">
        <v>42</v>
      </c>
      <c r="C22" s="4">
        <v>2</v>
      </c>
      <c r="D22" s="4">
        <v>1.24</v>
      </c>
      <c r="E22" s="8">
        <f t="shared" si="4"/>
        <v>2.48</v>
      </c>
      <c r="H22" s="4" t="s">
        <v>42</v>
      </c>
      <c r="I22" s="4">
        <v>2</v>
      </c>
      <c r="J22" s="4">
        <v>1.24</v>
      </c>
      <c r="K22" s="8">
        <f t="shared" si="3"/>
        <v>2.48</v>
      </c>
    </row>
    <row r="23" spans="1:18" x14ac:dyDescent="0.3">
      <c r="B23" s="4" t="s">
        <v>34</v>
      </c>
      <c r="C23" s="4"/>
      <c r="D23" s="4"/>
      <c r="E23" s="8">
        <f t="shared" si="4"/>
        <v>0</v>
      </c>
      <c r="H23" s="4" t="s">
        <v>86</v>
      </c>
      <c r="I23" s="10">
        <v>2</v>
      </c>
      <c r="J23" s="10">
        <v>1.86</v>
      </c>
      <c r="K23" s="11">
        <f t="shared" si="3"/>
        <v>3.72</v>
      </c>
    </row>
    <row r="24" spans="1:18" x14ac:dyDescent="0.3">
      <c r="B24" s="4" t="s">
        <v>35</v>
      </c>
      <c r="C24" s="4">
        <v>4</v>
      </c>
      <c r="D24" s="4">
        <v>1.89</v>
      </c>
      <c r="E24" s="8">
        <f t="shared" si="4"/>
        <v>7.56</v>
      </c>
      <c r="H24" s="4" t="s">
        <v>34</v>
      </c>
      <c r="I24" s="4"/>
      <c r="J24" s="4"/>
      <c r="K24" s="8">
        <f t="shared" si="3"/>
        <v>0</v>
      </c>
    </row>
    <row r="25" spans="1:18" x14ac:dyDescent="0.3">
      <c r="B25" s="4" t="s">
        <v>36</v>
      </c>
      <c r="C25" s="4">
        <v>4</v>
      </c>
      <c r="D25" s="4">
        <v>0.24</v>
      </c>
      <c r="E25" s="8">
        <f t="shared" si="4"/>
        <v>0.96</v>
      </c>
      <c r="H25" s="4" t="s">
        <v>35</v>
      </c>
      <c r="I25" s="4">
        <v>4</v>
      </c>
      <c r="J25" s="4">
        <v>1.89</v>
      </c>
      <c r="K25" s="8">
        <f t="shared" si="3"/>
        <v>7.56</v>
      </c>
    </row>
    <row r="26" spans="1:18" x14ac:dyDescent="0.3">
      <c r="E26" s="9">
        <f>SUM(E20:E25)</f>
        <v>43.426959999999994</v>
      </c>
      <c r="H26" s="4" t="s">
        <v>36</v>
      </c>
      <c r="I26" s="4">
        <v>4</v>
      </c>
      <c r="J26" s="4">
        <v>0.24</v>
      </c>
      <c r="K26" s="8">
        <f t="shared" si="3"/>
        <v>0.96</v>
      </c>
    </row>
    <row r="27" spans="1:18" x14ac:dyDescent="0.3">
      <c r="B27" s="4" t="s">
        <v>37</v>
      </c>
      <c r="C27">
        <v>15</v>
      </c>
      <c r="D27">
        <v>1.41</v>
      </c>
      <c r="E27" s="8">
        <f>C27*D27</f>
        <v>21.15</v>
      </c>
      <c r="K27" s="8">
        <f>SUM(K19:K26)</f>
        <v>69.615049999999982</v>
      </c>
    </row>
    <row r="28" spans="1:18" x14ac:dyDescent="0.3">
      <c r="E28" s="8">
        <f>SUM(E26:E27)</f>
        <v>64.576959999999985</v>
      </c>
      <c r="H28" s="4" t="s">
        <v>37</v>
      </c>
      <c r="I28">
        <v>15</v>
      </c>
      <c r="J28">
        <v>1.41</v>
      </c>
      <c r="K28" s="8">
        <f>I28*J28</f>
        <v>21.15</v>
      </c>
    </row>
    <row r="29" spans="1:18" x14ac:dyDescent="0.3">
      <c r="K29" s="8">
        <f>SUM(K27:K28)</f>
        <v>90.765049999999974</v>
      </c>
    </row>
    <row r="31" spans="1:18" x14ac:dyDescent="0.3">
      <c r="C31" s="4" t="s">
        <v>28</v>
      </c>
      <c r="D31" s="4" t="s">
        <v>29</v>
      </c>
      <c r="E31" s="4" t="s">
        <v>30</v>
      </c>
    </row>
    <row r="32" spans="1:18" x14ac:dyDescent="0.3">
      <c r="A32" t="s">
        <v>40</v>
      </c>
      <c r="B32" s="4" t="s">
        <v>32</v>
      </c>
      <c r="C32" s="4">
        <v>1.1879999999999999</v>
      </c>
      <c r="D32" s="4">
        <v>19.38</v>
      </c>
      <c r="E32" s="8">
        <f t="shared" ref="E32:E37" si="5">C32*D32</f>
        <v>23.023439999999997</v>
      </c>
      <c r="I32" s="4" t="s">
        <v>28</v>
      </c>
      <c r="J32" s="4" t="s">
        <v>29</v>
      </c>
      <c r="K32" s="4" t="s">
        <v>30</v>
      </c>
      <c r="P32" s="4" t="s">
        <v>28</v>
      </c>
      <c r="Q32" s="4" t="s">
        <v>29</v>
      </c>
      <c r="R32" s="4" t="s">
        <v>30</v>
      </c>
    </row>
    <row r="33" spans="1:18" x14ac:dyDescent="0.3">
      <c r="A33" t="s">
        <v>39</v>
      </c>
      <c r="B33" s="4" t="s">
        <v>33</v>
      </c>
      <c r="C33" s="4">
        <v>1.6379999999999999</v>
      </c>
      <c r="D33" s="4">
        <v>9.83</v>
      </c>
      <c r="E33" s="8">
        <f t="shared" si="5"/>
        <v>16.10154</v>
      </c>
      <c r="G33" t="s">
        <v>40</v>
      </c>
      <c r="H33" s="4" t="s">
        <v>32</v>
      </c>
      <c r="I33" s="4">
        <v>1.1879999999999999</v>
      </c>
      <c r="J33" s="4">
        <v>30.59</v>
      </c>
      <c r="K33" s="8">
        <f t="shared" ref="K33:K40" si="6">I33*J33</f>
        <v>36.340919999999997</v>
      </c>
      <c r="N33" t="s">
        <v>159</v>
      </c>
      <c r="O33" s="4" t="s">
        <v>32</v>
      </c>
      <c r="P33" s="4">
        <v>1.1879999999999999</v>
      </c>
      <c r="Q33" s="4">
        <v>19.38</v>
      </c>
      <c r="R33" s="8">
        <f t="shared" ref="R33:R38" si="7">P33*Q33</f>
        <v>23.023439999999997</v>
      </c>
    </row>
    <row r="34" spans="1:18" x14ac:dyDescent="0.3">
      <c r="B34" s="4" t="s">
        <v>42</v>
      </c>
      <c r="C34" s="4">
        <v>2</v>
      </c>
      <c r="D34" s="4">
        <v>1.24</v>
      </c>
      <c r="E34" s="8">
        <f t="shared" si="5"/>
        <v>2.48</v>
      </c>
      <c r="G34" t="s">
        <v>39</v>
      </c>
      <c r="H34" s="4" t="s">
        <v>33</v>
      </c>
      <c r="I34" s="4">
        <v>1.6379999999999999</v>
      </c>
      <c r="J34" s="4">
        <v>9.83</v>
      </c>
      <c r="K34" s="8">
        <f t="shared" si="6"/>
        <v>16.10154</v>
      </c>
      <c r="N34" t="s">
        <v>39</v>
      </c>
      <c r="O34" s="4" t="s">
        <v>33</v>
      </c>
      <c r="P34" s="4">
        <v>1.157</v>
      </c>
      <c r="Q34" s="4">
        <v>9.83</v>
      </c>
      <c r="R34" s="8">
        <f t="shared" si="7"/>
        <v>11.37331</v>
      </c>
    </row>
    <row r="35" spans="1:18" x14ac:dyDescent="0.3">
      <c r="B35" s="4" t="s">
        <v>34</v>
      </c>
      <c r="C35" s="4"/>
      <c r="D35" s="4"/>
      <c r="E35" s="8">
        <f t="shared" si="5"/>
        <v>0</v>
      </c>
      <c r="G35" t="s">
        <v>54</v>
      </c>
      <c r="H35" s="4" t="s">
        <v>33</v>
      </c>
      <c r="I35" s="4">
        <v>1.7949999999999999</v>
      </c>
      <c r="J35" s="4">
        <v>9.83</v>
      </c>
      <c r="K35" s="8">
        <f t="shared" si="6"/>
        <v>17.644849999999998</v>
      </c>
      <c r="O35" s="4" t="s">
        <v>42</v>
      </c>
      <c r="P35" s="4">
        <v>2</v>
      </c>
      <c r="Q35" s="4">
        <v>1.24</v>
      </c>
      <c r="R35" s="8">
        <f t="shared" si="7"/>
        <v>2.48</v>
      </c>
    </row>
    <row r="36" spans="1:18" x14ac:dyDescent="0.3">
      <c r="B36" s="4" t="s">
        <v>35</v>
      </c>
      <c r="C36" s="4">
        <v>4</v>
      </c>
      <c r="D36" s="4">
        <v>1.89</v>
      </c>
      <c r="E36" s="8">
        <f t="shared" si="5"/>
        <v>7.56</v>
      </c>
      <c r="H36" s="4" t="s">
        <v>42</v>
      </c>
      <c r="I36" s="4">
        <v>2</v>
      </c>
      <c r="J36" s="4">
        <v>1.24</v>
      </c>
      <c r="K36" s="8">
        <f t="shared" si="6"/>
        <v>2.48</v>
      </c>
      <c r="O36" s="4" t="s">
        <v>34</v>
      </c>
      <c r="P36" s="4"/>
      <c r="Q36" s="4"/>
      <c r="R36" s="8">
        <f t="shared" si="7"/>
        <v>0</v>
      </c>
    </row>
    <row r="37" spans="1:18" x14ac:dyDescent="0.3">
      <c r="B37" s="4" t="s">
        <v>36</v>
      </c>
      <c r="C37" s="4">
        <v>4</v>
      </c>
      <c r="D37" s="4">
        <v>0.24</v>
      </c>
      <c r="E37" s="8">
        <f t="shared" si="5"/>
        <v>0.96</v>
      </c>
      <c r="H37" s="4" t="s">
        <v>87</v>
      </c>
      <c r="I37" s="10">
        <v>2</v>
      </c>
      <c r="J37" s="10">
        <v>1.98</v>
      </c>
      <c r="K37" s="11">
        <f t="shared" si="6"/>
        <v>3.96</v>
      </c>
      <c r="O37" s="4" t="s">
        <v>35</v>
      </c>
      <c r="P37" s="4">
        <v>4</v>
      </c>
      <c r="Q37" s="4">
        <v>1.89</v>
      </c>
      <c r="R37" s="8">
        <f t="shared" si="7"/>
        <v>7.56</v>
      </c>
    </row>
    <row r="38" spans="1:18" x14ac:dyDescent="0.3">
      <c r="E38" s="9">
        <f>SUM(E32:E37)</f>
        <v>50.124979999999994</v>
      </c>
      <c r="H38" s="4" t="s">
        <v>34</v>
      </c>
      <c r="I38" s="4"/>
      <c r="J38" s="4"/>
      <c r="K38" s="8">
        <f t="shared" si="6"/>
        <v>0</v>
      </c>
      <c r="O38" s="4" t="s">
        <v>36</v>
      </c>
      <c r="P38" s="4">
        <v>4</v>
      </c>
      <c r="Q38" s="4">
        <v>0.24</v>
      </c>
      <c r="R38" s="8">
        <f t="shared" si="7"/>
        <v>0.96</v>
      </c>
    </row>
    <row r="39" spans="1:18" x14ac:dyDescent="0.3">
      <c r="B39" s="4" t="s">
        <v>37</v>
      </c>
      <c r="C39">
        <v>15</v>
      </c>
      <c r="D39">
        <v>1.41</v>
      </c>
      <c r="E39" s="8">
        <f>C39*D39</f>
        <v>21.15</v>
      </c>
      <c r="H39" s="4" t="s">
        <v>35</v>
      </c>
      <c r="I39" s="4">
        <v>4</v>
      </c>
      <c r="J39" s="4">
        <v>1.89</v>
      </c>
      <c r="K39" s="8">
        <f t="shared" si="6"/>
        <v>7.56</v>
      </c>
      <c r="R39" s="9">
        <f>SUM(R33:R38)</f>
        <v>45.396749999999997</v>
      </c>
    </row>
    <row r="40" spans="1:18" x14ac:dyDescent="0.3">
      <c r="E40" s="8">
        <f>SUM(E38:E39)</f>
        <v>71.274979999999999</v>
      </c>
      <c r="H40" s="4" t="s">
        <v>36</v>
      </c>
      <c r="I40" s="4">
        <v>4</v>
      </c>
      <c r="J40" s="4">
        <v>0.24</v>
      </c>
      <c r="K40" s="8">
        <f t="shared" si="6"/>
        <v>0.96</v>
      </c>
      <c r="O40" s="4" t="s">
        <v>37</v>
      </c>
      <c r="P40">
        <v>15</v>
      </c>
      <c r="Q40">
        <v>1.41</v>
      </c>
      <c r="R40" s="8">
        <v>25</v>
      </c>
    </row>
    <row r="41" spans="1:18" x14ac:dyDescent="0.3">
      <c r="K41" s="9">
        <f>SUM(K33:K40)</f>
        <v>85.047309999999996</v>
      </c>
      <c r="R41" s="8">
        <f>SUM(R39:R40)</f>
        <v>70.396749999999997</v>
      </c>
    </row>
    <row r="42" spans="1:18" x14ac:dyDescent="0.3">
      <c r="H42" s="4" t="s">
        <v>37</v>
      </c>
      <c r="I42">
        <v>15</v>
      </c>
      <c r="J42">
        <v>1.41</v>
      </c>
      <c r="K42" s="8">
        <f>I42*J42</f>
        <v>21.15</v>
      </c>
      <c r="N42" s="4"/>
      <c r="Q42" s="8"/>
    </row>
    <row r="43" spans="1:18" x14ac:dyDescent="0.3">
      <c r="C43" s="4" t="s">
        <v>28</v>
      </c>
      <c r="D43" s="4" t="s">
        <v>29</v>
      </c>
      <c r="E43" s="4" t="s">
        <v>30</v>
      </c>
      <c r="K43" s="8">
        <f>SUM(K41:K42)</f>
        <v>106.19730999999999</v>
      </c>
      <c r="Q43" s="8"/>
    </row>
    <row r="44" spans="1:18" x14ac:dyDescent="0.3">
      <c r="A44" t="s">
        <v>41</v>
      </c>
      <c r="B44" s="4" t="s">
        <v>32</v>
      </c>
      <c r="C44" s="4">
        <v>1.3979999999999999</v>
      </c>
      <c r="D44" s="4">
        <v>19.38</v>
      </c>
      <c r="E44" s="8">
        <f t="shared" ref="E44:E49" si="8">C44*D44</f>
        <v>27.093239999999998</v>
      </c>
    </row>
    <row r="45" spans="1:18" x14ac:dyDescent="0.3">
      <c r="A45" t="s">
        <v>39</v>
      </c>
      <c r="B45" s="4" t="s">
        <v>33</v>
      </c>
      <c r="C45" s="4">
        <v>2.0579999999999998</v>
      </c>
      <c r="D45" s="4">
        <v>9.83</v>
      </c>
      <c r="E45" s="8">
        <f t="shared" si="8"/>
        <v>20.230139999999999</v>
      </c>
    </row>
    <row r="46" spans="1:18" x14ac:dyDescent="0.3">
      <c r="B46" s="4" t="s">
        <v>43</v>
      </c>
      <c r="C46" s="4">
        <v>2</v>
      </c>
      <c r="D46" s="4">
        <v>1.24</v>
      </c>
      <c r="E46" s="8">
        <f t="shared" si="8"/>
        <v>2.48</v>
      </c>
      <c r="I46" s="4" t="s">
        <v>28</v>
      </c>
      <c r="J46" s="4" t="s">
        <v>29</v>
      </c>
      <c r="K46" s="4" t="s">
        <v>30</v>
      </c>
    </row>
    <row r="47" spans="1:18" x14ac:dyDescent="0.3">
      <c r="B47" s="4" t="s">
        <v>34</v>
      </c>
      <c r="C47" s="4"/>
      <c r="D47" s="4"/>
      <c r="E47" s="8">
        <f t="shared" si="8"/>
        <v>0</v>
      </c>
      <c r="G47" t="s">
        <v>41</v>
      </c>
      <c r="H47" s="4" t="s">
        <v>32</v>
      </c>
      <c r="I47" s="4">
        <v>1.3979999999999999</v>
      </c>
      <c r="J47" s="4">
        <v>30.59</v>
      </c>
      <c r="K47" s="8">
        <f t="shared" ref="K47:K54" si="9">I47*J47</f>
        <v>42.76482</v>
      </c>
    </row>
    <row r="48" spans="1:18" x14ac:dyDescent="0.3">
      <c r="B48" s="4" t="s">
        <v>35</v>
      </c>
      <c r="C48" s="4">
        <v>4</v>
      </c>
      <c r="D48" s="4">
        <v>1.89</v>
      </c>
      <c r="E48" s="8">
        <f t="shared" si="8"/>
        <v>7.56</v>
      </c>
      <c r="G48" t="s">
        <v>39</v>
      </c>
      <c r="H48" s="4" t="s">
        <v>33</v>
      </c>
      <c r="I48" s="4">
        <v>2.0579999999999998</v>
      </c>
      <c r="J48" s="4">
        <v>9.83</v>
      </c>
      <c r="K48" s="8">
        <f t="shared" si="9"/>
        <v>20.230139999999999</v>
      </c>
    </row>
    <row r="49" spans="1:18" x14ac:dyDescent="0.3">
      <c r="B49" s="4" t="s">
        <v>36</v>
      </c>
      <c r="C49" s="4">
        <v>4</v>
      </c>
      <c r="D49" s="4">
        <v>0.24</v>
      </c>
      <c r="E49" s="8">
        <f t="shared" si="8"/>
        <v>0.96</v>
      </c>
      <c r="G49" t="s">
        <v>55</v>
      </c>
      <c r="H49" s="4" t="s">
        <v>33</v>
      </c>
      <c r="I49" s="4">
        <v>2.2679999999999998</v>
      </c>
      <c r="J49" s="4">
        <v>9.83</v>
      </c>
      <c r="K49" s="8">
        <f t="shared" si="9"/>
        <v>22.294439999999998</v>
      </c>
    </row>
    <row r="50" spans="1:18" x14ac:dyDescent="0.3">
      <c r="E50" s="9">
        <f>SUM(E44:E49)</f>
        <v>58.32338</v>
      </c>
      <c r="H50" s="4" t="s">
        <v>43</v>
      </c>
      <c r="I50" s="4">
        <v>2</v>
      </c>
      <c r="J50" s="4">
        <v>1.24</v>
      </c>
      <c r="K50" s="8">
        <f t="shared" si="9"/>
        <v>2.48</v>
      </c>
    </row>
    <row r="51" spans="1:18" x14ac:dyDescent="0.3">
      <c r="B51" s="4" t="s">
        <v>37</v>
      </c>
      <c r="C51">
        <v>15</v>
      </c>
      <c r="D51">
        <v>1.41</v>
      </c>
      <c r="E51" s="8">
        <f>C51*D51</f>
        <v>21.15</v>
      </c>
      <c r="H51" s="4" t="s">
        <v>88</v>
      </c>
      <c r="I51" s="10">
        <v>2</v>
      </c>
      <c r="J51" s="4">
        <v>2.2400000000000002</v>
      </c>
      <c r="K51" s="4">
        <f t="shared" si="9"/>
        <v>4.4800000000000004</v>
      </c>
    </row>
    <row r="52" spans="1:18" x14ac:dyDescent="0.3">
      <c r="E52" s="8">
        <f>SUM(E50:E51)</f>
        <v>79.473379999999992</v>
      </c>
      <c r="H52" s="4" t="s">
        <v>34</v>
      </c>
      <c r="I52" s="4"/>
      <c r="J52" s="4"/>
      <c r="K52" s="8">
        <f t="shared" si="9"/>
        <v>0</v>
      </c>
    </row>
    <row r="53" spans="1:18" x14ac:dyDescent="0.3">
      <c r="H53" s="4" t="s">
        <v>35</v>
      </c>
      <c r="I53" s="4">
        <v>4</v>
      </c>
      <c r="J53" s="4">
        <v>1.89</v>
      </c>
      <c r="K53" s="8">
        <f t="shared" si="9"/>
        <v>7.56</v>
      </c>
    </row>
    <row r="54" spans="1:18" x14ac:dyDescent="0.3">
      <c r="H54" s="4" t="s">
        <v>36</v>
      </c>
      <c r="I54" s="4">
        <v>4</v>
      </c>
      <c r="J54" s="4">
        <v>0.24</v>
      </c>
      <c r="K54" s="8">
        <f t="shared" si="9"/>
        <v>0.96</v>
      </c>
    </row>
    <row r="55" spans="1:18" x14ac:dyDescent="0.3">
      <c r="K55" s="9">
        <f>SUM(K47:K54)</f>
        <v>100.7694</v>
      </c>
    </row>
    <row r="56" spans="1:18" x14ac:dyDescent="0.3">
      <c r="C56" s="4" t="s">
        <v>28</v>
      </c>
      <c r="D56" s="4" t="s">
        <v>29</v>
      </c>
      <c r="E56" s="4" t="s">
        <v>30</v>
      </c>
      <c r="H56" s="4" t="s">
        <v>37</v>
      </c>
      <c r="I56">
        <v>18</v>
      </c>
      <c r="J56">
        <v>1.41</v>
      </c>
      <c r="K56" s="8">
        <f>I56*J56</f>
        <v>25.38</v>
      </c>
    </row>
    <row r="57" spans="1:18" x14ac:dyDescent="0.3">
      <c r="A57" t="s">
        <v>44</v>
      </c>
      <c r="B57" s="4" t="s">
        <v>32</v>
      </c>
      <c r="C57" s="4">
        <v>1.6080000000000001</v>
      </c>
      <c r="D57" s="4">
        <v>19.38</v>
      </c>
      <c r="E57" s="8">
        <f t="shared" ref="E57:E62" si="10">C57*D57</f>
        <v>31.163039999999999</v>
      </c>
      <c r="K57" s="8">
        <f>SUM(K55:K56)</f>
        <v>126.1494</v>
      </c>
    </row>
    <row r="58" spans="1:18" x14ac:dyDescent="0.3">
      <c r="A58" t="s">
        <v>39</v>
      </c>
      <c r="B58" s="4" t="s">
        <v>33</v>
      </c>
      <c r="C58" s="4">
        <v>2.4780000000000002</v>
      </c>
      <c r="D58" s="4">
        <v>9.83</v>
      </c>
      <c r="E58" s="8">
        <f t="shared" si="10"/>
        <v>24.358740000000001</v>
      </c>
      <c r="P58" s="4" t="s">
        <v>28</v>
      </c>
      <c r="Q58" s="4" t="s">
        <v>29</v>
      </c>
      <c r="R58" s="4" t="s">
        <v>30</v>
      </c>
    </row>
    <row r="59" spans="1:18" x14ac:dyDescent="0.3">
      <c r="B59" s="4" t="s">
        <v>43</v>
      </c>
      <c r="C59" s="4">
        <v>2</v>
      </c>
      <c r="D59" s="4">
        <v>1.24</v>
      </c>
      <c r="E59" s="8">
        <f t="shared" si="10"/>
        <v>2.48</v>
      </c>
      <c r="I59" s="4" t="s">
        <v>28</v>
      </c>
      <c r="J59" s="4" t="s">
        <v>29</v>
      </c>
      <c r="K59" s="4" t="s">
        <v>30</v>
      </c>
      <c r="N59" t="s">
        <v>181</v>
      </c>
      <c r="O59" s="4" t="s">
        <v>32</v>
      </c>
      <c r="P59" s="4">
        <v>1.4</v>
      </c>
      <c r="Q59" s="4">
        <v>19.38</v>
      </c>
      <c r="R59" s="8">
        <f t="shared" ref="R59:R64" si="11">P59*Q59</f>
        <v>27.131999999999998</v>
      </c>
    </row>
    <row r="60" spans="1:18" x14ac:dyDescent="0.3">
      <c r="B60" s="4" t="s">
        <v>34</v>
      </c>
      <c r="C60" s="4">
        <v>0.1</v>
      </c>
      <c r="D60" s="4">
        <v>13.67</v>
      </c>
      <c r="E60" s="8">
        <f t="shared" si="10"/>
        <v>1.367</v>
      </c>
      <c r="G60" t="s">
        <v>44</v>
      </c>
      <c r="H60" s="4" t="s">
        <v>32</v>
      </c>
      <c r="I60" s="4">
        <v>1.6080000000000001</v>
      </c>
      <c r="J60" s="4">
        <v>30.59</v>
      </c>
      <c r="K60" s="8">
        <f t="shared" ref="K60:K67" si="12">I60*J60</f>
        <v>49.188720000000004</v>
      </c>
      <c r="N60" t="s">
        <v>307</v>
      </c>
      <c r="O60" s="4" t="s">
        <v>33</v>
      </c>
      <c r="P60" s="4">
        <v>0.64900000000000002</v>
      </c>
      <c r="Q60" s="4">
        <v>9.83</v>
      </c>
      <c r="R60" s="8">
        <f t="shared" si="11"/>
        <v>6.37967</v>
      </c>
    </row>
    <row r="61" spans="1:18" x14ac:dyDescent="0.3">
      <c r="B61" s="4" t="s">
        <v>35</v>
      </c>
      <c r="C61" s="4">
        <v>4</v>
      </c>
      <c r="D61" s="4">
        <v>1.89</v>
      </c>
      <c r="E61" s="8">
        <f t="shared" si="10"/>
        <v>7.56</v>
      </c>
      <c r="G61" t="s">
        <v>39</v>
      </c>
      <c r="H61" s="4" t="s">
        <v>33</v>
      </c>
      <c r="I61" s="4">
        <v>2.4780000000000002</v>
      </c>
      <c r="J61" s="4">
        <v>9.83</v>
      </c>
      <c r="K61" s="8">
        <f t="shared" si="12"/>
        <v>24.358740000000001</v>
      </c>
      <c r="O61" s="4" t="s">
        <v>43</v>
      </c>
      <c r="P61" s="4">
        <v>0.05</v>
      </c>
      <c r="Q61" s="4">
        <v>1.24</v>
      </c>
      <c r="R61" s="8">
        <f t="shared" si="11"/>
        <v>6.2E-2</v>
      </c>
    </row>
    <row r="62" spans="1:18" x14ac:dyDescent="0.3">
      <c r="B62" s="4" t="s">
        <v>36</v>
      </c>
      <c r="C62" s="4">
        <v>4</v>
      </c>
      <c r="D62" s="4">
        <v>0.24</v>
      </c>
      <c r="E62" s="8">
        <f t="shared" si="10"/>
        <v>0.96</v>
      </c>
      <c r="G62" t="s">
        <v>56</v>
      </c>
      <c r="H62" s="4" t="s">
        <v>33</v>
      </c>
      <c r="I62" s="4">
        <v>2.74</v>
      </c>
      <c r="J62" s="4">
        <v>9.83</v>
      </c>
      <c r="K62" s="8">
        <f t="shared" si="12"/>
        <v>26.934200000000001</v>
      </c>
      <c r="O62" s="4" t="s">
        <v>34</v>
      </c>
      <c r="P62" s="4">
        <v>0.1</v>
      </c>
      <c r="Q62" s="4">
        <v>13.67</v>
      </c>
      <c r="R62" s="8">
        <f t="shared" si="11"/>
        <v>1.367</v>
      </c>
    </row>
    <row r="63" spans="1:18" x14ac:dyDescent="0.3">
      <c r="E63" s="9">
        <f>SUM(E57:E62)</f>
        <v>67.888779999999983</v>
      </c>
      <c r="H63" s="4" t="s">
        <v>43</v>
      </c>
      <c r="I63" s="4">
        <v>2</v>
      </c>
      <c r="J63" s="4">
        <v>1.24</v>
      </c>
      <c r="K63" s="8">
        <f t="shared" si="12"/>
        <v>2.48</v>
      </c>
      <c r="O63" s="4" t="s">
        <v>35</v>
      </c>
      <c r="P63" s="4">
        <v>4</v>
      </c>
      <c r="Q63" s="4">
        <v>1.89</v>
      </c>
      <c r="R63" s="8">
        <f t="shared" si="11"/>
        <v>7.56</v>
      </c>
    </row>
    <row r="64" spans="1:18" x14ac:dyDescent="0.3">
      <c r="B64" s="4" t="s">
        <v>37</v>
      </c>
      <c r="C64">
        <v>20</v>
      </c>
      <c r="D64">
        <v>1.41</v>
      </c>
      <c r="E64" s="8">
        <f>C64*D64</f>
        <v>28.2</v>
      </c>
      <c r="H64" s="4" t="s">
        <v>89</v>
      </c>
      <c r="I64" s="10">
        <v>4</v>
      </c>
      <c r="J64" s="10">
        <v>1.86</v>
      </c>
      <c r="K64" s="11">
        <f t="shared" si="12"/>
        <v>7.44</v>
      </c>
      <c r="O64" s="4" t="s">
        <v>36</v>
      </c>
      <c r="P64" s="4">
        <v>4</v>
      </c>
      <c r="Q64" s="4">
        <v>0.24</v>
      </c>
      <c r="R64" s="8">
        <f t="shared" si="11"/>
        <v>0.96</v>
      </c>
    </row>
    <row r="65" spans="1:19" x14ac:dyDescent="0.3">
      <c r="E65" s="8">
        <f>SUM(E63:E64)</f>
        <v>96.088779999999986</v>
      </c>
      <c r="H65" s="4" t="s">
        <v>34</v>
      </c>
      <c r="I65" s="4">
        <v>0.1</v>
      </c>
      <c r="J65" s="4">
        <v>13.67</v>
      </c>
      <c r="K65" s="8">
        <f t="shared" si="12"/>
        <v>1.367</v>
      </c>
      <c r="R65" s="9">
        <f>SUM(R59:R64)</f>
        <v>43.460669999999993</v>
      </c>
    </row>
    <row r="66" spans="1:19" x14ac:dyDescent="0.3">
      <c r="H66" s="4" t="s">
        <v>35</v>
      </c>
      <c r="I66" s="4">
        <v>4</v>
      </c>
      <c r="J66" s="4">
        <v>1.89</v>
      </c>
      <c r="K66" s="8">
        <f t="shared" si="12"/>
        <v>7.56</v>
      </c>
      <c r="O66" s="4" t="s">
        <v>37</v>
      </c>
      <c r="P66">
        <v>15</v>
      </c>
      <c r="Q66">
        <v>1.41</v>
      </c>
      <c r="R66" s="8">
        <v>15</v>
      </c>
    </row>
    <row r="67" spans="1:19" x14ac:dyDescent="0.3">
      <c r="H67" s="4" t="s">
        <v>36</v>
      </c>
      <c r="I67" s="4">
        <v>4</v>
      </c>
      <c r="J67" s="4">
        <v>0.24</v>
      </c>
      <c r="K67" s="8">
        <f t="shared" si="12"/>
        <v>0.96</v>
      </c>
      <c r="R67" s="8">
        <f>SUM(R65:R66)</f>
        <v>58.460669999999993</v>
      </c>
    </row>
    <row r="68" spans="1:19" x14ac:dyDescent="0.3">
      <c r="C68" s="4" t="s">
        <v>28</v>
      </c>
      <c r="D68" s="4" t="s">
        <v>29</v>
      </c>
      <c r="E68" s="4" t="s">
        <v>30</v>
      </c>
      <c r="K68" s="9">
        <f>SUM(K60:K67)</f>
        <v>120.28866000000001</v>
      </c>
    </row>
    <row r="69" spans="1:19" x14ac:dyDescent="0.3">
      <c r="A69" t="s">
        <v>45</v>
      </c>
      <c r="B69" s="4" t="s">
        <v>32</v>
      </c>
      <c r="C69" s="4">
        <v>1.819</v>
      </c>
      <c r="D69" s="4">
        <v>19.38</v>
      </c>
      <c r="E69" s="8">
        <f t="shared" ref="E69:E74" si="13">C69*D69</f>
        <v>35.252219999999994</v>
      </c>
      <c r="H69" s="4" t="s">
        <v>37</v>
      </c>
      <c r="I69">
        <v>20</v>
      </c>
      <c r="J69">
        <v>1.41</v>
      </c>
      <c r="K69" s="8">
        <f>I69*J69</f>
        <v>28.2</v>
      </c>
    </row>
    <row r="70" spans="1:19" x14ac:dyDescent="0.3">
      <c r="A70" t="s">
        <v>39</v>
      </c>
      <c r="B70" s="4" t="s">
        <v>33</v>
      </c>
      <c r="C70" s="4">
        <v>2.8980000000000001</v>
      </c>
      <c r="D70" s="4">
        <v>9.83</v>
      </c>
      <c r="E70" s="8">
        <f t="shared" si="13"/>
        <v>28.487340000000003</v>
      </c>
      <c r="K70" s="8">
        <f>SUM(K68:K69)</f>
        <v>148.48866000000001</v>
      </c>
    </row>
    <row r="71" spans="1:19" x14ac:dyDescent="0.3">
      <c r="B71" s="4" t="s">
        <v>43</v>
      </c>
      <c r="C71" s="4">
        <v>2</v>
      </c>
      <c r="D71" s="4">
        <v>1.24</v>
      </c>
      <c r="E71" s="8">
        <f t="shared" si="13"/>
        <v>2.48</v>
      </c>
    </row>
    <row r="72" spans="1:19" x14ac:dyDescent="0.3">
      <c r="B72" s="4" t="s">
        <v>34</v>
      </c>
      <c r="C72" s="4">
        <v>0.1</v>
      </c>
      <c r="D72" s="4">
        <v>13.67</v>
      </c>
      <c r="E72" s="8">
        <f t="shared" si="13"/>
        <v>1.367</v>
      </c>
    </row>
    <row r="73" spans="1:19" x14ac:dyDescent="0.3">
      <c r="B73" s="4" t="s">
        <v>35</v>
      </c>
      <c r="C73" s="4">
        <v>4</v>
      </c>
      <c r="D73" s="4">
        <v>1.89</v>
      </c>
      <c r="E73" s="8">
        <f t="shared" si="13"/>
        <v>7.56</v>
      </c>
      <c r="I73" s="4" t="s">
        <v>28</v>
      </c>
      <c r="J73" s="4" t="s">
        <v>29</v>
      </c>
      <c r="K73" s="4" t="s">
        <v>30</v>
      </c>
      <c r="M73" s="59"/>
      <c r="P73" s="4" t="s">
        <v>28</v>
      </c>
      <c r="Q73" s="4" t="s">
        <v>29</v>
      </c>
      <c r="R73" s="4" t="s">
        <v>30</v>
      </c>
      <c r="S73" s="59"/>
    </row>
    <row r="74" spans="1:19" x14ac:dyDescent="0.3">
      <c r="B74" s="4" t="s">
        <v>36</v>
      </c>
      <c r="C74" s="4">
        <v>4</v>
      </c>
      <c r="D74" s="4">
        <v>0.24</v>
      </c>
      <c r="E74" s="8">
        <f t="shared" si="13"/>
        <v>0.96</v>
      </c>
      <c r="G74" t="s">
        <v>45</v>
      </c>
      <c r="H74" s="4" t="s">
        <v>32</v>
      </c>
      <c r="I74" s="4">
        <v>1.819</v>
      </c>
      <c r="J74" s="4">
        <v>30.59</v>
      </c>
      <c r="K74" s="8">
        <f>I74*J74</f>
        <v>55.643209999999996</v>
      </c>
      <c r="M74" s="59"/>
      <c r="N74" t="s">
        <v>192</v>
      </c>
      <c r="O74" s="4" t="s">
        <v>32</v>
      </c>
      <c r="P74" s="4">
        <v>1.7949999999999999</v>
      </c>
      <c r="Q74" s="4">
        <v>19.38</v>
      </c>
      <c r="R74" s="8">
        <f t="shared" ref="R74:R79" si="14">P74*Q74</f>
        <v>34.787099999999995</v>
      </c>
      <c r="S74" s="59"/>
    </row>
    <row r="75" spans="1:19" x14ac:dyDescent="0.3">
      <c r="E75" s="9">
        <f>SUM(E69:E74)</f>
        <v>76.106560000000002</v>
      </c>
      <c r="G75" t="s">
        <v>39</v>
      </c>
      <c r="H75" s="4" t="s">
        <v>33</v>
      </c>
      <c r="I75" s="4">
        <v>2.8980000000000001</v>
      </c>
      <c r="J75" s="4">
        <v>9.83</v>
      </c>
      <c r="K75" s="8">
        <f>I75*J75</f>
        <v>28.487340000000003</v>
      </c>
      <c r="M75" s="59"/>
      <c r="N75" t="s">
        <v>246</v>
      </c>
      <c r="O75" s="4" t="s">
        <v>33</v>
      </c>
      <c r="P75" s="4">
        <v>0.75900000000000001</v>
      </c>
      <c r="Q75" s="4">
        <v>9.83</v>
      </c>
      <c r="R75" s="8">
        <f t="shared" si="14"/>
        <v>7.4609700000000005</v>
      </c>
      <c r="S75" s="59"/>
    </row>
    <row r="76" spans="1:19" x14ac:dyDescent="0.3">
      <c r="B76" s="4" t="s">
        <v>37</v>
      </c>
      <c r="C76">
        <v>20</v>
      </c>
      <c r="D76">
        <v>1.41</v>
      </c>
      <c r="E76" s="8">
        <f>C76*D76</f>
        <v>28.2</v>
      </c>
      <c r="G76" t="s">
        <v>57</v>
      </c>
      <c r="H76" s="4" t="s">
        <v>33</v>
      </c>
      <c r="I76" s="4">
        <v>3.2130000000000001</v>
      </c>
      <c r="J76" s="4">
        <v>9.83</v>
      </c>
      <c r="K76" s="8">
        <f>I76*J76</f>
        <v>31.58379</v>
      </c>
      <c r="M76" s="59"/>
      <c r="O76" s="4" t="s">
        <v>507</v>
      </c>
      <c r="P76" s="4">
        <v>0.05</v>
      </c>
      <c r="Q76" s="4">
        <v>1.24</v>
      </c>
      <c r="R76" s="8">
        <f t="shared" si="14"/>
        <v>6.2E-2</v>
      </c>
      <c r="S76" s="59"/>
    </row>
    <row r="77" spans="1:19" x14ac:dyDescent="0.3">
      <c r="E77" s="8">
        <f>SUM(E75:E76)</f>
        <v>104.30656</v>
      </c>
      <c r="H77" s="4" t="s">
        <v>43</v>
      </c>
      <c r="I77" s="4">
        <v>2</v>
      </c>
      <c r="J77" s="4">
        <v>1.24</v>
      </c>
      <c r="K77" s="8">
        <f>I77*J77</f>
        <v>2.48</v>
      </c>
      <c r="M77" s="59"/>
      <c r="O77" s="4" t="s">
        <v>34</v>
      </c>
      <c r="P77" s="4">
        <v>0.11</v>
      </c>
      <c r="Q77" s="4">
        <v>13.67</v>
      </c>
      <c r="R77" s="8">
        <f t="shared" si="14"/>
        <v>1.5037</v>
      </c>
      <c r="S77" s="59"/>
    </row>
    <row r="78" spans="1:19" x14ac:dyDescent="0.3">
      <c r="H78" s="4" t="s">
        <v>91</v>
      </c>
      <c r="I78" s="10">
        <v>4</v>
      </c>
      <c r="J78" s="4"/>
      <c r="K78" s="4">
        <v>7.68</v>
      </c>
      <c r="M78" s="59"/>
      <c r="O78" s="4" t="s">
        <v>35</v>
      </c>
      <c r="P78" s="4">
        <v>4</v>
      </c>
      <c r="Q78" s="4">
        <v>1.89</v>
      </c>
      <c r="R78" s="8">
        <f t="shared" si="14"/>
        <v>7.56</v>
      </c>
      <c r="S78" s="59"/>
    </row>
    <row r="79" spans="1:19" x14ac:dyDescent="0.3">
      <c r="C79" s="4" t="s">
        <v>28</v>
      </c>
      <c r="D79" s="4" t="s">
        <v>29</v>
      </c>
      <c r="E79" s="4" t="s">
        <v>30</v>
      </c>
      <c r="H79" s="4" t="s">
        <v>34</v>
      </c>
      <c r="I79" s="4">
        <v>0.1</v>
      </c>
      <c r="J79" s="4">
        <v>13.67</v>
      </c>
      <c r="K79" s="8">
        <f>I79*J79</f>
        <v>1.367</v>
      </c>
      <c r="M79" s="59"/>
      <c r="O79" s="4" t="s">
        <v>36</v>
      </c>
      <c r="P79" s="4">
        <v>4</v>
      </c>
      <c r="Q79" s="4">
        <v>0.24</v>
      </c>
      <c r="R79" s="8">
        <f t="shared" si="14"/>
        <v>0.96</v>
      </c>
      <c r="S79" s="59"/>
    </row>
    <row r="80" spans="1:19" x14ac:dyDescent="0.3">
      <c r="A80" t="s">
        <v>46</v>
      </c>
      <c r="B80" s="4" t="s">
        <v>32</v>
      </c>
      <c r="C80" s="4">
        <v>2.028</v>
      </c>
      <c r="D80" s="4">
        <v>19.38</v>
      </c>
      <c r="E80" s="8">
        <f t="shared" ref="E80:E85" si="15">C80*D80</f>
        <v>39.302639999999997</v>
      </c>
      <c r="H80" s="4" t="s">
        <v>35</v>
      </c>
      <c r="I80" s="4">
        <v>4</v>
      </c>
      <c r="J80" s="4">
        <v>1.89</v>
      </c>
      <c r="K80" s="8">
        <f>I80*J80</f>
        <v>7.56</v>
      </c>
      <c r="M80" s="59"/>
      <c r="R80" s="9">
        <f>SUM(R74:R79)</f>
        <v>52.333770000000001</v>
      </c>
      <c r="S80" s="59"/>
    </row>
    <row r="81" spans="1:19" x14ac:dyDescent="0.3">
      <c r="A81" t="s">
        <v>39</v>
      </c>
      <c r="B81" s="4" t="s">
        <v>33</v>
      </c>
      <c r="C81" s="4">
        <v>3.3180000000000001</v>
      </c>
      <c r="D81" s="4">
        <v>9.83</v>
      </c>
      <c r="E81" s="8">
        <f t="shared" si="15"/>
        <v>32.615940000000002</v>
      </c>
      <c r="H81" s="4" t="s">
        <v>36</v>
      </c>
      <c r="I81" s="4">
        <v>4</v>
      </c>
      <c r="J81" s="4">
        <v>0.24</v>
      </c>
      <c r="K81" s="8">
        <f>I81*J81</f>
        <v>0.96</v>
      </c>
      <c r="M81" s="59"/>
      <c r="O81" s="4" t="s">
        <v>37</v>
      </c>
      <c r="P81">
        <v>20</v>
      </c>
      <c r="Q81">
        <v>1.41</v>
      </c>
      <c r="R81" s="8">
        <f>P81*Q81</f>
        <v>28.2</v>
      </c>
      <c r="S81" s="59"/>
    </row>
    <row r="82" spans="1:19" x14ac:dyDescent="0.3">
      <c r="B82" s="4" t="s">
        <v>43</v>
      </c>
      <c r="C82" s="4">
        <v>2</v>
      </c>
      <c r="D82" s="4">
        <v>1.24</v>
      </c>
      <c r="E82" s="8">
        <f t="shared" si="15"/>
        <v>2.48</v>
      </c>
      <c r="K82" s="9">
        <f>SUM(K74:K81)</f>
        <v>135.76133999999999</v>
      </c>
      <c r="M82" s="59"/>
      <c r="R82" s="8">
        <f>SUM(R80:R81)</f>
        <v>80.533770000000004</v>
      </c>
      <c r="S82" s="59"/>
    </row>
    <row r="83" spans="1:19" x14ac:dyDescent="0.3">
      <c r="B83" s="4" t="s">
        <v>34</v>
      </c>
      <c r="C83" s="4">
        <v>0.1</v>
      </c>
      <c r="D83" s="4">
        <v>13.67</v>
      </c>
      <c r="E83" s="8">
        <f t="shared" si="15"/>
        <v>1.367</v>
      </c>
      <c r="H83" s="4" t="s">
        <v>37</v>
      </c>
      <c r="I83">
        <v>25</v>
      </c>
      <c r="J83">
        <v>1.41</v>
      </c>
      <c r="K83" s="8">
        <f>I83*J83</f>
        <v>35.25</v>
      </c>
      <c r="M83" s="59"/>
      <c r="N83" s="59"/>
      <c r="O83" s="59"/>
      <c r="P83" s="59"/>
      <c r="Q83" s="60"/>
      <c r="R83" s="59"/>
      <c r="S83" s="59"/>
    </row>
    <row r="84" spans="1:19" x14ac:dyDescent="0.3">
      <c r="B84" s="4" t="s">
        <v>35</v>
      </c>
      <c r="C84" s="4">
        <v>4</v>
      </c>
      <c r="D84" s="4">
        <v>1.89</v>
      </c>
      <c r="E84" s="8">
        <f t="shared" si="15"/>
        <v>7.56</v>
      </c>
      <c r="K84" s="8">
        <f>SUM(K82:K83)</f>
        <v>171.01133999999999</v>
      </c>
      <c r="M84" s="59"/>
      <c r="N84" s="59"/>
      <c r="O84" s="59"/>
      <c r="P84" s="59"/>
      <c r="Q84" s="60"/>
      <c r="R84" s="59"/>
      <c r="S84" s="59"/>
    </row>
    <row r="85" spans="1:19" x14ac:dyDescent="0.3">
      <c r="B85" s="4" t="s">
        <v>36</v>
      </c>
      <c r="C85" s="4">
        <v>4</v>
      </c>
      <c r="D85" s="4">
        <v>0.24</v>
      </c>
      <c r="E85" s="8">
        <f t="shared" si="15"/>
        <v>0.96</v>
      </c>
      <c r="M85" s="59"/>
      <c r="N85" s="59"/>
      <c r="O85" s="59"/>
      <c r="P85" s="59"/>
      <c r="Q85" s="59"/>
      <c r="R85" s="59"/>
      <c r="S85" s="59"/>
    </row>
    <row r="86" spans="1:19" x14ac:dyDescent="0.3">
      <c r="E86" s="9">
        <f>SUM(E80:E85)</f>
        <v>84.285579999999996</v>
      </c>
    </row>
    <row r="87" spans="1:19" x14ac:dyDescent="0.3">
      <c r="B87" s="4" t="s">
        <v>37</v>
      </c>
      <c r="E87" s="8">
        <v>63.9</v>
      </c>
      <c r="I87" s="4" t="s">
        <v>28</v>
      </c>
      <c r="J87" s="4" t="s">
        <v>29</v>
      </c>
      <c r="K87" s="4" t="s">
        <v>30</v>
      </c>
    </row>
    <row r="88" spans="1:19" x14ac:dyDescent="0.3">
      <c r="E88" s="8">
        <f>SUM(E86:E87)</f>
        <v>148.18557999999999</v>
      </c>
      <c r="G88" t="s">
        <v>46</v>
      </c>
      <c r="H88" s="4" t="s">
        <v>32</v>
      </c>
      <c r="I88" s="4">
        <v>2.028</v>
      </c>
      <c r="J88" s="4">
        <v>30.59</v>
      </c>
      <c r="K88" s="8">
        <f t="shared" ref="K88:K95" si="16">I88*J88</f>
        <v>62.036520000000003</v>
      </c>
    </row>
    <row r="89" spans="1:19" x14ac:dyDescent="0.3">
      <c r="G89" t="s">
        <v>39</v>
      </c>
      <c r="H89" s="4" t="s">
        <v>33</v>
      </c>
      <c r="I89" s="4">
        <v>3.3180000000000001</v>
      </c>
      <c r="J89" s="4">
        <v>9.83</v>
      </c>
      <c r="K89" s="8">
        <f t="shared" si="16"/>
        <v>32.615940000000002</v>
      </c>
    </row>
    <row r="90" spans="1:19" x14ac:dyDescent="0.3">
      <c r="C90" s="4" t="s">
        <v>28</v>
      </c>
      <c r="D90" s="4" t="s">
        <v>29</v>
      </c>
      <c r="E90" s="4" t="s">
        <v>30</v>
      </c>
      <c r="G90" t="s">
        <v>58</v>
      </c>
      <c r="H90" s="4" t="s">
        <v>33</v>
      </c>
      <c r="I90" s="4">
        <v>3.6850000000000001</v>
      </c>
      <c r="J90" s="4">
        <v>9.83</v>
      </c>
      <c r="K90" s="8">
        <f t="shared" si="16"/>
        <v>36.223550000000003</v>
      </c>
    </row>
    <row r="91" spans="1:19" x14ac:dyDescent="0.3">
      <c r="A91" t="s">
        <v>47</v>
      </c>
      <c r="B91" s="4" t="s">
        <v>32</v>
      </c>
      <c r="C91" s="4">
        <v>2.2389999999999999</v>
      </c>
      <c r="D91" s="4">
        <v>19.38</v>
      </c>
      <c r="E91" s="8">
        <f t="shared" ref="E91:E96" si="17">C91*D91</f>
        <v>43.391819999999996</v>
      </c>
      <c r="H91" s="4" t="s">
        <v>43</v>
      </c>
      <c r="I91" s="4">
        <v>2</v>
      </c>
      <c r="J91" s="4">
        <v>1.24</v>
      </c>
      <c r="K91" s="8">
        <f t="shared" si="16"/>
        <v>2.48</v>
      </c>
    </row>
    <row r="92" spans="1:19" x14ac:dyDescent="0.3">
      <c r="A92" t="s">
        <v>39</v>
      </c>
      <c r="B92" s="4" t="s">
        <v>33</v>
      </c>
      <c r="C92" s="4">
        <v>3.738</v>
      </c>
      <c r="D92" s="4">
        <v>9.83</v>
      </c>
      <c r="E92" s="8">
        <f t="shared" si="17"/>
        <v>36.744540000000001</v>
      </c>
      <c r="H92" s="4" t="s">
        <v>92</v>
      </c>
      <c r="I92" s="10">
        <v>4</v>
      </c>
      <c r="J92" s="10">
        <v>1.98</v>
      </c>
      <c r="K92" s="11">
        <f t="shared" si="16"/>
        <v>7.92</v>
      </c>
    </row>
    <row r="93" spans="1:19" x14ac:dyDescent="0.3">
      <c r="B93" s="4" t="s">
        <v>43</v>
      </c>
      <c r="C93" s="4">
        <v>2</v>
      </c>
      <c r="D93" s="4">
        <v>1.24</v>
      </c>
      <c r="E93" s="8">
        <f t="shared" si="17"/>
        <v>2.48</v>
      </c>
      <c r="H93" s="4" t="s">
        <v>34</v>
      </c>
      <c r="I93" s="4">
        <v>0.1</v>
      </c>
      <c r="J93" s="4">
        <v>13.67</v>
      </c>
      <c r="K93" s="8">
        <f t="shared" si="16"/>
        <v>1.367</v>
      </c>
    </row>
    <row r="94" spans="1:19" x14ac:dyDescent="0.3">
      <c r="B94" s="4" t="s">
        <v>34</v>
      </c>
      <c r="C94" s="4">
        <v>0.1</v>
      </c>
      <c r="D94" s="4">
        <v>13.67</v>
      </c>
      <c r="E94" s="8">
        <f t="shared" si="17"/>
        <v>1.367</v>
      </c>
      <c r="H94" s="4" t="s">
        <v>35</v>
      </c>
      <c r="I94" s="4">
        <v>4</v>
      </c>
      <c r="J94" s="4">
        <v>1.89</v>
      </c>
      <c r="K94" s="8">
        <f t="shared" si="16"/>
        <v>7.56</v>
      </c>
    </row>
    <row r="95" spans="1:19" x14ac:dyDescent="0.3">
      <c r="B95" s="4" t="s">
        <v>35</v>
      </c>
      <c r="C95" s="4">
        <v>4</v>
      </c>
      <c r="D95" s="4">
        <v>1.89</v>
      </c>
      <c r="E95" s="8">
        <f t="shared" si="17"/>
        <v>7.56</v>
      </c>
      <c r="H95" s="4" t="s">
        <v>36</v>
      </c>
      <c r="I95" s="4">
        <v>4</v>
      </c>
      <c r="J95" s="4">
        <v>0.24</v>
      </c>
      <c r="K95" s="8">
        <f t="shared" si="16"/>
        <v>0.96</v>
      </c>
    </row>
    <row r="96" spans="1:19" x14ac:dyDescent="0.3">
      <c r="B96" s="4" t="s">
        <v>36</v>
      </c>
      <c r="C96" s="4">
        <v>4</v>
      </c>
      <c r="D96" s="4">
        <v>0.24</v>
      </c>
      <c r="E96" s="8">
        <f t="shared" si="17"/>
        <v>0.96</v>
      </c>
      <c r="K96" s="9">
        <f>SUM(K88:K95)</f>
        <v>151.16300999999999</v>
      </c>
    </row>
    <row r="97" spans="1:11" x14ac:dyDescent="0.3">
      <c r="E97" s="9">
        <f>SUM(E91:E96)</f>
        <v>92.503360000000001</v>
      </c>
      <c r="H97" s="4" t="s">
        <v>37</v>
      </c>
      <c r="K97" s="8">
        <v>63.9</v>
      </c>
    </row>
    <row r="98" spans="1:11" x14ac:dyDescent="0.3">
      <c r="B98" s="4" t="s">
        <v>37</v>
      </c>
      <c r="C98">
        <v>30</v>
      </c>
      <c r="D98">
        <v>1.41</v>
      </c>
      <c r="E98" s="8">
        <f>C98*D98</f>
        <v>42.3</v>
      </c>
      <c r="K98" s="8">
        <f>SUM(K96:K97)</f>
        <v>215.06300999999999</v>
      </c>
    </row>
    <row r="99" spans="1:11" x14ac:dyDescent="0.3">
      <c r="E99" s="8">
        <f>SUM(E97:E98)</f>
        <v>134.80336</v>
      </c>
    </row>
    <row r="101" spans="1:11" x14ac:dyDescent="0.3">
      <c r="C101" s="4" t="s">
        <v>28</v>
      </c>
      <c r="D101" s="4" t="s">
        <v>29</v>
      </c>
      <c r="E101" s="4" t="s">
        <v>30</v>
      </c>
      <c r="I101" s="4" t="s">
        <v>28</v>
      </c>
      <c r="J101" s="4" t="s">
        <v>29</v>
      </c>
      <c r="K101" s="4" t="s">
        <v>30</v>
      </c>
    </row>
    <row r="102" spans="1:11" x14ac:dyDescent="0.3">
      <c r="A102" t="s">
        <v>48</v>
      </c>
      <c r="B102" s="4" t="s">
        <v>32</v>
      </c>
      <c r="C102" s="4">
        <v>2.448</v>
      </c>
      <c r="D102" s="4">
        <v>19.38</v>
      </c>
      <c r="E102" s="8">
        <f t="shared" ref="E102:E107" si="18">C102*D102</f>
        <v>47.442239999999998</v>
      </c>
      <c r="G102" t="s">
        <v>47</v>
      </c>
      <c r="H102" s="4" t="s">
        <v>32</v>
      </c>
      <c r="I102" s="4">
        <v>2.2389999999999999</v>
      </c>
      <c r="J102" s="4">
        <v>30.59</v>
      </c>
      <c r="K102" s="8">
        <f>I102*J102</f>
        <v>68.491010000000003</v>
      </c>
    </row>
    <row r="103" spans="1:11" x14ac:dyDescent="0.3">
      <c r="A103" t="s">
        <v>39</v>
      </c>
      <c r="B103" s="4" t="s">
        <v>33</v>
      </c>
      <c r="C103" s="4">
        <v>4.1580000000000004</v>
      </c>
      <c r="D103" s="4">
        <v>9.83</v>
      </c>
      <c r="E103" s="8">
        <f t="shared" si="18"/>
        <v>40.873140000000006</v>
      </c>
      <c r="G103" t="s">
        <v>39</v>
      </c>
      <c r="H103" s="4" t="s">
        <v>33</v>
      </c>
      <c r="I103" s="4">
        <v>3.738</v>
      </c>
      <c r="J103" s="4">
        <v>9.83</v>
      </c>
      <c r="K103" s="8">
        <f>I103*J103</f>
        <v>36.744540000000001</v>
      </c>
    </row>
    <row r="104" spans="1:11" x14ac:dyDescent="0.3">
      <c r="B104" s="4" t="s">
        <v>43</v>
      </c>
      <c r="C104" s="4">
        <v>2</v>
      </c>
      <c r="D104" s="4">
        <v>1.24</v>
      </c>
      <c r="E104" s="8">
        <f t="shared" si="18"/>
        <v>2.48</v>
      </c>
      <c r="G104" t="s">
        <v>59</v>
      </c>
      <c r="H104" s="4" t="s">
        <v>33</v>
      </c>
      <c r="I104" s="4">
        <v>4.1580000000000004</v>
      </c>
      <c r="J104" s="4">
        <v>9.83</v>
      </c>
      <c r="K104" s="8">
        <f>I104*J104</f>
        <v>40.873140000000006</v>
      </c>
    </row>
    <row r="105" spans="1:11" x14ac:dyDescent="0.3">
      <c r="B105" s="4" t="s">
        <v>34</v>
      </c>
      <c r="C105" s="4">
        <v>0.1</v>
      </c>
      <c r="D105" s="4">
        <v>13.67</v>
      </c>
      <c r="E105" s="8">
        <f t="shared" si="18"/>
        <v>1.367</v>
      </c>
      <c r="H105" s="4" t="s">
        <v>43</v>
      </c>
      <c r="I105" s="4">
        <v>2</v>
      </c>
      <c r="J105" s="4">
        <v>1.24</v>
      </c>
      <c r="K105" s="8">
        <f>I105*J105</f>
        <v>2.48</v>
      </c>
    </row>
    <row r="106" spans="1:11" x14ac:dyDescent="0.3">
      <c r="B106" s="4" t="s">
        <v>35</v>
      </c>
      <c r="C106" s="4">
        <v>4</v>
      </c>
      <c r="D106" s="4">
        <v>1.89</v>
      </c>
      <c r="E106" s="8">
        <f t="shared" si="18"/>
        <v>7.56</v>
      </c>
      <c r="H106" s="4" t="s">
        <v>93</v>
      </c>
      <c r="I106" s="4">
        <v>4</v>
      </c>
      <c r="J106" s="4"/>
      <c r="K106" s="4">
        <v>8.44</v>
      </c>
    </row>
    <row r="107" spans="1:11" x14ac:dyDescent="0.3">
      <c r="B107" s="4" t="s">
        <v>36</v>
      </c>
      <c r="C107" s="4">
        <v>4</v>
      </c>
      <c r="D107" s="4">
        <v>0.24</v>
      </c>
      <c r="E107" s="8">
        <f t="shared" si="18"/>
        <v>0.96</v>
      </c>
      <c r="H107" s="4" t="s">
        <v>34</v>
      </c>
      <c r="I107" s="4">
        <v>0.1</v>
      </c>
      <c r="J107" s="4">
        <v>13.67</v>
      </c>
      <c r="K107" s="8">
        <f>I107*J107</f>
        <v>1.367</v>
      </c>
    </row>
    <row r="108" spans="1:11" x14ac:dyDescent="0.3">
      <c r="E108" s="9">
        <f>SUM(E102:E107)</f>
        <v>100.68238000000001</v>
      </c>
      <c r="H108" s="4" t="s">
        <v>35</v>
      </c>
      <c r="I108" s="4">
        <v>4</v>
      </c>
      <c r="J108" s="4">
        <v>1.89</v>
      </c>
      <c r="K108" s="8">
        <f>I108*J108</f>
        <v>7.56</v>
      </c>
    </row>
    <row r="109" spans="1:11" x14ac:dyDescent="0.3">
      <c r="B109" s="4" t="s">
        <v>37</v>
      </c>
      <c r="C109">
        <v>30</v>
      </c>
      <c r="D109">
        <v>1.41</v>
      </c>
      <c r="E109" s="8">
        <f>C109*D109</f>
        <v>42.3</v>
      </c>
      <c r="H109" s="4" t="s">
        <v>36</v>
      </c>
      <c r="I109" s="4">
        <v>4</v>
      </c>
      <c r="J109" s="4">
        <v>0.24</v>
      </c>
      <c r="K109" s="8">
        <f>I109*J109</f>
        <v>0.96</v>
      </c>
    </row>
    <row r="110" spans="1:11" x14ac:dyDescent="0.3">
      <c r="E110" s="8">
        <f>SUM(E108:E109)</f>
        <v>142.98238000000001</v>
      </c>
      <c r="K110" s="9">
        <f>SUM(K102:K109)</f>
        <v>166.91569000000001</v>
      </c>
    </row>
    <row r="111" spans="1:11" x14ac:dyDescent="0.3">
      <c r="H111" s="4" t="s">
        <v>37</v>
      </c>
      <c r="I111">
        <v>30</v>
      </c>
      <c r="J111">
        <v>1.41</v>
      </c>
      <c r="K111" s="8">
        <f>I111*J111</f>
        <v>42.3</v>
      </c>
    </row>
    <row r="112" spans="1:11" x14ac:dyDescent="0.3">
      <c r="C112" s="4" t="s">
        <v>28</v>
      </c>
      <c r="D112" s="4" t="s">
        <v>29</v>
      </c>
      <c r="E112" s="4" t="s">
        <v>30</v>
      </c>
      <c r="K112" s="8">
        <f>SUM(K110:K111)</f>
        <v>209.21569</v>
      </c>
    </row>
    <row r="113" spans="1:11" x14ac:dyDescent="0.3">
      <c r="A113" t="s">
        <v>49</v>
      </c>
      <c r="B113" s="4" t="s">
        <v>32</v>
      </c>
      <c r="C113" s="4">
        <v>2.8690000000000002</v>
      </c>
      <c r="D113" s="4">
        <v>19.38</v>
      </c>
      <c r="E113" s="8">
        <f t="shared" ref="E113:E118" si="19">C113*D113</f>
        <v>55.601219999999998</v>
      </c>
    </row>
    <row r="114" spans="1:11" x14ac:dyDescent="0.3">
      <c r="A114" t="s">
        <v>39</v>
      </c>
      <c r="B114" s="4" t="s">
        <v>33</v>
      </c>
      <c r="C114" s="4">
        <v>4.9980000000000002</v>
      </c>
      <c r="D114" s="4">
        <v>9.83</v>
      </c>
      <c r="E114" s="8">
        <f t="shared" si="19"/>
        <v>49.130340000000004</v>
      </c>
      <c r="I114" s="4" t="s">
        <v>28</v>
      </c>
      <c r="J114" s="4" t="s">
        <v>29</v>
      </c>
      <c r="K114" s="4" t="s">
        <v>30</v>
      </c>
    </row>
    <row r="115" spans="1:11" x14ac:dyDescent="0.3">
      <c r="B115" s="4" t="s">
        <v>43</v>
      </c>
      <c r="C115" s="4">
        <v>2</v>
      </c>
      <c r="D115" s="4">
        <v>1.24</v>
      </c>
      <c r="E115" s="8">
        <f t="shared" si="19"/>
        <v>2.48</v>
      </c>
      <c r="G115" t="s">
        <v>48</v>
      </c>
      <c r="H115" s="4" t="s">
        <v>32</v>
      </c>
      <c r="I115" s="4">
        <v>2.448</v>
      </c>
      <c r="J115" s="4">
        <v>30.59</v>
      </c>
      <c r="K115" s="8">
        <f t="shared" ref="K115:K122" si="20">I115*J115</f>
        <v>74.884320000000002</v>
      </c>
    </row>
    <row r="116" spans="1:11" x14ac:dyDescent="0.3">
      <c r="B116" s="4" t="s">
        <v>34</v>
      </c>
      <c r="C116" s="4">
        <v>0.1</v>
      </c>
      <c r="D116" s="4">
        <v>13.67</v>
      </c>
      <c r="E116" s="8">
        <f t="shared" si="19"/>
        <v>1.367</v>
      </c>
      <c r="G116" t="s">
        <v>39</v>
      </c>
      <c r="H116" s="4" t="s">
        <v>33</v>
      </c>
      <c r="I116" s="4">
        <v>4.1580000000000004</v>
      </c>
      <c r="J116" s="4">
        <v>9.83</v>
      </c>
      <c r="K116" s="8">
        <f t="shared" si="20"/>
        <v>40.873140000000006</v>
      </c>
    </row>
    <row r="117" spans="1:11" x14ac:dyDescent="0.3">
      <c r="B117" s="4" t="s">
        <v>35</v>
      </c>
      <c r="C117" s="4">
        <v>4</v>
      </c>
      <c r="D117" s="4">
        <v>1.89</v>
      </c>
      <c r="E117" s="8">
        <f t="shared" si="19"/>
        <v>7.56</v>
      </c>
      <c r="G117" t="s">
        <v>60</v>
      </c>
      <c r="H117" s="4" t="s">
        <v>33</v>
      </c>
      <c r="I117" s="4">
        <v>4.63</v>
      </c>
      <c r="J117" s="4">
        <v>9.83</v>
      </c>
      <c r="K117" s="8">
        <f t="shared" si="20"/>
        <v>45.512900000000002</v>
      </c>
    </row>
    <row r="118" spans="1:11" x14ac:dyDescent="0.3">
      <c r="B118" s="4" t="s">
        <v>36</v>
      </c>
      <c r="C118" s="4">
        <v>4</v>
      </c>
      <c r="D118" s="4">
        <v>0.24</v>
      </c>
      <c r="E118" s="8">
        <f t="shared" si="19"/>
        <v>0.96</v>
      </c>
      <c r="H118" s="4" t="s">
        <v>43</v>
      </c>
      <c r="I118" s="4">
        <v>2</v>
      </c>
      <c r="J118" s="4">
        <v>1.24</v>
      </c>
      <c r="K118" s="8">
        <f t="shared" si="20"/>
        <v>2.48</v>
      </c>
    </row>
    <row r="119" spans="1:11" x14ac:dyDescent="0.3">
      <c r="E119" s="9">
        <f>SUM(E113:E118)</f>
        <v>117.09856000000001</v>
      </c>
      <c r="H119" s="4" t="s">
        <v>94</v>
      </c>
      <c r="I119" s="10">
        <v>4</v>
      </c>
      <c r="J119" s="10">
        <v>2.2400000000000002</v>
      </c>
      <c r="K119" s="11">
        <f t="shared" si="20"/>
        <v>8.9600000000000009</v>
      </c>
    </row>
    <row r="120" spans="1:11" x14ac:dyDescent="0.3">
      <c r="B120" s="4" t="s">
        <v>37</v>
      </c>
      <c r="C120">
        <v>30</v>
      </c>
      <c r="D120">
        <v>1.41</v>
      </c>
      <c r="E120" s="8">
        <f>C120*D120</f>
        <v>42.3</v>
      </c>
      <c r="H120" s="4" t="s">
        <v>34</v>
      </c>
      <c r="I120" s="4">
        <v>0.1</v>
      </c>
      <c r="J120" s="4">
        <v>13.67</v>
      </c>
      <c r="K120" s="8">
        <f t="shared" si="20"/>
        <v>1.367</v>
      </c>
    </row>
    <row r="121" spans="1:11" x14ac:dyDescent="0.3">
      <c r="E121" s="8">
        <f>SUM(E119:E120)</f>
        <v>159.39856</v>
      </c>
      <c r="H121" s="4" t="s">
        <v>35</v>
      </c>
      <c r="I121" s="4">
        <v>4</v>
      </c>
      <c r="J121" s="4">
        <v>1.89</v>
      </c>
      <c r="K121" s="8">
        <f t="shared" si="20"/>
        <v>7.56</v>
      </c>
    </row>
    <row r="122" spans="1:11" x14ac:dyDescent="0.3">
      <c r="H122" s="4" t="s">
        <v>36</v>
      </c>
      <c r="I122" s="4">
        <v>4</v>
      </c>
      <c r="J122" s="4">
        <v>0.24</v>
      </c>
      <c r="K122" s="8">
        <f t="shared" si="20"/>
        <v>0.96</v>
      </c>
    </row>
    <row r="123" spans="1:11" x14ac:dyDescent="0.3">
      <c r="C123" s="4" t="s">
        <v>28</v>
      </c>
      <c r="D123" s="4" t="s">
        <v>29</v>
      </c>
      <c r="E123" s="4" t="s">
        <v>30</v>
      </c>
      <c r="K123" s="9">
        <f>SUM(K115:K122)</f>
        <v>182.59736000000001</v>
      </c>
    </row>
    <row r="124" spans="1:11" x14ac:dyDescent="0.3">
      <c r="A124" t="s">
        <v>245</v>
      </c>
      <c r="B124" s="4" t="s">
        <v>32</v>
      </c>
      <c r="C124" s="4">
        <v>2.8690000000000002</v>
      </c>
      <c r="D124" s="4">
        <v>19.38</v>
      </c>
      <c r="E124" s="8">
        <f t="shared" ref="E124:E129" si="21">C124*D124</f>
        <v>55.601219999999998</v>
      </c>
      <c r="H124" s="4" t="s">
        <v>37</v>
      </c>
      <c r="I124">
        <v>63.9</v>
      </c>
      <c r="K124" s="8">
        <v>63.9</v>
      </c>
    </row>
    <row r="125" spans="1:11" x14ac:dyDescent="0.3">
      <c r="A125" t="s">
        <v>246</v>
      </c>
      <c r="B125" s="4" t="s">
        <v>33</v>
      </c>
      <c r="C125" s="4">
        <v>4.9980000000000002</v>
      </c>
      <c r="D125" s="4">
        <v>9.83</v>
      </c>
      <c r="E125" s="8">
        <f t="shared" si="21"/>
        <v>49.130340000000004</v>
      </c>
      <c r="K125" s="8">
        <f>SUM(K123:K124)</f>
        <v>246.49736000000001</v>
      </c>
    </row>
    <row r="126" spans="1:11" x14ac:dyDescent="0.3">
      <c r="B126" s="4" t="s">
        <v>43</v>
      </c>
      <c r="C126" s="4">
        <v>2</v>
      </c>
      <c r="D126" s="4">
        <v>1.24</v>
      </c>
      <c r="E126" s="8">
        <f t="shared" si="21"/>
        <v>2.48</v>
      </c>
    </row>
    <row r="127" spans="1:11" x14ac:dyDescent="0.3">
      <c r="B127" s="4" t="s">
        <v>34</v>
      </c>
      <c r="C127" s="4">
        <v>0.1</v>
      </c>
      <c r="D127" s="4">
        <v>13.67</v>
      </c>
      <c r="E127" s="8">
        <f t="shared" si="21"/>
        <v>1.367</v>
      </c>
      <c r="I127" s="4" t="s">
        <v>28</v>
      </c>
      <c r="J127" s="4" t="s">
        <v>29</v>
      </c>
      <c r="K127" s="4" t="s">
        <v>30</v>
      </c>
    </row>
    <row r="128" spans="1:11" x14ac:dyDescent="0.3">
      <c r="B128" s="4" t="s">
        <v>35</v>
      </c>
      <c r="C128" s="4">
        <v>4</v>
      </c>
      <c r="D128" s="4">
        <v>1.89</v>
      </c>
      <c r="E128" s="8">
        <f t="shared" si="21"/>
        <v>7.56</v>
      </c>
      <c r="G128" t="s">
        <v>49</v>
      </c>
      <c r="H128" s="4" t="s">
        <v>32</v>
      </c>
      <c r="I128" s="4">
        <v>2.8690000000000002</v>
      </c>
      <c r="J128" s="4">
        <v>30.59</v>
      </c>
      <c r="K128" s="8">
        <f t="shared" ref="K128:K135" si="22">I128*J128</f>
        <v>87.762710000000013</v>
      </c>
    </row>
    <row r="129" spans="1:11" x14ac:dyDescent="0.3">
      <c r="B129" s="4" t="s">
        <v>36</v>
      </c>
      <c r="C129" s="4">
        <v>4</v>
      </c>
      <c r="D129" s="4">
        <v>0.24</v>
      </c>
      <c r="E129" s="8">
        <f t="shared" si="21"/>
        <v>0.96</v>
      </c>
      <c r="G129" t="s">
        <v>39</v>
      </c>
      <c r="H129" s="4" t="s">
        <v>33</v>
      </c>
      <c r="I129" s="4">
        <v>4.9980000000000002</v>
      </c>
      <c r="J129" s="4">
        <v>9.83</v>
      </c>
      <c r="K129" s="8">
        <f t="shared" si="22"/>
        <v>49.130340000000004</v>
      </c>
    </row>
    <row r="130" spans="1:11" x14ac:dyDescent="0.3">
      <c r="E130" s="9">
        <f>SUM(E124:E129)</f>
        <v>117.09856000000001</v>
      </c>
      <c r="G130" t="s">
        <v>61</v>
      </c>
      <c r="H130" s="4" t="s">
        <v>33</v>
      </c>
      <c r="I130" s="4">
        <v>5.5750000000000002</v>
      </c>
      <c r="J130" s="4">
        <v>9.83</v>
      </c>
      <c r="K130" s="8">
        <f t="shared" si="22"/>
        <v>54.802250000000001</v>
      </c>
    </row>
    <row r="131" spans="1:11" x14ac:dyDescent="0.3">
      <c r="B131" s="4" t="s">
        <v>37</v>
      </c>
      <c r="C131">
        <v>30</v>
      </c>
      <c r="D131">
        <v>1.41</v>
      </c>
      <c r="E131" s="8">
        <f>C131*D131</f>
        <v>42.3</v>
      </c>
      <c r="H131" s="4" t="s">
        <v>43</v>
      </c>
      <c r="I131" s="4">
        <v>2</v>
      </c>
      <c r="J131" s="4">
        <v>1.24</v>
      </c>
      <c r="K131" s="8">
        <f t="shared" si="22"/>
        <v>2.48</v>
      </c>
    </row>
    <row r="132" spans="1:11" x14ac:dyDescent="0.3">
      <c r="E132" s="8">
        <f>SUM(E130:E131)</f>
        <v>159.39856</v>
      </c>
      <c r="H132" s="4" t="s">
        <v>95</v>
      </c>
      <c r="I132" s="10">
        <v>6</v>
      </c>
      <c r="J132" s="10">
        <v>1.86</v>
      </c>
      <c r="K132" s="11">
        <f t="shared" si="22"/>
        <v>11.16</v>
      </c>
    </row>
    <row r="133" spans="1:11" x14ac:dyDescent="0.3">
      <c r="H133" s="4" t="s">
        <v>34</v>
      </c>
      <c r="I133" s="4">
        <v>0.2</v>
      </c>
      <c r="J133" s="4">
        <v>13.67</v>
      </c>
      <c r="K133" s="8">
        <f t="shared" si="22"/>
        <v>2.734</v>
      </c>
    </row>
    <row r="134" spans="1:11" x14ac:dyDescent="0.3">
      <c r="H134" s="4" t="s">
        <v>35</v>
      </c>
      <c r="I134" s="4">
        <v>4</v>
      </c>
      <c r="J134" s="4">
        <v>1.89</v>
      </c>
      <c r="K134" s="8">
        <f t="shared" si="22"/>
        <v>7.56</v>
      </c>
    </row>
    <row r="135" spans="1:11" x14ac:dyDescent="0.3">
      <c r="C135" s="4" t="s">
        <v>28</v>
      </c>
      <c r="D135" s="4" t="s">
        <v>29</v>
      </c>
      <c r="E135" s="4" t="s">
        <v>30</v>
      </c>
      <c r="H135" s="4" t="s">
        <v>36</v>
      </c>
      <c r="I135" s="4">
        <v>4</v>
      </c>
      <c r="J135" s="4">
        <v>0.24</v>
      </c>
      <c r="K135" s="8">
        <f t="shared" si="22"/>
        <v>0.96</v>
      </c>
    </row>
    <row r="136" spans="1:11" x14ac:dyDescent="0.3">
      <c r="A136" t="s">
        <v>306</v>
      </c>
      <c r="B136" s="4" t="s">
        <v>32</v>
      </c>
      <c r="C136" s="4">
        <v>1.3979999999999999</v>
      </c>
      <c r="D136" s="4">
        <v>19.38</v>
      </c>
      <c r="E136" s="8">
        <f t="shared" ref="E136:E141" si="23">C136*D136</f>
        <v>27.093239999999998</v>
      </c>
      <c r="K136" s="9">
        <f>SUM(K128:K135)</f>
        <v>216.58930000000004</v>
      </c>
    </row>
    <row r="137" spans="1:11" x14ac:dyDescent="0.3">
      <c r="A137" t="s">
        <v>307</v>
      </c>
      <c r="B137" s="4" t="s">
        <v>33</v>
      </c>
      <c r="C137" s="4">
        <v>0.57799999999999996</v>
      </c>
      <c r="D137" s="4">
        <v>9.83</v>
      </c>
      <c r="E137" s="8">
        <f t="shared" si="23"/>
        <v>5.6817399999999996</v>
      </c>
      <c r="H137" s="4" t="s">
        <v>37</v>
      </c>
      <c r="I137">
        <v>30</v>
      </c>
      <c r="J137">
        <v>1.41</v>
      </c>
      <c r="K137" s="8">
        <f>I137*J137</f>
        <v>42.3</v>
      </c>
    </row>
    <row r="138" spans="1:11" x14ac:dyDescent="0.3">
      <c r="B138" s="4" t="s">
        <v>43</v>
      </c>
      <c r="C138" s="4">
        <v>2</v>
      </c>
      <c r="D138" s="4">
        <v>1.24</v>
      </c>
      <c r="E138" s="8">
        <f t="shared" si="23"/>
        <v>2.48</v>
      </c>
      <c r="K138" s="8">
        <f>SUM(K136:K137)</f>
        <v>258.88930000000005</v>
      </c>
    </row>
    <row r="139" spans="1:11" x14ac:dyDescent="0.3">
      <c r="B139" s="4" t="s">
        <v>34</v>
      </c>
      <c r="C139" s="4">
        <v>0.1</v>
      </c>
      <c r="D139" s="4">
        <v>13.67</v>
      </c>
      <c r="E139" s="8">
        <f t="shared" si="23"/>
        <v>1.367</v>
      </c>
    </row>
    <row r="140" spans="1:11" x14ac:dyDescent="0.3">
      <c r="B140" s="4" t="s">
        <v>35</v>
      </c>
      <c r="C140" s="4">
        <v>4</v>
      </c>
      <c r="D140" s="4">
        <v>1.89</v>
      </c>
      <c r="E140" s="8">
        <f t="shared" si="23"/>
        <v>7.56</v>
      </c>
    </row>
    <row r="141" spans="1:11" x14ac:dyDescent="0.3">
      <c r="B141" s="4" t="s">
        <v>36</v>
      </c>
      <c r="C141" s="4">
        <v>4</v>
      </c>
      <c r="D141" s="4">
        <v>0.24</v>
      </c>
      <c r="E141" s="8">
        <f t="shared" si="23"/>
        <v>0.96</v>
      </c>
    </row>
    <row r="142" spans="1:11" x14ac:dyDescent="0.3">
      <c r="E142" s="9">
        <f>SUM(E136:E141)</f>
        <v>45.141979999999997</v>
      </c>
    </row>
    <row r="143" spans="1:11" x14ac:dyDescent="0.3">
      <c r="B143" s="4" t="s">
        <v>37</v>
      </c>
      <c r="C143">
        <v>20</v>
      </c>
      <c r="D143">
        <v>1.41</v>
      </c>
      <c r="E143" s="8">
        <f>C143*D143</f>
        <v>28.2</v>
      </c>
    </row>
    <row r="144" spans="1:11" x14ac:dyDescent="0.3">
      <c r="E144" s="8">
        <f>SUM(E142:E143)</f>
        <v>73.341979999999992</v>
      </c>
    </row>
    <row r="147" spans="1:5" x14ac:dyDescent="0.3">
      <c r="C147" s="4" t="s">
        <v>28</v>
      </c>
      <c r="D147" s="4" t="s">
        <v>29</v>
      </c>
      <c r="E147" s="4" t="s">
        <v>30</v>
      </c>
    </row>
    <row r="148" spans="1:5" x14ac:dyDescent="0.3">
      <c r="A148" t="s">
        <v>308</v>
      </c>
      <c r="B148" s="4" t="s">
        <v>32</v>
      </c>
      <c r="C148" s="4">
        <v>2.722</v>
      </c>
      <c r="D148" s="4">
        <v>19.38</v>
      </c>
      <c r="E148" s="8">
        <f t="shared" ref="E148:E153" si="24">C148*D148</f>
        <v>52.752359999999996</v>
      </c>
    </row>
    <row r="149" spans="1:5" x14ac:dyDescent="0.3">
      <c r="A149" t="s">
        <v>246</v>
      </c>
      <c r="B149" s="4" t="s">
        <v>33</v>
      </c>
      <c r="C149" s="4">
        <v>1.24</v>
      </c>
      <c r="D149" s="4">
        <v>9.83</v>
      </c>
      <c r="E149" s="8">
        <f t="shared" si="24"/>
        <v>12.1892</v>
      </c>
    </row>
    <row r="150" spans="1:5" x14ac:dyDescent="0.3">
      <c r="B150" s="4" t="s">
        <v>43</v>
      </c>
      <c r="C150" s="4">
        <v>2</v>
      </c>
      <c r="D150" s="4">
        <v>1.24</v>
      </c>
      <c r="E150" s="8">
        <f t="shared" si="24"/>
        <v>2.48</v>
      </c>
    </row>
    <row r="151" spans="1:5" x14ac:dyDescent="0.3">
      <c r="B151" s="4" t="s">
        <v>34</v>
      </c>
      <c r="C151" s="4">
        <v>0.1</v>
      </c>
      <c r="D151" s="4">
        <v>13.67</v>
      </c>
      <c r="E151" s="8">
        <f t="shared" si="24"/>
        <v>1.367</v>
      </c>
    </row>
    <row r="152" spans="1:5" x14ac:dyDescent="0.3">
      <c r="B152" s="4" t="s">
        <v>35</v>
      </c>
      <c r="C152" s="4">
        <v>4</v>
      </c>
      <c r="D152" s="4">
        <v>1.89</v>
      </c>
      <c r="E152" s="8">
        <f t="shared" si="24"/>
        <v>7.56</v>
      </c>
    </row>
    <row r="153" spans="1:5" x14ac:dyDescent="0.3">
      <c r="B153" s="4" t="s">
        <v>36</v>
      </c>
      <c r="C153" s="4">
        <v>4</v>
      </c>
      <c r="D153" s="4">
        <v>0.24</v>
      </c>
      <c r="E153" s="8">
        <f t="shared" si="24"/>
        <v>0.96</v>
      </c>
    </row>
    <row r="154" spans="1:5" x14ac:dyDescent="0.3">
      <c r="E154" s="9">
        <f>SUM(E148:E153)</f>
        <v>77.30856</v>
      </c>
    </row>
    <row r="155" spans="1:5" x14ac:dyDescent="0.3">
      <c r="B155" s="4" t="s">
        <v>37</v>
      </c>
      <c r="C155">
        <v>30</v>
      </c>
      <c r="D155">
        <v>1.41</v>
      </c>
      <c r="E155" s="8">
        <f>C155*D155</f>
        <v>42.3</v>
      </c>
    </row>
    <row r="156" spans="1:5" x14ac:dyDescent="0.3">
      <c r="E156" s="8">
        <f>SUM(E154:E155)</f>
        <v>119.60856</v>
      </c>
    </row>
  </sheetData>
  <pageMargins left="0" right="0" top="0.39370078740157483" bottom="0.39370078740157483" header="0.31496062992125984" footer="0.31496062992125984"/>
  <pageSetup paperSize="9" scale="85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34998626667073579"/>
  </sheetPr>
  <dimension ref="A1:X134"/>
  <sheetViews>
    <sheetView workbookViewId="0">
      <selection activeCell="N30" sqref="N30"/>
    </sheetView>
  </sheetViews>
  <sheetFormatPr baseColWidth="10" defaultColWidth="9.109375" defaultRowHeight="14.4" x14ac:dyDescent="0.3"/>
  <cols>
    <col min="1" max="1" width="10.5546875" customWidth="1"/>
    <col min="2" max="2" width="13.109375" customWidth="1"/>
    <col min="3" max="3" width="8.6640625" customWidth="1"/>
    <col min="4" max="4" width="9.109375" customWidth="1"/>
    <col min="5" max="5" width="10.109375" customWidth="1"/>
    <col min="6" max="6" width="3.5546875" customWidth="1"/>
    <col min="15" max="15" width="18.44140625" customWidth="1"/>
    <col min="17" max="17" width="12.5546875" customWidth="1"/>
    <col min="18" max="18" width="14.5546875" customWidth="1"/>
    <col min="19" max="19" width="5.44140625" customWidth="1"/>
    <col min="23" max="23" width="12" customWidth="1"/>
    <col min="24" max="24" width="14.88671875" customWidth="1"/>
  </cols>
  <sheetData>
    <row r="1" spans="1:11" ht="18" x14ac:dyDescent="0.35">
      <c r="A1" s="5" t="s">
        <v>129</v>
      </c>
    </row>
    <row r="3" spans="1:11" x14ac:dyDescent="0.3">
      <c r="A3" t="s">
        <v>50</v>
      </c>
      <c r="G3" t="s">
        <v>51</v>
      </c>
    </row>
    <row r="4" spans="1:11" x14ac:dyDescent="0.3">
      <c r="C4" s="4" t="s">
        <v>28</v>
      </c>
      <c r="D4" s="4" t="s">
        <v>29</v>
      </c>
      <c r="E4" s="4" t="s">
        <v>30</v>
      </c>
      <c r="I4" s="4" t="s">
        <v>28</v>
      </c>
      <c r="J4" s="4" t="s">
        <v>29</v>
      </c>
      <c r="K4" s="4" t="s">
        <v>30</v>
      </c>
    </row>
    <row r="5" spans="1:11" x14ac:dyDescent="0.3">
      <c r="A5" t="s">
        <v>62</v>
      </c>
      <c r="B5" s="4" t="s">
        <v>32</v>
      </c>
      <c r="C5" s="4">
        <v>0.873</v>
      </c>
      <c r="D5" s="4">
        <v>19.38</v>
      </c>
      <c r="E5" s="8">
        <f t="shared" ref="E5:E10" si="0">C5*D5</f>
        <v>16.91874</v>
      </c>
      <c r="G5" t="s">
        <v>62</v>
      </c>
      <c r="H5" s="4" t="s">
        <v>32</v>
      </c>
      <c r="I5" s="4">
        <v>0.873</v>
      </c>
      <c r="J5" s="4">
        <v>30.59</v>
      </c>
      <c r="K5" s="8">
        <f t="shared" ref="K5:K12" si="1">I5*J5</f>
        <v>26.705069999999999</v>
      </c>
    </row>
    <row r="6" spans="1:11" x14ac:dyDescent="0.3">
      <c r="A6" t="s">
        <v>63</v>
      </c>
      <c r="B6" s="4" t="s">
        <v>33</v>
      </c>
      <c r="C6" s="4">
        <v>1.1970000000000001</v>
      </c>
      <c r="D6" s="4">
        <v>9.83</v>
      </c>
      <c r="E6" s="8">
        <f t="shared" si="0"/>
        <v>11.76651</v>
      </c>
      <c r="G6" t="s">
        <v>63</v>
      </c>
      <c r="H6" s="4" t="s">
        <v>33</v>
      </c>
      <c r="I6" s="4">
        <v>1.1970000000000001</v>
      </c>
      <c r="J6" s="4">
        <v>9.83</v>
      </c>
      <c r="K6" s="8">
        <f t="shared" si="1"/>
        <v>11.76651</v>
      </c>
    </row>
    <row r="7" spans="1:11" x14ac:dyDescent="0.3">
      <c r="B7" s="4" t="s">
        <v>84</v>
      </c>
      <c r="C7" s="4">
        <v>2</v>
      </c>
      <c r="D7" s="4">
        <v>1.36</v>
      </c>
      <c r="E7" s="8">
        <f t="shared" si="0"/>
        <v>2.72</v>
      </c>
      <c r="G7" t="s">
        <v>52</v>
      </c>
      <c r="H7" s="4" t="s">
        <v>33</v>
      </c>
      <c r="I7" s="4">
        <v>1.323</v>
      </c>
      <c r="J7" s="4">
        <v>9.83</v>
      </c>
      <c r="K7" s="8">
        <f t="shared" si="1"/>
        <v>13.005089999999999</v>
      </c>
    </row>
    <row r="8" spans="1:11" x14ac:dyDescent="0.3">
      <c r="B8" s="4" t="s">
        <v>34</v>
      </c>
      <c r="C8" s="4"/>
      <c r="D8" s="4"/>
      <c r="E8" s="8">
        <f t="shared" si="0"/>
        <v>0</v>
      </c>
      <c r="H8" s="4" t="s">
        <v>84</v>
      </c>
      <c r="I8" s="4">
        <v>2</v>
      </c>
      <c r="J8" s="4">
        <v>1.36</v>
      </c>
      <c r="K8" s="8">
        <f t="shared" si="1"/>
        <v>2.72</v>
      </c>
    </row>
    <row r="9" spans="1:11" x14ac:dyDescent="0.3">
      <c r="B9" s="4" t="s">
        <v>35</v>
      </c>
      <c r="C9" s="4">
        <v>4</v>
      </c>
      <c r="D9" s="4">
        <v>1.89</v>
      </c>
      <c r="E9" s="8">
        <f t="shared" si="0"/>
        <v>7.56</v>
      </c>
      <c r="H9" s="4" t="s">
        <v>85</v>
      </c>
      <c r="I9" s="10">
        <v>2</v>
      </c>
      <c r="J9" s="10">
        <v>1.54</v>
      </c>
      <c r="K9" s="11">
        <f t="shared" si="1"/>
        <v>3.08</v>
      </c>
    </row>
    <row r="10" spans="1:11" x14ac:dyDescent="0.3">
      <c r="B10" s="4" t="s">
        <v>36</v>
      </c>
      <c r="C10" s="4">
        <v>4</v>
      </c>
      <c r="D10" s="4">
        <v>0.24</v>
      </c>
      <c r="E10" s="8">
        <f t="shared" si="0"/>
        <v>0.96</v>
      </c>
      <c r="H10" s="4" t="s">
        <v>34</v>
      </c>
      <c r="I10" s="4"/>
      <c r="J10" s="4"/>
      <c r="K10" s="8">
        <f t="shared" si="1"/>
        <v>0</v>
      </c>
    </row>
    <row r="11" spans="1:11" x14ac:dyDescent="0.3">
      <c r="E11" s="8">
        <f>SUM(E5:E10)</f>
        <v>39.925249999999998</v>
      </c>
      <c r="H11" s="4" t="s">
        <v>35</v>
      </c>
      <c r="I11" s="4">
        <v>4</v>
      </c>
      <c r="J11" s="4">
        <v>1.89</v>
      </c>
      <c r="K11" s="8">
        <f t="shared" si="1"/>
        <v>7.56</v>
      </c>
    </row>
    <row r="12" spans="1:11" x14ac:dyDescent="0.3">
      <c r="B12" s="4" t="s">
        <v>37</v>
      </c>
      <c r="C12">
        <v>15</v>
      </c>
      <c r="D12">
        <v>1.41</v>
      </c>
      <c r="E12" s="8">
        <f>C12*D12</f>
        <v>21.15</v>
      </c>
      <c r="H12" s="4" t="s">
        <v>36</v>
      </c>
      <c r="I12" s="4">
        <v>4</v>
      </c>
      <c r="J12" s="4">
        <v>0.24</v>
      </c>
      <c r="K12" s="8">
        <f t="shared" si="1"/>
        <v>0.96</v>
      </c>
    </row>
    <row r="13" spans="1:11" x14ac:dyDescent="0.3">
      <c r="E13" s="8">
        <f>SUM(E11:E12)</f>
        <v>61.075249999999997</v>
      </c>
      <c r="K13" s="8">
        <f>SUM(K5:K12)</f>
        <v>65.796669999999992</v>
      </c>
    </row>
    <row r="14" spans="1:11" x14ac:dyDescent="0.3">
      <c r="H14" s="4" t="s">
        <v>37</v>
      </c>
      <c r="I14">
        <v>15</v>
      </c>
      <c r="J14">
        <v>1.41</v>
      </c>
      <c r="K14" s="8">
        <f>I14*J14</f>
        <v>21.15</v>
      </c>
    </row>
    <row r="15" spans="1:11" x14ac:dyDescent="0.3">
      <c r="K15" s="8">
        <f>SUM(K13:K14)</f>
        <v>86.946669999999983</v>
      </c>
    </row>
    <row r="17" spans="1:11" x14ac:dyDescent="0.3">
      <c r="I17" s="4" t="s">
        <v>28</v>
      </c>
      <c r="J17" s="4" t="s">
        <v>29</v>
      </c>
      <c r="K17" s="4" t="s">
        <v>30</v>
      </c>
    </row>
    <row r="18" spans="1:11" x14ac:dyDescent="0.3">
      <c r="G18" t="s">
        <v>64</v>
      </c>
      <c r="H18" s="4" t="s">
        <v>32</v>
      </c>
      <c r="I18" s="4">
        <v>1.083</v>
      </c>
      <c r="J18" s="4">
        <v>30.59</v>
      </c>
      <c r="K18" s="8">
        <f t="shared" ref="K18:K25" si="2">I18*J18</f>
        <v>33.128969999999995</v>
      </c>
    </row>
    <row r="19" spans="1:11" x14ac:dyDescent="0.3">
      <c r="C19" s="4" t="s">
        <v>28</v>
      </c>
      <c r="D19" s="4" t="s">
        <v>29</v>
      </c>
      <c r="E19" s="4" t="s">
        <v>30</v>
      </c>
      <c r="G19" t="s">
        <v>63</v>
      </c>
      <c r="H19" s="4" t="s">
        <v>33</v>
      </c>
      <c r="I19" s="4">
        <v>1.827</v>
      </c>
      <c r="J19" s="4">
        <v>9.83</v>
      </c>
      <c r="K19" s="8">
        <f t="shared" si="2"/>
        <v>17.959409999999998</v>
      </c>
    </row>
    <row r="20" spans="1:11" x14ac:dyDescent="0.3">
      <c r="A20" t="s">
        <v>64</v>
      </c>
      <c r="B20" s="4" t="s">
        <v>32</v>
      </c>
      <c r="C20" s="4">
        <v>1.083</v>
      </c>
      <c r="D20" s="4">
        <v>19.38</v>
      </c>
      <c r="E20" s="8">
        <f t="shared" ref="E20:E25" si="3">C20*D20</f>
        <v>20.988539999999997</v>
      </c>
      <c r="G20" t="s">
        <v>53</v>
      </c>
      <c r="H20" s="4" t="s">
        <v>33</v>
      </c>
      <c r="I20" s="4">
        <v>2.0579999999999998</v>
      </c>
      <c r="J20" s="4">
        <v>9.83</v>
      </c>
      <c r="K20" s="8">
        <f t="shared" si="2"/>
        <v>20.230139999999999</v>
      </c>
    </row>
    <row r="21" spans="1:11" x14ac:dyDescent="0.3">
      <c r="A21" t="s">
        <v>63</v>
      </c>
      <c r="B21" s="4" t="s">
        <v>33</v>
      </c>
      <c r="C21" s="4">
        <v>1.827</v>
      </c>
      <c r="D21" s="4">
        <v>9.83</v>
      </c>
      <c r="E21" s="8">
        <f t="shared" si="3"/>
        <v>17.959409999999998</v>
      </c>
      <c r="H21" s="4" t="s">
        <v>84</v>
      </c>
      <c r="I21" s="4">
        <v>2</v>
      </c>
      <c r="J21" s="4">
        <v>1.36</v>
      </c>
      <c r="K21" s="8">
        <f t="shared" si="2"/>
        <v>2.72</v>
      </c>
    </row>
    <row r="22" spans="1:11" x14ac:dyDescent="0.3">
      <c r="B22" s="4" t="s">
        <v>84</v>
      </c>
      <c r="C22" s="4">
        <v>2</v>
      </c>
      <c r="D22" s="4">
        <v>1.36</v>
      </c>
      <c r="E22" s="8">
        <f t="shared" si="3"/>
        <v>2.72</v>
      </c>
      <c r="H22" s="4" t="s">
        <v>86</v>
      </c>
      <c r="I22" s="10">
        <v>2</v>
      </c>
      <c r="J22" s="10">
        <v>1.86</v>
      </c>
      <c r="K22" s="11">
        <f t="shared" si="2"/>
        <v>3.72</v>
      </c>
    </row>
    <row r="23" spans="1:11" x14ac:dyDescent="0.3">
      <c r="B23" s="4" t="s">
        <v>34</v>
      </c>
      <c r="C23" s="4"/>
      <c r="D23" s="4"/>
      <c r="E23" s="8">
        <f t="shared" si="3"/>
        <v>0</v>
      </c>
      <c r="H23" s="4" t="s">
        <v>34</v>
      </c>
      <c r="I23" s="4"/>
      <c r="J23" s="4"/>
      <c r="K23" s="8">
        <f t="shared" si="2"/>
        <v>0</v>
      </c>
    </row>
    <row r="24" spans="1:11" x14ac:dyDescent="0.3">
      <c r="B24" s="4" t="s">
        <v>35</v>
      </c>
      <c r="C24" s="4">
        <v>4</v>
      </c>
      <c r="D24" s="4">
        <v>1.89</v>
      </c>
      <c r="E24" s="8">
        <f t="shared" si="3"/>
        <v>7.56</v>
      </c>
      <c r="H24" s="4" t="s">
        <v>35</v>
      </c>
      <c r="I24" s="4">
        <v>4</v>
      </c>
      <c r="J24" s="4">
        <v>1.89</v>
      </c>
      <c r="K24" s="8">
        <f t="shared" si="2"/>
        <v>7.56</v>
      </c>
    </row>
    <row r="25" spans="1:11" x14ac:dyDescent="0.3">
      <c r="B25" s="4" t="s">
        <v>36</v>
      </c>
      <c r="C25" s="4">
        <v>4</v>
      </c>
      <c r="D25" s="4">
        <v>0.24</v>
      </c>
      <c r="E25" s="8">
        <f t="shared" si="3"/>
        <v>0.96</v>
      </c>
      <c r="H25" s="4" t="s">
        <v>36</v>
      </c>
      <c r="I25" s="4">
        <v>4</v>
      </c>
      <c r="J25" s="4">
        <v>0.24</v>
      </c>
      <c r="K25" s="8">
        <f t="shared" si="2"/>
        <v>0.96</v>
      </c>
    </row>
    <row r="26" spans="1:11" x14ac:dyDescent="0.3">
      <c r="E26" s="9">
        <f>SUM(E20:E25)</f>
        <v>50.187949999999994</v>
      </c>
      <c r="K26" s="8">
        <f>SUM(K18:K25)</f>
        <v>86.278519999999986</v>
      </c>
    </row>
    <row r="27" spans="1:11" x14ac:dyDescent="0.3">
      <c r="B27" s="4" t="s">
        <v>37</v>
      </c>
      <c r="C27">
        <v>15</v>
      </c>
      <c r="D27">
        <v>1.41</v>
      </c>
      <c r="E27" s="8">
        <f>C27*D27</f>
        <v>21.15</v>
      </c>
      <c r="H27" s="4" t="s">
        <v>37</v>
      </c>
      <c r="I27">
        <v>15</v>
      </c>
      <c r="J27">
        <v>1.41</v>
      </c>
      <c r="K27" s="8">
        <f>I27*J27</f>
        <v>21.15</v>
      </c>
    </row>
    <row r="28" spans="1:11" x14ac:dyDescent="0.3">
      <c r="E28" s="8">
        <f>SUM(E26:E27)</f>
        <v>71.337949999999992</v>
      </c>
      <c r="K28" s="8">
        <f>SUM(K26:K27)</f>
        <v>107.42851999999999</v>
      </c>
    </row>
    <row r="31" spans="1:11" x14ac:dyDescent="0.3">
      <c r="C31" s="4" t="s">
        <v>28</v>
      </c>
      <c r="D31" s="4" t="s">
        <v>29</v>
      </c>
      <c r="E31" s="4" t="s">
        <v>30</v>
      </c>
      <c r="I31" s="4" t="s">
        <v>28</v>
      </c>
      <c r="J31" s="4" t="s">
        <v>29</v>
      </c>
      <c r="K31" s="4" t="s">
        <v>30</v>
      </c>
    </row>
    <row r="32" spans="1:11" x14ac:dyDescent="0.3">
      <c r="A32" t="s">
        <v>65</v>
      </c>
      <c r="B32" s="4" t="s">
        <v>32</v>
      </c>
      <c r="C32" s="4">
        <v>1.2929999999999999</v>
      </c>
      <c r="D32" s="4">
        <v>19.38</v>
      </c>
      <c r="E32" s="8">
        <f t="shared" ref="E32:E37" si="4">C32*D32</f>
        <v>25.058339999999998</v>
      </c>
      <c r="G32" t="s">
        <v>65</v>
      </c>
      <c r="H32" s="4" t="s">
        <v>32</v>
      </c>
      <c r="I32" s="4">
        <v>1.2929999999999999</v>
      </c>
      <c r="J32" s="4">
        <v>30.59</v>
      </c>
      <c r="K32" s="8">
        <f t="shared" ref="K32:K39" si="5">I32*J32</f>
        <v>39.552869999999999</v>
      </c>
    </row>
    <row r="33" spans="1:19" x14ac:dyDescent="0.3">
      <c r="A33" t="s">
        <v>63</v>
      </c>
      <c r="B33" s="4" t="s">
        <v>33</v>
      </c>
      <c r="C33" s="4">
        <v>2.4569999999999999</v>
      </c>
      <c r="D33" s="4">
        <v>9.83</v>
      </c>
      <c r="E33" s="8">
        <f t="shared" si="4"/>
        <v>24.15231</v>
      </c>
      <c r="G33" t="s">
        <v>63</v>
      </c>
      <c r="H33" s="4" t="s">
        <v>33</v>
      </c>
      <c r="I33" s="4">
        <v>2.4569999999999999</v>
      </c>
      <c r="J33" s="4">
        <v>9.83</v>
      </c>
      <c r="K33" s="8">
        <f t="shared" si="5"/>
        <v>24.15231</v>
      </c>
    </row>
    <row r="34" spans="1:19" x14ac:dyDescent="0.3">
      <c r="B34" s="4" t="s">
        <v>84</v>
      </c>
      <c r="C34" s="4">
        <v>2</v>
      </c>
      <c r="D34" s="4">
        <v>1.36</v>
      </c>
      <c r="E34" s="8">
        <f t="shared" si="4"/>
        <v>2.72</v>
      </c>
      <c r="G34" t="s">
        <v>54</v>
      </c>
      <c r="H34" s="4" t="s">
        <v>33</v>
      </c>
      <c r="I34" s="4">
        <v>2.7930000000000001</v>
      </c>
      <c r="J34" s="4">
        <v>9.83</v>
      </c>
      <c r="K34" s="8">
        <f t="shared" si="5"/>
        <v>27.455190000000002</v>
      </c>
    </row>
    <row r="35" spans="1:19" x14ac:dyDescent="0.3">
      <c r="B35" s="4" t="s">
        <v>34</v>
      </c>
      <c r="C35" s="4"/>
      <c r="D35" s="4"/>
      <c r="E35" s="8">
        <f t="shared" si="4"/>
        <v>0</v>
      </c>
      <c r="H35" s="4" t="s">
        <v>84</v>
      </c>
      <c r="I35" s="4">
        <v>2</v>
      </c>
      <c r="J35" s="4">
        <v>1.36</v>
      </c>
      <c r="K35" s="8">
        <f t="shared" si="5"/>
        <v>2.72</v>
      </c>
    </row>
    <row r="36" spans="1:19" x14ac:dyDescent="0.3">
      <c r="B36" s="4" t="s">
        <v>35</v>
      </c>
      <c r="C36" s="4">
        <v>4</v>
      </c>
      <c r="D36" s="4">
        <v>1.89</v>
      </c>
      <c r="E36" s="8">
        <f t="shared" si="4"/>
        <v>7.56</v>
      </c>
      <c r="H36" s="4" t="s">
        <v>87</v>
      </c>
      <c r="I36" s="10">
        <v>2</v>
      </c>
      <c r="J36" s="10">
        <v>1.86</v>
      </c>
      <c r="K36" s="11">
        <f t="shared" si="5"/>
        <v>3.72</v>
      </c>
    </row>
    <row r="37" spans="1:19" x14ac:dyDescent="0.3">
      <c r="B37" s="4" t="s">
        <v>36</v>
      </c>
      <c r="C37" s="4">
        <v>4</v>
      </c>
      <c r="D37" s="4">
        <v>0.24</v>
      </c>
      <c r="E37" s="8">
        <f t="shared" si="4"/>
        <v>0.96</v>
      </c>
      <c r="H37" s="4" t="s">
        <v>34</v>
      </c>
      <c r="I37" s="4"/>
      <c r="J37" s="4"/>
      <c r="K37" s="8">
        <f t="shared" si="5"/>
        <v>0</v>
      </c>
    </row>
    <row r="38" spans="1:19" x14ac:dyDescent="0.3">
      <c r="E38" s="9">
        <f>SUM(E32:E37)</f>
        <v>60.450650000000003</v>
      </c>
      <c r="H38" s="4" t="s">
        <v>35</v>
      </c>
      <c r="I38" s="4">
        <v>4</v>
      </c>
      <c r="J38" s="4">
        <v>1.89</v>
      </c>
      <c r="K38" s="8">
        <f t="shared" si="5"/>
        <v>7.56</v>
      </c>
    </row>
    <row r="39" spans="1:19" x14ac:dyDescent="0.3">
      <c r="B39" s="4" t="s">
        <v>37</v>
      </c>
      <c r="C39">
        <v>15</v>
      </c>
      <c r="D39">
        <v>1.41</v>
      </c>
      <c r="E39" s="8">
        <f>C39*D39</f>
        <v>21.15</v>
      </c>
      <c r="H39" s="4" t="s">
        <v>36</v>
      </c>
      <c r="I39" s="4">
        <v>4</v>
      </c>
      <c r="J39" s="4">
        <v>0.24</v>
      </c>
      <c r="K39" s="8">
        <f t="shared" si="5"/>
        <v>0.96</v>
      </c>
    </row>
    <row r="40" spans="1:19" x14ac:dyDescent="0.3">
      <c r="E40" s="8">
        <f>SUM(E38:E39)</f>
        <v>81.600650000000002</v>
      </c>
      <c r="K40" s="9">
        <f>SUM(K32:K39)</f>
        <v>106.12036999999999</v>
      </c>
    </row>
    <row r="41" spans="1:19" x14ac:dyDescent="0.3">
      <c r="H41" s="4" t="s">
        <v>37</v>
      </c>
      <c r="I41">
        <v>20</v>
      </c>
      <c r="J41">
        <v>1.41</v>
      </c>
      <c r="K41" s="8">
        <f>I41*J41</f>
        <v>28.2</v>
      </c>
    </row>
    <row r="42" spans="1:19" x14ac:dyDescent="0.3">
      <c r="K42" s="8">
        <f>SUM(K40:K41)</f>
        <v>134.32037</v>
      </c>
    </row>
    <row r="43" spans="1:19" x14ac:dyDescent="0.3">
      <c r="C43" s="4" t="s">
        <v>28</v>
      </c>
      <c r="D43" s="4" t="s">
        <v>29</v>
      </c>
      <c r="E43" s="4" t="s">
        <v>30</v>
      </c>
    </row>
    <row r="44" spans="1:19" ht="21" x14ac:dyDescent="0.4">
      <c r="A44" t="s">
        <v>66</v>
      </c>
      <c r="B44" s="4" t="s">
        <v>32</v>
      </c>
      <c r="C44" s="4">
        <v>1.4319999999999999</v>
      </c>
      <c r="D44" s="4">
        <v>19.38</v>
      </c>
      <c r="E44" s="8">
        <f t="shared" ref="E44:E49" si="6">C44*D44</f>
        <v>27.752159999999996</v>
      </c>
      <c r="I44" s="4" t="s">
        <v>28</v>
      </c>
      <c r="J44" s="4" t="s">
        <v>29</v>
      </c>
      <c r="K44" s="4" t="s">
        <v>30</v>
      </c>
      <c r="O44" s="40"/>
      <c r="P44" s="40"/>
      <c r="Q44" s="40"/>
      <c r="R44" s="40"/>
      <c r="S44" s="40"/>
    </row>
    <row r="45" spans="1:19" ht="21" x14ac:dyDescent="0.4">
      <c r="A45" t="s">
        <v>63</v>
      </c>
      <c r="B45" s="4" t="s">
        <v>33</v>
      </c>
      <c r="C45" s="4">
        <v>2.94</v>
      </c>
      <c r="D45" s="4">
        <v>9.83</v>
      </c>
      <c r="E45" s="8">
        <f t="shared" si="6"/>
        <v>28.900199999999998</v>
      </c>
      <c r="G45" t="s">
        <v>66</v>
      </c>
      <c r="H45" s="4" t="s">
        <v>32</v>
      </c>
      <c r="I45" s="4">
        <v>1.5029999999999999</v>
      </c>
      <c r="J45" s="4">
        <v>30.59</v>
      </c>
      <c r="K45" s="8">
        <f t="shared" ref="K45:K52" si="7">I45*J45</f>
        <v>45.976769999999995</v>
      </c>
      <c r="O45" s="40"/>
      <c r="P45" s="40"/>
      <c r="Q45" s="40"/>
      <c r="R45" s="40"/>
      <c r="S45" s="41"/>
    </row>
    <row r="46" spans="1:19" ht="21" x14ac:dyDescent="0.4">
      <c r="B46" s="4" t="s">
        <v>84</v>
      </c>
      <c r="C46" s="4">
        <v>2</v>
      </c>
      <c r="D46" s="4">
        <v>1.36</v>
      </c>
      <c r="E46" s="8">
        <f t="shared" si="6"/>
        <v>2.72</v>
      </c>
      <c r="G46" t="s">
        <v>63</v>
      </c>
      <c r="H46" s="4" t="s">
        <v>33</v>
      </c>
      <c r="I46" s="4">
        <v>3.0870000000000002</v>
      </c>
      <c r="J46" s="4">
        <v>9.83</v>
      </c>
      <c r="K46" s="8">
        <f t="shared" si="7"/>
        <v>30.345210000000002</v>
      </c>
      <c r="O46" s="40"/>
      <c r="P46" s="40"/>
      <c r="Q46" s="40"/>
      <c r="R46" s="40"/>
      <c r="S46" s="41"/>
    </row>
    <row r="47" spans="1:19" ht="21" x14ac:dyDescent="0.4">
      <c r="B47" s="4" t="s">
        <v>34</v>
      </c>
      <c r="C47" s="4"/>
      <c r="D47" s="4"/>
      <c r="E47" s="8">
        <f t="shared" si="6"/>
        <v>0</v>
      </c>
      <c r="G47" t="s">
        <v>55</v>
      </c>
      <c r="H47" s="4" t="s">
        <v>33</v>
      </c>
      <c r="I47" s="4">
        <v>3.528</v>
      </c>
      <c r="J47" s="4">
        <v>9.83</v>
      </c>
      <c r="K47" s="8">
        <f t="shared" si="7"/>
        <v>34.680239999999998</v>
      </c>
      <c r="O47" s="40"/>
      <c r="P47" s="40"/>
      <c r="Q47" s="40"/>
      <c r="R47" s="40"/>
      <c r="S47" s="41"/>
    </row>
    <row r="48" spans="1:19" ht="21" x14ac:dyDescent="0.4">
      <c r="B48" s="4" t="s">
        <v>35</v>
      </c>
      <c r="C48" s="4">
        <v>4</v>
      </c>
      <c r="D48" s="4">
        <v>1.89</v>
      </c>
      <c r="E48" s="8">
        <f t="shared" si="6"/>
        <v>7.56</v>
      </c>
      <c r="H48" s="4" t="s">
        <v>96</v>
      </c>
      <c r="I48" s="4">
        <v>2</v>
      </c>
      <c r="J48" s="4">
        <v>1.35</v>
      </c>
      <c r="K48" s="8">
        <f t="shared" si="7"/>
        <v>2.7</v>
      </c>
      <c r="O48" s="40"/>
      <c r="P48" s="40"/>
      <c r="Q48" s="40"/>
      <c r="R48" s="40"/>
      <c r="S48" s="41"/>
    </row>
    <row r="49" spans="1:24" ht="21" x14ac:dyDescent="0.4">
      <c r="B49" s="4" t="s">
        <v>36</v>
      </c>
      <c r="C49" s="4">
        <v>4</v>
      </c>
      <c r="D49" s="4">
        <v>0.24</v>
      </c>
      <c r="E49" s="8">
        <f t="shared" si="6"/>
        <v>0.96</v>
      </c>
      <c r="H49" s="4" t="s">
        <v>88</v>
      </c>
      <c r="I49" s="10">
        <v>2</v>
      </c>
      <c r="J49" s="10">
        <v>2.2400000000000002</v>
      </c>
      <c r="K49" s="11">
        <f t="shared" si="7"/>
        <v>4.4800000000000004</v>
      </c>
      <c r="O49" s="40"/>
      <c r="P49" s="40"/>
      <c r="Q49" s="40"/>
      <c r="R49" s="40"/>
      <c r="S49" s="41"/>
    </row>
    <row r="50" spans="1:24" ht="21" x14ac:dyDescent="0.4">
      <c r="E50" s="9">
        <f>SUM(E44:E49)</f>
        <v>67.892359999999982</v>
      </c>
      <c r="H50" s="4" t="s">
        <v>34</v>
      </c>
      <c r="I50" s="4"/>
      <c r="J50" s="4"/>
      <c r="K50" s="8">
        <f t="shared" si="7"/>
        <v>0</v>
      </c>
      <c r="O50" s="40"/>
      <c r="P50" s="40"/>
      <c r="Q50" s="40"/>
      <c r="R50" s="40"/>
      <c r="S50" s="41"/>
    </row>
    <row r="51" spans="1:24" ht="21" x14ac:dyDescent="0.4">
      <c r="B51" s="4" t="s">
        <v>37</v>
      </c>
      <c r="C51">
        <v>15</v>
      </c>
      <c r="D51">
        <v>1.41</v>
      </c>
      <c r="E51" s="8">
        <f>C51*D51</f>
        <v>21.15</v>
      </c>
      <c r="H51" s="4" t="s">
        <v>35</v>
      </c>
      <c r="I51" s="4">
        <v>4</v>
      </c>
      <c r="J51" s="4">
        <v>1.89</v>
      </c>
      <c r="K51" s="8">
        <f t="shared" si="7"/>
        <v>7.56</v>
      </c>
      <c r="O51" s="40"/>
      <c r="P51" s="40"/>
      <c r="Q51" s="40"/>
      <c r="R51" s="40"/>
      <c r="S51" s="41"/>
    </row>
    <row r="52" spans="1:24" ht="21" x14ac:dyDescent="0.4">
      <c r="E52" s="8">
        <v>87.04</v>
      </c>
      <c r="H52" s="4" t="s">
        <v>36</v>
      </c>
      <c r="I52" s="4">
        <v>4</v>
      </c>
      <c r="J52" s="4">
        <v>0.24</v>
      </c>
      <c r="K52" s="8">
        <f t="shared" si="7"/>
        <v>0.96</v>
      </c>
      <c r="O52" s="40"/>
      <c r="P52" s="40"/>
      <c r="Q52" s="40"/>
      <c r="R52" s="40"/>
      <c r="S52" s="41"/>
    </row>
    <row r="53" spans="1:24" ht="21" x14ac:dyDescent="0.4">
      <c r="K53" s="9">
        <f>SUM(K45:K52)</f>
        <v>126.70222</v>
      </c>
      <c r="O53" s="40"/>
      <c r="P53" s="40"/>
      <c r="Q53" s="40"/>
      <c r="R53" s="40"/>
      <c r="S53" s="41"/>
    </row>
    <row r="54" spans="1:24" x14ac:dyDescent="0.3">
      <c r="H54" s="4" t="s">
        <v>37</v>
      </c>
      <c r="I54">
        <v>20</v>
      </c>
      <c r="J54">
        <v>1.41</v>
      </c>
      <c r="K54" s="8">
        <f>I54*J54</f>
        <v>28.2</v>
      </c>
    </row>
    <row r="55" spans="1:24" x14ac:dyDescent="0.3">
      <c r="K55" s="8">
        <f>SUM(K53:K54)</f>
        <v>154.90222</v>
      </c>
    </row>
    <row r="56" spans="1:24" x14ac:dyDescent="0.3">
      <c r="C56" s="4" t="s">
        <v>28</v>
      </c>
      <c r="D56" s="4" t="s">
        <v>29</v>
      </c>
      <c r="E56" s="4" t="s">
        <v>30</v>
      </c>
    </row>
    <row r="57" spans="1:24" x14ac:dyDescent="0.3">
      <c r="A57" t="s">
        <v>67</v>
      </c>
      <c r="B57" s="4" t="s">
        <v>32</v>
      </c>
      <c r="C57" s="4">
        <v>1.7130000000000001</v>
      </c>
      <c r="D57" s="4">
        <v>19.38</v>
      </c>
      <c r="E57" s="8">
        <f t="shared" ref="E57:E62" si="8">C57*D57</f>
        <v>33.197940000000003</v>
      </c>
      <c r="I57" s="4" t="s">
        <v>28</v>
      </c>
      <c r="J57" s="4" t="s">
        <v>29</v>
      </c>
      <c r="K57" s="4" t="s">
        <v>30</v>
      </c>
    </row>
    <row r="58" spans="1:24" x14ac:dyDescent="0.3">
      <c r="A58" t="s">
        <v>63</v>
      </c>
      <c r="B58" s="4" t="s">
        <v>33</v>
      </c>
      <c r="C58" s="4">
        <v>3.7170000000000001</v>
      </c>
      <c r="D58" s="4">
        <v>9.83</v>
      </c>
      <c r="E58" s="8">
        <f t="shared" si="8"/>
        <v>36.538110000000003</v>
      </c>
      <c r="G58" t="s">
        <v>67</v>
      </c>
      <c r="H58" s="4" t="s">
        <v>32</v>
      </c>
      <c r="I58" s="4">
        <v>1.7130000000000001</v>
      </c>
      <c r="J58" s="4">
        <v>30.59</v>
      </c>
      <c r="K58" s="8">
        <f t="shared" ref="K58:K65" si="9">I58*J58</f>
        <v>52.400670000000005</v>
      </c>
      <c r="P58" s="4" t="s">
        <v>28</v>
      </c>
      <c r="Q58" s="4" t="s">
        <v>29</v>
      </c>
      <c r="R58" s="4" t="s">
        <v>30</v>
      </c>
      <c r="V58" s="4" t="s">
        <v>28</v>
      </c>
      <c r="W58" s="4" t="s">
        <v>29</v>
      </c>
      <c r="X58" s="4" t="s">
        <v>30</v>
      </c>
    </row>
    <row r="59" spans="1:24" x14ac:dyDescent="0.3">
      <c r="B59" s="4" t="s">
        <v>84</v>
      </c>
      <c r="C59" s="4">
        <v>2</v>
      </c>
      <c r="D59" s="4">
        <v>1.36</v>
      </c>
      <c r="E59" s="8">
        <f t="shared" si="8"/>
        <v>2.72</v>
      </c>
      <c r="G59" t="s">
        <v>63</v>
      </c>
      <c r="H59" s="4" t="s">
        <v>33</v>
      </c>
      <c r="I59" s="4">
        <v>3.7170000000000001</v>
      </c>
      <c r="J59" s="4">
        <v>9.83</v>
      </c>
      <c r="K59" s="8">
        <f t="shared" si="9"/>
        <v>36.538110000000003</v>
      </c>
      <c r="N59" t="s">
        <v>67</v>
      </c>
      <c r="O59" s="4" t="s">
        <v>32</v>
      </c>
      <c r="P59" s="4">
        <v>1.7949999999999999</v>
      </c>
      <c r="Q59" s="4">
        <v>19.38</v>
      </c>
      <c r="R59" s="8">
        <f t="shared" ref="R59:R64" si="10">P59*Q59</f>
        <v>34.787099999999995</v>
      </c>
      <c r="T59" t="s">
        <v>67</v>
      </c>
      <c r="U59" s="4" t="s">
        <v>32</v>
      </c>
      <c r="V59" s="4">
        <v>1.7949999999999999</v>
      </c>
      <c r="W59" s="4">
        <v>29</v>
      </c>
      <c r="X59" s="8">
        <f t="shared" ref="X59:X64" si="11">V59*W59</f>
        <v>52.055</v>
      </c>
    </row>
    <row r="60" spans="1:24" x14ac:dyDescent="0.3">
      <c r="B60" s="4" t="s">
        <v>34</v>
      </c>
      <c r="C60" s="4">
        <v>0.1</v>
      </c>
      <c r="D60" s="4">
        <v>13.67</v>
      </c>
      <c r="E60" s="8">
        <f t="shared" si="8"/>
        <v>1.367</v>
      </c>
      <c r="G60" t="s">
        <v>56</v>
      </c>
      <c r="H60" s="4" t="s">
        <v>33</v>
      </c>
      <c r="I60" s="4">
        <v>4.2629999999999999</v>
      </c>
      <c r="J60" s="4">
        <v>9.83</v>
      </c>
      <c r="K60" s="8">
        <f t="shared" si="9"/>
        <v>41.905290000000001</v>
      </c>
      <c r="N60" t="s">
        <v>63</v>
      </c>
      <c r="O60" s="4" t="s">
        <v>33</v>
      </c>
      <c r="P60" s="4">
        <v>3.8940000000000001</v>
      </c>
      <c r="Q60" s="4">
        <v>9.83</v>
      </c>
      <c r="R60" s="8">
        <f t="shared" si="10"/>
        <v>38.278020000000005</v>
      </c>
      <c r="T60" t="s">
        <v>63</v>
      </c>
      <c r="U60" s="4" t="s">
        <v>33</v>
      </c>
      <c r="V60" s="4">
        <v>3.8940000000000001</v>
      </c>
      <c r="W60" s="4">
        <v>14.74</v>
      </c>
      <c r="X60" s="8">
        <f t="shared" si="11"/>
        <v>57.397560000000006</v>
      </c>
    </row>
    <row r="61" spans="1:24" x14ac:dyDescent="0.3">
      <c r="B61" s="4" t="s">
        <v>35</v>
      </c>
      <c r="C61" s="4">
        <v>4</v>
      </c>
      <c r="D61" s="4">
        <v>1.89</v>
      </c>
      <c r="E61" s="8">
        <f t="shared" si="8"/>
        <v>7.56</v>
      </c>
      <c r="H61" s="4" t="s">
        <v>96</v>
      </c>
      <c r="I61" s="4">
        <v>2</v>
      </c>
      <c r="J61" s="4">
        <v>1.36</v>
      </c>
      <c r="K61" s="8">
        <f t="shared" si="9"/>
        <v>2.72</v>
      </c>
      <c r="N61" t="s">
        <v>412</v>
      </c>
      <c r="O61" s="4" t="s">
        <v>84</v>
      </c>
      <c r="P61" s="4">
        <v>2</v>
      </c>
      <c r="Q61" s="4">
        <v>1.36</v>
      </c>
      <c r="R61" s="8">
        <f t="shared" si="10"/>
        <v>2.72</v>
      </c>
      <c r="T61" t="s">
        <v>412</v>
      </c>
      <c r="U61" s="4" t="s">
        <v>84</v>
      </c>
      <c r="V61" s="4">
        <v>2</v>
      </c>
      <c r="W61" s="4">
        <v>1.36</v>
      </c>
      <c r="X61" s="8">
        <f t="shared" si="11"/>
        <v>2.72</v>
      </c>
    </row>
    <row r="62" spans="1:24" x14ac:dyDescent="0.3">
      <c r="B62" s="4" t="s">
        <v>36</v>
      </c>
      <c r="C62" s="4">
        <v>4</v>
      </c>
      <c r="D62" s="4">
        <v>0.24</v>
      </c>
      <c r="E62" s="8">
        <f t="shared" si="8"/>
        <v>0.96</v>
      </c>
      <c r="H62" s="4" t="s">
        <v>89</v>
      </c>
      <c r="I62" s="10">
        <v>4</v>
      </c>
      <c r="J62" s="10">
        <v>1.86</v>
      </c>
      <c r="K62" s="11">
        <f t="shared" si="9"/>
        <v>7.44</v>
      </c>
      <c r="O62" s="4" t="s">
        <v>34</v>
      </c>
      <c r="P62" s="4">
        <v>0.16500000000000001</v>
      </c>
      <c r="Q62" s="4">
        <v>13.67</v>
      </c>
      <c r="R62" s="8">
        <f t="shared" si="10"/>
        <v>2.2555499999999999</v>
      </c>
      <c r="U62" s="4" t="s">
        <v>34</v>
      </c>
      <c r="V62" s="4">
        <v>0.16500000000000001</v>
      </c>
      <c r="W62" s="4">
        <v>13.67</v>
      </c>
      <c r="X62" s="8">
        <f t="shared" si="11"/>
        <v>2.2555499999999999</v>
      </c>
    </row>
    <row r="63" spans="1:24" x14ac:dyDescent="0.3">
      <c r="E63" s="9">
        <f>SUM(E57:E62)</f>
        <v>82.343050000000005</v>
      </c>
      <c r="H63" s="4" t="s">
        <v>34</v>
      </c>
      <c r="I63" s="4">
        <v>0.15</v>
      </c>
      <c r="J63" s="4">
        <v>13.67</v>
      </c>
      <c r="K63" s="8">
        <f t="shared" si="9"/>
        <v>2.0505</v>
      </c>
      <c r="O63" s="4" t="s">
        <v>35</v>
      </c>
      <c r="P63" s="4">
        <v>4</v>
      </c>
      <c r="Q63" s="4">
        <v>1.89</v>
      </c>
      <c r="R63" s="8">
        <f t="shared" si="10"/>
        <v>7.56</v>
      </c>
      <c r="U63" s="4" t="s">
        <v>35</v>
      </c>
      <c r="V63" s="4">
        <v>4</v>
      </c>
      <c r="W63" s="4">
        <v>1.89</v>
      </c>
      <c r="X63" s="8">
        <f t="shared" si="11"/>
        <v>7.56</v>
      </c>
    </row>
    <row r="64" spans="1:24" x14ac:dyDescent="0.3">
      <c r="B64" s="4" t="s">
        <v>37</v>
      </c>
      <c r="C64">
        <v>20</v>
      </c>
      <c r="D64">
        <v>1.41</v>
      </c>
      <c r="E64" s="8">
        <f>C64*D64</f>
        <v>28.2</v>
      </c>
      <c r="H64" s="4" t="s">
        <v>35</v>
      </c>
      <c r="I64" s="4">
        <v>4</v>
      </c>
      <c r="J64" s="4">
        <v>1.89</v>
      </c>
      <c r="K64" s="8">
        <f t="shared" si="9"/>
        <v>7.56</v>
      </c>
      <c r="O64" s="4" t="s">
        <v>36</v>
      </c>
      <c r="P64" s="4">
        <v>4</v>
      </c>
      <c r="Q64" s="4">
        <v>0.24</v>
      </c>
      <c r="R64" s="8">
        <f t="shared" si="10"/>
        <v>0.96</v>
      </c>
      <c r="U64" s="4" t="s">
        <v>36</v>
      </c>
      <c r="V64" s="4">
        <v>4</v>
      </c>
      <c r="W64" s="4">
        <v>0.24</v>
      </c>
      <c r="X64" s="8">
        <f t="shared" si="11"/>
        <v>0.96</v>
      </c>
    </row>
    <row r="65" spans="1:24" x14ac:dyDescent="0.3">
      <c r="E65" s="8">
        <f>SUM(E63:E64)</f>
        <v>110.54305000000001</v>
      </c>
      <c r="H65" s="4" t="s">
        <v>36</v>
      </c>
      <c r="I65" s="4">
        <v>4</v>
      </c>
      <c r="J65" s="4">
        <v>0.24</v>
      </c>
      <c r="K65" s="8">
        <f t="shared" si="9"/>
        <v>0.96</v>
      </c>
      <c r="R65" s="9">
        <f>SUM(R59:R64)</f>
        <v>86.560670000000002</v>
      </c>
      <c r="X65" s="9">
        <f>SUM(X59:X64)</f>
        <v>122.94811</v>
      </c>
    </row>
    <row r="66" spans="1:24" x14ac:dyDescent="0.3">
      <c r="K66" s="9">
        <f>SUM(K58:K65)</f>
        <v>151.57457000000002</v>
      </c>
      <c r="O66" s="4" t="s">
        <v>37</v>
      </c>
      <c r="P66">
        <v>20</v>
      </c>
      <c r="Q66">
        <v>1.41</v>
      </c>
      <c r="R66" s="8">
        <f>P66*Q66</f>
        <v>28.2</v>
      </c>
      <c r="U66" s="4" t="s">
        <v>37</v>
      </c>
      <c r="V66">
        <v>20</v>
      </c>
      <c r="W66">
        <v>1.41</v>
      </c>
      <c r="X66" s="8">
        <f>V66*W66</f>
        <v>28.2</v>
      </c>
    </row>
    <row r="67" spans="1:24" x14ac:dyDescent="0.3">
      <c r="H67" s="4" t="s">
        <v>37</v>
      </c>
      <c r="I67">
        <v>20</v>
      </c>
      <c r="J67">
        <v>1.41</v>
      </c>
      <c r="K67" s="8">
        <f>I67*J67</f>
        <v>28.2</v>
      </c>
      <c r="R67" s="8">
        <f>SUM(R65:R66)</f>
        <v>114.76067</v>
      </c>
      <c r="X67" s="8">
        <f>SUM(X65:X66)</f>
        <v>151.14811</v>
      </c>
    </row>
    <row r="68" spans="1:24" x14ac:dyDescent="0.3">
      <c r="C68" s="4" t="s">
        <v>28</v>
      </c>
      <c r="D68" s="4" t="s">
        <v>29</v>
      </c>
      <c r="E68" s="4" t="s">
        <v>30</v>
      </c>
      <c r="K68" s="8">
        <f>SUM(K66:K67)</f>
        <v>179.77457000000001</v>
      </c>
    </row>
    <row r="69" spans="1:24" x14ac:dyDescent="0.3">
      <c r="A69" t="s">
        <v>68</v>
      </c>
      <c r="B69" s="4" t="s">
        <v>32</v>
      </c>
      <c r="C69" s="4">
        <v>1.923</v>
      </c>
      <c r="D69" s="4">
        <v>19.38</v>
      </c>
      <c r="E69" s="8">
        <f t="shared" ref="E69:E74" si="12">C69*D69</f>
        <v>37.267739999999996</v>
      </c>
      <c r="P69" s="4" t="s">
        <v>28</v>
      </c>
      <c r="Q69" s="4" t="s">
        <v>29</v>
      </c>
      <c r="R69" s="4" t="s">
        <v>30</v>
      </c>
      <c r="V69" s="4" t="s">
        <v>28</v>
      </c>
      <c r="W69" s="4" t="s">
        <v>29</v>
      </c>
      <c r="X69" s="4" t="s">
        <v>30</v>
      </c>
    </row>
    <row r="70" spans="1:24" x14ac:dyDescent="0.3">
      <c r="A70" t="s">
        <v>63</v>
      </c>
      <c r="B70" s="4" t="s">
        <v>33</v>
      </c>
      <c r="C70" s="4">
        <v>4.3470000000000004</v>
      </c>
      <c r="D70" s="4">
        <v>9.83</v>
      </c>
      <c r="E70" s="8">
        <f t="shared" si="12"/>
        <v>42.731010000000005</v>
      </c>
      <c r="I70" s="4" t="s">
        <v>28</v>
      </c>
      <c r="J70" s="4" t="s">
        <v>29</v>
      </c>
      <c r="K70" s="4" t="s">
        <v>30</v>
      </c>
      <c r="N70" t="s">
        <v>67</v>
      </c>
      <c r="O70" s="4" t="s">
        <v>32</v>
      </c>
      <c r="P70" s="4">
        <v>1.7949999999999999</v>
      </c>
      <c r="Q70" s="4">
        <v>19.89</v>
      </c>
      <c r="R70" s="8">
        <f t="shared" ref="R70:R75" si="13">P70*Q70</f>
        <v>35.702550000000002</v>
      </c>
      <c r="T70" t="s">
        <v>67</v>
      </c>
      <c r="U70" s="4" t="s">
        <v>32</v>
      </c>
      <c r="V70" s="4">
        <v>1.7949999999999999</v>
      </c>
      <c r="W70" s="4">
        <v>27.85</v>
      </c>
      <c r="X70" s="8">
        <f t="shared" ref="X70:X75" si="14">V70*W70</f>
        <v>49.990749999999998</v>
      </c>
    </row>
    <row r="71" spans="1:24" x14ac:dyDescent="0.3">
      <c r="B71" s="4" t="s">
        <v>84</v>
      </c>
      <c r="C71" s="4">
        <v>2</v>
      </c>
      <c r="D71" s="4">
        <v>1.36</v>
      </c>
      <c r="E71" s="8">
        <f t="shared" si="12"/>
        <v>2.72</v>
      </c>
      <c r="G71" t="s">
        <v>68</v>
      </c>
      <c r="H71" s="4" t="s">
        <v>32</v>
      </c>
      <c r="I71" s="4">
        <v>1.923</v>
      </c>
      <c r="J71" s="4">
        <v>30.59</v>
      </c>
      <c r="K71" s="8">
        <f>I71*J71</f>
        <v>58.824570000000001</v>
      </c>
      <c r="N71" t="s">
        <v>63</v>
      </c>
      <c r="O71" s="4" t="s">
        <v>33</v>
      </c>
      <c r="P71" s="4">
        <v>3.8940000000000001</v>
      </c>
      <c r="Q71" s="4">
        <v>11.03</v>
      </c>
      <c r="R71" s="8">
        <f t="shared" si="13"/>
        <v>42.95082</v>
      </c>
      <c r="T71" t="s">
        <v>63</v>
      </c>
      <c r="U71" s="4" t="s">
        <v>33</v>
      </c>
      <c r="V71" s="4">
        <v>3.8940000000000001</v>
      </c>
      <c r="W71" s="4">
        <v>16.54</v>
      </c>
      <c r="X71" s="8">
        <f t="shared" si="14"/>
        <v>64.406760000000006</v>
      </c>
    </row>
    <row r="72" spans="1:24" x14ac:dyDescent="0.3">
      <c r="B72" s="4" t="s">
        <v>34</v>
      </c>
      <c r="C72" s="4">
        <v>0.1</v>
      </c>
      <c r="D72" s="4">
        <v>13.67</v>
      </c>
      <c r="E72" s="8">
        <f t="shared" si="12"/>
        <v>1.367</v>
      </c>
      <c r="G72" t="s">
        <v>63</v>
      </c>
      <c r="H72" s="4" t="s">
        <v>33</v>
      </c>
      <c r="I72" s="4">
        <v>4.3470000000000004</v>
      </c>
      <c r="J72" s="4">
        <v>9.83</v>
      </c>
      <c r="K72" s="8">
        <f>I72*J72</f>
        <v>42.731010000000005</v>
      </c>
      <c r="N72" t="s">
        <v>413</v>
      </c>
      <c r="O72" s="4" t="s">
        <v>84</v>
      </c>
      <c r="P72" s="4">
        <v>2</v>
      </c>
      <c r="Q72" s="4">
        <v>1.36</v>
      </c>
      <c r="R72" s="8">
        <f t="shared" si="13"/>
        <v>2.72</v>
      </c>
      <c r="T72" t="s">
        <v>413</v>
      </c>
      <c r="U72" s="4" t="s">
        <v>84</v>
      </c>
      <c r="V72" s="4">
        <v>2</v>
      </c>
      <c r="W72" s="4">
        <v>1.36</v>
      </c>
      <c r="X72" s="8">
        <f t="shared" si="14"/>
        <v>2.72</v>
      </c>
    </row>
    <row r="73" spans="1:24" x14ac:dyDescent="0.3">
      <c r="B73" s="4" t="s">
        <v>35</v>
      </c>
      <c r="C73" s="4">
        <v>4</v>
      </c>
      <c r="D73" s="4">
        <v>1.89</v>
      </c>
      <c r="E73" s="8">
        <f t="shared" si="12"/>
        <v>7.56</v>
      </c>
      <c r="G73" t="s">
        <v>57</v>
      </c>
      <c r="H73" s="4" t="s">
        <v>33</v>
      </c>
      <c r="I73" s="4">
        <v>4.9980000000000002</v>
      </c>
      <c r="J73" s="4">
        <v>9.83</v>
      </c>
      <c r="K73" s="8">
        <f>I73*J73</f>
        <v>49.130340000000004</v>
      </c>
      <c r="O73" s="4" t="s">
        <v>34</v>
      </c>
      <c r="P73" s="4">
        <v>0.16500000000000001</v>
      </c>
      <c r="Q73" s="4">
        <v>13.67</v>
      </c>
      <c r="R73" s="8">
        <f t="shared" si="13"/>
        <v>2.2555499999999999</v>
      </c>
      <c r="U73" s="4" t="s">
        <v>34</v>
      </c>
      <c r="V73" s="4">
        <v>0.16500000000000001</v>
      </c>
      <c r="W73" s="4">
        <v>13.67</v>
      </c>
      <c r="X73" s="8">
        <f t="shared" si="14"/>
        <v>2.2555499999999999</v>
      </c>
    </row>
    <row r="74" spans="1:24" x14ac:dyDescent="0.3">
      <c r="B74" s="4" t="s">
        <v>36</v>
      </c>
      <c r="C74" s="4">
        <v>4</v>
      </c>
      <c r="D74" s="4">
        <v>0.24</v>
      </c>
      <c r="E74" s="8">
        <f t="shared" si="12"/>
        <v>0.96</v>
      </c>
      <c r="H74" s="4" t="s">
        <v>96</v>
      </c>
      <c r="I74" s="4">
        <v>2</v>
      </c>
      <c r="J74" s="4">
        <v>1.36</v>
      </c>
      <c r="K74" s="8">
        <f>I74*J74</f>
        <v>2.72</v>
      </c>
      <c r="O74" s="4" t="s">
        <v>35</v>
      </c>
      <c r="P74" s="4">
        <v>4</v>
      </c>
      <c r="Q74" s="4">
        <v>1.89</v>
      </c>
      <c r="R74" s="8">
        <f t="shared" si="13"/>
        <v>7.56</v>
      </c>
      <c r="U74" s="4" t="s">
        <v>35</v>
      </c>
      <c r="V74" s="4">
        <v>4</v>
      </c>
      <c r="W74" s="4">
        <v>1.89</v>
      </c>
      <c r="X74" s="8">
        <f t="shared" si="14"/>
        <v>7.56</v>
      </c>
    </row>
    <row r="75" spans="1:24" x14ac:dyDescent="0.3">
      <c r="E75" s="9">
        <f>SUM(E69:E74)</f>
        <v>92.60575</v>
      </c>
      <c r="H75" s="4" t="s">
        <v>91</v>
      </c>
      <c r="I75" s="10">
        <v>4</v>
      </c>
      <c r="J75" s="4"/>
      <c r="K75" s="4">
        <v>7.68</v>
      </c>
      <c r="O75" s="4" t="s">
        <v>36</v>
      </c>
      <c r="P75" s="4">
        <v>4</v>
      </c>
      <c r="Q75" s="4">
        <v>0.24</v>
      </c>
      <c r="R75" s="8">
        <f t="shared" si="13"/>
        <v>0.96</v>
      </c>
      <c r="U75" s="4" t="s">
        <v>36</v>
      </c>
      <c r="V75" s="4">
        <v>4</v>
      </c>
      <c r="W75" s="4">
        <v>0.24</v>
      </c>
      <c r="X75" s="8">
        <f t="shared" si="14"/>
        <v>0.96</v>
      </c>
    </row>
    <row r="76" spans="1:24" x14ac:dyDescent="0.3">
      <c r="B76" s="4" t="s">
        <v>37</v>
      </c>
      <c r="C76">
        <v>20</v>
      </c>
      <c r="D76">
        <v>1.41</v>
      </c>
      <c r="E76" s="8">
        <f>C76*D76</f>
        <v>28.2</v>
      </c>
      <c r="H76" s="4" t="s">
        <v>34</v>
      </c>
      <c r="I76" s="4">
        <v>0.15</v>
      </c>
      <c r="J76" s="4">
        <v>13.67</v>
      </c>
      <c r="K76" s="8">
        <f>I76*J76</f>
        <v>2.0505</v>
      </c>
      <c r="R76" s="9">
        <f>SUM(R70:R75)</f>
        <v>92.14891999999999</v>
      </c>
      <c r="X76" s="9">
        <f>SUM(X70:X75)</f>
        <v>127.89306000000001</v>
      </c>
    </row>
    <row r="77" spans="1:24" x14ac:dyDescent="0.3">
      <c r="E77" s="8">
        <f>SUM(E75:E76)</f>
        <v>120.80575</v>
      </c>
      <c r="H77" s="4" t="s">
        <v>35</v>
      </c>
      <c r="I77" s="4">
        <v>4</v>
      </c>
      <c r="J77" s="4">
        <v>1.89</v>
      </c>
      <c r="K77" s="8">
        <f>I77*J77</f>
        <v>7.56</v>
      </c>
      <c r="O77" s="4" t="s">
        <v>37</v>
      </c>
      <c r="P77">
        <v>20</v>
      </c>
      <c r="Q77">
        <v>1.41</v>
      </c>
      <c r="R77" s="8">
        <f>P77*Q77</f>
        <v>28.2</v>
      </c>
      <c r="U77" s="4" t="s">
        <v>37</v>
      </c>
      <c r="V77">
        <v>20</v>
      </c>
      <c r="W77">
        <v>1.41</v>
      </c>
      <c r="X77" s="8">
        <f>V77*W77</f>
        <v>28.2</v>
      </c>
    </row>
    <row r="78" spans="1:24" x14ac:dyDescent="0.3">
      <c r="H78" s="4" t="s">
        <v>36</v>
      </c>
      <c r="I78" s="4">
        <v>4</v>
      </c>
      <c r="J78" s="4">
        <v>0.24</v>
      </c>
      <c r="K78" s="8">
        <f>I78*J78</f>
        <v>0.96</v>
      </c>
      <c r="R78" s="8">
        <f>SUM(R76:R77)</f>
        <v>120.34891999999999</v>
      </c>
      <c r="X78" s="8">
        <f>SUM(X76:X77)</f>
        <v>156.09306000000001</v>
      </c>
    </row>
    <row r="79" spans="1:24" x14ac:dyDescent="0.3">
      <c r="C79" s="4" t="s">
        <v>28</v>
      </c>
      <c r="D79" s="4" t="s">
        <v>29</v>
      </c>
      <c r="E79" s="4" t="s">
        <v>30</v>
      </c>
      <c r="K79" s="9">
        <f>SUM(K71:K78)</f>
        <v>171.65642000000003</v>
      </c>
    </row>
    <row r="80" spans="1:24" x14ac:dyDescent="0.3">
      <c r="A80" t="s">
        <v>69</v>
      </c>
      <c r="B80" s="4" t="s">
        <v>32</v>
      </c>
      <c r="C80" s="4">
        <v>2.133</v>
      </c>
      <c r="D80" s="4">
        <v>19.38</v>
      </c>
      <c r="E80" s="8">
        <f t="shared" ref="E80:E85" si="15">C80*D80</f>
        <v>41.337539999999997</v>
      </c>
      <c r="H80" s="4" t="s">
        <v>37</v>
      </c>
      <c r="I80">
        <v>63.5</v>
      </c>
      <c r="K80" s="8">
        <v>63.9</v>
      </c>
    </row>
    <row r="81" spans="1:11" x14ac:dyDescent="0.3">
      <c r="A81" t="s">
        <v>63</v>
      </c>
      <c r="B81" s="4" t="s">
        <v>33</v>
      </c>
      <c r="C81" s="4">
        <v>4.9770000000000003</v>
      </c>
      <c r="D81" s="4">
        <v>9.83</v>
      </c>
      <c r="E81" s="8">
        <f t="shared" si="15"/>
        <v>48.923910000000006</v>
      </c>
      <c r="K81" s="8">
        <f>SUM(K79:K80)</f>
        <v>235.55642000000003</v>
      </c>
    </row>
    <row r="82" spans="1:11" x14ac:dyDescent="0.3">
      <c r="B82" s="4" t="s">
        <v>84</v>
      </c>
      <c r="C82" s="4">
        <v>2</v>
      </c>
      <c r="D82" s="4">
        <v>1.36</v>
      </c>
      <c r="E82" s="8">
        <f t="shared" si="15"/>
        <v>2.72</v>
      </c>
    </row>
    <row r="83" spans="1:11" x14ac:dyDescent="0.3">
      <c r="B83" s="4" t="s">
        <v>34</v>
      </c>
      <c r="C83" s="4">
        <v>0.1</v>
      </c>
      <c r="D83" s="4">
        <v>13.67</v>
      </c>
      <c r="E83" s="8">
        <f t="shared" si="15"/>
        <v>1.367</v>
      </c>
      <c r="I83" s="4" t="s">
        <v>28</v>
      </c>
      <c r="J83" s="4" t="s">
        <v>29</v>
      </c>
      <c r="K83" s="4" t="s">
        <v>30</v>
      </c>
    </row>
    <row r="84" spans="1:11" x14ac:dyDescent="0.3">
      <c r="B84" s="4" t="s">
        <v>35</v>
      </c>
      <c r="C84" s="4">
        <v>4</v>
      </c>
      <c r="D84" s="4">
        <v>1.89</v>
      </c>
      <c r="E84" s="8">
        <f t="shared" si="15"/>
        <v>7.56</v>
      </c>
      <c r="G84" t="s">
        <v>69</v>
      </c>
      <c r="H84" s="4" t="s">
        <v>32</v>
      </c>
      <c r="I84" s="4">
        <v>2.133</v>
      </c>
      <c r="J84" s="4">
        <v>30.59</v>
      </c>
      <c r="K84" s="8">
        <f t="shared" ref="K84:K91" si="16">I84*J84</f>
        <v>65.248469999999998</v>
      </c>
    </row>
    <row r="85" spans="1:11" x14ac:dyDescent="0.3">
      <c r="B85" s="4" t="s">
        <v>36</v>
      </c>
      <c r="C85" s="4">
        <v>4</v>
      </c>
      <c r="D85" s="4">
        <v>0.24</v>
      </c>
      <c r="E85" s="8">
        <f t="shared" si="15"/>
        <v>0.96</v>
      </c>
      <c r="G85" t="s">
        <v>63</v>
      </c>
      <c r="H85" s="4" t="s">
        <v>33</v>
      </c>
      <c r="I85" s="4">
        <v>4.9770000000000003</v>
      </c>
      <c r="J85" s="4">
        <v>9.83</v>
      </c>
      <c r="K85" s="8">
        <f t="shared" si="16"/>
        <v>48.923910000000006</v>
      </c>
    </row>
    <row r="86" spans="1:11" x14ac:dyDescent="0.3">
      <c r="E86" s="9">
        <f>SUM(E80:E85)</f>
        <v>102.86845</v>
      </c>
      <c r="G86" t="s">
        <v>58</v>
      </c>
      <c r="H86" s="4" t="s">
        <v>33</v>
      </c>
      <c r="I86" s="4">
        <v>5.7329999999999997</v>
      </c>
      <c r="J86" s="4">
        <v>9.83</v>
      </c>
      <c r="K86" s="8">
        <f t="shared" si="16"/>
        <v>56.35539</v>
      </c>
    </row>
    <row r="87" spans="1:11" x14ac:dyDescent="0.3">
      <c r="B87" s="4" t="s">
        <v>37</v>
      </c>
      <c r="C87">
        <v>25</v>
      </c>
      <c r="D87">
        <v>1.41</v>
      </c>
      <c r="E87" s="8">
        <f>C87*D87</f>
        <v>35.25</v>
      </c>
      <c r="H87" s="4" t="s">
        <v>96</v>
      </c>
      <c r="I87" s="4">
        <v>2</v>
      </c>
      <c r="J87" s="4">
        <v>1.36</v>
      </c>
      <c r="K87" s="8">
        <f t="shared" si="16"/>
        <v>2.72</v>
      </c>
    </row>
    <row r="88" spans="1:11" x14ac:dyDescent="0.3">
      <c r="E88" s="8">
        <f>SUM(E86:E87)</f>
        <v>138.11845</v>
      </c>
      <c r="H88" s="4" t="s">
        <v>92</v>
      </c>
      <c r="I88" s="10">
        <v>4</v>
      </c>
      <c r="J88" s="10">
        <v>1.98</v>
      </c>
      <c r="K88" s="11">
        <f t="shared" si="16"/>
        <v>7.92</v>
      </c>
    </row>
    <row r="89" spans="1:11" x14ac:dyDescent="0.3">
      <c r="H89" s="4" t="s">
        <v>34</v>
      </c>
      <c r="I89" s="4">
        <v>0.15</v>
      </c>
      <c r="J89" s="4">
        <v>13.67</v>
      </c>
      <c r="K89" s="8">
        <f t="shared" si="16"/>
        <v>2.0505</v>
      </c>
    </row>
    <row r="90" spans="1:11" x14ac:dyDescent="0.3">
      <c r="C90" s="4" t="s">
        <v>28</v>
      </c>
      <c r="D90" s="4" t="s">
        <v>29</v>
      </c>
      <c r="E90" s="4" t="s">
        <v>30</v>
      </c>
      <c r="H90" s="4" t="s">
        <v>35</v>
      </c>
      <c r="I90" s="4">
        <v>4</v>
      </c>
      <c r="J90" s="4">
        <v>1.89</v>
      </c>
      <c r="K90" s="8">
        <f t="shared" si="16"/>
        <v>7.56</v>
      </c>
    </row>
    <row r="91" spans="1:11" x14ac:dyDescent="0.3">
      <c r="A91" t="s">
        <v>70</v>
      </c>
      <c r="B91" s="4" t="s">
        <v>32</v>
      </c>
      <c r="C91" s="4">
        <v>2.343</v>
      </c>
      <c r="D91" s="4">
        <v>19.38</v>
      </c>
      <c r="E91" s="8">
        <f t="shared" ref="E91:E96" si="17">C91*D91</f>
        <v>45.407339999999998</v>
      </c>
      <c r="H91" s="4" t="s">
        <v>36</v>
      </c>
      <c r="I91" s="4">
        <v>4</v>
      </c>
      <c r="J91" s="4">
        <v>0.24</v>
      </c>
      <c r="K91" s="8">
        <f t="shared" si="16"/>
        <v>0.96</v>
      </c>
    </row>
    <row r="92" spans="1:11" x14ac:dyDescent="0.3">
      <c r="A92" t="s">
        <v>63</v>
      </c>
      <c r="B92" s="4" t="s">
        <v>33</v>
      </c>
      <c r="C92" s="4">
        <v>5.6070000000000002</v>
      </c>
      <c r="D92" s="4">
        <v>9.83</v>
      </c>
      <c r="E92" s="8">
        <f t="shared" si="17"/>
        <v>55.116810000000001</v>
      </c>
      <c r="K92" s="9">
        <f>SUM(K84:K91)</f>
        <v>191.73827</v>
      </c>
    </row>
    <row r="93" spans="1:11" x14ac:dyDescent="0.3">
      <c r="B93" s="4" t="s">
        <v>84</v>
      </c>
      <c r="C93" s="4">
        <v>2</v>
      </c>
      <c r="D93" s="4">
        <v>1.36</v>
      </c>
      <c r="E93" s="8">
        <f t="shared" si="17"/>
        <v>2.72</v>
      </c>
      <c r="H93" s="4" t="s">
        <v>37</v>
      </c>
      <c r="I93">
        <v>30</v>
      </c>
      <c r="J93">
        <v>1.41</v>
      </c>
      <c r="K93" s="8">
        <f>I93*J93</f>
        <v>42.3</v>
      </c>
    </row>
    <row r="94" spans="1:11" x14ac:dyDescent="0.3">
      <c r="B94" s="4" t="s">
        <v>34</v>
      </c>
      <c r="C94" s="4">
        <v>0.1</v>
      </c>
      <c r="D94" s="4">
        <v>13.67</v>
      </c>
      <c r="E94" s="8">
        <f t="shared" si="17"/>
        <v>1.367</v>
      </c>
      <c r="K94" s="8">
        <f>SUM(K92:K93)</f>
        <v>234.03827000000001</v>
      </c>
    </row>
    <row r="95" spans="1:11" x14ac:dyDescent="0.3">
      <c r="B95" s="4" t="s">
        <v>35</v>
      </c>
      <c r="C95" s="4">
        <v>4</v>
      </c>
      <c r="D95" s="4">
        <v>1.89</v>
      </c>
      <c r="E95" s="8">
        <f t="shared" si="17"/>
        <v>7.56</v>
      </c>
    </row>
    <row r="96" spans="1:11" x14ac:dyDescent="0.3">
      <c r="B96" s="4" t="s">
        <v>36</v>
      </c>
      <c r="C96" s="4">
        <v>4</v>
      </c>
      <c r="D96" s="4">
        <v>0.24</v>
      </c>
      <c r="E96" s="8">
        <f t="shared" si="17"/>
        <v>0.96</v>
      </c>
      <c r="I96" s="4" t="s">
        <v>28</v>
      </c>
      <c r="J96" s="4" t="s">
        <v>29</v>
      </c>
      <c r="K96" s="4" t="s">
        <v>30</v>
      </c>
    </row>
    <row r="97" spans="1:11" x14ac:dyDescent="0.3">
      <c r="E97" s="9">
        <f>SUM(E91:E96)</f>
        <v>113.13114999999999</v>
      </c>
      <c r="G97" t="s">
        <v>70</v>
      </c>
      <c r="H97" s="4" t="s">
        <v>32</v>
      </c>
      <c r="I97" s="4">
        <v>2.343</v>
      </c>
      <c r="J97" s="4">
        <v>30.59</v>
      </c>
      <c r="K97" s="8">
        <f>I97*J97</f>
        <v>71.672370000000001</v>
      </c>
    </row>
    <row r="98" spans="1:11" x14ac:dyDescent="0.3">
      <c r="B98" s="4" t="s">
        <v>37</v>
      </c>
      <c r="C98">
        <v>30</v>
      </c>
      <c r="D98">
        <v>1.41</v>
      </c>
      <c r="E98" s="8">
        <f>C98*D98</f>
        <v>42.3</v>
      </c>
      <c r="G98" t="s">
        <v>63</v>
      </c>
      <c r="H98" s="4" t="s">
        <v>33</v>
      </c>
      <c r="I98" s="4">
        <v>5.6070000000000002</v>
      </c>
      <c r="J98" s="4">
        <v>9.83</v>
      </c>
      <c r="K98" s="8">
        <f>I98*J98</f>
        <v>55.116810000000001</v>
      </c>
    </row>
    <row r="99" spans="1:11" x14ac:dyDescent="0.3">
      <c r="E99" s="8">
        <f>SUM(E97:E98)</f>
        <v>155.43115</v>
      </c>
      <c r="G99" t="s">
        <v>59</v>
      </c>
      <c r="H99" s="4" t="s">
        <v>33</v>
      </c>
      <c r="I99" s="4">
        <v>6.468</v>
      </c>
      <c r="J99" s="4">
        <v>9.83</v>
      </c>
      <c r="K99" s="8">
        <f>I99*J99</f>
        <v>63.580440000000003</v>
      </c>
    </row>
    <row r="100" spans="1:11" x14ac:dyDescent="0.3">
      <c r="H100" s="4" t="s">
        <v>96</v>
      </c>
      <c r="I100" s="4">
        <v>2</v>
      </c>
      <c r="J100" s="4">
        <v>1.36</v>
      </c>
      <c r="K100" s="8">
        <f>I100*J100</f>
        <v>2.72</v>
      </c>
    </row>
    <row r="101" spans="1:11" x14ac:dyDescent="0.3">
      <c r="C101" s="4" t="s">
        <v>28</v>
      </c>
      <c r="D101" s="4" t="s">
        <v>29</v>
      </c>
      <c r="E101" s="4" t="s">
        <v>30</v>
      </c>
      <c r="H101" s="4" t="s">
        <v>93</v>
      </c>
      <c r="I101" s="4">
        <v>4</v>
      </c>
      <c r="J101" s="4"/>
      <c r="K101" s="4">
        <v>8.44</v>
      </c>
    </row>
    <row r="102" spans="1:11" x14ac:dyDescent="0.3">
      <c r="A102" t="s">
        <v>71</v>
      </c>
      <c r="B102" s="4" t="s">
        <v>32</v>
      </c>
      <c r="C102" s="4">
        <v>2.5529999999999999</v>
      </c>
      <c r="D102" s="4">
        <v>19.38</v>
      </c>
      <c r="E102" s="8">
        <f t="shared" ref="E102:E107" si="18">C102*D102</f>
        <v>49.477139999999999</v>
      </c>
      <c r="H102" s="4" t="s">
        <v>34</v>
      </c>
      <c r="I102" s="4">
        <v>0.15</v>
      </c>
      <c r="J102" s="4">
        <v>13.67</v>
      </c>
      <c r="K102" s="8">
        <f>I102*J102</f>
        <v>2.0505</v>
      </c>
    </row>
    <row r="103" spans="1:11" x14ac:dyDescent="0.3">
      <c r="A103" t="s">
        <v>63</v>
      </c>
      <c r="B103" s="4" t="s">
        <v>33</v>
      </c>
      <c r="C103" s="4">
        <v>6.2370000000000001</v>
      </c>
      <c r="D103" s="4">
        <v>9.83</v>
      </c>
      <c r="E103" s="8">
        <f t="shared" si="18"/>
        <v>61.309710000000003</v>
      </c>
      <c r="H103" s="4" t="s">
        <v>35</v>
      </c>
      <c r="I103" s="4">
        <v>4</v>
      </c>
      <c r="J103" s="4">
        <v>1.89</v>
      </c>
      <c r="K103" s="8">
        <f>I103*J103</f>
        <v>7.56</v>
      </c>
    </row>
    <row r="104" spans="1:11" x14ac:dyDescent="0.3">
      <c r="B104" s="4" t="s">
        <v>84</v>
      </c>
      <c r="C104" s="4">
        <v>2</v>
      </c>
      <c r="D104" s="4">
        <v>1.36</v>
      </c>
      <c r="E104" s="8">
        <f t="shared" si="18"/>
        <v>2.72</v>
      </c>
      <c r="H104" s="4" t="s">
        <v>36</v>
      </c>
      <c r="I104" s="4">
        <v>4</v>
      </c>
      <c r="J104" s="4">
        <v>0.24</v>
      </c>
      <c r="K104" s="8">
        <f>I104*J104</f>
        <v>0.96</v>
      </c>
    </row>
    <row r="105" spans="1:11" x14ac:dyDescent="0.3">
      <c r="B105" s="4" t="s">
        <v>34</v>
      </c>
      <c r="C105" s="4">
        <v>0.1</v>
      </c>
      <c r="D105" s="4">
        <v>13.67</v>
      </c>
      <c r="E105" s="8">
        <f t="shared" si="18"/>
        <v>1.367</v>
      </c>
      <c r="K105" s="9">
        <f>SUM(K97:K104)</f>
        <v>212.10012</v>
      </c>
    </row>
    <row r="106" spans="1:11" x14ac:dyDescent="0.3">
      <c r="B106" s="4" t="s">
        <v>35</v>
      </c>
      <c r="C106" s="4">
        <v>4</v>
      </c>
      <c r="D106" s="4">
        <v>1.89</v>
      </c>
      <c r="E106" s="8">
        <f t="shared" si="18"/>
        <v>7.56</v>
      </c>
      <c r="H106" s="4" t="s">
        <v>37</v>
      </c>
      <c r="I106">
        <v>30</v>
      </c>
      <c r="J106">
        <v>1.41</v>
      </c>
      <c r="K106" s="8">
        <f>I106*J106</f>
        <v>42.3</v>
      </c>
    </row>
    <row r="107" spans="1:11" x14ac:dyDescent="0.3">
      <c r="B107" s="4" t="s">
        <v>36</v>
      </c>
      <c r="C107" s="4">
        <v>4</v>
      </c>
      <c r="D107" s="4">
        <v>0.24</v>
      </c>
      <c r="E107" s="8">
        <f t="shared" si="18"/>
        <v>0.96</v>
      </c>
      <c r="K107" s="8">
        <f>SUM(K105:K106)</f>
        <v>254.40012000000002</v>
      </c>
    </row>
    <row r="108" spans="1:11" x14ac:dyDescent="0.3">
      <c r="E108" s="9">
        <f>SUM(E102:E107)</f>
        <v>123.39385</v>
      </c>
    </row>
    <row r="109" spans="1:11" x14ac:dyDescent="0.3">
      <c r="B109" s="4" t="s">
        <v>37</v>
      </c>
      <c r="C109">
        <v>30</v>
      </c>
      <c r="D109">
        <v>1.41</v>
      </c>
      <c r="E109" s="8">
        <f>C109*D109</f>
        <v>42.3</v>
      </c>
      <c r="I109" s="4" t="s">
        <v>28</v>
      </c>
      <c r="J109" s="4" t="s">
        <v>29</v>
      </c>
      <c r="K109" s="4" t="s">
        <v>30</v>
      </c>
    </row>
    <row r="110" spans="1:11" x14ac:dyDescent="0.3">
      <c r="E110" s="8">
        <f>SUM(E108:E109)</f>
        <v>165.69385</v>
      </c>
      <c r="G110" t="s">
        <v>71</v>
      </c>
      <c r="H110" s="4" t="s">
        <v>32</v>
      </c>
      <c r="I110" s="4">
        <v>2.5529999999999999</v>
      </c>
      <c r="J110" s="4">
        <v>30.59</v>
      </c>
      <c r="K110" s="8">
        <f t="shared" ref="K110:K117" si="19">I110*J110</f>
        <v>78.096270000000004</v>
      </c>
    </row>
    <row r="111" spans="1:11" x14ac:dyDescent="0.3">
      <c r="G111" t="s">
        <v>63</v>
      </c>
      <c r="H111" s="4" t="s">
        <v>33</v>
      </c>
      <c r="I111" s="4">
        <v>6.2370000000000001</v>
      </c>
      <c r="J111" s="4">
        <v>9.83</v>
      </c>
      <c r="K111" s="8">
        <f t="shared" si="19"/>
        <v>61.309710000000003</v>
      </c>
    </row>
    <row r="112" spans="1:11" x14ac:dyDescent="0.3">
      <c r="C112" s="4" t="s">
        <v>28</v>
      </c>
      <c r="D112" s="4" t="s">
        <v>29</v>
      </c>
      <c r="E112" s="4" t="s">
        <v>30</v>
      </c>
      <c r="G112" t="s">
        <v>60</v>
      </c>
      <c r="H112" s="4" t="s">
        <v>33</v>
      </c>
      <c r="I112" s="4">
        <v>7.2030000000000003</v>
      </c>
      <c r="J112" s="4">
        <v>9.83</v>
      </c>
      <c r="K112" s="8">
        <f t="shared" si="19"/>
        <v>70.805490000000006</v>
      </c>
    </row>
    <row r="113" spans="1:11" x14ac:dyDescent="0.3">
      <c r="A113" t="s">
        <v>72</v>
      </c>
      <c r="B113" s="4" t="s">
        <v>32</v>
      </c>
      <c r="C113" s="4">
        <v>2.9729999999999999</v>
      </c>
      <c r="D113" s="4">
        <v>19.38</v>
      </c>
      <c r="E113" s="8">
        <f t="shared" ref="E113:E118" si="20">C113*D113</f>
        <v>57.616739999999993</v>
      </c>
      <c r="H113" s="4" t="s">
        <v>96</v>
      </c>
      <c r="I113" s="4">
        <v>2</v>
      </c>
      <c r="J113" s="4">
        <v>1.36</v>
      </c>
      <c r="K113" s="8">
        <f t="shared" si="19"/>
        <v>2.72</v>
      </c>
    </row>
    <row r="114" spans="1:11" x14ac:dyDescent="0.3">
      <c r="A114" t="s">
        <v>63</v>
      </c>
      <c r="B114" s="4" t="s">
        <v>33</v>
      </c>
      <c r="C114" s="4">
        <v>7.4969999999999999</v>
      </c>
      <c r="D114" s="4">
        <v>9.83</v>
      </c>
      <c r="E114" s="8">
        <f t="shared" si="20"/>
        <v>73.695509999999999</v>
      </c>
      <c r="H114" s="4" t="s">
        <v>94</v>
      </c>
      <c r="I114" s="10">
        <v>4</v>
      </c>
      <c r="J114" s="10">
        <v>2.2400000000000002</v>
      </c>
      <c r="K114" s="11">
        <f t="shared" si="19"/>
        <v>8.9600000000000009</v>
      </c>
    </row>
    <row r="115" spans="1:11" x14ac:dyDescent="0.3">
      <c r="B115" s="4" t="s">
        <v>84</v>
      </c>
      <c r="C115" s="4">
        <v>2</v>
      </c>
      <c r="D115" s="4">
        <v>1.36</v>
      </c>
      <c r="E115" s="8">
        <f t="shared" si="20"/>
        <v>2.72</v>
      </c>
      <c r="H115" s="4" t="s">
        <v>34</v>
      </c>
      <c r="I115" s="4">
        <v>0.15</v>
      </c>
      <c r="J115" s="4">
        <v>13.67</v>
      </c>
      <c r="K115" s="8">
        <f t="shared" si="19"/>
        <v>2.0505</v>
      </c>
    </row>
    <row r="116" spans="1:11" x14ac:dyDescent="0.3">
      <c r="B116" s="4" t="s">
        <v>34</v>
      </c>
      <c r="C116" s="4">
        <v>0.1</v>
      </c>
      <c r="D116" s="4">
        <v>13.67</v>
      </c>
      <c r="E116" s="8">
        <f t="shared" si="20"/>
        <v>1.367</v>
      </c>
      <c r="H116" s="4" t="s">
        <v>35</v>
      </c>
      <c r="I116" s="4">
        <v>4</v>
      </c>
      <c r="J116" s="4">
        <v>1.89</v>
      </c>
      <c r="K116" s="8">
        <f t="shared" si="19"/>
        <v>7.56</v>
      </c>
    </row>
    <row r="117" spans="1:11" x14ac:dyDescent="0.3">
      <c r="B117" s="4" t="s">
        <v>35</v>
      </c>
      <c r="C117" s="4">
        <v>4</v>
      </c>
      <c r="D117" s="4">
        <v>1.89</v>
      </c>
      <c r="E117" s="8">
        <f t="shared" si="20"/>
        <v>7.56</v>
      </c>
      <c r="H117" s="4" t="s">
        <v>36</v>
      </c>
      <c r="I117" s="4">
        <v>4</v>
      </c>
      <c r="J117" s="4">
        <v>0.24</v>
      </c>
      <c r="K117" s="8">
        <f t="shared" si="19"/>
        <v>0.96</v>
      </c>
    </row>
    <row r="118" spans="1:11" x14ac:dyDescent="0.3">
      <c r="B118" s="4" t="s">
        <v>36</v>
      </c>
      <c r="C118" s="4">
        <v>4</v>
      </c>
      <c r="D118" s="4">
        <v>0.24</v>
      </c>
      <c r="E118" s="8">
        <f t="shared" si="20"/>
        <v>0.96</v>
      </c>
      <c r="K118" s="9">
        <f>SUM(K110:K117)</f>
        <v>232.46197000000004</v>
      </c>
    </row>
    <row r="119" spans="1:11" x14ac:dyDescent="0.3">
      <c r="E119" s="9">
        <f>SUM(E113:E118)</f>
        <v>143.91925000000001</v>
      </c>
      <c r="H119" s="4" t="s">
        <v>37</v>
      </c>
      <c r="I119">
        <v>85</v>
      </c>
      <c r="K119" s="8">
        <v>85</v>
      </c>
    </row>
    <row r="120" spans="1:11" x14ac:dyDescent="0.3">
      <c r="B120" s="4" t="s">
        <v>37</v>
      </c>
      <c r="C120">
        <v>30</v>
      </c>
      <c r="D120">
        <v>1.41</v>
      </c>
      <c r="E120" s="8">
        <f>C120*D120</f>
        <v>42.3</v>
      </c>
      <c r="K120" s="8">
        <f>SUM(K118:K119)</f>
        <v>317.46197000000006</v>
      </c>
    </row>
    <row r="121" spans="1:11" x14ac:dyDescent="0.3">
      <c r="E121" s="8">
        <f>SUM(E119:E120)</f>
        <v>186.21924999999999</v>
      </c>
    </row>
    <row r="123" spans="1:11" x14ac:dyDescent="0.3">
      <c r="I123" s="4" t="s">
        <v>28</v>
      </c>
      <c r="J123" s="4" t="s">
        <v>29</v>
      </c>
      <c r="K123" s="4" t="s">
        <v>30</v>
      </c>
    </row>
    <row r="124" spans="1:11" x14ac:dyDescent="0.3">
      <c r="G124" t="s">
        <v>72</v>
      </c>
      <c r="H124" s="4" t="s">
        <v>32</v>
      </c>
      <c r="I124" s="4">
        <v>2.9729999999999999</v>
      </c>
      <c r="J124" s="4">
        <v>30.59</v>
      </c>
      <c r="K124" s="8">
        <f t="shared" ref="K124:K131" si="21">I124*J124</f>
        <v>90.944069999999996</v>
      </c>
    </row>
    <row r="125" spans="1:11" x14ac:dyDescent="0.3">
      <c r="G125" t="s">
        <v>63</v>
      </c>
      <c r="H125" s="4" t="s">
        <v>33</v>
      </c>
      <c r="I125" s="4">
        <v>7.4969999999999999</v>
      </c>
      <c r="J125" s="4">
        <v>9.83</v>
      </c>
      <c r="K125" s="8">
        <f t="shared" si="21"/>
        <v>73.695509999999999</v>
      </c>
    </row>
    <row r="126" spans="1:11" x14ac:dyDescent="0.3">
      <c r="G126" t="s">
        <v>61</v>
      </c>
      <c r="H126" s="4" t="s">
        <v>33</v>
      </c>
      <c r="I126" s="4">
        <v>8.673</v>
      </c>
      <c r="J126" s="4">
        <v>9.83</v>
      </c>
      <c r="K126" s="8">
        <f t="shared" si="21"/>
        <v>85.255589999999998</v>
      </c>
    </row>
    <row r="127" spans="1:11" x14ac:dyDescent="0.3">
      <c r="H127" s="4" t="s">
        <v>96</v>
      </c>
      <c r="I127" s="4">
        <v>2</v>
      </c>
      <c r="J127" s="4">
        <v>1.36</v>
      </c>
      <c r="K127" s="8">
        <f t="shared" si="21"/>
        <v>2.72</v>
      </c>
    </row>
    <row r="128" spans="1:11" x14ac:dyDescent="0.3">
      <c r="H128" s="4" t="s">
        <v>95</v>
      </c>
      <c r="I128" s="10">
        <v>6</v>
      </c>
      <c r="J128" s="10">
        <v>1.86</v>
      </c>
      <c r="K128" s="11">
        <f t="shared" si="21"/>
        <v>11.16</v>
      </c>
    </row>
    <row r="129" spans="8:11" x14ac:dyDescent="0.3">
      <c r="H129" s="4" t="s">
        <v>34</v>
      </c>
      <c r="I129" s="4">
        <v>0.3</v>
      </c>
      <c r="J129" s="4">
        <v>13.67</v>
      </c>
      <c r="K129" s="8">
        <f t="shared" si="21"/>
        <v>4.101</v>
      </c>
    </row>
    <row r="130" spans="8:11" x14ac:dyDescent="0.3">
      <c r="H130" s="4" t="s">
        <v>35</v>
      </c>
      <c r="I130" s="4">
        <v>4</v>
      </c>
      <c r="J130" s="4">
        <v>1.89</v>
      </c>
      <c r="K130" s="8">
        <f t="shared" si="21"/>
        <v>7.56</v>
      </c>
    </row>
    <row r="131" spans="8:11" x14ac:dyDescent="0.3">
      <c r="H131" s="4" t="s">
        <v>36</v>
      </c>
      <c r="I131" s="4">
        <v>4</v>
      </c>
      <c r="J131" s="4">
        <v>0.24</v>
      </c>
      <c r="K131" s="8">
        <f t="shared" si="21"/>
        <v>0.96</v>
      </c>
    </row>
    <row r="132" spans="8:11" x14ac:dyDescent="0.3">
      <c r="K132" s="9">
        <f>SUM(K124:K131)</f>
        <v>276.39616999999998</v>
      </c>
    </row>
    <row r="133" spans="8:11" x14ac:dyDescent="0.3">
      <c r="H133" s="4" t="s">
        <v>37</v>
      </c>
      <c r="I133">
        <v>35</v>
      </c>
      <c r="J133">
        <v>1.41</v>
      </c>
      <c r="K133" s="8">
        <f>I133*J133</f>
        <v>49.349999999999994</v>
      </c>
    </row>
    <row r="134" spans="8:11" x14ac:dyDescent="0.3">
      <c r="K134" s="8">
        <f>SUM(K132:K133)</f>
        <v>325.74617000000001</v>
      </c>
    </row>
  </sheetData>
  <pageMargins left="0" right="0" top="0.55118110236220474" bottom="0.15748031496062992" header="0.31496062992125984" footer="0.31496062992125984"/>
  <pageSetup paperSize="9" scale="90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L52"/>
  <sheetViews>
    <sheetView workbookViewId="0">
      <selection activeCell="D24" sqref="D24"/>
    </sheetView>
  </sheetViews>
  <sheetFormatPr baseColWidth="10" defaultRowHeight="14.4" x14ac:dyDescent="0.3"/>
  <cols>
    <col min="1" max="1" width="19.88671875" customWidth="1"/>
    <col min="2" max="2" width="23.88671875" customWidth="1"/>
    <col min="3" max="3" width="17.33203125" customWidth="1"/>
    <col min="8" max="8" width="20" customWidth="1"/>
    <col min="9" max="9" width="21.6640625" customWidth="1"/>
  </cols>
  <sheetData>
    <row r="4" spans="1:12" ht="21" x14ac:dyDescent="0.4">
      <c r="A4" s="40" t="s">
        <v>880</v>
      </c>
      <c r="B4" s="40"/>
      <c r="C4" s="40"/>
      <c r="D4" s="12"/>
      <c r="E4" s="12"/>
      <c r="H4" s="40" t="s">
        <v>882</v>
      </c>
      <c r="I4" s="40"/>
      <c r="J4" s="40"/>
    </row>
    <row r="5" spans="1:12" ht="18" x14ac:dyDescent="0.35">
      <c r="A5" s="5"/>
      <c r="B5" s="5"/>
      <c r="C5" s="7" t="s">
        <v>28</v>
      </c>
      <c r="D5" s="7" t="s">
        <v>29</v>
      </c>
      <c r="E5" s="7" t="s">
        <v>30</v>
      </c>
      <c r="H5" s="5"/>
      <c r="I5" s="5"/>
      <c r="J5" s="7" t="s">
        <v>28</v>
      </c>
      <c r="K5" s="7" t="s">
        <v>29</v>
      </c>
      <c r="L5" s="7" t="s">
        <v>30</v>
      </c>
    </row>
    <row r="6" spans="1:12" ht="18" x14ac:dyDescent="0.35">
      <c r="A6" s="5" t="s">
        <v>123</v>
      </c>
      <c r="B6" s="50" t="s">
        <v>32</v>
      </c>
      <c r="C6" s="7">
        <v>3.0779999999999998</v>
      </c>
      <c r="D6" s="7">
        <v>30.44</v>
      </c>
      <c r="E6" s="85">
        <f>C6*D6</f>
        <v>93.694320000000005</v>
      </c>
      <c r="H6" s="5" t="s">
        <v>123</v>
      </c>
      <c r="I6" s="50" t="s">
        <v>32</v>
      </c>
      <c r="J6" s="7">
        <v>3.0779999999999998</v>
      </c>
      <c r="K6" s="7">
        <v>14.5</v>
      </c>
      <c r="L6" s="85">
        <f>J6*K6</f>
        <v>44.631</v>
      </c>
    </row>
    <row r="7" spans="1:12" ht="18" x14ac:dyDescent="0.35">
      <c r="A7" s="5" t="s">
        <v>56</v>
      </c>
      <c r="B7" s="50" t="s">
        <v>33</v>
      </c>
      <c r="C7" s="7">
        <v>30.145</v>
      </c>
      <c r="D7" s="7">
        <v>17.059999999999999</v>
      </c>
      <c r="E7" s="85">
        <f>C7*D7</f>
        <v>514.27369999999996</v>
      </c>
      <c r="H7" s="5" t="s">
        <v>56</v>
      </c>
      <c r="I7" s="50" t="s">
        <v>33</v>
      </c>
      <c r="J7" s="7">
        <v>30.145</v>
      </c>
      <c r="K7" s="7">
        <v>5.31</v>
      </c>
      <c r="L7" s="85">
        <f>J7*K7</f>
        <v>160.06994999999998</v>
      </c>
    </row>
    <row r="8" spans="1:12" ht="18" x14ac:dyDescent="0.35">
      <c r="A8" s="5" t="s">
        <v>595</v>
      </c>
      <c r="B8" s="50" t="s">
        <v>137</v>
      </c>
      <c r="C8" s="7">
        <v>2</v>
      </c>
      <c r="D8" s="7">
        <v>17.190000000000001</v>
      </c>
      <c r="E8" s="85">
        <f>C8*D8</f>
        <v>34.380000000000003</v>
      </c>
      <c r="H8" s="5" t="s">
        <v>595</v>
      </c>
      <c r="I8" s="50" t="s">
        <v>137</v>
      </c>
      <c r="J8" s="7">
        <v>2</v>
      </c>
      <c r="K8" s="7">
        <v>4.41</v>
      </c>
      <c r="L8" s="85">
        <f>J8*K8</f>
        <v>8.82</v>
      </c>
    </row>
    <row r="9" spans="1:12" ht="18" x14ac:dyDescent="0.35">
      <c r="A9" s="5"/>
      <c r="B9" s="50" t="s">
        <v>35</v>
      </c>
      <c r="C9" s="7">
        <v>4</v>
      </c>
      <c r="D9" s="7">
        <v>2.91</v>
      </c>
      <c r="E9" s="85">
        <f>C9*D9</f>
        <v>11.64</v>
      </c>
      <c r="H9" s="5"/>
      <c r="I9" s="50" t="s">
        <v>35</v>
      </c>
      <c r="J9" s="7">
        <v>4</v>
      </c>
      <c r="K9" s="7">
        <v>2.91</v>
      </c>
      <c r="L9" s="85">
        <f>J9*K9</f>
        <v>11.64</v>
      </c>
    </row>
    <row r="10" spans="1:12" ht="18" x14ac:dyDescent="0.35">
      <c r="A10" s="5"/>
      <c r="B10" s="50" t="s">
        <v>36</v>
      </c>
      <c r="C10" s="7">
        <v>4</v>
      </c>
      <c r="D10" s="7">
        <v>0.61</v>
      </c>
      <c r="E10" s="85">
        <f>C10*D10</f>
        <v>2.44</v>
      </c>
      <c r="H10" s="5"/>
      <c r="I10" s="50" t="s">
        <v>36</v>
      </c>
      <c r="J10" s="7">
        <v>4</v>
      </c>
      <c r="K10" s="7">
        <v>0.61</v>
      </c>
      <c r="L10" s="85">
        <f>J10*K10</f>
        <v>2.44</v>
      </c>
    </row>
    <row r="11" spans="1:12" ht="18" x14ac:dyDescent="0.35">
      <c r="A11" s="5"/>
      <c r="B11" s="5"/>
      <c r="C11" s="54"/>
      <c r="D11" s="54"/>
      <c r="E11" s="85">
        <f>SUM(E6:E10)</f>
        <v>656.42802000000006</v>
      </c>
      <c r="H11" s="5"/>
      <c r="I11" s="5"/>
      <c r="J11" s="54"/>
      <c r="K11" s="54"/>
      <c r="L11" s="85">
        <f>SUM(L6:L10)</f>
        <v>227.60094999999995</v>
      </c>
    </row>
    <row r="14" spans="1:12" ht="21" x14ac:dyDescent="0.4">
      <c r="A14" s="40" t="s">
        <v>599</v>
      </c>
      <c r="H14" s="40" t="s">
        <v>881</v>
      </c>
    </row>
    <row r="16" spans="1:12" ht="18" x14ac:dyDescent="0.35">
      <c r="A16" s="5"/>
      <c r="B16" s="5"/>
      <c r="C16" s="7" t="s">
        <v>28</v>
      </c>
      <c r="D16" s="7" t="s">
        <v>29</v>
      </c>
      <c r="E16" s="7" t="s">
        <v>30</v>
      </c>
      <c r="H16" s="5"/>
      <c r="I16" s="5"/>
      <c r="J16" s="7" t="s">
        <v>28</v>
      </c>
      <c r="K16" s="7" t="s">
        <v>29</v>
      </c>
      <c r="L16" s="7" t="s">
        <v>30</v>
      </c>
    </row>
    <row r="17" spans="1:12" ht="18" x14ac:dyDescent="0.35">
      <c r="A17" s="5" t="s">
        <v>123</v>
      </c>
      <c r="B17" s="50" t="s">
        <v>32</v>
      </c>
      <c r="C17" s="7">
        <v>3.0779999999999998</v>
      </c>
      <c r="D17" s="7">
        <v>30.44</v>
      </c>
      <c r="E17" s="85">
        <f t="shared" ref="E17:E22" si="0">C17*D17</f>
        <v>93.694320000000005</v>
      </c>
      <c r="H17" s="5" t="s">
        <v>123</v>
      </c>
      <c r="I17" s="50" t="s">
        <v>32</v>
      </c>
      <c r="J17" s="7">
        <v>3.0779999999999998</v>
      </c>
      <c r="K17" s="7">
        <v>14.5</v>
      </c>
      <c r="L17" s="85">
        <f t="shared" ref="L17:L22" si="1">J17*K17</f>
        <v>44.631</v>
      </c>
    </row>
    <row r="18" spans="1:12" ht="18" x14ac:dyDescent="0.35">
      <c r="A18" s="5" t="s">
        <v>56</v>
      </c>
      <c r="B18" s="50" t="s">
        <v>33</v>
      </c>
      <c r="C18" s="7">
        <v>30.145</v>
      </c>
      <c r="D18" s="7">
        <v>16.170000000000002</v>
      </c>
      <c r="E18" s="85">
        <f t="shared" si="0"/>
        <v>487.44465000000002</v>
      </c>
      <c r="H18" s="5" t="s">
        <v>56</v>
      </c>
      <c r="I18" s="50" t="s">
        <v>33</v>
      </c>
      <c r="J18" s="7">
        <v>30.145</v>
      </c>
      <c r="K18" s="7">
        <v>6.43</v>
      </c>
      <c r="L18" s="85">
        <f t="shared" si="1"/>
        <v>193.83234999999999</v>
      </c>
    </row>
    <row r="19" spans="1:12" ht="18" x14ac:dyDescent="0.35">
      <c r="A19" s="5" t="s">
        <v>742</v>
      </c>
      <c r="B19" s="50" t="s">
        <v>128</v>
      </c>
      <c r="C19" s="7">
        <v>2</v>
      </c>
      <c r="D19" s="7">
        <v>1.81</v>
      </c>
      <c r="E19" s="85">
        <f t="shared" si="0"/>
        <v>3.62</v>
      </c>
      <c r="H19" s="5" t="s">
        <v>742</v>
      </c>
      <c r="I19" s="50" t="s">
        <v>128</v>
      </c>
      <c r="J19" s="7">
        <v>2</v>
      </c>
      <c r="K19" s="7">
        <v>1.81</v>
      </c>
      <c r="L19" s="85">
        <f t="shared" si="1"/>
        <v>3.62</v>
      </c>
    </row>
    <row r="20" spans="1:12" ht="18" x14ac:dyDescent="0.35">
      <c r="A20" s="5"/>
      <c r="B20" s="50" t="s">
        <v>34</v>
      </c>
      <c r="C20" s="7">
        <v>0.8</v>
      </c>
      <c r="D20" s="7">
        <v>14.61</v>
      </c>
      <c r="E20" s="85">
        <f t="shared" si="0"/>
        <v>11.688000000000001</v>
      </c>
      <c r="H20" s="5"/>
      <c r="I20" s="50" t="s">
        <v>34</v>
      </c>
      <c r="J20" s="7">
        <v>0.8</v>
      </c>
      <c r="K20" s="7">
        <v>11.49</v>
      </c>
      <c r="L20" s="85">
        <f t="shared" si="1"/>
        <v>9.1920000000000002</v>
      </c>
    </row>
    <row r="21" spans="1:12" ht="18" x14ac:dyDescent="0.35">
      <c r="A21" s="5"/>
      <c r="B21" s="50" t="s">
        <v>35</v>
      </c>
      <c r="C21" s="7">
        <v>4</v>
      </c>
      <c r="D21" s="7">
        <v>2.89</v>
      </c>
      <c r="E21" s="85">
        <f t="shared" si="0"/>
        <v>11.56</v>
      </c>
      <c r="H21" s="5"/>
      <c r="I21" s="50" t="s">
        <v>35</v>
      </c>
      <c r="J21" s="7">
        <v>4</v>
      </c>
      <c r="K21" s="7">
        <v>2.89</v>
      </c>
      <c r="L21" s="85">
        <f t="shared" si="1"/>
        <v>11.56</v>
      </c>
    </row>
    <row r="22" spans="1:12" ht="18" x14ac:dyDescent="0.35">
      <c r="A22" s="5"/>
      <c r="B22" s="50" t="s">
        <v>36</v>
      </c>
      <c r="C22" s="7">
        <v>4</v>
      </c>
      <c r="D22" s="7">
        <v>0.6</v>
      </c>
      <c r="E22" s="85">
        <f t="shared" si="0"/>
        <v>2.4</v>
      </c>
      <c r="H22" s="5"/>
      <c r="I22" s="50" t="s">
        <v>36</v>
      </c>
      <c r="J22" s="7">
        <v>4</v>
      </c>
      <c r="K22" s="7">
        <v>0.6</v>
      </c>
      <c r="L22" s="85">
        <f t="shared" si="1"/>
        <v>2.4</v>
      </c>
    </row>
    <row r="23" spans="1:12" ht="18" x14ac:dyDescent="0.35">
      <c r="A23" s="5"/>
      <c r="B23" s="5"/>
      <c r="C23" s="54"/>
      <c r="D23" s="54"/>
      <c r="E23" s="89">
        <f>SUM(E17:E22)</f>
        <v>610.40696999999989</v>
      </c>
      <c r="H23" s="5"/>
      <c r="I23" s="5"/>
      <c r="J23" s="54"/>
      <c r="K23" s="54"/>
      <c r="L23" s="89">
        <f>SUM(L17:L22)</f>
        <v>265.23534999999998</v>
      </c>
    </row>
    <row r="27" spans="1:12" ht="21" x14ac:dyDescent="0.4">
      <c r="A27" s="40" t="s">
        <v>602</v>
      </c>
      <c r="B27" s="40"/>
      <c r="C27" s="84"/>
      <c r="D27" s="12"/>
      <c r="E27" s="83"/>
      <c r="H27" s="40" t="s">
        <v>883</v>
      </c>
      <c r="I27" s="40"/>
      <c r="J27" s="84"/>
      <c r="K27" s="12"/>
      <c r="L27" s="83"/>
    </row>
    <row r="28" spans="1:12" x14ac:dyDescent="0.3">
      <c r="C28" s="12"/>
      <c r="D28" s="12"/>
      <c r="E28" s="12"/>
      <c r="J28" s="12"/>
      <c r="K28" s="12"/>
      <c r="L28" s="12"/>
    </row>
    <row r="29" spans="1:12" ht="18" x14ac:dyDescent="0.35">
      <c r="A29" s="5"/>
      <c r="B29" s="5"/>
      <c r="C29" s="7" t="s">
        <v>28</v>
      </c>
      <c r="D29" s="7" t="s">
        <v>29</v>
      </c>
      <c r="E29" s="7" t="s">
        <v>30</v>
      </c>
      <c r="H29" s="5"/>
      <c r="I29" s="5"/>
      <c r="J29" s="7" t="s">
        <v>28</v>
      </c>
      <c r="K29" s="7" t="s">
        <v>29</v>
      </c>
      <c r="L29" s="7" t="s">
        <v>30</v>
      </c>
    </row>
    <row r="30" spans="1:12" ht="18" x14ac:dyDescent="0.35">
      <c r="A30" s="5" t="s">
        <v>123</v>
      </c>
      <c r="B30" s="50" t="s">
        <v>32</v>
      </c>
      <c r="C30" s="7">
        <v>3.0779999999999998</v>
      </c>
      <c r="D30" s="7">
        <v>45.07</v>
      </c>
      <c r="E30" s="85">
        <f t="shared" ref="E30:E37" si="2">C30*D30</f>
        <v>138.72546</v>
      </c>
      <c r="H30" s="5" t="s">
        <v>123</v>
      </c>
      <c r="I30" s="50" t="s">
        <v>32</v>
      </c>
      <c r="J30" s="7">
        <v>3.0779999999999998</v>
      </c>
      <c r="K30" s="7">
        <v>21.47</v>
      </c>
      <c r="L30" s="85">
        <f t="shared" ref="L30:L37" si="3">J30*K30</f>
        <v>66.08466</v>
      </c>
    </row>
    <row r="31" spans="1:12" ht="18" x14ac:dyDescent="0.35">
      <c r="A31" s="5" t="s">
        <v>56</v>
      </c>
      <c r="B31" s="50" t="s">
        <v>33</v>
      </c>
      <c r="C31" s="7">
        <v>30.145</v>
      </c>
      <c r="D31" s="7">
        <v>16.170000000000002</v>
      </c>
      <c r="E31" s="85">
        <f t="shared" si="2"/>
        <v>487.44465000000002</v>
      </c>
      <c r="H31" s="5" t="s">
        <v>56</v>
      </c>
      <c r="I31" s="50" t="s">
        <v>33</v>
      </c>
      <c r="J31" s="7">
        <v>30.145</v>
      </c>
      <c r="K31" s="7">
        <v>6.43</v>
      </c>
      <c r="L31" s="85">
        <f t="shared" si="3"/>
        <v>193.83234999999999</v>
      </c>
    </row>
    <row r="32" spans="1:12" ht="18" x14ac:dyDescent="0.35">
      <c r="A32" s="102" t="s">
        <v>377</v>
      </c>
      <c r="B32" s="50" t="s">
        <v>33</v>
      </c>
      <c r="C32" s="7">
        <v>20.475000000000001</v>
      </c>
      <c r="D32" s="7">
        <v>16.170000000000002</v>
      </c>
      <c r="E32" s="85">
        <f t="shared" si="2"/>
        <v>331.08075000000008</v>
      </c>
      <c r="H32" s="102" t="s">
        <v>377</v>
      </c>
      <c r="I32" s="50" t="s">
        <v>33</v>
      </c>
      <c r="J32" s="7">
        <v>20.475000000000001</v>
      </c>
      <c r="K32" s="7">
        <v>6.43</v>
      </c>
      <c r="L32" s="85">
        <f t="shared" si="3"/>
        <v>131.65424999999999</v>
      </c>
    </row>
    <row r="33" spans="1:12" ht="18" x14ac:dyDescent="0.35">
      <c r="A33" s="5" t="s">
        <v>742</v>
      </c>
      <c r="B33" s="50" t="s">
        <v>128</v>
      </c>
      <c r="C33" s="7">
        <v>2</v>
      </c>
      <c r="D33" s="7">
        <v>1.81</v>
      </c>
      <c r="E33" s="85">
        <f t="shared" si="2"/>
        <v>3.62</v>
      </c>
      <c r="H33" s="5" t="s">
        <v>742</v>
      </c>
      <c r="I33" s="50" t="s">
        <v>128</v>
      </c>
      <c r="J33" s="7">
        <v>2</v>
      </c>
      <c r="K33" s="7">
        <v>1.81</v>
      </c>
      <c r="L33" s="85">
        <f t="shared" si="3"/>
        <v>3.62</v>
      </c>
    </row>
    <row r="34" spans="1:12" ht="18" x14ac:dyDescent="0.35">
      <c r="A34" s="5"/>
      <c r="B34" s="103" t="s">
        <v>113</v>
      </c>
      <c r="C34" s="86">
        <v>4</v>
      </c>
      <c r="D34" s="86">
        <v>2.2400000000000002</v>
      </c>
      <c r="E34" s="104">
        <f t="shared" si="2"/>
        <v>8.9600000000000009</v>
      </c>
      <c r="H34" s="5"/>
      <c r="I34" s="103" t="s">
        <v>113</v>
      </c>
      <c r="J34" s="86">
        <v>4</v>
      </c>
      <c r="K34" s="86">
        <v>2.2400000000000002</v>
      </c>
      <c r="L34" s="104">
        <f t="shared" si="3"/>
        <v>8.9600000000000009</v>
      </c>
    </row>
    <row r="35" spans="1:12" ht="18" x14ac:dyDescent="0.35">
      <c r="A35" s="5"/>
      <c r="B35" s="50" t="s">
        <v>34</v>
      </c>
      <c r="C35" s="7">
        <v>0.8</v>
      </c>
      <c r="D35" s="7">
        <v>14.61</v>
      </c>
      <c r="E35" s="85">
        <f t="shared" si="2"/>
        <v>11.688000000000001</v>
      </c>
      <c r="H35" s="5"/>
      <c r="I35" s="50" t="s">
        <v>34</v>
      </c>
      <c r="J35" s="7">
        <v>0.8</v>
      </c>
      <c r="K35" s="7">
        <v>11.49</v>
      </c>
      <c r="L35" s="85">
        <f t="shared" si="3"/>
        <v>9.1920000000000002</v>
      </c>
    </row>
    <row r="36" spans="1:12" ht="18" x14ac:dyDescent="0.35">
      <c r="A36" s="5"/>
      <c r="B36" s="50" t="s">
        <v>35</v>
      </c>
      <c r="C36" s="7">
        <v>4</v>
      </c>
      <c r="D36" s="7">
        <v>2.89</v>
      </c>
      <c r="E36" s="85">
        <f t="shared" si="2"/>
        <v>11.56</v>
      </c>
      <c r="H36" s="5"/>
      <c r="I36" s="50" t="s">
        <v>35</v>
      </c>
      <c r="J36" s="7">
        <v>4</v>
      </c>
      <c r="K36" s="7">
        <v>2.89</v>
      </c>
      <c r="L36" s="85">
        <f t="shared" si="3"/>
        <v>11.56</v>
      </c>
    </row>
    <row r="37" spans="1:12" ht="18" x14ac:dyDescent="0.35">
      <c r="A37" s="5"/>
      <c r="B37" s="50" t="s">
        <v>36</v>
      </c>
      <c r="C37" s="7">
        <v>4</v>
      </c>
      <c r="D37" s="7">
        <v>0.6</v>
      </c>
      <c r="E37" s="85">
        <f t="shared" si="2"/>
        <v>2.4</v>
      </c>
      <c r="H37" s="5"/>
      <c r="I37" s="50" t="s">
        <v>36</v>
      </c>
      <c r="J37" s="7">
        <v>4</v>
      </c>
      <c r="K37" s="7">
        <v>0.6</v>
      </c>
      <c r="L37" s="85">
        <f t="shared" si="3"/>
        <v>2.4</v>
      </c>
    </row>
    <row r="38" spans="1:12" ht="18" x14ac:dyDescent="0.35">
      <c r="B38" s="5"/>
      <c r="C38" s="54"/>
      <c r="D38" s="54"/>
      <c r="E38" s="89">
        <f>SUM(E30:E37)</f>
        <v>995.47886000000005</v>
      </c>
      <c r="I38" s="5"/>
      <c r="J38" s="54"/>
      <c r="K38" s="54"/>
      <c r="L38" s="89">
        <f>SUM(L30:L37)</f>
        <v>427.30325999999997</v>
      </c>
    </row>
    <row r="41" spans="1:12" ht="21" x14ac:dyDescent="0.4">
      <c r="A41" s="40" t="s">
        <v>602</v>
      </c>
      <c r="B41" s="40"/>
      <c r="C41" s="84"/>
      <c r="D41" s="12"/>
      <c r="E41" s="83"/>
      <c r="H41" s="40" t="s">
        <v>883</v>
      </c>
      <c r="I41" s="40"/>
      <c r="J41" s="84"/>
      <c r="K41" s="12"/>
      <c r="L41" s="83"/>
    </row>
    <row r="42" spans="1:12" x14ac:dyDescent="0.3">
      <c r="C42" s="12"/>
      <c r="D42" s="12"/>
      <c r="E42" s="12"/>
      <c r="J42" s="12"/>
      <c r="K42" s="12"/>
      <c r="L42" s="12"/>
    </row>
    <row r="43" spans="1:12" ht="18" x14ac:dyDescent="0.35">
      <c r="A43" s="5"/>
      <c r="B43" s="5"/>
      <c r="C43" s="7" t="s">
        <v>28</v>
      </c>
      <c r="D43" s="7" t="s">
        <v>29</v>
      </c>
      <c r="E43" s="7" t="s">
        <v>30</v>
      </c>
      <c r="H43" s="5"/>
      <c r="I43" s="5"/>
      <c r="J43" s="7" t="s">
        <v>28</v>
      </c>
      <c r="K43" s="7" t="s">
        <v>29</v>
      </c>
      <c r="L43" s="7" t="s">
        <v>30</v>
      </c>
    </row>
    <row r="44" spans="1:12" ht="18" x14ac:dyDescent="0.35">
      <c r="A44" s="5" t="s">
        <v>860</v>
      </c>
      <c r="B44" s="50" t="s">
        <v>32</v>
      </c>
      <c r="C44" s="7">
        <v>4.5060000000000002</v>
      </c>
      <c r="D44" s="7">
        <v>47.07</v>
      </c>
      <c r="E44" s="85">
        <f t="shared" ref="E44:E51" si="4">C44*D44</f>
        <v>212.09742</v>
      </c>
      <c r="H44" s="5" t="s">
        <v>860</v>
      </c>
      <c r="I44" s="50" t="s">
        <v>32</v>
      </c>
      <c r="J44" s="7">
        <v>4.5060000000000002</v>
      </c>
      <c r="K44" s="7">
        <v>21.47</v>
      </c>
      <c r="L44" s="85">
        <f t="shared" ref="L44:L51" si="5">J44*K44</f>
        <v>96.743819999999999</v>
      </c>
    </row>
    <row r="45" spans="1:12" ht="18" x14ac:dyDescent="0.35">
      <c r="A45" s="5" t="s">
        <v>57</v>
      </c>
      <c r="B45" s="50" t="s">
        <v>33</v>
      </c>
      <c r="C45" s="7">
        <v>48.552</v>
      </c>
      <c r="D45" s="7">
        <v>16.170000000000002</v>
      </c>
      <c r="E45" s="85">
        <f t="shared" si="4"/>
        <v>785.08584000000008</v>
      </c>
      <c r="H45" s="5" t="s">
        <v>57</v>
      </c>
      <c r="I45" s="50" t="s">
        <v>33</v>
      </c>
      <c r="J45" s="7">
        <v>48.552</v>
      </c>
      <c r="K45" s="7">
        <v>6.43</v>
      </c>
      <c r="L45" s="85">
        <f t="shared" si="5"/>
        <v>312.18935999999997</v>
      </c>
    </row>
    <row r="46" spans="1:12" ht="18" x14ac:dyDescent="0.35">
      <c r="A46" s="102" t="s">
        <v>876</v>
      </c>
      <c r="B46" s="50" t="s">
        <v>33</v>
      </c>
      <c r="C46" s="7">
        <v>47.774999999999999</v>
      </c>
      <c r="D46" s="7">
        <v>16.170000000000002</v>
      </c>
      <c r="E46" s="85">
        <f t="shared" si="4"/>
        <v>772.52175000000011</v>
      </c>
      <c r="H46" s="102" t="s">
        <v>876</v>
      </c>
      <c r="I46" s="50" t="s">
        <v>33</v>
      </c>
      <c r="J46" s="7">
        <v>47.774999999999999</v>
      </c>
      <c r="K46" s="7">
        <v>6.43</v>
      </c>
      <c r="L46" s="85">
        <f t="shared" si="5"/>
        <v>307.19324999999998</v>
      </c>
    </row>
    <row r="47" spans="1:12" ht="18" x14ac:dyDescent="0.35">
      <c r="A47" s="5" t="s">
        <v>877</v>
      </c>
      <c r="B47" s="50" t="s">
        <v>878</v>
      </c>
      <c r="C47" s="7">
        <v>2</v>
      </c>
      <c r="D47" s="7">
        <v>3.51</v>
      </c>
      <c r="E47" s="85">
        <f t="shared" si="4"/>
        <v>7.02</v>
      </c>
      <c r="H47" s="5" t="s">
        <v>877</v>
      </c>
      <c r="I47" s="50" t="s">
        <v>878</v>
      </c>
      <c r="J47" s="7">
        <v>2</v>
      </c>
      <c r="K47" s="7">
        <v>3.51</v>
      </c>
      <c r="L47" s="85">
        <f t="shared" si="5"/>
        <v>7.02</v>
      </c>
    </row>
    <row r="48" spans="1:12" ht="18" x14ac:dyDescent="0.35">
      <c r="A48" s="5"/>
      <c r="B48" s="103" t="s">
        <v>879</v>
      </c>
      <c r="C48" s="86">
        <v>2</v>
      </c>
      <c r="D48" s="86">
        <v>6.29</v>
      </c>
      <c r="E48" s="104">
        <f t="shared" si="4"/>
        <v>12.58</v>
      </c>
      <c r="H48" s="5"/>
      <c r="I48" s="103" t="s">
        <v>879</v>
      </c>
      <c r="J48" s="86">
        <v>2</v>
      </c>
      <c r="K48" s="86">
        <v>6.29</v>
      </c>
      <c r="L48" s="104">
        <f t="shared" si="5"/>
        <v>12.58</v>
      </c>
    </row>
    <row r="49" spans="1:12" ht="18" x14ac:dyDescent="0.35">
      <c r="A49" s="5"/>
      <c r="B49" s="50" t="s">
        <v>34</v>
      </c>
      <c r="C49" s="7">
        <v>2.13</v>
      </c>
      <c r="D49" s="7">
        <v>14.61</v>
      </c>
      <c r="E49" s="85">
        <f t="shared" si="4"/>
        <v>31.119299999999996</v>
      </c>
      <c r="H49" s="5"/>
      <c r="I49" s="50" t="s">
        <v>34</v>
      </c>
      <c r="J49" s="7">
        <v>2.13</v>
      </c>
      <c r="K49" s="7">
        <v>11.49</v>
      </c>
      <c r="L49" s="85">
        <f t="shared" si="5"/>
        <v>24.473700000000001</v>
      </c>
    </row>
    <row r="50" spans="1:12" ht="18" x14ac:dyDescent="0.35">
      <c r="A50" s="5"/>
      <c r="B50" s="50" t="s">
        <v>35</v>
      </c>
      <c r="C50" s="7">
        <v>4</v>
      </c>
      <c r="D50" s="7">
        <v>2.89</v>
      </c>
      <c r="E50" s="85">
        <f t="shared" si="4"/>
        <v>11.56</v>
      </c>
      <c r="H50" s="5"/>
      <c r="I50" s="50" t="s">
        <v>35</v>
      </c>
      <c r="J50" s="7">
        <v>4</v>
      </c>
      <c r="K50" s="7">
        <v>2.89</v>
      </c>
      <c r="L50" s="85">
        <f t="shared" si="5"/>
        <v>11.56</v>
      </c>
    </row>
    <row r="51" spans="1:12" ht="18" x14ac:dyDescent="0.35">
      <c r="A51" s="5"/>
      <c r="B51" s="50" t="s">
        <v>36</v>
      </c>
      <c r="C51" s="7">
        <v>4</v>
      </c>
      <c r="D51" s="7">
        <v>0.6</v>
      </c>
      <c r="E51" s="85">
        <f t="shared" si="4"/>
        <v>2.4</v>
      </c>
      <c r="H51" s="5"/>
      <c r="I51" s="50" t="s">
        <v>36</v>
      </c>
      <c r="J51" s="7">
        <v>4</v>
      </c>
      <c r="K51" s="7">
        <v>0.6</v>
      </c>
      <c r="L51" s="85">
        <f t="shared" si="5"/>
        <v>2.4</v>
      </c>
    </row>
    <row r="52" spans="1:12" ht="18" x14ac:dyDescent="0.35">
      <c r="B52" s="5"/>
      <c r="C52" s="54"/>
      <c r="D52" s="54"/>
      <c r="E52" s="89">
        <f>SUM(E44:E51)</f>
        <v>1834.3843100000001</v>
      </c>
      <c r="I52" s="5"/>
      <c r="J52" s="54"/>
      <c r="K52" s="54"/>
      <c r="L52" s="89">
        <f>SUM(L44:L51)</f>
        <v>774.16012999999998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249977111117893"/>
  </sheetPr>
  <dimension ref="A1:Q142"/>
  <sheetViews>
    <sheetView topLeftCell="A67" workbookViewId="0">
      <selection activeCell="J71" sqref="J71"/>
    </sheetView>
  </sheetViews>
  <sheetFormatPr baseColWidth="10" defaultRowHeight="14.4" x14ac:dyDescent="0.3"/>
  <cols>
    <col min="3" max="3" width="9.5546875" customWidth="1"/>
    <col min="4" max="4" width="9.33203125" customWidth="1"/>
    <col min="5" max="5" width="10.33203125" customWidth="1"/>
    <col min="6" max="6" width="3.44140625" customWidth="1"/>
    <col min="7" max="7" width="10.6640625" customWidth="1"/>
    <col min="8" max="8" width="10.33203125" customWidth="1"/>
    <col min="9" max="9" width="9.44140625" customWidth="1"/>
    <col min="10" max="10" width="9.33203125" customWidth="1"/>
    <col min="11" max="11" width="10" customWidth="1"/>
  </cols>
  <sheetData>
    <row r="1" spans="1:11" ht="18" x14ac:dyDescent="0.35">
      <c r="A1" s="5" t="s">
        <v>129</v>
      </c>
    </row>
    <row r="3" spans="1:11" x14ac:dyDescent="0.3">
      <c r="A3" t="s">
        <v>50</v>
      </c>
      <c r="G3" t="s">
        <v>51</v>
      </c>
    </row>
    <row r="4" spans="1:11" x14ac:dyDescent="0.3">
      <c r="C4" s="4" t="s">
        <v>28</v>
      </c>
      <c r="D4" s="4" t="s">
        <v>29</v>
      </c>
      <c r="E4" s="4" t="s">
        <v>30</v>
      </c>
      <c r="I4" s="4" t="s">
        <v>28</v>
      </c>
      <c r="J4" s="4" t="s">
        <v>29</v>
      </c>
      <c r="K4" s="4" t="s">
        <v>30</v>
      </c>
    </row>
    <row r="5" spans="1:11" x14ac:dyDescent="0.3">
      <c r="A5" t="s">
        <v>73</v>
      </c>
      <c r="B5" s="4" t="s">
        <v>32</v>
      </c>
      <c r="C5" s="4">
        <v>0.97799999999999998</v>
      </c>
      <c r="D5" s="4">
        <v>19.38</v>
      </c>
      <c r="E5" s="8">
        <f t="shared" ref="E5:E10" si="0">C5*D5</f>
        <v>18.95364</v>
      </c>
      <c r="G5" t="s">
        <v>73</v>
      </c>
      <c r="H5" s="4" t="s">
        <v>32</v>
      </c>
      <c r="I5" s="4">
        <v>0.97799999999999998</v>
      </c>
      <c r="J5" s="4">
        <v>30.59</v>
      </c>
      <c r="K5" s="8">
        <f t="shared" ref="K5:K12" si="1">I5*J5</f>
        <v>29.917020000000001</v>
      </c>
    </row>
    <row r="6" spans="1:11" x14ac:dyDescent="0.3">
      <c r="A6" t="s">
        <v>52</v>
      </c>
      <c r="B6" s="4" t="s">
        <v>33</v>
      </c>
      <c r="C6" s="4">
        <v>1.7949999999999999</v>
      </c>
      <c r="D6" s="4">
        <v>9.83</v>
      </c>
      <c r="E6" s="8">
        <f t="shared" si="0"/>
        <v>17.644849999999998</v>
      </c>
      <c r="G6" t="s">
        <v>52</v>
      </c>
      <c r="H6" s="4" t="s">
        <v>33</v>
      </c>
      <c r="I6" s="4">
        <v>1.7949999999999999</v>
      </c>
      <c r="J6" s="4">
        <v>9.83</v>
      </c>
      <c r="K6" s="8">
        <f t="shared" si="1"/>
        <v>17.644849999999998</v>
      </c>
    </row>
    <row r="7" spans="1:11" x14ac:dyDescent="0.3">
      <c r="B7" s="4" t="s">
        <v>85</v>
      </c>
      <c r="C7" s="4">
        <v>2</v>
      </c>
      <c r="D7" s="4">
        <v>1.54</v>
      </c>
      <c r="E7" s="8">
        <f t="shared" si="0"/>
        <v>3.08</v>
      </c>
      <c r="G7" t="s">
        <v>52</v>
      </c>
      <c r="H7" s="4" t="s">
        <v>33</v>
      </c>
      <c r="I7" s="4">
        <v>1.7949999999999999</v>
      </c>
      <c r="J7" s="4">
        <v>9.83</v>
      </c>
      <c r="K7" s="8">
        <f t="shared" si="1"/>
        <v>17.644849999999998</v>
      </c>
    </row>
    <row r="8" spans="1:11" x14ac:dyDescent="0.3">
      <c r="B8" s="4" t="s">
        <v>34</v>
      </c>
      <c r="C8" s="4"/>
      <c r="D8" s="4"/>
      <c r="E8" s="8">
        <f t="shared" si="0"/>
        <v>0</v>
      </c>
      <c r="H8" s="4" t="s">
        <v>85</v>
      </c>
      <c r="I8" s="4">
        <v>2</v>
      </c>
      <c r="J8" s="4">
        <v>1.54</v>
      </c>
      <c r="K8" s="8">
        <f t="shared" si="1"/>
        <v>3.08</v>
      </c>
    </row>
    <row r="9" spans="1:11" x14ac:dyDescent="0.3">
      <c r="B9" s="4" t="s">
        <v>35</v>
      </c>
      <c r="C9" s="4">
        <v>4</v>
      </c>
      <c r="D9" s="4">
        <v>1.89</v>
      </c>
      <c r="E9" s="8">
        <f t="shared" si="0"/>
        <v>7.56</v>
      </c>
      <c r="H9" s="4" t="s">
        <v>85</v>
      </c>
      <c r="I9" s="4">
        <v>2</v>
      </c>
      <c r="J9" s="4">
        <v>1.54</v>
      </c>
      <c r="K9" s="4">
        <f t="shared" si="1"/>
        <v>3.08</v>
      </c>
    </row>
    <row r="10" spans="1:11" x14ac:dyDescent="0.3">
      <c r="B10" s="4" t="s">
        <v>36</v>
      </c>
      <c r="C10" s="4">
        <v>4</v>
      </c>
      <c r="D10" s="4">
        <v>0.24</v>
      </c>
      <c r="E10" s="8">
        <f t="shared" si="0"/>
        <v>0.96</v>
      </c>
      <c r="H10" s="4" t="s">
        <v>34</v>
      </c>
      <c r="I10" s="4"/>
      <c r="J10" s="4"/>
      <c r="K10" s="8">
        <f t="shared" si="1"/>
        <v>0</v>
      </c>
    </row>
    <row r="11" spans="1:11" x14ac:dyDescent="0.3">
      <c r="E11" s="8">
        <f>SUM(E5:E10)</f>
        <v>48.19849</v>
      </c>
      <c r="H11" s="4" t="s">
        <v>35</v>
      </c>
      <c r="I11" s="4">
        <v>4</v>
      </c>
      <c r="J11" s="4">
        <v>1.89</v>
      </c>
      <c r="K11" s="8">
        <f t="shared" si="1"/>
        <v>7.56</v>
      </c>
    </row>
    <row r="12" spans="1:11" x14ac:dyDescent="0.3">
      <c r="B12" s="4" t="s">
        <v>37</v>
      </c>
      <c r="C12">
        <v>15</v>
      </c>
      <c r="D12">
        <v>1.41</v>
      </c>
      <c r="E12" s="8">
        <f>C12*D12</f>
        <v>21.15</v>
      </c>
      <c r="H12" s="4" t="s">
        <v>36</v>
      </c>
      <c r="I12" s="4">
        <v>4</v>
      </c>
      <c r="J12" s="4">
        <v>0.24</v>
      </c>
      <c r="K12" s="8">
        <f t="shared" si="1"/>
        <v>0.96</v>
      </c>
    </row>
    <row r="13" spans="1:11" x14ac:dyDescent="0.3">
      <c r="E13" s="8">
        <f>SUM(E11:E12)</f>
        <v>69.348489999999998</v>
      </c>
      <c r="K13" s="8">
        <f>SUM(K5:K12)</f>
        <v>79.886719999999983</v>
      </c>
    </row>
    <row r="14" spans="1:11" x14ac:dyDescent="0.3">
      <c r="H14" s="4" t="s">
        <v>37</v>
      </c>
      <c r="I14">
        <v>15</v>
      </c>
      <c r="J14">
        <v>1.41</v>
      </c>
      <c r="K14" s="8">
        <f>I14*J14</f>
        <v>21.15</v>
      </c>
    </row>
    <row r="15" spans="1:11" x14ac:dyDescent="0.3">
      <c r="K15" s="8">
        <f>SUM(K13:K14)</f>
        <v>101.03671999999997</v>
      </c>
    </row>
    <row r="18" spans="1:17" x14ac:dyDescent="0.3">
      <c r="I18" s="4" t="s">
        <v>28</v>
      </c>
      <c r="J18" s="4" t="s">
        <v>29</v>
      </c>
      <c r="K18" s="4" t="s">
        <v>30</v>
      </c>
    </row>
    <row r="19" spans="1:17" x14ac:dyDescent="0.3">
      <c r="C19" s="4" t="s">
        <v>28</v>
      </c>
      <c r="D19" s="4" t="s">
        <v>29</v>
      </c>
      <c r="E19" s="4" t="s">
        <v>30</v>
      </c>
      <c r="G19" t="s">
        <v>74</v>
      </c>
      <c r="H19" s="4" t="s">
        <v>32</v>
      </c>
      <c r="I19" s="4">
        <v>1.1879999999999999</v>
      </c>
      <c r="J19" s="4">
        <v>30.59</v>
      </c>
      <c r="K19" s="8">
        <f t="shared" ref="K19:K26" si="2">I19*J19</f>
        <v>36.340919999999997</v>
      </c>
    </row>
    <row r="20" spans="1:17" x14ac:dyDescent="0.3">
      <c r="A20" t="s">
        <v>74</v>
      </c>
      <c r="B20" s="4" t="s">
        <v>32</v>
      </c>
      <c r="C20" s="4">
        <v>1.1879999999999999</v>
      </c>
      <c r="D20" s="4">
        <v>19.38</v>
      </c>
      <c r="E20" s="8">
        <f t="shared" ref="E20:E25" si="3">C20*D20</f>
        <v>23.023439999999997</v>
      </c>
      <c r="G20" t="s">
        <v>52</v>
      </c>
      <c r="H20" s="4" t="s">
        <v>33</v>
      </c>
      <c r="I20" s="4">
        <v>2.74</v>
      </c>
      <c r="J20" s="4">
        <v>9.83</v>
      </c>
      <c r="K20" s="8">
        <f t="shared" si="2"/>
        <v>26.934200000000001</v>
      </c>
    </row>
    <row r="21" spans="1:17" x14ac:dyDescent="0.3">
      <c r="A21" t="s">
        <v>52</v>
      </c>
      <c r="B21" s="4" t="s">
        <v>33</v>
      </c>
      <c r="C21" s="4">
        <v>2.74</v>
      </c>
      <c r="D21" s="4">
        <v>9.83</v>
      </c>
      <c r="E21" s="8">
        <f t="shared" si="3"/>
        <v>26.934200000000001</v>
      </c>
      <c r="G21" t="s">
        <v>53</v>
      </c>
      <c r="H21" s="4" t="s">
        <v>33</v>
      </c>
      <c r="I21" s="4">
        <v>2.7930000000000001</v>
      </c>
      <c r="J21" s="4">
        <v>9.83</v>
      </c>
      <c r="K21" s="8">
        <f t="shared" si="2"/>
        <v>27.455190000000002</v>
      </c>
    </row>
    <row r="22" spans="1:17" x14ac:dyDescent="0.3">
      <c r="B22" s="4" t="s">
        <v>85</v>
      </c>
      <c r="C22" s="4">
        <v>2</v>
      </c>
      <c r="D22" s="4">
        <v>1.54</v>
      </c>
      <c r="E22" s="8">
        <f t="shared" si="3"/>
        <v>3.08</v>
      </c>
      <c r="H22" s="4" t="s">
        <v>85</v>
      </c>
      <c r="I22" s="4">
        <v>2</v>
      </c>
      <c r="J22" s="4">
        <v>1.54</v>
      </c>
      <c r="K22" s="8">
        <f t="shared" si="2"/>
        <v>3.08</v>
      </c>
    </row>
    <row r="23" spans="1:17" x14ac:dyDescent="0.3">
      <c r="B23" s="4" t="s">
        <v>34</v>
      </c>
      <c r="C23" s="4"/>
      <c r="D23" s="4"/>
      <c r="E23" s="8">
        <f t="shared" si="3"/>
        <v>0</v>
      </c>
      <c r="H23" s="4" t="s">
        <v>86</v>
      </c>
      <c r="I23" s="4">
        <v>2</v>
      </c>
      <c r="J23" s="4">
        <v>1.86</v>
      </c>
      <c r="K23" s="4">
        <f t="shared" si="2"/>
        <v>3.72</v>
      </c>
    </row>
    <row r="24" spans="1:17" x14ac:dyDescent="0.3">
      <c r="B24" s="4" t="s">
        <v>35</v>
      </c>
      <c r="C24" s="4">
        <v>4</v>
      </c>
      <c r="D24" s="4">
        <v>1.89</v>
      </c>
      <c r="E24" s="8">
        <f t="shared" si="3"/>
        <v>7.56</v>
      </c>
      <c r="H24" s="4" t="s">
        <v>34</v>
      </c>
      <c r="I24" s="4"/>
      <c r="J24" s="4"/>
      <c r="K24" s="8">
        <f t="shared" si="2"/>
        <v>0</v>
      </c>
    </row>
    <row r="25" spans="1:17" x14ac:dyDescent="0.3">
      <c r="B25" s="4" t="s">
        <v>36</v>
      </c>
      <c r="C25" s="4">
        <v>4</v>
      </c>
      <c r="D25" s="4">
        <v>0.24</v>
      </c>
      <c r="E25" s="8">
        <f t="shared" si="3"/>
        <v>0.96</v>
      </c>
      <c r="H25" s="4" t="s">
        <v>35</v>
      </c>
      <c r="I25" s="4">
        <v>4</v>
      </c>
      <c r="J25" s="4">
        <v>1.89</v>
      </c>
      <c r="K25" s="8">
        <f t="shared" si="2"/>
        <v>7.56</v>
      </c>
    </row>
    <row r="26" spans="1:17" x14ac:dyDescent="0.3">
      <c r="E26" s="9">
        <f>SUM(E20:E25)</f>
        <v>61.557639999999999</v>
      </c>
      <c r="H26" s="4" t="s">
        <v>36</v>
      </c>
      <c r="I26" s="4">
        <v>4</v>
      </c>
      <c r="J26" s="4">
        <v>0.24</v>
      </c>
      <c r="K26" s="8">
        <f t="shared" si="2"/>
        <v>0.96</v>
      </c>
    </row>
    <row r="27" spans="1:17" x14ac:dyDescent="0.3">
      <c r="B27" s="4" t="s">
        <v>37</v>
      </c>
      <c r="C27">
        <v>15</v>
      </c>
      <c r="D27">
        <v>1.41</v>
      </c>
      <c r="E27" s="8">
        <f>C27*D27</f>
        <v>21.15</v>
      </c>
      <c r="K27" s="8">
        <f>SUM(K19:K26)</f>
        <v>106.05031</v>
      </c>
    </row>
    <row r="28" spans="1:17" x14ac:dyDescent="0.3">
      <c r="E28" s="8">
        <f>SUM(E26:E27)</f>
        <v>82.707639999999998</v>
      </c>
      <c r="H28" s="4" t="s">
        <v>37</v>
      </c>
      <c r="I28">
        <v>20</v>
      </c>
      <c r="J28">
        <v>1.41</v>
      </c>
      <c r="K28" s="8">
        <f>I28*J28</f>
        <v>28.2</v>
      </c>
    </row>
    <row r="29" spans="1:17" x14ac:dyDescent="0.3">
      <c r="K29" s="8">
        <f>SUM(K27:K28)</f>
        <v>134.25030999999998</v>
      </c>
    </row>
    <row r="31" spans="1:17" x14ac:dyDescent="0.3">
      <c r="C31" s="4" t="s">
        <v>28</v>
      </c>
      <c r="D31" s="4" t="s">
        <v>29</v>
      </c>
      <c r="E31" s="4" t="s">
        <v>30</v>
      </c>
      <c r="O31" s="4" t="s">
        <v>28</v>
      </c>
      <c r="P31" s="4" t="s">
        <v>29</v>
      </c>
      <c r="Q31" s="4" t="s">
        <v>30</v>
      </c>
    </row>
    <row r="32" spans="1:17" x14ac:dyDescent="0.3">
      <c r="A32" t="s">
        <v>75</v>
      </c>
      <c r="B32" s="4" t="s">
        <v>32</v>
      </c>
      <c r="C32" s="4">
        <v>1.3979999999999999</v>
      </c>
      <c r="D32" s="4">
        <v>19.38</v>
      </c>
      <c r="E32" s="8">
        <f t="shared" ref="E32:E37" si="4">C32*D32</f>
        <v>27.093239999999998</v>
      </c>
      <c r="I32" s="4" t="s">
        <v>28</v>
      </c>
      <c r="J32" s="4" t="s">
        <v>29</v>
      </c>
      <c r="K32" s="4" t="s">
        <v>30</v>
      </c>
      <c r="M32" t="s">
        <v>372</v>
      </c>
      <c r="N32" s="4" t="s">
        <v>32</v>
      </c>
      <c r="O32" s="4">
        <v>1.3979999999999999</v>
      </c>
      <c r="P32" s="4">
        <v>19.38</v>
      </c>
      <c r="Q32" s="8">
        <f t="shared" ref="Q32:Q37" si="5">O32*P32</f>
        <v>27.093239999999998</v>
      </c>
    </row>
    <row r="33" spans="1:17" x14ac:dyDescent="0.3">
      <c r="A33" t="s">
        <v>83</v>
      </c>
      <c r="B33" s="4" t="s">
        <v>33</v>
      </c>
      <c r="C33" s="4">
        <v>3.6850000000000001</v>
      </c>
      <c r="D33" s="4">
        <v>9.83</v>
      </c>
      <c r="E33" s="8">
        <f t="shared" si="4"/>
        <v>36.223550000000003</v>
      </c>
      <c r="G33" t="s">
        <v>75</v>
      </c>
      <c r="H33" s="4" t="s">
        <v>32</v>
      </c>
      <c r="I33" s="4">
        <v>1.3979999999999999</v>
      </c>
      <c r="J33" s="4">
        <v>30.59</v>
      </c>
      <c r="K33" s="8">
        <f t="shared" ref="K33:K40" si="6">I33*J33</f>
        <v>42.76482</v>
      </c>
      <c r="M33" t="s">
        <v>83</v>
      </c>
      <c r="N33" s="4" t="s">
        <v>33</v>
      </c>
      <c r="O33" s="4">
        <v>3.6850000000000001</v>
      </c>
      <c r="P33" s="4">
        <v>9.83</v>
      </c>
      <c r="Q33" s="8">
        <f t="shared" si="5"/>
        <v>36.223550000000003</v>
      </c>
    </row>
    <row r="34" spans="1:17" x14ac:dyDescent="0.3">
      <c r="B34" s="4" t="s">
        <v>85</v>
      </c>
      <c r="C34" s="4">
        <v>2</v>
      </c>
      <c r="D34" s="4">
        <v>1.54</v>
      </c>
      <c r="E34" s="8">
        <f t="shared" si="4"/>
        <v>3.08</v>
      </c>
      <c r="G34" t="s">
        <v>83</v>
      </c>
      <c r="H34" s="4" t="s">
        <v>33</v>
      </c>
      <c r="I34" s="4">
        <v>3.6850000000000001</v>
      </c>
      <c r="J34" s="4">
        <v>9.83</v>
      </c>
      <c r="K34" s="8">
        <f t="shared" si="6"/>
        <v>36.223550000000003</v>
      </c>
      <c r="N34" s="4" t="s">
        <v>85</v>
      </c>
      <c r="O34" s="4">
        <v>2</v>
      </c>
      <c r="P34" s="4">
        <v>1.54</v>
      </c>
      <c r="Q34" s="8">
        <f t="shared" si="5"/>
        <v>3.08</v>
      </c>
    </row>
    <row r="35" spans="1:17" x14ac:dyDescent="0.3">
      <c r="B35" s="4" t="s">
        <v>34</v>
      </c>
      <c r="C35" s="4"/>
      <c r="D35" s="4"/>
      <c r="E35" s="8">
        <f t="shared" si="4"/>
        <v>0</v>
      </c>
      <c r="G35" t="s">
        <v>54</v>
      </c>
      <c r="H35" s="4" t="s">
        <v>33</v>
      </c>
      <c r="I35" s="4">
        <v>3.79</v>
      </c>
      <c r="J35" s="4">
        <v>9.83</v>
      </c>
      <c r="K35" s="8">
        <f t="shared" si="6"/>
        <v>37.255699999999997</v>
      </c>
      <c r="N35" s="4" t="s">
        <v>34</v>
      </c>
      <c r="O35" s="4"/>
      <c r="P35" s="4"/>
      <c r="Q35" s="8">
        <f t="shared" si="5"/>
        <v>0</v>
      </c>
    </row>
    <row r="36" spans="1:17" x14ac:dyDescent="0.3">
      <c r="B36" s="4" t="s">
        <v>35</v>
      </c>
      <c r="C36" s="4">
        <v>4</v>
      </c>
      <c r="D36" s="4">
        <v>1.89</v>
      </c>
      <c r="E36" s="8">
        <f t="shared" si="4"/>
        <v>7.56</v>
      </c>
      <c r="H36" s="4" t="s">
        <v>85</v>
      </c>
      <c r="I36" s="4">
        <v>2</v>
      </c>
      <c r="J36" s="4">
        <v>1.54</v>
      </c>
      <c r="K36" s="8">
        <f t="shared" si="6"/>
        <v>3.08</v>
      </c>
      <c r="N36" s="4" t="s">
        <v>35</v>
      </c>
      <c r="O36" s="4">
        <v>4</v>
      </c>
      <c r="P36" s="4">
        <v>1.89</v>
      </c>
      <c r="Q36" s="8">
        <f t="shared" si="5"/>
        <v>7.56</v>
      </c>
    </row>
    <row r="37" spans="1:17" x14ac:dyDescent="0.3">
      <c r="B37" s="4" t="s">
        <v>36</v>
      </c>
      <c r="C37" s="4">
        <v>4</v>
      </c>
      <c r="D37" s="4">
        <v>0.24</v>
      </c>
      <c r="E37" s="8">
        <f t="shared" si="4"/>
        <v>0.96</v>
      </c>
      <c r="H37" s="4" t="s">
        <v>87</v>
      </c>
      <c r="I37" s="10">
        <v>2</v>
      </c>
      <c r="J37" s="10">
        <v>1.98</v>
      </c>
      <c r="K37" s="11">
        <f t="shared" si="6"/>
        <v>3.96</v>
      </c>
      <c r="N37" s="4" t="s">
        <v>36</v>
      </c>
      <c r="O37" s="4">
        <v>4</v>
      </c>
      <c r="P37" s="4">
        <v>0.24</v>
      </c>
      <c r="Q37" s="8">
        <f t="shared" si="5"/>
        <v>0.96</v>
      </c>
    </row>
    <row r="38" spans="1:17" x14ac:dyDescent="0.3">
      <c r="E38" s="9">
        <f>SUM(E32:E37)</f>
        <v>74.916789999999992</v>
      </c>
      <c r="H38" s="4" t="s">
        <v>34</v>
      </c>
      <c r="I38" s="4"/>
      <c r="J38" s="4"/>
      <c r="K38" s="8">
        <f t="shared" si="6"/>
        <v>0</v>
      </c>
      <c r="Q38" s="9">
        <f>SUM(Q32:Q37)</f>
        <v>74.916789999999992</v>
      </c>
    </row>
    <row r="39" spans="1:17" x14ac:dyDescent="0.3">
      <c r="B39" s="4" t="s">
        <v>37</v>
      </c>
      <c r="C39">
        <v>15</v>
      </c>
      <c r="D39">
        <v>1.41</v>
      </c>
      <c r="E39" s="8">
        <f>C39*D39</f>
        <v>21.15</v>
      </c>
      <c r="H39" s="4" t="s">
        <v>35</v>
      </c>
      <c r="I39" s="4">
        <v>4</v>
      </c>
      <c r="J39" s="4">
        <v>1.89</v>
      </c>
      <c r="K39" s="8">
        <f t="shared" si="6"/>
        <v>7.56</v>
      </c>
      <c r="N39" s="4" t="s">
        <v>37</v>
      </c>
      <c r="O39">
        <v>15</v>
      </c>
      <c r="P39">
        <v>1.41</v>
      </c>
      <c r="Q39" s="8">
        <f>O39*P39</f>
        <v>21.15</v>
      </c>
    </row>
    <row r="40" spans="1:17" x14ac:dyDescent="0.3">
      <c r="E40" s="8">
        <f>SUM(E38:E39)</f>
        <v>96.066789999999997</v>
      </c>
      <c r="H40" s="4" t="s">
        <v>36</v>
      </c>
      <c r="I40" s="4">
        <v>4</v>
      </c>
      <c r="J40" s="4">
        <v>0.24</v>
      </c>
      <c r="K40" s="8">
        <f t="shared" si="6"/>
        <v>0.96</v>
      </c>
      <c r="Q40" s="8">
        <f>SUM(Q38:Q39)</f>
        <v>96.066789999999997</v>
      </c>
    </row>
    <row r="41" spans="1:17" x14ac:dyDescent="0.3">
      <c r="K41" s="9">
        <f>SUM(K33:K40)</f>
        <v>131.80407</v>
      </c>
    </row>
    <row r="42" spans="1:17" x14ac:dyDescent="0.3">
      <c r="H42" s="4" t="s">
        <v>37</v>
      </c>
      <c r="I42">
        <v>20</v>
      </c>
      <c r="J42">
        <v>1.41</v>
      </c>
      <c r="K42" s="8">
        <f>I42*J42</f>
        <v>28.2</v>
      </c>
    </row>
    <row r="43" spans="1:17" x14ac:dyDescent="0.3">
      <c r="C43" s="4" t="s">
        <v>28</v>
      </c>
      <c r="D43" s="4" t="s">
        <v>29</v>
      </c>
      <c r="E43" s="4" t="s">
        <v>30</v>
      </c>
      <c r="K43" s="8">
        <f>SUM(K41:K42)</f>
        <v>160.00406999999998</v>
      </c>
    </row>
    <row r="44" spans="1:17" x14ac:dyDescent="0.3">
      <c r="A44" t="s">
        <v>76</v>
      </c>
      <c r="B44" s="4" t="s">
        <v>32</v>
      </c>
      <c r="C44" s="4">
        <v>1.6080000000000001</v>
      </c>
      <c r="D44" s="4">
        <v>19.38</v>
      </c>
      <c r="E44" s="8">
        <f t="shared" ref="E44:E49" si="7">C44*D44</f>
        <v>31.163039999999999</v>
      </c>
    </row>
    <row r="45" spans="1:17" x14ac:dyDescent="0.3">
      <c r="A45" t="s">
        <v>52</v>
      </c>
      <c r="B45" s="4" t="s">
        <v>33</v>
      </c>
      <c r="C45" s="4">
        <v>4.63</v>
      </c>
      <c r="D45" s="4">
        <v>9.83</v>
      </c>
      <c r="E45" s="8">
        <f t="shared" si="7"/>
        <v>45.512900000000002</v>
      </c>
    </row>
    <row r="46" spans="1:17" x14ac:dyDescent="0.3">
      <c r="B46" s="4" t="s">
        <v>97</v>
      </c>
      <c r="C46" s="4">
        <v>2</v>
      </c>
      <c r="D46" s="4">
        <v>1.54</v>
      </c>
      <c r="E46" s="8">
        <f t="shared" si="7"/>
        <v>3.08</v>
      </c>
      <c r="I46" s="4" t="s">
        <v>28</v>
      </c>
      <c r="J46" s="4" t="s">
        <v>29</v>
      </c>
      <c r="K46" s="4" t="s">
        <v>30</v>
      </c>
    </row>
    <row r="47" spans="1:17" x14ac:dyDescent="0.3">
      <c r="B47" s="4" t="s">
        <v>34</v>
      </c>
      <c r="C47" s="4"/>
      <c r="D47" s="4"/>
      <c r="E47" s="8">
        <f t="shared" si="7"/>
        <v>0</v>
      </c>
      <c r="G47" t="s">
        <v>76</v>
      </c>
      <c r="H47" s="4" t="s">
        <v>32</v>
      </c>
      <c r="I47" s="4">
        <v>1.6080000000000001</v>
      </c>
      <c r="J47" s="4">
        <v>30.59</v>
      </c>
      <c r="K47" s="8">
        <f t="shared" ref="K47:K54" si="8">I47*J47</f>
        <v>49.188720000000004</v>
      </c>
    </row>
    <row r="48" spans="1:17" x14ac:dyDescent="0.3">
      <c r="B48" s="4" t="s">
        <v>35</v>
      </c>
      <c r="C48" s="4">
        <v>4</v>
      </c>
      <c r="D48" s="4">
        <v>1.89</v>
      </c>
      <c r="E48" s="8">
        <f t="shared" si="7"/>
        <v>7.56</v>
      </c>
      <c r="G48" t="s">
        <v>52</v>
      </c>
      <c r="H48" s="4" t="s">
        <v>33</v>
      </c>
      <c r="I48" s="4">
        <v>4.63</v>
      </c>
      <c r="J48" s="4">
        <v>9.83</v>
      </c>
      <c r="K48" s="8">
        <f t="shared" si="8"/>
        <v>45.512900000000002</v>
      </c>
    </row>
    <row r="49" spans="1:11" x14ac:dyDescent="0.3">
      <c r="B49" s="4" t="s">
        <v>36</v>
      </c>
      <c r="C49" s="4">
        <v>4</v>
      </c>
      <c r="D49" s="4">
        <v>0.24</v>
      </c>
      <c r="E49" s="8">
        <f t="shared" si="7"/>
        <v>0.96</v>
      </c>
      <c r="G49" t="s">
        <v>55</v>
      </c>
      <c r="H49" s="4" t="s">
        <v>33</v>
      </c>
      <c r="I49" s="4">
        <v>4.7880000000000003</v>
      </c>
      <c r="J49" s="4">
        <v>9.83</v>
      </c>
      <c r="K49" s="8">
        <f t="shared" si="8"/>
        <v>47.066040000000001</v>
      </c>
    </row>
    <row r="50" spans="1:11" x14ac:dyDescent="0.3">
      <c r="E50" s="9">
        <f>SUM(E44:E49)</f>
        <v>88.275939999999991</v>
      </c>
      <c r="H50" s="4" t="s">
        <v>97</v>
      </c>
      <c r="I50" s="4">
        <v>2</v>
      </c>
      <c r="J50" s="4">
        <v>1.54</v>
      </c>
      <c r="K50" s="8">
        <f t="shared" si="8"/>
        <v>3.08</v>
      </c>
    </row>
    <row r="51" spans="1:11" x14ac:dyDescent="0.3">
      <c r="B51" s="4" t="s">
        <v>37</v>
      </c>
      <c r="C51">
        <v>15</v>
      </c>
      <c r="D51">
        <v>1.41</v>
      </c>
      <c r="E51" s="8">
        <f>C51*D51</f>
        <v>21.15</v>
      </c>
      <c r="H51" s="4" t="s">
        <v>88</v>
      </c>
      <c r="I51" s="4">
        <v>2</v>
      </c>
      <c r="J51" s="4">
        <v>2.2400000000000002</v>
      </c>
      <c r="K51" s="4">
        <f t="shared" si="8"/>
        <v>4.4800000000000004</v>
      </c>
    </row>
    <row r="52" spans="1:11" x14ac:dyDescent="0.3">
      <c r="E52" s="8">
        <f>SUM(E50:E51)</f>
        <v>109.42594</v>
      </c>
      <c r="H52" s="4" t="s">
        <v>34</v>
      </c>
      <c r="I52" s="4"/>
      <c r="J52" s="4"/>
      <c r="K52" s="8">
        <f t="shared" si="8"/>
        <v>0</v>
      </c>
    </row>
    <row r="53" spans="1:11" x14ac:dyDescent="0.3">
      <c r="H53" s="4" t="s">
        <v>35</v>
      </c>
      <c r="I53" s="4">
        <v>4</v>
      </c>
      <c r="J53" s="4">
        <v>1.89</v>
      </c>
      <c r="K53" s="8">
        <f t="shared" si="8"/>
        <v>7.56</v>
      </c>
    </row>
    <row r="54" spans="1:11" x14ac:dyDescent="0.3">
      <c r="H54" s="4" t="s">
        <v>36</v>
      </c>
      <c r="I54" s="4">
        <v>4</v>
      </c>
      <c r="J54" s="4">
        <v>0.24</v>
      </c>
      <c r="K54" s="8">
        <f t="shared" si="8"/>
        <v>0.96</v>
      </c>
    </row>
    <row r="55" spans="1:11" x14ac:dyDescent="0.3">
      <c r="K55" s="9">
        <f>SUM(K47:K54)</f>
        <v>157.84766000000002</v>
      </c>
    </row>
    <row r="56" spans="1:11" x14ac:dyDescent="0.3">
      <c r="C56" s="4" t="s">
        <v>28</v>
      </c>
      <c r="D56" s="4" t="s">
        <v>29</v>
      </c>
      <c r="E56" s="4" t="s">
        <v>30</v>
      </c>
      <c r="H56" s="4" t="s">
        <v>37</v>
      </c>
      <c r="I56">
        <v>25</v>
      </c>
      <c r="J56">
        <v>1.41</v>
      </c>
      <c r="K56" s="8">
        <f>I56*J56</f>
        <v>35.25</v>
      </c>
    </row>
    <row r="57" spans="1:11" x14ac:dyDescent="0.3">
      <c r="A57" t="s">
        <v>77</v>
      </c>
      <c r="B57" s="4" t="s">
        <v>32</v>
      </c>
      <c r="C57" s="4">
        <v>1.8180000000000001</v>
      </c>
      <c r="D57" s="4">
        <v>19.38</v>
      </c>
      <c r="E57" s="8">
        <f t="shared" ref="E57:E62" si="9">C57*D57</f>
        <v>35.232839999999996</v>
      </c>
      <c r="K57" s="8">
        <f>SUM(K55:K56)</f>
        <v>193.09766000000002</v>
      </c>
    </row>
    <row r="58" spans="1:11" x14ac:dyDescent="0.3">
      <c r="A58" t="s">
        <v>52</v>
      </c>
      <c r="B58" s="4" t="s">
        <v>33</v>
      </c>
      <c r="C58" s="4">
        <v>5.5750000000000002</v>
      </c>
      <c r="D58" s="4">
        <v>9.83</v>
      </c>
      <c r="E58" s="8">
        <f t="shared" si="9"/>
        <v>54.802250000000001</v>
      </c>
    </row>
    <row r="59" spans="1:11" x14ac:dyDescent="0.3">
      <c r="B59" s="4" t="s">
        <v>97</v>
      </c>
      <c r="C59" s="4">
        <v>2</v>
      </c>
      <c r="D59" s="4">
        <v>1.54</v>
      </c>
      <c r="E59" s="8">
        <f t="shared" si="9"/>
        <v>3.08</v>
      </c>
      <c r="I59" s="4" t="s">
        <v>28</v>
      </c>
      <c r="J59" s="4" t="s">
        <v>29</v>
      </c>
      <c r="K59" s="4" t="s">
        <v>30</v>
      </c>
    </row>
    <row r="60" spans="1:11" x14ac:dyDescent="0.3">
      <c r="B60" s="4" t="s">
        <v>34</v>
      </c>
      <c r="C60" s="4">
        <v>0.2</v>
      </c>
      <c r="D60" s="4">
        <v>13.67</v>
      </c>
      <c r="E60" s="8">
        <f t="shared" si="9"/>
        <v>2.734</v>
      </c>
      <c r="G60" t="s">
        <v>77</v>
      </c>
      <c r="H60" s="4" t="s">
        <v>32</v>
      </c>
      <c r="I60" s="4">
        <v>1.8180000000000001</v>
      </c>
      <c r="J60" s="4">
        <v>30.59</v>
      </c>
      <c r="K60" s="8">
        <f t="shared" ref="K60:K67" si="10">I60*J60</f>
        <v>55.61262</v>
      </c>
    </row>
    <row r="61" spans="1:11" x14ac:dyDescent="0.3">
      <c r="B61" s="4" t="s">
        <v>35</v>
      </c>
      <c r="C61" s="4">
        <v>4</v>
      </c>
      <c r="D61" s="4">
        <v>1.89</v>
      </c>
      <c r="E61" s="8">
        <f t="shared" si="9"/>
        <v>7.56</v>
      </c>
      <c r="G61" t="s">
        <v>52</v>
      </c>
      <c r="H61" s="4" t="s">
        <v>33</v>
      </c>
      <c r="I61" s="4">
        <v>5.5750000000000002</v>
      </c>
      <c r="J61" s="4">
        <v>9.83</v>
      </c>
      <c r="K61" s="8">
        <f t="shared" si="10"/>
        <v>54.802250000000001</v>
      </c>
    </row>
    <row r="62" spans="1:11" x14ac:dyDescent="0.3">
      <c r="B62" s="4" t="s">
        <v>36</v>
      </c>
      <c r="C62" s="4">
        <v>4</v>
      </c>
      <c r="D62" s="4">
        <v>0.24</v>
      </c>
      <c r="E62" s="8">
        <f t="shared" si="9"/>
        <v>0.96</v>
      </c>
      <c r="G62" t="s">
        <v>56</v>
      </c>
      <c r="H62" s="4" t="s">
        <v>33</v>
      </c>
      <c r="I62" s="4">
        <v>5.7850000000000001</v>
      </c>
      <c r="J62" s="4">
        <v>9.83</v>
      </c>
      <c r="K62" s="8">
        <f t="shared" si="10"/>
        <v>56.866550000000004</v>
      </c>
    </row>
    <row r="63" spans="1:11" x14ac:dyDescent="0.3">
      <c r="E63" s="9">
        <f>SUM(E57:E62)</f>
        <v>104.36908999999999</v>
      </c>
      <c r="H63" s="4" t="s">
        <v>97</v>
      </c>
      <c r="I63" s="4">
        <v>2</v>
      </c>
      <c r="J63" s="4">
        <v>1.54</v>
      </c>
      <c r="K63" s="8">
        <f t="shared" si="10"/>
        <v>3.08</v>
      </c>
    </row>
    <row r="64" spans="1:11" x14ac:dyDescent="0.3">
      <c r="B64" s="4" t="s">
        <v>37</v>
      </c>
      <c r="C64">
        <v>20</v>
      </c>
      <c r="D64">
        <v>1.41</v>
      </c>
      <c r="E64" s="8">
        <f>C64*D64</f>
        <v>28.2</v>
      </c>
      <c r="H64" s="4" t="s">
        <v>98</v>
      </c>
      <c r="I64" s="4">
        <v>4</v>
      </c>
      <c r="J64" s="4">
        <v>1.86</v>
      </c>
      <c r="K64" s="4">
        <f t="shared" si="10"/>
        <v>7.44</v>
      </c>
    </row>
    <row r="65" spans="1:17" x14ac:dyDescent="0.3">
      <c r="E65" s="8">
        <f>SUM(E63:E64)</f>
        <v>132.56908999999999</v>
      </c>
      <c r="H65" s="4" t="s">
        <v>34</v>
      </c>
      <c r="I65" s="4">
        <v>0.2</v>
      </c>
      <c r="J65" s="4">
        <v>13.67</v>
      </c>
      <c r="K65" s="8">
        <f t="shared" si="10"/>
        <v>2.734</v>
      </c>
    </row>
    <row r="66" spans="1:17" x14ac:dyDescent="0.3">
      <c r="H66" s="4" t="s">
        <v>35</v>
      </c>
      <c r="I66" s="4">
        <v>4</v>
      </c>
      <c r="J66" s="4">
        <v>1.89</v>
      </c>
      <c r="K66" s="8">
        <f t="shared" si="10"/>
        <v>7.56</v>
      </c>
    </row>
    <row r="67" spans="1:17" x14ac:dyDescent="0.3">
      <c r="H67" s="4" t="s">
        <v>36</v>
      </c>
      <c r="I67" s="4">
        <v>4</v>
      </c>
      <c r="J67" s="4">
        <v>0.24</v>
      </c>
      <c r="K67" s="8">
        <f t="shared" si="10"/>
        <v>0.96</v>
      </c>
    </row>
    <row r="68" spans="1:17" x14ac:dyDescent="0.3">
      <c r="C68" s="4" t="s">
        <v>28</v>
      </c>
      <c r="D68" s="4" t="s">
        <v>29</v>
      </c>
      <c r="E68" s="4" t="s">
        <v>30</v>
      </c>
      <c r="K68" s="9">
        <f>SUM(K60:K67)</f>
        <v>189.05542000000005</v>
      </c>
      <c r="O68" s="4" t="s">
        <v>28</v>
      </c>
      <c r="P68" s="4" t="s">
        <v>29</v>
      </c>
      <c r="Q68" s="4" t="s">
        <v>30</v>
      </c>
    </row>
    <row r="69" spans="1:17" x14ac:dyDescent="0.3">
      <c r="A69" t="s">
        <v>78</v>
      </c>
      <c r="B69" s="4" t="s">
        <v>32</v>
      </c>
      <c r="C69" s="4">
        <v>2.1259999999999999</v>
      </c>
      <c r="D69" s="4">
        <v>19.38</v>
      </c>
      <c r="E69" s="8">
        <f t="shared" ref="E69:E74" si="11">C69*D69</f>
        <v>41.201879999999996</v>
      </c>
      <c r="H69" s="4" t="s">
        <v>37</v>
      </c>
      <c r="I69">
        <v>25</v>
      </c>
      <c r="J69">
        <v>1.41</v>
      </c>
      <c r="K69" s="8">
        <f>I69*J69</f>
        <v>35.25</v>
      </c>
      <c r="M69" t="s">
        <v>551</v>
      </c>
      <c r="N69" s="4" t="s">
        <v>32</v>
      </c>
      <c r="O69" s="4">
        <v>2.1920000000000002</v>
      </c>
      <c r="P69" s="4">
        <v>19.38</v>
      </c>
      <c r="Q69" s="8">
        <f t="shared" ref="Q69:Q74" si="12">O69*P69</f>
        <v>42.480960000000003</v>
      </c>
    </row>
    <row r="70" spans="1:17" x14ac:dyDescent="0.3">
      <c r="A70" t="s">
        <v>52</v>
      </c>
      <c r="B70" s="4" t="s">
        <v>33</v>
      </c>
      <c r="C70" s="4">
        <v>6.8310000000000004</v>
      </c>
      <c r="D70" s="4">
        <v>9.83</v>
      </c>
      <c r="E70" s="8">
        <f t="shared" si="11"/>
        <v>67.14873</v>
      </c>
      <c r="K70" s="8">
        <f>SUM(K68:K69)</f>
        <v>224.30542000000005</v>
      </c>
      <c r="M70" t="s">
        <v>52</v>
      </c>
      <c r="N70" s="4" t="s">
        <v>33</v>
      </c>
      <c r="O70" s="4">
        <v>7.3259999999999996</v>
      </c>
      <c r="P70" s="4">
        <v>9.83</v>
      </c>
      <c r="Q70" s="8">
        <f t="shared" si="12"/>
        <v>72.014579999999995</v>
      </c>
    </row>
    <row r="71" spans="1:17" x14ac:dyDescent="0.3">
      <c r="B71" s="4" t="s">
        <v>97</v>
      </c>
      <c r="C71" s="4">
        <v>2</v>
      </c>
      <c r="D71" s="4">
        <v>1.54</v>
      </c>
      <c r="E71" s="8">
        <f t="shared" si="11"/>
        <v>3.08</v>
      </c>
      <c r="N71" s="4" t="s">
        <v>97</v>
      </c>
      <c r="O71" s="4">
        <v>2</v>
      </c>
      <c r="P71" s="4">
        <v>1.54</v>
      </c>
      <c r="Q71" s="8">
        <f t="shared" si="12"/>
        <v>3.08</v>
      </c>
    </row>
    <row r="72" spans="1:17" x14ac:dyDescent="0.3">
      <c r="B72" s="4" t="s">
        <v>34</v>
      </c>
      <c r="C72" s="4">
        <v>0.2</v>
      </c>
      <c r="D72" s="4">
        <v>13.67</v>
      </c>
      <c r="E72" s="8">
        <f t="shared" si="11"/>
        <v>2.734</v>
      </c>
      <c r="N72" s="4" t="s">
        <v>34</v>
      </c>
      <c r="O72" s="4">
        <v>0.2</v>
      </c>
      <c r="P72" s="4">
        <v>13.67</v>
      </c>
      <c r="Q72" s="8">
        <f t="shared" si="12"/>
        <v>2.734</v>
      </c>
    </row>
    <row r="73" spans="1:17" x14ac:dyDescent="0.3">
      <c r="B73" s="4" t="s">
        <v>35</v>
      </c>
      <c r="C73" s="4">
        <v>4</v>
      </c>
      <c r="D73" s="4">
        <v>1.89</v>
      </c>
      <c r="E73" s="8">
        <f t="shared" si="11"/>
        <v>7.56</v>
      </c>
      <c r="I73" s="4" t="s">
        <v>28</v>
      </c>
      <c r="J73" s="4" t="s">
        <v>29</v>
      </c>
      <c r="K73" s="4" t="s">
        <v>30</v>
      </c>
      <c r="N73" s="4" t="s">
        <v>35</v>
      </c>
      <c r="O73" s="4">
        <v>4</v>
      </c>
      <c r="P73" s="4">
        <v>1.89</v>
      </c>
      <c r="Q73" s="8">
        <f t="shared" si="12"/>
        <v>7.56</v>
      </c>
    </row>
    <row r="74" spans="1:17" x14ac:dyDescent="0.3">
      <c r="B74" s="4" t="s">
        <v>36</v>
      </c>
      <c r="C74" s="4">
        <v>4</v>
      </c>
      <c r="D74" s="4">
        <v>0.24</v>
      </c>
      <c r="E74" s="8">
        <f t="shared" si="11"/>
        <v>0.96</v>
      </c>
      <c r="G74" t="s">
        <v>78</v>
      </c>
      <c r="H74" s="4" t="s">
        <v>32</v>
      </c>
      <c r="I74" s="4">
        <v>2.028</v>
      </c>
      <c r="J74" s="4">
        <v>30.59</v>
      </c>
      <c r="K74" s="8">
        <f t="shared" ref="K74:K81" si="13">I74*J74</f>
        <v>62.036520000000003</v>
      </c>
      <c r="N74" s="4" t="s">
        <v>36</v>
      </c>
      <c r="O74" s="4">
        <v>4</v>
      </c>
      <c r="P74" s="4">
        <v>0.24</v>
      </c>
      <c r="Q74" s="8">
        <f t="shared" si="12"/>
        <v>0.96</v>
      </c>
    </row>
    <row r="75" spans="1:17" x14ac:dyDescent="0.3">
      <c r="E75" s="9">
        <f>SUM(E69:E74)</f>
        <v>122.68460999999998</v>
      </c>
      <c r="G75" t="s">
        <v>52</v>
      </c>
      <c r="H75" s="4" t="s">
        <v>33</v>
      </c>
      <c r="I75" s="4">
        <v>6.52</v>
      </c>
      <c r="J75" s="4">
        <v>9.83</v>
      </c>
      <c r="K75" s="8">
        <f t="shared" si="13"/>
        <v>64.0916</v>
      </c>
      <c r="Q75" s="9">
        <f>SUM(Q69:Q74)</f>
        <v>128.82954000000001</v>
      </c>
    </row>
    <row r="76" spans="1:17" x14ac:dyDescent="0.3">
      <c r="B76" s="4" t="s">
        <v>37</v>
      </c>
      <c r="C76">
        <v>30</v>
      </c>
      <c r="D76">
        <v>1.41</v>
      </c>
      <c r="E76" s="8">
        <f>C76*D76</f>
        <v>42.3</v>
      </c>
      <c r="G76" t="s">
        <v>57</v>
      </c>
      <c r="H76" s="4" t="s">
        <v>33</v>
      </c>
      <c r="I76" s="4">
        <v>6.7830000000000004</v>
      </c>
      <c r="J76" s="4">
        <v>9.83</v>
      </c>
      <c r="K76" s="8">
        <f t="shared" si="13"/>
        <v>66.67689</v>
      </c>
      <c r="N76" s="4" t="s">
        <v>37</v>
      </c>
      <c r="O76">
        <v>30</v>
      </c>
      <c r="P76">
        <v>1.41</v>
      </c>
      <c r="Q76" s="8">
        <f>O76*P76</f>
        <v>42.3</v>
      </c>
    </row>
    <row r="77" spans="1:17" x14ac:dyDescent="0.3">
      <c r="E77" s="8">
        <f>SUM(E75:E76)</f>
        <v>164.98460999999998</v>
      </c>
      <c r="H77" s="4" t="s">
        <v>97</v>
      </c>
      <c r="I77" s="4">
        <v>2</v>
      </c>
      <c r="J77" s="4">
        <v>1.54</v>
      </c>
      <c r="K77" s="8">
        <f t="shared" si="13"/>
        <v>3.08</v>
      </c>
      <c r="Q77" s="8">
        <f>SUM(Q75:Q76)</f>
        <v>171.12954000000002</v>
      </c>
    </row>
    <row r="78" spans="1:17" x14ac:dyDescent="0.3">
      <c r="H78" s="4" t="s">
        <v>99</v>
      </c>
      <c r="I78" s="10">
        <v>2</v>
      </c>
      <c r="J78" s="10">
        <v>3.84</v>
      </c>
      <c r="K78" s="11">
        <f t="shared" si="13"/>
        <v>7.68</v>
      </c>
    </row>
    <row r="79" spans="1:17" x14ac:dyDescent="0.3">
      <c r="C79" s="4" t="s">
        <v>28</v>
      </c>
      <c r="D79" s="4" t="s">
        <v>29</v>
      </c>
      <c r="E79" s="4" t="s">
        <v>30</v>
      </c>
      <c r="H79" s="4" t="s">
        <v>34</v>
      </c>
      <c r="I79" s="4">
        <v>0.2</v>
      </c>
      <c r="J79" s="4">
        <v>13.67</v>
      </c>
      <c r="K79" s="8">
        <f t="shared" si="13"/>
        <v>2.734</v>
      </c>
    </row>
    <row r="80" spans="1:17" x14ac:dyDescent="0.3">
      <c r="A80" t="s">
        <v>79</v>
      </c>
      <c r="B80" s="4" t="s">
        <v>32</v>
      </c>
      <c r="C80" s="4">
        <v>2.3450000000000002</v>
      </c>
      <c r="D80" s="4">
        <v>19.38</v>
      </c>
      <c r="E80" s="8">
        <f t="shared" ref="E80:E85" si="14">C80*D80</f>
        <v>45.446100000000001</v>
      </c>
      <c r="H80" s="4" t="s">
        <v>35</v>
      </c>
      <c r="I80" s="4">
        <v>4</v>
      </c>
      <c r="J80" s="4">
        <v>1.89</v>
      </c>
      <c r="K80" s="8">
        <f t="shared" si="13"/>
        <v>7.56</v>
      </c>
    </row>
    <row r="81" spans="1:11" x14ac:dyDescent="0.3">
      <c r="A81" t="s">
        <v>52</v>
      </c>
      <c r="B81" s="4" t="s">
        <v>33</v>
      </c>
      <c r="C81" s="4">
        <v>7.8209999999999997</v>
      </c>
      <c r="D81" s="4">
        <v>9.83</v>
      </c>
      <c r="E81" s="8">
        <f t="shared" si="14"/>
        <v>76.880430000000004</v>
      </c>
      <c r="H81" s="4" t="s">
        <v>36</v>
      </c>
      <c r="I81" s="4">
        <v>4</v>
      </c>
      <c r="J81" s="4">
        <v>0.24</v>
      </c>
      <c r="K81" s="8">
        <f t="shared" si="13"/>
        <v>0.96</v>
      </c>
    </row>
    <row r="82" spans="1:11" x14ac:dyDescent="0.3">
      <c r="B82" s="4" t="s">
        <v>97</v>
      </c>
      <c r="C82" s="4">
        <v>2</v>
      </c>
      <c r="D82" s="4">
        <v>1.54</v>
      </c>
      <c r="E82" s="8">
        <f t="shared" si="14"/>
        <v>3.08</v>
      </c>
      <c r="K82" s="9">
        <f>SUM(K74:K81)</f>
        <v>214.81901000000002</v>
      </c>
    </row>
    <row r="83" spans="1:11" x14ac:dyDescent="0.3">
      <c r="B83" s="4" t="s">
        <v>34</v>
      </c>
      <c r="C83" s="4">
        <v>0.2</v>
      </c>
      <c r="D83" s="4">
        <v>13.67</v>
      </c>
      <c r="E83" s="8">
        <f t="shared" si="14"/>
        <v>2.734</v>
      </c>
      <c r="H83" s="4" t="s">
        <v>37</v>
      </c>
      <c r="I83">
        <v>25</v>
      </c>
      <c r="J83">
        <v>1.41</v>
      </c>
      <c r="K83" s="8">
        <f>I83*J83</f>
        <v>35.25</v>
      </c>
    </row>
    <row r="84" spans="1:11" x14ac:dyDescent="0.3">
      <c r="B84" s="4" t="s">
        <v>35</v>
      </c>
      <c r="C84" s="4">
        <v>4</v>
      </c>
      <c r="D84" s="4">
        <v>1.89</v>
      </c>
      <c r="E84" s="8">
        <f t="shared" si="14"/>
        <v>7.56</v>
      </c>
      <c r="K84" s="8">
        <f>SUM(K82:K83)</f>
        <v>250.06901000000002</v>
      </c>
    </row>
    <row r="85" spans="1:11" x14ac:dyDescent="0.3">
      <c r="B85" s="4" t="s">
        <v>36</v>
      </c>
      <c r="C85" s="4">
        <v>4</v>
      </c>
      <c r="D85" s="4">
        <v>0.24</v>
      </c>
      <c r="E85" s="8">
        <f t="shared" si="14"/>
        <v>0.96</v>
      </c>
    </row>
    <row r="86" spans="1:11" x14ac:dyDescent="0.3">
      <c r="E86" s="9">
        <f>SUM(E80:E85)</f>
        <v>136.66053000000002</v>
      </c>
    </row>
    <row r="87" spans="1:11" x14ac:dyDescent="0.3">
      <c r="B87" s="4" t="s">
        <v>37</v>
      </c>
      <c r="C87">
        <v>30</v>
      </c>
      <c r="D87">
        <v>1.41</v>
      </c>
      <c r="E87" s="8">
        <f>C87*D87</f>
        <v>42.3</v>
      </c>
      <c r="I87" s="4" t="s">
        <v>28</v>
      </c>
      <c r="J87" s="4" t="s">
        <v>29</v>
      </c>
      <c r="K87" s="4" t="s">
        <v>30</v>
      </c>
    </row>
    <row r="88" spans="1:11" x14ac:dyDescent="0.3">
      <c r="E88" s="8">
        <f>SUM(E86:E87)</f>
        <v>178.96053000000001</v>
      </c>
      <c r="G88" t="s">
        <v>79</v>
      </c>
      <c r="H88" s="4" t="s">
        <v>32</v>
      </c>
      <c r="I88" s="4">
        <v>2.3450000000000002</v>
      </c>
      <c r="J88" s="4">
        <v>30.59</v>
      </c>
      <c r="K88" s="8">
        <f t="shared" ref="K88:K95" si="15">I88*J88</f>
        <v>71.733550000000008</v>
      </c>
    </row>
    <row r="89" spans="1:11" x14ac:dyDescent="0.3">
      <c r="G89" t="s">
        <v>52</v>
      </c>
      <c r="H89" s="4" t="s">
        <v>33</v>
      </c>
      <c r="I89" s="4">
        <v>7.8209999999999997</v>
      </c>
      <c r="J89" s="4">
        <v>9.83</v>
      </c>
      <c r="K89" s="8">
        <f t="shared" si="15"/>
        <v>76.880430000000004</v>
      </c>
    </row>
    <row r="90" spans="1:11" x14ac:dyDescent="0.3">
      <c r="C90" s="4" t="s">
        <v>28</v>
      </c>
      <c r="D90" s="4" t="s">
        <v>29</v>
      </c>
      <c r="E90" s="4" t="s">
        <v>30</v>
      </c>
      <c r="G90" t="s">
        <v>58</v>
      </c>
      <c r="H90" s="4" t="s">
        <v>33</v>
      </c>
      <c r="I90" s="4">
        <v>8.1509999999999998</v>
      </c>
      <c r="J90" s="4">
        <v>9.83</v>
      </c>
      <c r="K90" s="8">
        <f t="shared" si="15"/>
        <v>80.12433</v>
      </c>
    </row>
    <row r="91" spans="1:11" x14ac:dyDescent="0.3">
      <c r="A91" t="s">
        <v>80</v>
      </c>
      <c r="B91" s="4" t="s">
        <v>32</v>
      </c>
      <c r="C91" s="4">
        <v>2.448</v>
      </c>
      <c r="D91" s="4">
        <v>19.38</v>
      </c>
      <c r="E91" s="8">
        <f t="shared" ref="E91:E96" si="16">C91*D91</f>
        <v>47.442239999999998</v>
      </c>
      <c r="H91" s="4" t="s">
        <v>97</v>
      </c>
      <c r="I91" s="4">
        <v>2</v>
      </c>
      <c r="J91" s="4">
        <v>1.54</v>
      </c>
      <c r="K91" s="8">
        <f t="shared" si="15"/>
        <v>3.08</v>
      </c>
    </row>
    <row r="92" spans="1:11" x14ac:dyDescent="0.3">
      <c r="A92" t="s">
        <v>52</v>
      </c>
      <c r="B92" s="4" t="s">
        <v>33</v>
      </c>
      <c r="C92" s="4">
        <v>8.41</v>
      </c>
      <c r="D92" s="4">
        <v>9.83</v>
      </c>
      <c r="E92" s="8">
        <f t="shared" si="16"/>
        <v>82.670299999999997</v>
      </c>
      <c r="H92" s="4" t="s">
        <v>92</v>
      </c>
      <c r="I92" s="10">
        <v>4</v>
      </c>
      <c r="J92" s="10">
        <v>1.98</v>
      </c>
      <c r="K92" s="11">
        <f t="shared" si="15"/>
        <v>7.92</v>
      </c>
    </row>
    <row r="93" spans="1:11" x14ac:dyDescent="0.3">
      <c r="B93" s="4" t="s">
        <v>97</v>
      </c>
      <c r="C93" s="4">
        <v>2</v>
      </c>
      <c r="D93" s="4">
        <v>1.54</v>
      </c>
      <c r="E93" s="8">
        <f t="shared" si="16"/>
        <v>3.08</v>
      </c>
      <c r="H93" s="4" t="s">
        <v>34</v>
      </c>
      <c r="I93" s="4">
        <v>0.2</v>
      </c>
      <c r="J93" s="4">
        <v>13.67</v>
      </c>
      <c r="K93" s="8">
        <f t="shared" si="15"/>
        <v>2.734</v>
      </c>
    </row>
    <row r="94" spans="1:11" x14ac:dyDescent="0.3">
      <c r="B94" s="4" t="s">
        <v>34</v>
      </c>
      <c r="C94" s="4">
        <v>0.2</v>
      </c>
      <c r="D94" s="4">
        <v>13.67</v>
      </c>
      <c r="E94" s="8">
        <f t="shared" si="16"/>
        <v>2.734</v>
      </c>
      <c r="H94" s="4" t="s">
        <v>35</v>
      </c>
      <c r="I94" s="4">
        <v>4</v>
      </c>
      <c r="J94" s="4">
        <v>1.89</v>
      </c>
      <c r="K94" s="8">
        <f t="shared" si="15"/>
        <v>7.56</v>
      </c>
    </row>
    <row r="95" spans="1:11" x14ac:dyDescent="0.3">
      <c r="B95" s="4" t="s">
        <v>35</v>
      </c>
      <c r="C95" s="4">
        <v>4</v>
      </c>
      <c r="D95" s="4">
        <v>1.89</v>
      </c>
      <c r="E95" s="8">
        <f t="shared" si="16"/>
        <v>7.56</v>
      </c>
      <c r="H95" s="4" t="s">
        <v>36</v>
      </c>
      <c r="I95" s="4">
        <v>4</v>
      </c>
      <c r="J95" s="4">
        <v>0.24</v>
      </c>
      <c r="K95" s="8">
        <f t="shared" si="15"/>
        <v>0.96</v>
      </c>
    </row>
    <row r="96" spans="1:11" x14ac:dyDescent="0.3">
      <c r="B96" s="4" t="s">
        <v>36</v>
      </c>
      <c r="C96" s="4">
        <v>4</v>
      </c>
      <c r="D96" s="4">
        <v>0.24</v>
      </c>
      <c r="E96" s="8">
        <f t="shared" si="16"/>
        <v>0.96</v>
      </c>
      <c r="K96" s="9">
        <f>SUM(K88:K95)</f>
        <v>250.99231000000003</v>
      </c>
    </row>
    <row r="97" spans="1:11" x14ac:dyDescent="0.3">
      <c r="E97" s="9">
        <f>SUM(E91:E96)</f>
        <v>144.44654000000003</v>
      </c>
      <c r="H97" s="4" t="s">
        <v>37</v>
      </c>
      <c r="I97">
        <v>63.9</v>
      </c>
      <c r="J97">
        <v>63.9</v>
      </c>
      <c r="K97" s="8">
        <v>63.9</v>
      </c>
    </row>
    <row r="98" spans="1:11" x14ac:dyDescent="0.3">
      <c r="B98" s="4" t="s">
        <v>37</v>
      </c>
      <c r="C98">
        <v>30</v>
      </c>
      <c r="D98">
        <v>1.41</v>
      </c>
      <c r="E98" s="8">
        <f>C98*D98</f>
        <v>42.3</v>
      </c>
      <c r="K98" s="8">
        <f>SUM(K96:K97)</f>
        <v>314.89231000000001</v>
      </c>
    </row>
    <row r="99" spans="1:11" x14ac:dyDescent="0.3">
      <c r="E99" s="8">
        <f>SUM(E97:E98)</f>
        <v>186.74654000000004</v>
      </c>
    </row>
    <row r="100" spans="1:11" x14ac:dyDescent="0.3">
      <c r="I100" s="4" t="s">
        <v>28</v>
      </c>
      <c r="J100" s="4" t="s">
        <v>29</v>
      </c>
      <c r="K100" s="4" t="s">
        <v>30</v>
      </c>
    </row>
    <row r="101" spans="1:11" x14ac:dyDescent="0.3">
      <c r="C101" s="4" t="s">
        <v>28</v>
      </c>
      <c r="D101" s="4" t="s">
        <v>29</v>
      </c>
      <c r="E101" s="4" t="s">
        <v>30</v>
      </c>
      <c r="G101" t="s">
        <v>80</v>
      </c>
      <c r="H101" s="4" t="s">
        <v>32</v>
      </c>
      <c r="I101" s="4">
        <v>2.448</v>
      </c>
      <c r="J101" s="4">
        <v>30.59</v>
      </c>
      <c r="K101" s="8">
        <f t="shared" ref="K101:K108" si="17">I101*J101</f>
        <v>74.884320000000002</v>
      </c>
    </row>
    <row r="102" spans="1:11" x14ac:dyDescent="0.3">
      <c r="A102" t="s">
        <v>81</v>
      </c>
      <c r="B102" s="4" t="s">
        <v>32</v>
      </c>
      <c r="C102" s="4">
        <v>2.6579999999999999</v>
      </c>
      <c r="D102" s="4">
        <v>19.38</v>
      </c>
      <c r="E102" s="8">
        <f t="shared" ref="E102:E107" si="18">C102*D102</f>
        <v>51.512039999999999</v>
      </c>
      <c r="G102" t="s">
        <v>52</v>
      </c>
      <c r="H102" s="4" t="s">
        <v>33</v>
      </c>
      <c r="I102" s="4">
        <v>8.41</v>
      </c>
      <c r="J102" s="4">
        <v>9.83</v>
      </c>
      <c r="K102" s="8">
        <f t="shared" si="17"/>
        <v>82.670299999999997</v>
      </c>
    </row>
    <row r="103" spans="1:11" x14ac:dyDescent="0.3">
      <c r="A103" t="s">
        <v>52</v>
      </c>
      <c r="B103" s="4" t="s">
        <v>33</v>
      </c>
      <c r="C103" s="4">
        <v>9.3550000000000004</v>
      </c>
      <c r="D103" s="4">
        <v>9.83</v>
      </c>
      <c r="E103" s="8">
        <f t="shared" si="18"/>
        <v>91.959650000000011</v>
      </c>
      <c r="G103" t="s">
        <v>59</v>
      </c>
      <c r="H103" s="4" t="s">
        <v>33</v>
      </c>
      <c r="I103" s="4">
        <v>8.7780000000000005</v>
      </c>
      <c r="J103" s="4">
        <v>9.83</v>
      </c>
      <c r="K103" s="8">
        <f t="shared" si="17"/>
        <v>86.287739999999999</v>
      </c>
    </row>
    <row r="104" spans="1:11" x14ac:dyDescent="0.3">
      <c r="B104" s="4" t="s">
        <v>97</v>
      </c>
      <c r="C104" s="4">
        <v>2</v>
      </c>
      <c r="D104" s="4">
        <v>1.54</v>
      </c>
      <c r="E104" s="8">
        <f t="shared" si="18"/>
        <v>3.08</v>
      </c>
      <c r="H104" s="4" t="s">
        <v>97</v>
      </c>
      <c r="I104" s="4">
        <v>2</v>
      </c>
      <c r="J104" s="4">
        <v>1.54</v>
      </c>
      <c r="K104" s="8">
        <f t="shared" si="17"/>
        <v>3.08</v>
      </c>
    </row>
    <row r="105" spans="1:11" x14ac:dyDescent="0.3">
      <c r="B105" s="4" t="s">
        <v>34</v>
      </c>
      <c r="C105" s="4">
        <v>0.2</v>
      </c>
      <c r="D105" s="4">
        <v>13.67</v>
      </c>
      <c r="E105" s="8">
        <f t="shared" si="18"/>
        <v>2.734</v>
      </c>
      <c r="H105" s="4" t="s">
        <v>93</v>
      </c>
      <c r="I105" s="10">
        <v>2</v>
      </c>
      <c r="J105" s="10">
        <v>4.3</v>
      </c>
      <c r="K105" s="11">
        <f t="shared" si="17"/>
        <v>8.6</v>
      </c>
    </row>
    <row r="106" spans="1:11" x14ac:dyDescent="0.3">
      <c r="B106" s="4" t="s">
        <v>35</v>
      </c>
      <c r="C106" s="4">
        <v>4</v>
      </c>
      <c r="D106" s="4">
        <v>1.89</v>
      </c>
      <c r="E106" s="8">
        <f t="shared" si="18"/>
        <v>7.56</v>
      </c>
      <c r="H106" s="4" t="s">
        <v>34</v>
      </c>
      <c r="I106" s="4">
        <v>0.2</v>
      </c>
      <c r="J106" s="4">
        <v>13.67</v>
      </c>
      <c r="K106" s="8">
        <f t="shared" si="17"/>
        <v>2.734</v>
      </c>
    </row>
    <row r="107" spans="1:11" x14ac:dyDescent="0.3">
      <c r="B107" s="4" t="s">
        <v>36</v>
      </c>
      <c r="C107" s="4">
        <v>4</v>
      </c>
      <c r="D107" s="4">
        <v>0.24</v>
      </c>
      <c r="E107" s="8">
        <f t="shared" si="18"/>
        <v>0.96</v>
      </c>
      <c r="H107" s="4" t="s">
        <v>35</v>
      </c>
      <c r="I107" s="4">
        <v>4</v>
      </c>
      <c r="J107" s="4">
        <v>1.89</v>
      </c>
      <c r="K107" s="8">
        <f t="shared" si="17"/>
        <v>7.56</v>
      </c>
    </row>
    <row r="108" spans="1:11" x14ac:dyDescent="0.3">
      <c r="E108" s="9">
        <f>SUM(E102:E107)</f>
        <v>157.80569000000006</v>
      </c>
      <c r="H108" s="4" t="s">
        <v>36</v>
      </c>
      <c r="I108" s="4">
        <v>4</v>
      </c>
      <c r="J108" s="4">
        <v>0.24</v>
      </c>
      <c r="K108" s="8">
        <f t="shared" si="17"/>
        <v>0.96</v>
      </c>
    </row>
    <row r="109" spans="1:11" x14ac:dyDescent="0.3">
      <c r="B109" s="4" t="s">
        <v>37</v>
      </c>
      <c r="C109">
        <v>30</v>
      </c>
      <c r="D109">
        <v>1.41</v>
      </c>
      <c r="E109" s="8">
        <f>C109*D109</f>
        <v>42.3</v>
      </c>
      <c r="K109" s="9">
        <f>SUM(K101:K108)</f>
        <v>266.77635999999995</v>
      </c>
    </row>
    <row r="110" spans="1:11" x14ac:dyDescent="0.3">
      <c r="E110" s="8">
        <f>SUM(E108:E109)</f>
        <v>200.10569000000004</v>
      </c>
      <c r="H110" s="4" t="s">
        <v>37</v>
      </c>
      <c r="I110">
        <v>30</v>
      </c>
      <c r="J110">
        <v>1.41</v>
      </c>
      <c r="K110" s="8">
        <f>I110*J110</f>
        <v>42.3</v>
      </c>
    </row>
    <row r="111" spans="1:11" x14ac:dyDescent="0.3">
      <c r="K111" s="8">
        <f>SUM(K109:K110)</f>
        <v>309.07635999999997</v>
      </c>
    </row>
    <row r="112" spans="1:11" x14ac:dyDescent="0.3">
      <c r="C112" s="4" t="s">
        <v>28</v>
      </c>
      <c r="D112" s="4" t="s">
        <v>29</v>
      </c>
      <c r="E112" s="4" t="s">
        <v>30</v>
      </c>
    </row>
    <row r="113" spans="1:11" x14ac:dyDescent="0.3">
      <c r="A113" t="s">
        <v>82</v>
      </c>
      <c r="B113" s="4" t="s">
        <v>32</v>
      </c>
      <c r="C113" s="4">
        <v>3.0779999999999998</v>
      </c>
      <c r="D113" s="4">
        <v>19.38</v>
      </c>
      <c r="E113" s="8">
        <f t="shared" ref="E113:E118" si="19">C113*D113</f>
        <v>59.651639999999993</v>
      </c>
      <c r="I113" s="4" t="s">
        <v>28</v>
      </c>
      <c r="J113" s="4" t="s">
        <v>29</v>
      </c>
      <c r="K113" s="4" t="s">
        <v>30</v>
      </c>
    </row>
    <row r="114" spans="1:11" x14ac:dyDescent="0.3">
      <c r="A114" t="s">
        <v>52</v>
      </c>
      <c r="B114" s="4" t="s">
        <v>33</v>
      </c>
      <c r="C114" s="4">
        <v>11.244999999999999</v>
      </c>
      <c r="D114" s="4">
        <v>9.83</v>
      </c>
      <c r="E114" s="8">
        <f t="shared" si="19"/>
        <v>110.53834999999999</v>
      </c>
      <c r="G114" t="s">
        <v>81</v>
      </c>
      <c r="H114" s="4" t="s">
        <v>32</v>
      </c>
      <c r="I114" s="4">
        <v>2.6579999999999999</v>
      </c>
      <c r="J114" s="4">
        <v>30.59</v>
      </c>
      <c r="K114" s="8">
        <f t="shared" ref="K114:K121" si="20">I114*J114</f>
        <v>81.308219999999992</v>
      </c>
    </row>
    <row r="115" spans="1:11" x14ac:dyDescent="0.3">
      <c r="B115" s="4" t="s">
        <v>97</v>
      </c>
      <c r="C115" s="4">
        <v>2</v>
      </c>
      <c r="D115" s="4">
        <v>1.54</v>
      </c>
      <c r="E115" s="8">
        <f t="shared" si="19"/>
        <v>3.08</v>
      </c>
      <c r="G115" t="s">
        <v>52</v>
      </c>
      <c r="H115" s="4" t="s">
        <v>33</v>
      </c>
      <c r="I115" s="4">
        <v>9.3550000000000004</v>
      </c>
      <c r="J115" s="4">
        <v>9.83</v>
      </c>
      <c r="K115" s="8">
        <f t="shared" si="20"/>
        <v>91.959650000000011</v>
      </c>
    </row>
    <row r="116" spans="1:11" x14ac:dyDescent="0.3">
      <c r="B116" s="4" t="s">
        <v>34</v>
      </c>
      <c r="C116" s="4">
        <v>0.2</v>
      </c>
      <c r="D116" s="4">
        <v>13.67</v>
      </c>
      <c r="E116" s="8">
        <f t="shared" si="19"/>
        <v>2.734</v>
      </c>
      <c r="G116" t="s">
        <v>60</v>
      </c>
      <c r="H116" s="4" t="s">
        <v>33</v>
      </c>
      <c r="I116" s="4">
        <v>9.7750000000000004</v>
      </c>
      <c r="J116" s="4">
        <v>9.83</v>
      </c>
      <c r="K116" s="8">
        <f t="shared" si="20"/>
        <v>96.088250000000002</v>
      </c>
    </row>
    <row r="117" spans="1:11" x14ac:dyDescent="0.3">
      <c r="B117" s="4" t="s">
        <v>35</v>
      </c>
      <c r="C117" s="4">
        <v>4</v>
      </c>
      <c r="D117" s="4">
        <v>1.89</v>
      </c>
      <c r="E117" s="8">
        <f t="shared" si="19"/>
        <v>7.56</v>
      </c>
      <c r="H117" s="4" t="s">
        <v>97</v>
      </c>
      <c r="I117" s="4">
        <v>2</v>
      </c>
      <c r="J117" s="4">
        <v>1.54</v>
      </c>
      <c r="K117" s="8">
        <f t="shared" si="20"/>
        <v>3.08</v>
      </c>
    </row>
    <row r="118" spans="1:11" x14ac:dyDescent="0.3">
      <c r="B118" s="4" t="s">
        <v>36</v>
      </c>
      <c r="C118" s="4">
        <v>4</v>
      </c>
      <c r="D118" s="4">
        <v>0.24</v>
      </c>
      <c r="E118" s="8">
        <f t="shared" si="19"/>
        <v>0.96</v>
      </c>
      <c r="H118" s="4" t="s">
        <v>100</v>
      </c>
      <c r="I118" s="4">
        <v>2</v>
      </c>
      <c r="J118" s="4">
        <v>2.2400000000000002</v>
      </c>
      <c r="K118" s="4">
        <f t="shared" si="20"/>
        <v>4.4800000000000004</v>
      </c>
    </row>
    <row r="119" spans="1:11" x14ac:dyDescent="0.3">
      <c r="E119" s="9">
        <f>SUM(E113:E118)</f>
        <v>184.52399000000003</v>
      </c>
      <c r="H119" s="4" t="s">
        <v>34</v>
      </c>
      <c r="I119" s="4">
        <v>0.2</v>
      </c>
      <c r="J119" s="4">
        <v>13.67</v>
      </c>
      <c r="K119" s="8">
        <f t="shared" si="20"/>
        <v>2.734</v>
      </c>
    </row>
    <row r="120" spans="1:11" x14ac:dyDescent="0.3">
      <c r="B120" s="4" t="s">
        <v>37</v>
      </c>
      <c r="C120">
        <v>30</v>
      </c>
      <c r="D120">
        <v>1.41</v>
      </c>
      <c r="E120" s="8">
        <f>C120*D120</f>
        <v>42.3</v>
      </c>
      <c r="H120" s="4" t="s">
        <v>35</v>
      </c>
      <c r="I120" s="4">
        <v>4</v>
      </c>
      <c r="J120" s="4">
        <v>1.89</v>
      </c>
      <c r="K120" s="8">
        <f t="shared" si="20"/>
        <v>7.56</v>
      </c>
    </row>
    <row r="121" spans="1:11" x14ac:dyDescent="0.3">
      <c r="E121" s="8">
        <f>SUM(E119:E120)</f>
        <v>226.82399000000004</v>
      </c>
      <c r="H121" s="4" t="s">
        <v>36</v>
      </c>
      <c r="I121" s="4">
        <v>4</v>
      </c>
      <c r="J121" s="4">
        <v>0.24</v>
      </c>
      <c r="K121" s="8">
        <f t="shared" si="20"/>
        <v>0.96</v>
      </c>
    </row>
    <row r="122" spans="1:11" x14ac:dyDescent="0.3">
      <c r="K122" s="9">
        <f>SUM(K114:K121)</f>
        <v>288.17012</v>
      </c>
    </row>
    <row r="123" spans="1:11" x14ac:dyDescent="0.3">
      <c r="H123" s="4" t="s">
        <v>37</v>
      </c>
      <c r="I123">
        <v>40</v>
      </c>
      <c r="J123">
        <v>1.41</v>
      </c>
      <c r="K123" s="8">
        <f>I123*J123</f>
        <v>56.4</v>
      </c>
    </row>
    <row r="124" spans="1:11" x14ac:dyDescent="0.3">
      <c r="K124" s="8">
        <f>SUM(K122:K123)</f>
        <v>344.57011999999997</v>
      </c>
    </row>
    <row r="131" spans="7:11" x14ac:dyDescent="0.3">
      <c r="I131" s="4" t="s">
        <v>28</v>
      </c>
      <c r="J131" s="4" t="s">
        <v>29</v>
      </c>
      <c r="K131" s="4" t="s">
        <v>30</v>
      </c>
    </row>
    <row r="132" spans="7:11" x14ac:dyDescent="0.3">
      <c r="G132" t="s">
        <v>82</v>
      </c>
      <c r="H132" s="4" t="s">
        <v>32</v>
      </c>
      <c r="I132" s="4">
        <v>3.0779999999999998</v>
      </c>
      <c r="J132" s="4">
        <v>30.59</v>
      </c>
      <c r="K132" s="8">
        <f t="shared" ref="K132:K139" si="21">I132*J132</f>
        <v>94.156019999999998</v>
      </c>
    </row>
    <row r="133" spans="7:11" x14ac:dyDescent="0.3">
      <c r="G133" t="s">
        <v>52</v>
      </c>
      <c r="H133" s="4" t="s">
        <v>33</v>
      </c>
      <c r="I133" s="4">
        <v>11.244999999999999</v>
      </c>
      <c r="J133" s="4">
        <v>9.83</v>
      </c>
      <c r="K133" s="8">
        <f t="shared" si="21"/>
        <v>110.53834999999999</v>
      </c>
    </row>
    <row r="134" spans="7:11" x14ac:dyDescent="0.3">
      <c r="G134" t="s">
        <v>61</v>
      </c>
      <c r="H134" s="4" t="s">
        <v>33</v>
      </c>
      <c r="I134" s="4">
        <v>11.77</v>
      </c>
      <c r="J134" s="4">
        <v>9.83</v>
      </c>
      <c r="K134" s="8">
        <f t="shared" si="21"/>
        <v>115.6991</v>
      </c>
    </row>
    <row r="135" spans="7:11" x14ac:dyDescent="0.3">
      <c r="H135" s="4" t="s">
        <v>97</v>
      </c>
      <c r="I135" s="4">
        <v>2</v>
      </c>
      <c r="J135" s="4">
        <v>1.54</v>
      </c>
      <c r="K135" s="8">
        <f t="shared" si="21"/>
        <v>3.08</v>
      </c>
    </row>
    <row r="136" spans="7:11" x14ac:dyDescent="0.3">
      <c r="H136" s="4" t="s">
        <v>101</v>
      </c>
      <c r="I136" s="4">
        <v>6</v>
      </c>
      <c r="J136" s="4">
        <v>1.86</v>
      </c>
      <c r="K136" s="4">
        <f t="shared" si="21"/>
        <v>11.16</v>
      </c>
    </row>
    <row r="137" spans="7:11" x14ac:dyDescent="0.3">
      <c r="H137" s="4" t="s">
        <v>34</v>
      </c>
      <c r="I137" s="4">
        <v>0.4</v>
      </c>
      <c r="J137" s="4">
        <v>13.67</v>
      </c>
      <c r="K137" s="8">
        <f t="shared" si="21"/>
        <v>5.468</v>
      </c>
    </row>
    <row r="138" spans="7:11" x14ac:dyDescent="0.3">
      <c r="H138" s="4" t="s">
        <v>35</v>
      </c>
      <c r="I138" s="4">
        <v>4</v>
      </c>
      <c r="J138" s="4">
        <v>1.89</v>
      </c>
      <c r="K138" s="8">
        <f t="shared" si="21"/>
        <v>7.56</v>
      </c>
    </row>
    <row r="139" spans="7:11" x14ac:dyDescent="0.3">
      <c r="H139" s="4" t="s">
        <v>36</v>
      </c>
      <c r="I139" s="4">
        <v>4</v>
      </c>
      <c r="J139" s="4">
        <v>0.24</v>
      </c>
      <c r="K139" s="8">
        <f t="shared" si="21"/>
        <v>0.96</v>
      </c>
    </row>
    <row r="140" spans="7:11" x14ac:dyDescent="0.3">
      <c r="K140" s="9">
        <f>SUM(K132:K139)</f>
        <v>348.62146999999999</v>
      </c>
    </row>
    <row r="141" spans="7:11" x14ac:dyDescent="0.3">
      <c r="H141" s="4" t="s">
        <v>37</v>
      </c>
      <c r="I141">
        <v>40</v>
      </c>
      <c r="J141">
        <v>1.41</v>
      </c>
      <c r="K141" s="8">
        <f>I141*J141</f>
        <v>56.4</v>
      </c>
    </row>
    <row r="142" spans="7:11" x14ac:dyDescent="0.3">
      <c r="K142" s="8">
        <f>SUM(K140:K141)</f>
        <v>405.02146999999997</v>
      </c>
    </row>
  </sheetData>
  <pageMargins left="0" right="0" top="0.15748031496062992" bottom="0.15748031496062992" header="0.31496062992125984" footer="0.31496062992125984"/>
  <pageSetup paperSize="9" scale="85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34998626667073579"/>
  </sheetPr>
  <dimension ref="A1:K124"/>
  <sheetViews>
    <sheetView topLeftCell="A46" workbookViewId="0">
      <selection activeCell="E65" sqref="E65"/>
    </sheetView>
  </sheetViews>
  <sheetFormatPr baseColWidth="10" defaultRowHeight="14.4" x14ac:dyDescent="0.3"/>
  <cols>
    <col min="3" max="3" width="10.33203125" customWidth="1"/>
    <col min="4" max="4" width="9.109375" customWidth="1"/>
    <col min="5" max="5" width="10.6640625" customWidth="1"/>
    <col min="6" max="6" width="3.5546875" customWidth="1"/>
    <col min="8" max="8" width="10.109375" customWidth="1"/>
    <col min="10" max="10" width="8.88671875" customWidth="1"/>
    <col min="11" max="11" width="10.6640625" customWidth="1"/>
  </cols>
  <sheetData>
    <row r="1" spans="1:11" ht="18" x14ac:dyDescent="0.35">
      <c r="A1" s="5" t="s">
        <v>129</v>
      </c>
    </row>
    <row r="3" spans="1:11" x14ac:dyDescent="0.3">
      <c r="A3" t="s">
        <v>50</v>
      </c>
    </row>
    <row r="4" spans="1:11" x14ac:dyDescent="0.3">
      <c r="C4" s="4" t="s">
        <v>28</v>
      </c>
      <c r="D4" s="4" t="s">
        <v>29</v>
      </c>
      <c r="E4" s="4" t="s">
        <v>30</v>
      </c>
      <c r="G4" t="s">
        <v>51</v>
      </c>
    </row>
    <row r="5" spans="1:11" x14ac:dyDescent="0.3">
      <c r="A5" t="s">
        <v>102</v>
      </c>
      <c r="B5" s="4" t="s">
        <v>32</v>
      </c>
      <c r="C5" s="4">
        <v>1.3979999999999999</v>
      </c>
      <c r="D5" s="4">
        <v>19.38</v>
      </c>
      <c r="E5" s="8">
        <f t="shared" ref="E5:E10" si="0">C5*D5</f>
        <v>27.093239999999998</v>
      </c>
      <c r="I5" s="4" t="s">
        <v>28</v>
      </c>
      <c r="J5" s="4" t="s">
        <v>29</v>
      </c>
      <c r="K5" s="4" t="s">
        <v>30</v>
      </c>
    </row>
    <row r="6" spans="1:11" x14ac:dyDescent="0.3">
      <c r="A6" t="s">
        <v>53</v>
      </c>
      <c r="B6" s="4" t="s">
        <v>33</v>
      </c>
      <c r="C6" s="4">
        <v>4.2629999999999999</v>
      </c>
      <c r="D6" s="4">
        <v>9.83</v>
      </c>
      <c r="E6" s="8">
        <f t="shared" si="0"/>
        <v>41.905290000000001</v>
      </c>
      <c r="G6" t="s">
        <v>102</v>
      </c>
      <c r="H6" s="4" t="s">
        <v>32</v>
      </c>
      <c r="I6" s="4">
        <v>1.3979999999999999</v>
      </c>
      <c r="J6" s="4">
        <v>30.59</v>
      </c>
      <c r="K6" s="8">
        <f t="shared" ref="K6:K13" si="1">I6*J6</f>
        <v>42.76482</v>
      </c>
    </row>
    <row r="7" spans="1:11" x14ac:dyDescent="0.3">
      <c r="B7" s="4" t="s">
        <v>86</v>
      </c>
      <c r="C7" s="4">
        <v>2</v>
      </c>
      <c r="D7" s="4">
        <v>1.86</v>
      </c>
      <c r="E7" s="8">
        <f t="shared" si="0"/>
        <v>3.72</v>
      </c>
      <c r="G7" t="s">
        <v>111</v>
      </c>
      <c r="H7" s="4" t="s">
        <v>33</v>
      </c>
      <c r="I7" s="4">
        <v>4.2629999999999999</v>
      </c>
      <c r="J7" s="4">
        <v>9.83</v>
      </c>
      <c r="K7" s="8">
        <f t="shared" si="1"/>
        <v>41.905290000000001</v>
      </c>
    </row>
    <row r="8" spans="1:11" x14ac:dyDescent="0.3">
      <c r="B8" s="4" t="s">
        <v>34</v>
      </c>
      <c r="C8" s="4"/>
      <c r="D8" s="4"/>
      <c r="E8" s="8">
        <f t="shared" si="0"/>
        <v>0</v>
      </c>
      <c r="G8" t="s">
        <v>111</v>
      </c>
      <c r="H8" s="4" t="s">
        <v>33</v>
      </c>
      <c r="I8" s="4">
        <v>4.2629999999999999</v>
      </c>
      <c r="J8" s="4">
        <v>9.83</v>
      </c>
      <c r="K8" s="8">
        <f t="shared" si="1"/>
        <v>41.905290000000001</v>
      </c>
    </row>
    <row r="9" spans="1:11" x14ac:dyDescent="0.3">
      <c r="B9" s="4" t="s">
        <v>35</v>
      </c>
      <c r="C9" s="4">
        <v>4</v>
      </c>
      <c r="D9" s="4">
        <v>1.89</v>
      </c>
      <c r="E9" s="8">
        <f t="shared" si="0"/>
        <v>7.56</v>
      </c>
      <c r="H9" s="4" t="s">
        <v>86</v>
      </c>
      <c r="I9" s="4">
        <v>2</v>
      </c>
      <c r="J9" s="4">
        <v>1.86</v>
      </c>
      <c r="K9" s="8">
        <f t="shared" si="1"/>
        <v>3.72</v>
      </c>
    </row>
    <row r="10" spans="1:11" x14ac:dyDescent="0.3">
      <c r="B10" s="4" t="s">
        <v>36</v>
      </c>
      <c r="C10" s="4">
        <v>4</v>
      </c>
      <c r="D10" s="4">
        <v>0.24</v>
      </c>
      <c r="E10" s="8">
        <f t="shared" si="0"/>
        <v>0.96</v>
      </c>
      <c r="H10" s="4" t="s">
        <v>86</v>
      </c>
      <c r="I10" s="4">
        <v>2</v>
      </c>
      <c r="J10" s="4">
        <v>1.86</v>
      </c>
      <c r="K10" s="4">
        <f t="shared" si="1"/>
        <v>3.72</v>
      </c>
    </row>
    <row r="11" spans="1:11" x14ac:dyDescent="0.3">
      <c r="E11" s="8">
        <f>SUM(E5:E10)</f>
        <v>81.238529999999997</v>
      </c>
      <c r="H11" s="4" t="s">
        <v>34</v>
      </c>
      <c r="I11" s="4"/>
      <c r="J11" s="4"/>
      <c r="K11" s="8">
        <f t="shared" si="1"/>
        <v>0</v>
      </c>
    </row>
    <row r="12" spans="1:11" x14ac:dyDescent="0.3">
      <c r="B12" s="4" t="s">
        <v>37</v>
      </c>
      <c r="C12">
        <v>0.5</v>
      </c>
      <c r="D12">
        <v>1.41</v>
      </c>
      <c r="E12" s="8">
        <v>42.5</v>
      </c>
      <c r="H12" s="4" t="s">
        <v>35</v>
      </c>
      <c r="I12" s="4">
        <v>4</v>
      </c>
      <c r="J12" s="4">
        <v>1.89</v>
      </c>
      <c r="K12" s="8">
        <f t="shared" si="1"/>
        <v>7.56</v>
      </c>
    </row>
    <row r="13" spans="1:11" x14ac:dyDescent="0.3">
      <c r="E13" s="8">
        <f>SUM(E11:E12)</f>
        <v>123.73853</v>
      </c>
      <c r="H13" s="4" t="s">
        <v>36</v>
      </c>
      <c r="I13" s="4">
        <v>4</v>
      </c>
      <c r="J13" s="4">
        <v>0.24</v>
      </c>
      <c r="K13" s="8">
        <f t="shared" si="1"/>
        <v>0.96</v>
      </c>
    </row>
    <row r="14" spans="1:11" x14ac:dyDescent="0.3">
      <c r="K14" s="8">
        <f>SUM(K6:K13)</f>
        <v>142.53540000000001</v>
      </c>
    </row>
    <row r="15" spans="1:11" x14ac:dyDescent="0.3">
      <c r="H15" s="4" t="s">
        <v>37</v>
      </c>
      <c r="I15">
        <v>15</v>
      </c>
      <c r="J15">
        <v>1.41</v>
      </c>
      <c r="K15" s="8">
        <f>I15*J15</f>
        <v>21.15</v>
      </c>
    </row>
    <row r="16" spans="1:11" x14ac:dyDescent="0.3">
      <c r="K16" s="8">
        <f>SUM(K14:K15)</f>
        <v>163.68540000000002</v>
      </c>
    </row>
    <row r="19" spans="1:11" x14ac:dyDescent="0.3">
      <c r="C19" s="4" t="s">
        <v>28</v>
      </c>
      <c r="D19" s="4" t="s">
        <v>29</v>
      </c>
      <c r="E19" s="4" t="s">
        <v>30</v>
      </c>
      <c r="I19" s="4" t="s">
        <v>28</v>
      </c>
      <c r="J19" s="4" t="s">
        <v>29</v>
      </c>
      <c r="K19" s="4" t="s">
        <v>30</v>
      </c>
    </row>
    <row r="20" spans="1:11" x14ac:dyDescent="0.3">
      <c r="A20" t="s">
        <v>103</v>
      </c>
      <c r="B20" s="4" t="s">
        <v>32</v>
      </c>
      <c r="C20" s="4">
        <v>1.6080000000000001</v>
      </c>
      <c r="D20" s="4">
        <v>19.38</v>
      </c>
      <c r="E20" s="8">
        <f t="shared" ref="E20:E25" si="2">C20*D20</f>
        <v>31.163039999999999</v>
      </c>
      <c r="G20" t="s">
        <v>103</v>
      </c>
      <c r="H20" s="4" t="s">
        <v>32</v>
      </c>
      <c r="I20" s="4">
        <v>1.6080000000000001</v>
      </c>
      <c r="J20" s="4">
        <v>30.59</v>
      </c>
      <c r="K20" s="8">
        <f t="shared" ref="K20:K27" si="3">I20*J20</f>
        <v>49.188720000000004</v>
      </c>
    </row>
    <row r="21" spans="1:11" x14ac:dyDescent="0.3">
      <c r="A21" t="s">
        <v>53</v>
      </c>
      <c r="B21" s="4" t="s">
        <v>33</v>
      </c>
      <c r="C21" s="4">
        <v>5.7329999999999997</v>
      </c>
      <c r="D21" s="4">
        <v>9.83</v>
      </c>
      <c r="E21" s="8">
        <f t="shared" si="2"/>
        <v>56.35539</v>
      </c>
      <c r="G21" t="s">
        <v>111</v>
      </c>
      <c r="H21" s="4" t="s">
        <v>33</v>
      </c>
      <c r="I21" s="4">
        <v>5.7329999999999997</v>
      </c>
      <c r="J21" s="4">
        <v>9.83</v>
      </c>
      <c r="K21" s="8">
        <f t="shared" si="3"/>
        <v>56.35539</v>
      </c>
    </row>
    <row r="22" spans="1:11" x14ac:dyDescent="0.3">
      <c r="B22" s="4" t="s">
        <v>86</v>
      </c>
      <c r="C22" s="4">
        <v>2</v>
      </c>
      <c r="D22" s="4">
        <v>1.86</v>
      </c>
      <c r="E22" s="8">
        <f t="shared" si="2"/>
        <v>3.72</v>
      </c>
      <c r="G22" t="s">
        <v>112</v>
      </c>
      <c r="H22" s="4" t="s">
        <v>33</v>
      </c>
      <c r="I22" s="4">
        <v>5.51</v>
      </c>
      <c r="J22" s="4">
        <v>9.83</v>
      </c>
      <c r="K22" s="8">
        <f t="shared" si="3"/>
        <v>54.1633</v>
      </c>
    </row>
    <row r="23" spans="1:11" x14ac:dyDescent="0.3">
      <c r="B23" s="4" t="s">
        <v>34</v>
      </c>
      <c r="C23" s="4"/>
      <c r="D23" s="4"/>
      <c r="E23" s="8">
        <f t="shared" si="2"/>
        <v>0</v>
      </c>
      <c r="H23" s="4" t="s">
        <v>86</v>
      </c>
      <c r="I23" s="4">
        <v>2</v>
      </c>
      <c r="J23" s="4">
        <v>1.86</v>
      </c>
      <c r="K23" s="8">
        <f t="shared" si="3"/>
        <v>3.72</v>
      </c>
    </row>
    <row r="24" spans="1:11" x14ac:dyDescent="0.3">
      <c r="B24" s="4" t="s">
        <v>35</v>
      </c>
      <c r="C24" s="4">
        <v>4</v>
      </c>
      <c r="D24" s="4">
        <v>1.89</v>
      </c>
      <c r="E24" s="8">
        <f t="shared" si="2"/>
        <v>7.56</v>
      </c>
      <c r="H24" s="4" t="s">
        <v>87</v>
      </c>
      <c r="I24" s="4">
        <v>2</v>
      </c>
      <c r="J24" s="4">
        <v>1.98</v>
      </c>
      <c r="K24" s="4">
        <f t="shared" si="3"/>
        <v>3.96</v>
      </c>
    </row>
    <row r="25" spans="1:11" x14ac:dyDescent="0.3">
      <c r="B25" s="4" t="s">
        <v>36</v>
      </c>
      <c r="C25" s="4">
        <v>4</v>
      </c>
      <c r="D25" s="4">
        <v>0.24</v>
      </c>
      <c r="E25" s="8">
        <f t="shared" si="2"/>
        <v>0.96</v>
      </c>
      <c r="H25" s="4" t="s">
        <v>34</v>
      </c>
      <c r="I25" s="4"/>
      <c r="J25" s="4"/>
      <c r="K25" s="8">
        <f t="shared" si="3"/>
        <v>0</v>
      </c>
    </row>
    <row r="26" spans="1:11" x14ac:dyDescent="0.3">
      <c r="E26" s="9">
        <f>SUM(E20:E25)</f>
        <v>99.75842999999999</v>
      </c>
      <c r="H26" s="4" t="s">
        <v>35</v>
      </c>
      <c r="I26" s="4">
        <v>4</v>
      </c>
      <c r="J26" s="4">
        <v>1.89</v>
      </c>
      <c r="K26" s="8">
        <f t="shared" si="3"/>
        <v>7.56</v>
      </c>
    </row>
    <row r="27" spans="1:11" x14ac:dyDescent="0.3">
      <c r="B27" s="4" t="s">
        <v>37</v>
      </c>
      <c r="C27">
        <v>15</v>
      </c>
      <c r="D27">
        <v>1.41</v>
      </c>
      <c r="E27" s="8">
        <f>C27*D27</f>
        <v>21.15</v>
      </c>
      <c r="H27" s="4" t="s">
        <v>36</v>
      </c>
      <c r="I27" s="4">
        <v>4</v>
      </c>
      <c r="J27" s="4">
        <v>0.24</v>
      </c>
      <c r="K27" s="8">
        <f t="shared" si="3"/>
        <v>0.96</v>
      </c>
    </row>
    <row r="28" spans="1:11" x14ac:dyDescent="0.3">
      <c r="E28" s="8">
        <f>SUM(E26:E27)</f>
        <v>120.90842999999998</v>
      </c>
      <c r="K28" s="8">
        <f>SUM(K20:K27)</f>
        <v>175.90741000000003</v>
      </c>
    </row>
    <row r="29" spans="1:11" x14ac:dyDescent="0.3">
      <c r="H29" s="4" t="s">
        <v>37</v>
      </c>
      <c r="I29">
        <v>20</v>
      </c>
      <c r="J29">
        <v>1.41</v>
      </c>
      <c r="K29" s="8">
        <f>I29*J29</f>
        <v>28.2</v>
      </c>
    </row>
    <row r="30" spans="1:11" x14ac:dyDescent="0.3">
      <c r="K30" s="8">
        <f>SUM(K28:K29)</f>
        <v>204.10741000000002</v>
      </c>
    </row>
    <row r="31" spans="1:11" x14ac:dyDescent="0.3">
      <c r="C31" s="4" t="s">
        <v>28</v>
      </c>
      <c r="D31" s="4" t="s">
        <v>29</v>
      </c>
      <c r="E31" s="4" t="s">
        <v>30</v>
      </c>
    </row>
    <row r="32" spans="1:11" x14ac:dyDescent="0.3">
      <c r="A32" t="s">
        <v>104</v>
      </c>
      <c r="B32" s="4" t="s">
        <v>32</v>
      </c>
      <c r="C32" s="4">
        <v>1.8180000000000001</v>
      </c>
      <c r="D32" s="4">
        <v>19.38</v>
      </c>
      <c r="E32" s="8">
        <f t="shared" ref="E32:E37" si="4">C32*D32</f>
        <v>35.232839999999996</v>
      </c>
      <c r="I32" s="4" t="s">
        <v>28</v>
      </c>
      <c r="J32" s="4" t="s">
        <v>29</v>
      </c>
      <c r="K32" s="4" t="s">
        <v>30</v>
      </c>
    </row>
    <row r="33" spans="1:11" x14ac:dyDescent="0.3">
      <c r="A33" t="s">
        <v>53</v>
      </c>
      <c r="B33" s="4" t="s">
        <v>33</v>
      </c>
      <c r="C33" s="4">
        <v>7.2030000000000003</v>
      </c>
      <c r="D33" s="4">
        <v>9.83</v>
      </c>
      <c r="E33" s="8">
        <f t="shared" si="4"/>
        <v>70.805490000000006</v>
      </c>
      <c r="G33" t="s">
        <v>104</v>
      </c>
      <c r="H33" s="4" t="s">
        <v>32</v>
      </c>
      <c r="I33" s="4">
        <v>1.8180000000000001</v>
      </c>
      <c r="J33" s="4">
        <v>30.59</v>
      </c>
      <c r="K33" s="8">
        <f t="shared" ref="K33:K40" si="5">I33*J33</f>
        <v>55.61262</v>
      </c>
    </row>
    <row r="34" spans="1:11" x14ac:dyDescent="0.3">
      <c r="B34" s="4" t="s">
        <v>86</v>
      </c>
      <c r="C34" s="4">
        <v>2</v>
      </c>
      <c r="D34" s="4">
        <v>1.86</v>
      </c>
      <c r="E34" s="8">
        <f t="shared" si="4"/>
        <v>3.72</v>
      </c>
      <c r="G34" t="s">
        <v>53</v>
      </c>
      <c r="H34" s="4" t="s">
        <v>33</v>
      </c>
      <c r="I34" s="4">
        <v>7.2030000000000003</v>
      </c>
      <c r="J34" s="4">
        <v>9.83</v>
      </c>
      <c r="K34" s="8">
        <f t="shared" si="5"/>
        <v>70.805490000000006</v>
      </c>
    </row>
    <row r="35" spans="1:11" x14ac:dyDescent="0.3">
      <c r="B35" s="4" t="s">
        <v>34</v>
      </c>
      <c r="C35" s="4"/>
      <c r="D35" s="4"/>
      <c r="E35" s="8">
        <f t="shared" si="4"/>
        <v>0</v>
      </c>
      <c r="G35" t="s">
        <v>55</v>
      </c>
      <c r="H35" s="4" t="s">
        <v>33</v>
      </c>
      <c r="I35" s="4">
        <v>7.3079999999999998</v>
      </c>
      <c r="J35" s="4">
        <v>9.83</v>
      </c>
      <c r="K35" s="8">
        <f t="shared" si="5"/>
        <v>71.837639999999993</v>
      </c>
    </row>
    <row r="36" spans="1:11" x14ac:dyDescent="0.3">
      <c r="B36" s="4" t="s">
        <v>35</v>
      </c>
      <c r="C36" s="4">
        <v>4</v>
      </c>
      <c r="D36" s="4">
        <v>1.89</v>
      </c>
      <c r="E36" s="8">
        <f t="shared" si="4"/>
        <v>7.56</v>
      </c>
      <c r="H36" s="4" t="s">
        <v>86</v>
      </c>
      <c r="I36" s="4">
        <v>2</v>
      </c>
      <c r="J36" s="4">
        <v>1.86</v>
      </c>
      <c r="K36" s="8">
        <f t="shared" si="5"/>
        <v>3.72</v>
      </c>
    </row>
    <row r="37" spans="1:11" x14ac:dyDescent="0.3">
      <c r="B37" s="4" t="s">
        <v>36</v>
      </c>
      <c r="C37" s="4">
        <v>4</v>
      </c>
      <c r="D37" s="4">
        <v>0.24</v>
      </c>
      <c r="E37" s="8">
        <f t="shared" si="4"/>
        <v>0.96</v>
      </c>
      <c r="H37" s="4" t="s">
        <v>113</v>
      </c>
      <c r="I37" s="4">
        <v>2</v>
      </c>
      <c r="J37" s="4">
        <v>2.2400000000000002</v>
      </c>
      <c r="K37" s="4">
        <f t="shared" si="5"/>
        <v>4.4800000000000004</v>
      </c>
    </row>
    <row r="38" spans="1:11" x14ac:dyDescent="0.3">
      <c r="E38" s="9">
        <f>SUM(E32:E37)</f>
        <v>118.27833</v>
      </c>
      <c r="H38" s="4" t="s">
        <v>34</v>
      </c>
      <c r="I38" s="4"/>
      <c r="J38" s="4"/>
      <c r="K38" s="8">
        <f t="shared" si="5"/>
        <v>0</v>
      </c>
    </row>
    <row r="39" spans="1:11" x14ac:dyDescent="0.3">
      <c r="B39" s="4" t="s">
        <v>37</v>
      </c>
      <c r="C39">
        <v>20</v>
      </c>
      <c r="D39">
        <v>1.41</v>
      </c>
      <c r="E39" s="8">
        <f>C39*D39</f>
        <v>28.2</v>
      </c>
      <c r="H39" s="4" t="s">
        <v>35</v>
      </c>
      <c r="I39" s="4">
        <v>4</v>
      </c>
      <c r="J39" s="4">
        <v>1.89</v>
      </c>
      <c r="K39" s="8">
        <f t="shared" si="5"/>
        <v>7.56</v>
      </c>
    </row>
    <row r="40" spans="1:11" x14ac:dyDescent="0.3">
      <c r="E40" s="8">
        <f>SUM(E38:E39)</f>
        <v>146.47833</v>
      </c>
      <c r="H40" s="4" t="s">
        <v>36</v>
      </c>
      <c r="I40" s="4">
        <v>4</v>
      </c>
      <c r="J40" s="4">
        <v>0.24</v>
      </c>
      <c r="K40" s="8">
        <f t="shared" si="5"/>
        <v>0.96</v>
      </c>
    </row>
    <row r="41" spans="1:11" x14ac:dyDescent="0.3">
      <c r="K41" s="8">
        <f>SUM(K33:K40)</f>
        <v>214.97575000000001</v>
      </c>
    </row>
    <row r="42" spans="1:11" x14ac:dyDescent="0.3">
      <c r="H42" s="4" t="s">
        <v>37</v>
      </c>
      <c r="I42">
        <v>63.9</v>
      </c>
      <c r="K42" s="8">
        <v>63.9</v>
      </c>
    </row>
    <row r="43" spans="1:11" x14ac:dyDescent="0.3">
      <c r="C43" s="4" t="s">
        <v>28</v>
      </c>
      <c r="D43" s="4" t="s">
        <v>29</v>
      </c>
      <c r="E43" s="4" t="s">
        <v>30</v>
      </c>
      <c r="K43" s="8">
        <f>SUM(K41:K42)</f>
        <v>278.87574999999998</v>
      </c>
    </row>
    <row r="44" spans="1:11" x14ac:dyDescent="0.3">
      <c r="A44" t="s">
        <v>105</v>
      </c>
      <c r="B44" s="4" t="s">
        <v>32</v>
      </c>
      <c r="C44" s="4">
        <v>2.028</v>
      </c>
      <c r="D44" s="4">
        <v>19.38</v>
      </c>
      <c r="E44" s="8">
        <f t="shared" ref="E44:E49" si="6">C44*D44</f>
        <v>39.302639999999997</v>
      </c>
    </row>
    <row r="45" spans="1:11" x14ac:dyDescent="0.3">
      <c r="A45" t="s">
        <v>53</v>
      </c>
      <c r="B45" s="4" t="s">
        <v>33</v>
      </c>
      <c r="C45" s="4">
        <v>8.673</v>
      </c>
      <c r="D45" s="4">
        <v>9.83</v>
      </c>
      <c r="E45" s="8">
        <f t="shared" si="6"/>
        <v>85.255589999999998</v>
      </c>
    </row>
    <row r="46" spans="1:11" x14ac:dyDescent="0.3">
      <c r="B46" s="4" t="s">
        <v>86</v>
      </c>
      <c r="C46" s="4">
        <v>2</v>
      </c>
      <c r="D46" s="4">
        <v>1.86</v>
      </c>
      <c r="E46" s="8">
        <f t="shared" si="6"/>
        <v>3.72</v>
      </c>
      <c r="I46" s="4" t="s">
        <v>28</v>
      </c>
      <c r="J46" s="4" t="s">
        <v>29</v>
      </c>
      <c r="K46" s="4" t="s">
        <v>30</v>
      </c>
    </row>
    <row r="47" spans="1:11" x14ac:dyDescent="0.3">
      <c r="B47" s="4" t="s">
        <v>34</v>
      </c>
      <c r="C47" s="4">
        <v>0.3</v>
      </c>
      <c r="D47" s="4"/>
      <c r="E47" s="8">
        <f t="shared" si="6"/>
        <v>0</v>
      </c>
      <c r="G47" t="s">
        <v>105</v>
      </c>
      <c r="H47" s="4" t="s">
        <v>32</v>
      </c>
      <c r="I47" s="4">
        <v>2.028</v>
      </c>
      <c r="J47" s="4">
        <v>30.59</v>
      </c>
      <c r="K47" s="8">
        <f t="shared" ref="K47:K54" si="7">I47*J47</f>
        <v>62.036520000000003</v>
      </c>
    </row>
    <row r="48" spans="1:11" x14ac:dyDescent="0.3">
      <c r="B48" s="4" t="s">
        <v>35</v>
      </c>
      <c r="C48" s="4">
        <v>4</v>
      </c>
      <c r="D48" s="4">
        <v>1.89</v>
      </c>
      <c r="E48" s="8">
        <f t="shared" si="6"/>
        <v>7.56</v>
      </c>
      <c r="G48" t="s">
        <v>53</v>
      </c>
      <c r="H48" s="4" t="s">
        <v>33</v>
      </c>
      <c r="I48" s="4">
        <v>8.673</v>
      </c>
      <c r="J48" s="4">
        <v>9.83</v>
      </c>
      <c r="K48" s="8">
        <f t="shared" si="7"/>
        <v>85.255589999999998</v>
      </c>
    </row>
    <row r="49" spans="1:11" x14ac:dyDescent="0.3">
      <c r="B49" s="4" t="s">
        <v>36</v>
      </c>
      <c r="C49" s="4">
        <v>4</v>
      </c>
      <c r="D49" s="4">
        <v>0.24</v>
      </c>
      <c r="E49" s="8">
        <f t="shared" si="6"/>
        <v>0.96</v>
      </c>
      <c r="G49" t="s">
        <v>56</v>
      </c>
      <c r="H49" s="4" t="s">
        <v>33</v>
      </c>
      <c r="I49" s="4">
        <v>8.83</v>
      </c>
      <c r="J49" s="4">
        <v>9.83</v>
      </c>
      <c r="K49" s="8">
        <f t="shared" si="7"/>
        <v>86.798900000000003</v>
      </c>
    </row>
    <row r="50" spans="1:11" x14ac:dyDescent="0.3">
      <c r="E50" s="9">
        <f>SUM(E44:E49)</f>
        <v>136.79823000000002</v>
      </c>
      <c r="H50" s="4" t="s">
        <v>86</v>
      </c>
      <c r="I50" s="4">
        <v>2</v>
      </c>
      <c r="J50" s="4">
        <v>1.86</v>
      </c>
      <c r="K50" s="8">
        <f t="shared" si="7"/>
        <v>3.72</v>
      </c>
    </row>
    <row r="51" spans="1:11" x14ac:dyDescent="0.3">
      <c r="B51" s="4" t="s">
        <v>37</v>
      </c>
      <c r="C51">
        <v>20</v>
      </c>
      <c r="D51">
        <v>1.41</v>
      </c>
      <c r="E51" s="8">
        <f>C51*D51</f>
        <v>28.2</v>
      </c>
      <c r="H51" s="4" t="s">
        <v>98</v>
      </c>
      <c r="I51" s="4">
        <v>2</v>
      </c>
      <c r="J51" s="4">
        <v>3.8</v>
      </c>
      <c r="K51" s="4">
        <f t="shared" si="7"/>
        <v>7.6</v>
      </c>
    </row>
    <row r="52" spans="1:11" x14ac:dyDescent="0.3">
      <c r="E52" s="8">
        <f>SUM(E50:E51)</f>
        <v>164.99823000000001</v>
      </c>
      <c r="H52" s="4" t="s">
        <v>34</v>
      </c>
      <c r="I52" s="4">
        <v>0.3</v>
      </c>
      <c r="J52" s="4">
        <v>12.43</v>
      </c>
      <c r="K52" s="8">
        <f t="shared" si="7"/>
        <v>3.7289999999999996</v>
      </c>
    </row>
    <row r="53" spans="1:11" x14ac:dyDescent="0.3">
      <c r="H53" s="4" t="s">
        <v>35</v>
      </c>
      <c r="I53" s="4">
        <v>4</v>
      </c>
      <c r="J53" s="4">
        <v>1.89</v>
      </c>
      <c r="K53" s="8">
        <f t="shared" si="7"/>
        <v>7.56</v>
      </c>
    </row>
    <row r="54" spans="1:11" x14ac:dyDescent="0.3">
      <c r="H54" s="4" t="s">
        <v>36</v>
      </c>
      <c r="I54" s="4">
        <v>4</v>
      </c>
      <c r="J54" s="4">
        <v>0.24</v>
      </c>
      <c r="K54" s="8">
        <f t="shared" si="7"/>
        <v>0.96</v>
      </c>
    </row>
    <row r="55" spans="1:11" x14ac:dyDescent="0.3">
      <c r="K55" s="8">
        <f>SUM(K47:K54)</f>
        <v>257.66001</v>
      </c>
    </row>
    <row r="56" spans="1:11" x14ac:dyDescent="0.3">
      <c r="C56" s="4" t="s">
        <v>28</v>
      </c>
      <c r="D56" s="4" t="s">
        <v>29</v>
      </c>
      <c r="E56" s="4" t="s">
        <v>30</v>
      </c>
      <c r="H56" s="4" t="s">
        <v>37</v>
      </c>
      <c r="I56">
        <v>63.9</v>
      </c>
      <c r="K56" s="8">
        <v>63.9</v>
      </c>
    </row>
    <row r="57" spans="1:11" x14ac:dyDescent="0.3">
      <c r="A57" t="s">
        <v>106</v>
      </c>
      <c r="B57" s="4" t="s">
        <v>32</v>
      </c>
      <c r="C57" s="4">
        <v>2.238</v>
      </c>
      <c r="D57" s="4">
        <v>19.38</v>
      </c>
      <c r="E57" s="8">
        <f t="shared" ref="E57:E62" si="8">C57*D57</f>
        <v>43.372439999999997</v>
      </c>
      <c r="K57" s="8">
        <f>SUM(K55:K56)</f>
        <v>321.56000999999998</v>
      </c>
    </row>
    <row r="58" spans="1:11" x14ac:dyDescent="0.3">
      <c r="A58" t="s">
        <v>53</v>
      </c>
      <c r="B58" s="4" t="s">
        <v>33</v>
      </c>
      <c r="C58" s="4">
        <v>10.143000000000001</v>
      </c>
      <c r="D58" s="4">
        <v>9.83</v>
      </c>
      <c r="E58" s="8">
        <f t="shared" si="8"/>
        <v>99.705690000000004</v>
      </c>
    </row>
    <row r="59" spans="1:11" x14ac:dyDescent="0.3">
      <c r="B59" s="4" t="s">
        <v>86</v>
      </c>
      <c r="C59" s="4">
        <v>2</v>
      </c>
      <c r="D59" s="4">
        <v>1.86</v>
      </c>
      <c r="E59" s="8">
        <f t="shared" si="8"/>
        <v>3.72</v>
      </c>
    </row>
    <row r="60" spans="1:11" x14ac:dyDescent="0.3">
      <c r="B60" s="4" t="s">
        <v>34</v>
      </c>
      <c r="C60" s="4">
        <v>0.3</v>
      </c>
      <c r="D60" s="4">
        <v>13.67</v>
      </c>
      <c r="E60" s="8">
        <f t="shared" si="8"/>
        <v>4.101</v>
      </c>
      <c r="I60" s="4" t="s">
        <v>28</v>
      </c>
      <c r="J60" s="4" t="s">
        <v>29</v>
      </c>
      <c r="K60" s="4" t="s">
        <v>30</v>
      </c>
    </row>
    <row r="61" spans="1:11" x14ac:dyDescent="0.3">
      <c r="B61" s="4" t="s">
        <v>35</v>
      </c>
      <c r="C61" s="4">
        <v>4</v>
      </c>
      <c r="D61" s="4">
        <v>1.89</v>
      </c>
      <c r="E61" s="8">
        <f t="shared" si="8"/>
        <v>7.56</v>
      </c>
      <c r="G61" t="s">
        <v>106</v>
      </c>
      <c r="H61" s="4" t="s">
        <v>32</v>
      </c>
      <c r="I61" s="4">
        <v>2.238</v>
      </c>
      <c r="J61" s="4">
        <v>30.59</v>
      </c>
      <c r="K61" s="8">
        <f t="shared" ref="K61:K68" si="9">I61*J61</f>
        <v>68.460419999999999</v>
      </c>
    </row>
    <row r="62" spans="1:11" x14ac:dyDescent="0.3">
      <c r="B62" s="4" t="s">
        <v>36</v>
      </c>
      <c r="C62" s="4">
        <v>4</v>
      </c>
      <c r="D62" s="4">
        <v>0.24</v>
      </c>
      <c r="E62" s="8">
        <f t="shared" si="8"/>
        <v>0.96</v>
      </c>
      <c r="G62" t="s">
        <v>53</v>
      </c>
      <c r="H62" s="4" t="s">
        <v>33</v>
      </c>
      <c r="I62" s="4">
        <v>10.143000000000001</v>
      </c>
      <c r="J62" s="4">
        <v>9.83</v>
      </c>
      <c r="K62" s="8">
        <f t="shared" si="9"/>
        <v>99.705690000000004</v>
      </c>
    </row>
    <row r="63" spans="1:11" x14ac:dyDescent="0.3">
      <c r="E63" s="9">
        <f>SUM(E57:E62)</f>
        <v>159.41913</v>
      </c>
      <c r="G63" t="s">
        <v>57</v>
      </c>
      <c r="H63" s="4" t="s">
        <v>33</v>
      </c>
      <c r="I63" s="4">
        <v>10.353</v>
      </c>
      <c r="J63" s="4">
        <v>9.83</v>
      </c>
      <c r="K63" s="8">
        <f t="shared" si="9"/>
        <v>101.76998999999999</v>
      </c>
    </row>
    <row r="64" spans="1:11" x14ac:dyDescent="0.3">
      <c r="B64" s="4" t="s">
        <v>37</v>
      </c>
      <c r="C64">
        <v>20</v>
      </c>
      <c r="D64">
        <v>1.41</v>
      </c>
      <c r="E64" s="8">
        <f>C64*D64</f>
        <v>28.2</v>
      </c>
      <c r="H64" s="4" t="s">
        <v>86</v>
      </c>
      <c r="I64" s="4">
        <v>2</v>
      </c>
      <c r="J64" s="4">
        <v>1.86</v>
      </c>
      <c r="K64" s="8">
        <f t="shared" si="9"/>
        <v>3.72</v>
      </c>
    </row>
    <row r="65" spans="1:11" x14ac:dyDescent="0.3">
      <c r="E65" s="8">
        <f>SUM(E63:E64)</f>
        <v>187.61912999999998</v>
      </c>
      <c r="H65" s="4" t="s">
        <v>99</v>
      </c>
      <c r="I65" s="4">
        <v>2</v>
      </c>
      <c r="J65" s="4">
        <v>3.84</v>
      </c>
      <c r="K65" s="4">
        <f t="shared" si="9"/>
        <v>7.68</v>
      </c>
    </row>
    <row r="66" spans="1:11" x14ac:dyDescent="0.3">
      <c r="H66" s="4" t="s">
        <v>34</v>
      </c>
      <c r="I66" s="4">
        <v>0.3</v>
      </c>
      <c r="J66" s="4">
        <v>12.43</v>
      </c>
      <c r="K66" s="8">
        <f t="shared" si="9"/>
        <v>3.7289999999999996</v>
      </c>
    </row>
    <row r="67" spans="1:11" x14ac:dyDescent="0.3">
      <c r="H67" s="4" t="s">
        <v>35</v>
      </c>
      <c r="I67" s="4">
        <v>4</v>
      </c>
      <c r="J67" s="4">
        <v>1.89</v>
      </c>
      <c r="K67" s="8">
        <f t="shared" si="9"/>
        <v>7.56</v>
      </c>
    </row>
    <row r="68" spans="1:11" x14ac:dyDescent="0.3">
      <c r="C68" s="4" t="s">
        <v>28</v>
      </c>
      <c r="D68" s="4" t="s">
        <v>29</v>
      </c>
      <c r="E68" s="4" t="s">
        <v>30</v>
      </c>
      <c r="H68" s="4" t="s">
        <v>36</v>
      </c>
      <c r="I68" s="4">
        <v>4</v>
      </c>
      <c r="J68" s="4">
        <v>0.24</v>
      </c>
      <c r="K68" s="8">
        <f t="shared" si="9"/>
        <v>0.96</v>
      </c>
    </row>
    <row r="69" spans="1:11" x14ac:dyDescent="0.3">
      <c r="A69" t="s">
        <v>107</v>
      </c>
      <c r="B69" s="4" t="s">
        <v>32</v>
      </c>
      <c r="C69" s="4">
        <v>2.448</v>
      </c>
      <c r="D69" s="4">
        <v>19.38</v>
      </c>
      <c r="E69" s="8">
        <f t="shared" ref="E69:E74" si="10">C69*D69</f>
        <v>47.442239999999998</v>
      </c>
      <c r="K69" s="8">
        <f>SUM(K61:K68)</f>
        <v>293.58510000000001</v>
      </c>
    </row>
    <row r="70" spans="1:11" x14ac:dyDescent="0.3">
      <c r="A70" t="s">
        <v>53</v>
      </c>
      <c r="B70" s="4" t="s">
        <v>33</v>
      </c>
      <c r="C70" s="4">
        <v>11.613</v>
      </c>
      <c r="D70" s="4">
        <v>9.83</v>
      </c>
      <c r="E70" s="8">
        <f t="shared" si="10"/>
        <v>114.15579</v>
      </c>
      <c r="H70" s="4" t="s">
        <v>37</v>
      </c>
      <c r="I70">
        <v>35</v>
      </c>
      <c r="J70">
        <v>1.41</v>
      </c>
      <c r="K70" s="8">
        <f>I70*J70</f>
        <v>49.349999999999994</v>
      </c>
    </row>
    <row r="71" spans="1:11" x14ac:dyDescent="0.3">
      <c r="B71" s="4" t="s">
        <v>86</v>
      </c>
      <c r="C71" s="4">
        <v>2</v>
      </c>
      <c r="D71" s="4">
        <v>1.86</v>
      </c>
      <c r="E71" s="8">
        <f t="shared" si="10"/>
        <v>3.72</v>
      </c>
      <c r="K71" s="8">
        <f>SUM(K69:K70)</f>
        <v>342.93510000000003</v>
      </c>
    </row>
    <row r="72" spans="1:11" x14ac:dyDescent="0.3">
      <c r="B72" s="4" t="s">
        <v>34</v>
      </c>
      <c r="C72" s="4">
        <v>0.3</v>
      </c>
      <c r="D72" s="4">
        <v>13.67</v>
      </c>
      <c r="E72" s="8">
        <f t="shared" si="10"/>
        <v>4.101</v>
      </c>
    </row>
    <row r="73" spans="1:11" x14ac:dyDescent="0.3">
      <c r="B73" s="4" t="s">
        <v>35</v>
      </c>
      <c r="C73" s="4">
        <v>4</v>
      </c>
      <c r="D73" s="4">
        <v>1.89</v>
      </c>
      <c r="E73" s="8">
        <f t="shared" si="10"/>
        <v>7.56</v>
      </c>
    </row>
    <row r="74" spans="1:11" x14ac:dyDescent="0.3">
      <c r="B74" s="4" t="s">
        <v>36</v>
      </c>
      <c r="C74" s="4">
        <v>4</v>
      </c>
      <c r="D74" s="4">
        <v>0.24</v>
      </c>
      <c r="E74" s="8">
        <f t="shared" si="10"/>
        <v>0.96</v>
      </c>
      <c r="I74" s="4" t="s">
        <v>28</v>
      </c>
      <c r="J74" s="4" t="s">
        <v>29</v>
      </c>
      <c r="K74" s="4" t="s">
        <v>30</v>
      </c>
    </row>
    <row r="75" spans="1:11" x14ac:dyDescent="0.3">
      <c r="E75" s="9">
        <f>SUM(E69:E74)</f>
        <v>177.93903</v>
      </c>
      <c r="G75" t="s">
        <v>107</v>
      </c>
      <c r="H75" s="4" t="s">
        <v>32</v>
      </c>
      <c r="I75" s="4">
        <v>2.448</v>
      </c>
      <c r="J75" s="4">
        <v>30.59</v>
      </c>
      <c r="K75" s="8">
        <f t="shared" ref="K75:K82" si="11">I75*J75</f>
        <v>74.884320000000002</v>
      </c>
    </row>
    <row r="76" spans="1:11" x14ac:dyDescent="0.3">
      <c r="B76" s="4" t="s">
        <v>37</v>
      </c>
      <c r="C76">
        <v>25</v>
      </c>
      <c r="D76">
        <v>1.41</v>
      </c>
      <c r="E76" s="8">
        <f>C76*D76</f>
        <v>35.25</v>
      </c>
      <c r="G76" t="s">
        <v>53</v>
      </c>
      <c r="H76" s="4" t="s">
        <v>33</v>
      </c>
      <c r="I76" s="4">
        <v>11.613</v>
      </c>
      <c r="J76" s="4">
        <v>9.83</v>
      </c>
      <c r="K76" s="8">
        <f t="shared" si="11"/>
        <v>114.15579</v>
      </c>
    </row>
    <row r="77" spans="1:11" x14ac:dyDescent="0.3">
      <c r="E77" s="8">
        <f>SUM(E75:E76)</f>
        <v>213.18903</v>
      </c>
      <c r="G77" t="s">
        <v>58</v>
      </c>
      <c r="H77" s="4" t="s">
        <v>33</v>
      </c>
      <c r="I77" s="4">
        <v>11.875</v>
      </c>
      <c r="J77" s="4">
        <v>9.83</v>
      </c>
      <c r="K77" s="8">
        <f t="shared" si="11"/>
        <v>116.73125</v>
      </c>
    </row>
    <row r="78" spans="1:11" x14ac:dyDescent="0.3">
      <c r="H78" s="4" t="s">
        <v>86</v>
      </c>
      <c r="I78" s="4">
        <v>2</v>
      </c>
      <c r="J78" s="4">
        <v>1.86</v>
      </c>
      <c r="K78" s="8">
        <f t="shared" si="11"/>
        <v>3.72</v>
      </c>
    </row>
    <row r="79" spans="1:11" x14ac:dyDescent="0.3">
      <c r="C79" s="4" t="s">
        <v>28</v>
      </c>
      <c r="D79" s="4" t="s">
        <v>29</v>
      </c>
      <c r="E79" s="4" t="s">
        <v>30</v>
      </c>
      <c r="H79" s="4" t="s">
        <v>92</v>
      </c>
      <c r="I79" s="4">
        <v>2</v>
      </c>
      <c r="J79" s="4">
        <v>4</v>
      </c>
      <c r="K79" s="4">
        <f t="shared" si="11"/>
        <v>8</v>
      </c>
    </row>
    <row r="80" spans="1:11" x14ac:dyDescent="0.3">
      <c r="A80" t="s">
        <v>108</v>
      </c>
      <c r="B80" s="4" t="s">
        <v>32</v>
      </c>
      <c r="C80" s="4">
        <v>2.6579999999999999</v>
      </c>
      <c r="D80" s="4">
        <v>19.38</v>
      </c>
      <c r="E80" s="8">
        <f t="shared" ref="E80:E85" si="12">C80*D80</f>
        <v>51.512039999999999</v>
      </c>
      <c r="H80" s="4" t="s">
        <v>34</v>
      </c>
      <c r="I80" s="4">
        <v>0.3</v>
      </c>
      <c r="J80" s="4">
        <v>12.43</v>
      </c>
      <c r="K80" s="8">
        <f t="shared" si="11"/>
        <v>3.7289999999999996</v>
      </c>
    </row>
    <row r="81" spans="1:11" x14ac:dyDescent="0.3">
      <c r="A81" t="s">
        <v>53</v>
      </c>
      <c r="B81" s="4" t="s">
        <v>33</v>
      </c>
      <c r="C81" s="4">
        <v>13.083</v>
      </c>
      <c r="D81" s="4">
        <v>9.83</v>
      </c>
      <c r="E81" s="8">
        <f t="shared" si="12"/>
        <v>128.60589000000002</v>
      </c>
      <c r="H81" s="4" t="s">
        <v>35</v>
      </c>
      <c r="I81" s="4">
        <v>4</v>
      </c>
      <c r="J81" s="4">
        <v>1.89</v>
      </c>
      <c r="K81" s="8">
        <f t="shared" si="11"/>
        <v>7.56</v>
      </c>
    </row>
    <row r="82" spans="1:11" x14ac:dyDescent="0.3">
      <c r="B82" s="4" t="s">
        <v>86</v>
      </c>
      <c r="C82" s="4">
        <v>2</v>
      </c>
      <c r="D82" s="4">
        <v>1.86</v>
      </c>
      <c r="E82" s="8">
        <f t="shared" si="12"/>
        <v>3.72</v>
      </c>
      <c r="H82" s="4" t="s">
        <v>36</v>
      </c>
      <c r="I82" s="4">
        <v>4</v>
      </c>
      <c r="J82" s="4">
        <v>0.24</v>
      </c>
      <c r="K82" s="8">
        <f t="shared" si="11"/>
        <v>0.96</v>
      </c>
    </row>
    <row r="83" spans="1:11" x14ac:dyDescent="0.3">
      <c r="B83" s="4" t="s">
        <v>34</v>
      </c>
      <c r="C83" s="4">
        <v>0.3</v>
      </c>
      <c r="D83" s="4">
        <v>13.67</v>
      </c>
      <c r="E83" s="8">
        <f t="shared" si="12"/>
        <v>4.101</v>
      </c>
      <c r="K83" s="8">
        <f>SUM(K75:K82)</f>
        <v>329.74036000000001</v>
      </c>
    </row>
    <row r="84" spans="1:11" x14ac:dyDescent="0.3">
      <c r="B84" s="4" t="s">
        <v>35</v>
      </c>
      <c r="C84" s="4">
        <v>4</v>
      </c>
      <c r="D84" s="4">
        <v>1.89</v>
      </c>
      <c r="E84" s="8">
        <f t="shared" si="12"/>
        <v>7.56</v>
      </c>
      <c r="H84" s="4" t="s">
        <v>37</v>
      </c>
      <c r="I84">
        <v>63.9</v>
      </c>
      <c r="J84">
        <v>63.9</v>
      </c>
      <c r="K84" s="8">
        <v>63.9</v>
      </c>
    </row>
    <row r="85" spans="1:11" x14ac:dyDescent="0.3">
      <c r="B85" s="4" t="s">
        <v>36</v>
      </c>
      <c r="C85" s="4">
        <v>4</v>
      </c>
      <c r="D85" s="4">
        <v>0.24</v>
      </c>
      <c r="E85" s="8">
        <f t="shared" si="12"/>
        <v>0.96</v>
      </c>
      <c r="K85" s="8">
        <f>SUM(K83:K84)</f>
        <v>393.64035999999999</v>
      </c>
    </row>
    <row r="86" spans="1:11" x14ac:dyDescent="0.3">
      <c r="E86" s="9">
        <f>SUM(E80:E85)</f>
        <v>196.45893000000001</v>
      </c>
    </row>
    <row r="87" spans="1:11" x14ac:dyDescent="0.3">
      <c r="B87" s="4" t="s">
        <v>37</v>
      </c>
      <c r="C87">
        <v>25</v>
      </c>
      <c r="D87">
        <v>1.41</v>
      </c>
      <c r="E87" s="8">
        <f>C87*D87</f>
        <v>35.25</v>
      </c>
      <c r="I87" s="4" t="s">
        <v>28</v>
      </c>
      <c r="J87" s="4" t="s">
        <v>29</v>
      </c>
      <c r="K87" s="4" t="s">
        <v>30</v>
      </c>
    </row>
    <row r="88" spans="1:11" x14ac:dyDescent="0.3">
      <c r="E88" s="8">
        <f>SUM(E86:E87)</f>
        <v>231.70893000000001</v>
      </c>
      <c r="G88" t="s">
        <v>108</v>
      </c>
      <c r="H88" s="4" t="s">
        <v>32</v>
      </c>
      <c r="I88" s="4">
        <v>2.6579999999999999</v>
      </c>
      <c r="J88" s="4">
        <v>30.59</v>
      </c>
      <c r="K88" s="8">
        <f t="shared" ref="K88:K95" si="13">I88*J88</f>
        <v>81.308219999999992</v>
      </c>
    </row>
    <row r="89" spans="1:11" x14ac:dyDescent="0.3">
      <c r="G89" t="s">
        <v>53</v>
      </c>
      <c r="H89" s="4" t="s">
        <v>33</v>
      </c>
      <c r="I89" s="4">
        <v>13.083</v>
      </c>
      <c r="J89" s="4">
        <v>9.83</v>
      </c>
      <c r="K89" s="8">
        <f t="shared" si="13"/>
        <v>128.60589000000002</v>
      </c>
    </row>
    <row r="90" spans="1:11" x14ac:dyDescent="0.3">
      <c r="C90" s="4" t="s">
        <v>28</v>
      </c>
      <c r="D90" s="4" t="s">
        <v>29</v>
      </c>
      <c r="E90" s="4" t="s">
        <v>30</v>
      </c>
      <c r="G90" t="s">
        <v>114</v>
      </c>
      <c r="H90" s="4" t="s">
        <v>33</v>
      </c>
      <c r="I90" s="4">
        <v>13.398</v>
      </c>
      <c r="J90" s="4">
        <v>9.83</v>
      </c>
      <c r="K90" s="8">
        <f t="shared" si="13"/>
        <v>131.70233999999999</v>
      </c>
    </row>
    <row r="91" spans="1:11" x14ac:dyDescent="0.3">
      <c r="A91" t="s">
        <v>109</v>
      </c>
      <c r="B91" s="4" t="s">
        <v>32</v>
      </c>
      <c r="C91" s="4">
        <v>2.8679999999999999</v>
      </c>
      <c r="D91" s="4">
        <v>19.38</v>
      </c>
      <c r="E91" s="8">
        <f t="shared" ref="E91:E96" si="14">C91*D91</f>
        <v>55.581839999999993</v>
      </c>
      <c r="H91" s="4" t="s">
        <v>86</v>
      </c>
      <c r="I91" s="4">
        <v>2</v>
      </c>
      <c r="J91" s="4">
        <v>1.86</v>
      </c>
      <c r="K91" s="8">
        <f t="shared" si="13"/>
        <v>3.72</v>
      </c>
    </row>
    <row r="92" spans="1:11" x14ac:dyDescent="0.3">
      <c r="A92" t="s">
        <v>53</v>
      </c>
      <c r="B92" s="4" t="s">
        <v>33</v>
      </c>
      <c r="C92" s="4">
        <v>14.553000000000001</v>
      </c>
      <c r="D92" s="4">
        <v>9.83</v>
      </c>
      <c r="E92" s="8">
        <f t="shared" si="14"/>
        <v>143.05599000000001</v>
      </c>
      <c r="H92" s="4" t="s">
        <v>115</v>
      </c>
      <c r="I92" s="4">
        <v>2</v>
      </c>
      <c r="J92" s="4">
        <v>4.3</v>
      </c>
      <c r="K92" s="4">
        <f t="shared" si="13"/>
        <v>8.6</v>
      </c>
    </row>
    <row r="93" spans="1:11" x14ac:dyDescent="0.3">
      <c r="B93" s="4" t="s">
        <v>86</v>
      </c>
      <c r="C93" s="4">
        <v>2</v>
      </c>
      <c r="D93" s="4">
        <v>1.86</v>
      </c>
      <c r="E93" s="8">
        <f t="shared" si="14"/>
        <v>3.72</v>
      </c>
      <c r="H93" s="4" t="s">
        <v>34</v>
      </c>
      <c r="I93" s="4">
        <v>0.3</v>
      </c>
      <c r="J93" s="4">
        <v>12.43</v>
      </c>
      <c r="K93" s="8">
        <f t="shared" si="13"/>
        <v>3.7289999999999996</v>
      </c>
    </row>
    <row r="94" spans="1:11" x14ac:dyDescent="0.3">
      <c r="B94" s="4" t="s">
        <v>34</v>
      </c>
      <c r="C94" s="4">
        <v>0.3</v>
      </c>
      <c r="D94" s="4">
        <v>13.67</v>
      </c>
      <c r="E94" s="8">
        <f t="shared" si="14"/>
        <v>4.101</v>
      </c>
      <c r="H94" s="4" t="s">
        <v>35</v>
      </c>
      <c r="I94" s="4">
        <v>4</v>
      </c>
      <c r="J94" s="4">
        <v>1.89</v>
      </c>
      <c r="K94" s="8">
        <f t="shared" si="13"/>
        <v>7.56</v>
      </c>
    </row>
    <row r="95" spans="1:11" x14ac:dyDescent="0.3">
      <c r="B95" s="4" t="s">
        <v>35</v>
      </c>
      <c r="C95" s="4">
        <v>4</v>
      </c>
      <c r="D95" s="4">
        <v>1.89</v>
      </c>
      <c r="E95" s="8">
        <f t="shared" si="14"/>
        <v>7.56</v>
      </c>
      <c r="H95" s="4" t="s">
        <v>36</v>
      </c>
      <c r="I95" s="4">
        <v>4</v>
      </c>
      <c r="J95" s="4">
        <v>0.24</v>
      </c>
      <c r="K95" s="8">
        <f t="shared" si="13"/>
        <v>0.96</v>
      </c>
    </row>
    <row r="96" spans="1:11" x14ac:dyDescent="0.3">
      <c r="B96" s="4" t="s">
        <v>36</v>
      </c>
      <c r="C96" s="4">
        <v>4</v>
      </c>
      <c r="D96" s="4">
        <v>0.24</v>
      </c>
      <c r="E96" s="8">
        <f t="shared" si="14"/>
        <v>0.96</v>
      </c>
      <c r="K96" s="9">
        <f>SUM(K88:K95)</f>
        <v>366.18545</v>
      </c>
    </row>
    <row r="97" spans="1:11" x14ac:dyDescent="0.3">
      <c r="E97" s="9">
        <f>SUM(E91:E96)</f>
        <v>214.97883000000002</v>
      </c>
      <c r="H97" s="4" t="s">
        <v>37</v>
      </c>
      <c r="I97">
        <v>35</v>
      </c>
      <c r="J97">
        <v>1.41</v>
      </c>
      <c r="K97" s="8">
        <f>I97*J97</f>
        <v>49.349999999999994</v>
      </c>
    </row>
    <row r="98" spans="1:11" x14ac:dyDescent="0.3">
      <c r="B98" s="4" t="s">
        <v>37</v>
      </c>
      <c r="C98">
        <v>40</v>
      </c>
      <c r="D98">
        <v>1.41</v>
      </c>
      <c r="E98" s="8">
        <f>C98*D98</f>
        <v>56.4</v>
      </c>
      <c r="K98" s="8">
        <f>SUM(K96:K97)</f>
        <v>415.53544999999997</v>
      </c>
    </row>
    <row r="99" spans="1:11" x14ac:dyDescent="0.3">
      <c r="E99" s="8">
        <f>SUM(E97:E98)</f>
        <v>271.37882999999999</v>
      </c>
    </row>
    <row r="100" spans="1:11" x14ac:dyDescent="0.3">
      <c r="I100" s="4" t="s">
        <v>28</v>
      </c>
      <c r="J100" s="4" t="s">
        <v>29</v>
      </c>
      <c r="K100" s="4" t="s">
        <v>30</v>
      </c>
    </row>
    <row r="101" spans="1:11" x14ac:dyDescent="0.3">
      <c r="C101" s="4" t="s">
        <v>28</v>
      </c>
      <c r="D101" s="4" t="s">
        <v>29</v>
      </c>
      <c r="E101" s="4" t="s">
        <v>30</v>
      </c>
      <c r="G101" t="s">
        <v>109</v>
      </c>
      <c r="H101" s="4" t="s">
        <v>32</v>
      </c>
      <c r="I101" s="4">
        <v>2.8679999999999999</v>
      </c>
      <c r="J101" s="4">
        <v>30.59</v>
      </c>
      <c r="K101" s="8">
        <f t="shared" ref="K101:K108" si="15">I101*J101</f>
        <v>87.732119999999995</v>
      </c>
    </row>
    <row r="102" spans="1:11" x14ac:dyDescent="0.3">
      <c r="A102" t="s">
        <v>110</v>
      </c>
      <c r="B102" s="4" t="s">
        <v>32</v>
      </c>
      <c r="C102" s="4">
        <v>3.2879999999999998</v>
      </c>
      <c r="D102" s="4">
        <v>19.38</v>
      </c>
      <c r="E102" s="8">
        <f t="shared" ref="E102:E107" si="16">C102*D102</f>
        <v>63.721439999999994</v>
      </c>
      <c r="G102" t="s">
        <v>53</v>
      </c>
      <c r="H102" s="4" t="s">
        <v>33</v>
      </c>
      <c r="I102" s="4">
        <v>14.553000000000001</v>
      </c>
      <c r="J102" s="4">
        <v>9.83</v>
      </c>
      <c r="K102" s="8">
        <f t="shared" si="15"/>
        <v>143.05599000000001</v>
      </c>
    </row>
    <row r="103" spans="1:11" x14ac:dyDescent="0.3">
      <c r="A103" t="s">
        <v>53</v>
      </c>
      <c r="B103" s="4" t="s">
        <v>33</v>
      </c>
      <c r="C103" s="4">
        <v>17.492999999999999</v>
      </c>
      <c r="D103" s="4">
        <v>9.83</v>
      </c>
      <c r="E103" s="8">
        <f t="shared" si="16"/>
        <v>171.95618999999999</v>
      </c>
      <c r="G103" t="s">
        <v>60</v>
      </c>
      <c r="H103" s="4" t="s">
        <v>33</v>
      </c>
      <c r="I103" s="4">
        <v>14.92</v>
      </c>
      <c r="J103" s="4">
        <v>9.83</v>
      </c>
      <c r="K103" s="8">
        <f t="shared" si="15"/>
        <v>146.6636</v>
      </c>
    </row>
    <row r="104" spans="1:11" x14ac:dyDescent="0.3">
      <c r="B104" s="4" t="s">
        <v>86</v>
      </c>
      <c r="C104" s="4">
        <v>2</v>
      </c>
      <c r="D104" s="4">
        <v>1.86</v>
      </c>
      <c r="E104" s="8">
        <f t="shared" si="16"/>
        <v>3.72</v>
      </c>
      <c r="H104" s="4" t="s">
        <v>90</v>
      </c>
      <c r="I104" s="4">
        <v>2</v>
      </c>
      <c r="J104" s="4">
        <v>1.86</v>
      </c>
      <c r="K104" s="8">
        <f t="shared" si="15"/>
        <v>3.72</v>
      </c>
    </row>
    <row r="105" spans="1:11" x14ac:dyDescent="0.3">
      <c r="B105" s="4" t="s">
        <v>34</v>
      </c>
      <c r="C105" s="4">
        <v>0.3</v>
      </c>
      <c r="D105" s="4">
        <v>13.67</v>
      </c>
      <c r="E105" s="8">
        <f t="shared" si="16"/>
        <v>4.101</v>
      </c>
      <c r="H105" s="4" t="s">
        <v>100</v>
      </c>
      <c r="I105" s="4">
        <v>2</v>
      </c>
      <c r="J105" s="4">
        <v>4.4800000000000004</v>
      </c>
      <c r="K105" s="4">
        <f t="shared" si="15"/>
        <v>8.9600000000000009</v>
      </c>
    </row>
    <row r="106" spans="1:11" x14ac:dyDescent="0.3">
      <c r="B106" s="4" t="s">
        <v>35</v>
      </c>
      <c r="C106" s="4">
        <v>4</v>
      </c>
      <c r="D106" s="4">
        <v>1.89</v>
      </c>
      <c r="E106" s="8">
        <f t="shared" si="16"/>
        <v>7.56</v>
      </c>
      <c r="H106" s="4" t="s">
        <v>34</v>
      </c>
      <c r="I106" s="4">
        <v>0.3</v>
      </c>
      <c r="J106" s="4">
        <v>12.43</v>
      </c>
      <c r="K106" s="8">
        <f t="shared" si="15"/>
        <v>3.7289999999999996</v>
      </c>
    </row>
    <row r="107" spans="1:11" x14ac:dyDescent="0.3">
      <c r="B107" s="4" t="s">
        <v>36</v>
      </c>
      <c r="C107" s="4">
        <v>4</v>
      </c>
      <c r="D107" s="4">
        <v>0.24</v>
      </c>
      <c r="E107" s="8">
        <f t="shared" si="16"/>
        <v>0.96</v>
      </c>
      <c r="H107" s="4" t="s">
        <v>35</v>
      </c>
      <c r="I107" s="4">
        <v>4</v>
      </c>
      <c r="J107" s="4">
        <v>1.89</v>
      </c>
      <c r="K107" s="8">
        <f t="shared" si="15"/>
        <v>7.56</v>
      </c>
    </row>
    <row r="108" spans="1:11" x14ac:dyDescent="0.3">
      <c r="E108" s="9">
        <f>SUM(E102:E107)</f>
        <v>252.01863</v>
      </c>
      <c r="H108" s="4" t="s">
        <v>36</v>
      </c>
      <c r="I108" s="4">
        <v>4</v>
      </c>
      <c r="J108" s="4">
        <v>0.24</v>
      </c>
      <c r="K108" s="8">
        <f t="shared" si="15"/>
        <v>0.96</v>
      </c>
    </row>
    <row r="109" spans="1:11" x14ac:dyDescent="0.3">
      <c r="B109" s="4" t="s">
        <v>37</v>
      </c>
      <c r="C109">
        <v>40</v>
      </c>
      <c r="D109">
        <v>1.41</v>
      </c>
      <c r="E109" s="8">
        <f>C109*D109</f>
        <v>56.4</v>
      </c>
      <c r="K109" s="9">
        <f>SUM(K101:K108)</f>
        <v>402.38071000000002</v>
      </c>
    </row>
    <row r="110" spans="1:11" x14ac:dyDescent="0.3">
      <c r="E110" s="8">
        <f>SUM(E108:E109)</f>
        <v>308.41863000000001</v>
      </c>
      <c r="H110" s="4" t="s">
        <v>37</v>
      </c>
      <c r="I110">
        <v>40</v>
      </c>
      <c r="J110">
        <v>1.41</v>
      </c>
      <c r="K110" s="8">
        <f>I110*J110</f>
        <v>56.4</v>
      </c>
    </row>
    <row r="111" spans="1:11" x14ac:dyDescent="0.3">
      <c r="K111" s="8">
        <f>SUM(K109:K110)</f>
        <v>458.78071</v>
      </c>
    </row>
    <row r="113" spans="7:11" x14ac:dyDescent="0.3">
      <c r="I113" s="4" t="s">
        <v>28</v>
      </c>
      <c r="J113" s="4" t="s">
        <v>29</v>
      </c>
      <c r="K113" s="4" t="s">
        <v>30</v>
      </c>
    </row>
    <row r="114" spans="7:11" x14ac:dyDescent="0.3">
      <c r="G114" t="s">
        <v>110</v>
      </c>
      <c r="H114" s="4" t="s">
        <v>32</v>
      </c>
      <c r="I114" s="4">
        <v>3.2879999999999998</v>
      </c>
      <c r="J114" s="4">
        <v>30.59</v>
      </c>
      <c r="K114" s="8">
        <f t="shared" ref="K114:K121" si="17">I114*J114</f>
        <v>100.57991999999999</v>
      </c>
    </row>
    <row r="115" spans="7:11" x14ac:dyDescent="0.3">
      <c r="G115" t="s">
        <v>53</v>
      </c>
      <c r="H115" s="4" t="s">
        <v>33</v>
      </c>
      <c r="I115" s="4">
        <v>17.492999999999999</v>
      </c>
      <c r="J115" s="4">
        <v>9.83</v>
      </c>
      <c r="K115" s="8">
        <f t="shared" si="17"/>
        <v>171.95618999999999</v>
      </c>
    </row>
    <row r="116" spans="7:11" x14ac:dyDescent="0.3">
      <c r="G116" t="s">
        <v>61</v>
      </c>
      <c r="H116" s="4" t="s">
        <v>33</v>
      </c>
      <c r="I116" s="4">
        <v>17.965</v>
      </c>
      <c r="J116" s="4">
        <v>9.83</v>
      </c>
      <c r="K116" s="8">
        <f t="shared" si="17"/>
        <v>176.59594999999999</v>
      </c>
    </row>
    <row r="117" spans="7:11" x14ac:dyDescent="0.3">
      <c r="H117" s="4" t="s">
        <v>90</v>
      </c>
      <c r="I117" s="4">
        <v>2</v>
      </c>
      <c r="J117" s="4">
        <v>1.86</v>
      </c>
      <c r="K117" s="8">
        <f t="shared" si="17"/>
        <v>3.72</v>
      </c>
    </row>
    <row r="118" spans="7:11" x14ac:dyDescent="0.3">
      <c r="H118" s="4" t="s">
        <v>101</v>
      </c>
      <c r="I118" s="4">
        <v>6</v>
      </c>
      <c r="J118" s="4">
        <v>1.86</v>
      </c>
      <c r="K118" s="4">
        <f t="shared" si="17"/>
        <v>11.16</v>
      </c>
    </row>
    <row r="119" spans="7:11" x14ac:dyDescent="0.3">
      <c r="H119" s="4" t="s">
        <v>34</v>
      </c>
      <c r="I119" s="4">
        <v>0.6</v>
      </c>
      <c r="J119" s="4">
        <v>12.43</v>
      </c>
      <c r="K119" s="8">
        <f t="shared" si="17"/>
        <v>7.4579999999999993</v>
      </c>
    </row>
    <row r="120" spans="7:11" x14ac:dyDescent="0.3">
      <c r="H120" s="4" t="s">
        <v>35</v>
      </c>
      <c r="I120" s="4">
        <v>4</v>
      </c>
      <c r="J120" s="4">
        <v>1.89</v>
      </c>
      <c r="K120" s="8">
        <f t="shared" si="17"/>
        <v>7.56</v>
      </c>
    </row>
    <row r="121" spans="7:11" x14ac:dyDescent="0.3">
      <c r="H121" s="4" t="s">
        <v>36</v>
      </c>
      <c r="I121" s="4">
        <v>4</v>
      </c>
      <c r="J121" s="4">
        <v>0.24</v>
      </c>
      <c r="K121" s="8">
        <f t="shared" si="17"/>
        <v>0.96</v>
      </c>
    </row>
    <row r="122" spans="7:11" x14ac:dyDescent="0.3">
      <c r="K122" s="9">
        <f>SUM(K114:K121)</f>
        <v>479.99006000000008</v>
      </c>
    </row>
    <row r="123" spans="7:11" x14ac:dyDescent="0.3">
      <c r="H123" s="4" t="s">
        <v>37</v>
      </c>
      <c r="I123">
        <v>40</v>
      </c>
      <c r="J123">
        <v>1.41</v>
      </c>
      <c r="K123" s="8">
        <f>I123*J123</f>
        <v>56.4</v>
      </c>
    </row>
    <row r="124" spans="7:11" x14ac:dyDescent="0.3">
      <c r="K124" s="8">
        <f>SUM(K122:K123)</f>
        <v>536.39006000000006</v>
      </c>
    </row>
  </sheetData>
  <pageMargins left="0" right="0" top="0.15748031496062992" bottom="0.15748031496062992" header="0.31496062992125984" footer="0.31496062992125984"/>
  <pageSetup paperSize="9" scale="85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0" tint="-0.34998626667073579"/>
  </sheetPr>
  <dimension ref="A1:Q139"/>
  <sheetViews>
    <sheetView topLeftCell="A82" workbookViewId="0">
      <selection activeCell="G99" sqref="G99:K110"/>
    </sheetView>
  </sheetViews>
  <sheetFormatPr baseColWidth="10" defaultRowHeight="14.4" x14ac:dyDescent="0.3"/>
  <cols>
    <col min="2" max="2" width="10.109375" customWidth="1"/>
    <col min="3" max="3" width="9.88671875" customWidth="1"/>
    <col min="5" max="5" width="9.88671875" customWidth="1"/>
    <col min="6" max="6" width="5" customWidth="1"/>
    <col min="8" max="8" width="10.5546875" customWidth="1"/>
    <col min="9" max="9" width="9.88671875" customWidth="1"/>
    <col min="10" max="10" width="9.44140625" customWidth="1"/>
  </cols>
  <sheetData>
    <row r="1" spans="1:11" ht="18" x14ac:dyDescent="0.35">
      <c r="A1" s="5" t="s">
        <v>129</v>
      </c>
    </row>
    <row r="3" spans="1:11" x14ac:dyDescent="0.3">
      <c r="A3" t="s">
        <v>50</v>
      </c>
      <c r="G3" t="s">
        <v>51</v>
      </c>
    </row>
    <row r="4" spans="1:11" x14ac:dyDescent="0.3">
      <c r="C4" s="4" t="s">
        <v>28</v>
      </c>
      <c r="D4" s="4" t="s">
        <v>29</v>
      </c>
      <c r="E4" s="4" t="s">
        <v>30</v>
      </c>
      <c r="I4" s="4" t="s">
        <v>28</v>
      </c>
      <c r="J4" s="4" t="s">
        <v>29</v>
      </c>
      <c r="K4" s="4" t="s">
        <v>30</v>
      </c>
    </row>
    <row r="5" spans="1:11" x14ac:dyDescent="0.3">
      <c r="A5" t="s">
        <v>116</v>
      </c>
      <c r="B5" s="4" t="s">
        <v>32</v>
      </c>
      <c r="C5" s="4">
        <v>1.8180000000000001</v>
      </c>
      <c r="D5" s="4">
        <v>19.38</v>
      </c>
      <c r="E5" s="8">
        <f t="shared" ref="E5:E10" si="0">C5*D5</f>
        <v>35.232839999999996</v>
      </c>
      <c r="G5" t="s">
        <v>116</v>
      </c>
      <c r="H5" s="4" t="s">
        <v>32</v>
      </c>
      <c r="I5" s="4">
        <v>1.8180000000000001</v>
      </c>
      <c r="J5" s="4">
        <v>30.59</v>
      </c>
      <c r="K5" s="8">
        <f t="shared" ref="K5:K12" si="1">I5*J5</f>
        <v>55.61262</v>
      </c>
    </row>
    <row r="6" spans="1:11" x14ac:dyDescent="0.3">
      <c r="A6" t="s">
        <v>117</v>
      </c>
      <c r="B6" s="4" t="s">
        <v>33</v>
      </c>
      <c r="C6" s="4">
        <v>7.78</v>
      </c>
      <c r="D6" s="4">
        <v>9.83</v>
      </c>
      <c r="E6" s="8">
        <f t="shared" si="0"/>
        <v>76.477400000000003</v>
      </c>
      <c r="G6" t="s">
        <v>112</v>
      </c>
      <c r="H6" s="4" t="s">
        <v>33</v>
      </c>
      <c r="I6" s="4">
        <v>7.78</v>
      </c>
      <c r="J6" s="4">
        <v>9.83</v>
      </c>
      <c r="K6" s="8">
        <f t="shared" si="1"/>
        <v>76.477400000000003</v>
      </c>
    </row>
    <row r="7" spans="1:11" x14ac:dyDescent="0.3">
      <c r="B7" s="4" t="s">
        <v>87</v>
      </c>
      <c r="C7" s="4">
        <v>2</v>
      </c>
      <c r="D7" s="4">
        <v>1.98</v>
      </c>
      <c r="E7" s="8">
        <f t="shared" si="0"/>
        <v>3.96</v>
      </c>
      <c r="G7" t="s">
        <v>112</v>
      </c>
      <c r="H7" s="4" t="s">
        <v>33</v>
      </c>
      <c r="I7" s="4">
        <v>7.78</v>
      </c>
      <c r="J7" s="4">
        <v>9.83</v>
      </c>
      <c r="K7" s="8">
        <f t="shared" si="1"/>
        <v>76.477400000000003</v>
      </c>
    </row>
    <row r="8" spans="1:11" x14ac:dyDescent="0.3">
      <c r="B8" s="4" t="s">
        <v>34</v>
      </c>
      <c r="C8" s="4"/>
      <c r="D8" s="4"/>
      <c r="E8" s="8">
        <f t="shared" si="0"/>
        <v>0</v>
      </c>
      <c r="H8" s="4" t="s">
        <v>87</v>
      </c>
      <c r="I8" s="4">
        <v>2</v>
      </c>
      <c r="J8" s="4">
        <v>1.98</v>
      </c>
      <c r="K8" s="8">
        <f t="shared" si="1"/>
        <v>3.96</v>
      </c>
    </row>
    <row r="9" spans="1:11" x14ac:dyDescent="0.3">
      <c r="B9" s="4" t="s">
        <v>35</v>
      </c>
      <c r="C9" s="4">
        <v>4</v>
      </c>
      <c r="D9" s="4">
        <v>1.89</v>
      </c>
      <c r="E9" s="8">
        <f t="shared" si="0"/>
        <v>7.56</v>
      </c>
      <c r="H9" s="4" t="s">
        <v>87</v>
      </c>
      <c r="I9" s="4">
        <v>2</v>
      </c>
      <c r="J9" s="4">
        <v>1.98</v>
      </c>
      <c r="K9" s="4">
        <f t="shared" si="1"/>
        <v>3.96</v>
      </c>
    </row>
    <row r="10" spans="1:11" x14ac:dyDescent="0.3">
      <c r="B10" s="4" t="s">
        <v>36</v>
      </c>
      <c r="C10" s="4">
        <v>4</v>
      </c>
      <c r="D10" s="4">
        <v>0.24</v>
      </c>
      <c r="E10" s="8">
        <f t="shared" si="0"/>
        <v>0.96</v>
      </c>
      <c r="H10" s="4" t="s">
        <v>34</v>
      </c>
      <c r="I10" s="4"/>
      <c r="J10" s="4"/>
      <c r="K10" s="8">
        <f t="shared" si="1"/>
        <v>0</v>
      </c>
    </row>
    <row r="11" spans="1:11" x14ac:dyDescent="0.3">
      <c r="E11" s="8">
        <f>SUM(E5:E10)</f>
        <v>124.19023999999999</v>
      </c>
      <c r="H11" s="4" t="s">
        <v>35</v>
      </c>
      <c r="I11" s="4">
        <v>4</v>
      </c>
      <c r="J11" s="4">
        <v>1.89</v>
      </c>
      <c r="K11" s="8">
        <f t="shared" si="1"/>
        <v>7.56</v>
      </c>
    </row>
    <row r="12" spans="1:11" x14ac:dyDescent="0.3">
      <c r="B12" s="4" t="s">
        <v>37</v>
      </c>
      <c r="C12">
        <v>45</v>
      </c>
      <c r="D12">
        <v>1.41</v>
      </c>
      <c r="E12" s="8">
        <f>C12*D12</f>
        <v>63.449999999999996</v>
      </c>
      <c r="H12" s="4" t="s">
        <v>36</v>
      </c>
      <c r="I12" s="4">
        <v>4</v>
      </c>
      <c r="J12" s="4">
        <v>0.24</v>
      </c>
      <c r="K12" s="8">
        <f t="shared" si="1"/>
        <v>0.96</v>
      </c>
    </row>
    <row r="13" spans="1:11" x14ac:dyDescent="0.3">
      <c r="E13" s="8">
        <f>SUM(E11:E12)</f>
        <v>187.64023999999998</v>
      </c>
      <c r="K13" s="8">
        <f>SUM(K5:K12)</f>
        <v>225.00742000000005</v>
      </c>
    </row>
    <row r="14" spans="1:11" x14ac:dyDescent="0.3">
      <c r="H14" s="4" t="s">
        <v>37</v>
      </c>
      <c r="I14">
        <v>15</v>
      </c>
      <c r="J14">
        <v>1.41</v>
      </c>
      <c r="K14" s="8">
        <f>I14*J14</f>
        <v>21.15</v>
      </c>
    </row>
    <row r="15" spans="1:11" x14ac:dyDescent="0.3">
      <c r="C15" s="4" t="s">
        <v>28</v>
      </c>
      <c r="D15" s="4" t="s">
        <v>29</v>
      </c>
      <c r="E15" s="4" t="s">
        <v>30</v>
      </c>
      <c r="K15" s="8">
        <f>SUM(K13:K14)</f>
        <v>246.15742000000006</v>
      </c>
    </row>
    <row r="16" spans="1:11" x14ac:dyDescent="0.3">
      <c r="A16" t="s">
        <v>118</v>
      </c>
      <c r="B16" s="4" t="s">
        <v>32</v>
      </c>
      <c r="C16" s="4">
        <v>2.028</v>
      </c>
      <c r="D16" s="4">
        <v>19.38</v>
      </c>
      <c r="E16" s="8">
        <f t="shared" ref="E16:E21" si="2">C16*D16</f>
        <v>39.302639999999997</v>
      </c>
    </row>
    <row r="17" spans="1:17" x14ac:dyDescent="0.3">
      <c r="A17" t="s">
        <v>117</v>
      </c>
      <c r="B17" s="4" t="s">
        <v>33</v>
      </c>
      <c r="C17" s="4">
        <v>9.7750000000000004</v>
      </c>
      <c r="D17" s="4">
        <v>9.83</v>
      </c>
      <c r="E17" s="8">
        <f t="shared" si="2"/>
        <v>96.088250000000002</v>
      </c>
      <c r="I17" s="4" t="s">
        <v>28</v>
      </c>
      <c r="J17" s="4" t="s">
        <v>29</v>
      </c>
      <c r="K17" s="4" t="s">
        <v>30</v>
      </c>
    </row>
    <row r="18" spans="1:17" x14ac:dyDescent="0.3">
      <c r="B18" s="4" t="s">
        <v>87</v>
      </c>
      <c r="C18" s="4">
        <v>2</v>
      </c>
      <c r="D18" s="4">
        <v>1.98</v>
      </c>
      <c r="E18" s="8">
        <f t="shared" si="2"/>
        <v>3.96</v>
      </c>
      <c r="G18" t="s">
        <v>118</v>
      </c>
      <c r="H18" s="4" t="s">
        <v>32</v>
      </c>
      <c r="I18" s="4">
        <v>2.028</v>
      </c>
      <c r="J18" s="4">
        <v>30.59</v>
      </c>
      <c r="K18" s="8">
        <f t="shared" ref="K18:K25" si="3">I18*J18</f>
        <v>62.036520000000003</v>
      </c>
    </row>
    <row r="19" spans="1:17" x14ac:dyDescent="0.3">
      <c r="B19" s="4" t="s">
        <v>34</v>
      </c>
      <c r="C19" s="4"/>
      <c r="D19" s="4"/>
      <c r="E19" s="8">
        <f t="shared" si="2"/>
        <v>0</v>
      </c>
      <c r="G19" t="s">
        <v>112</v>
      </c>
      <c r="H19" s="4" t="s">
        <v>33</v>
      </c>
      <c r="I19" s="4">
        <v>9.7750000000000004</v>
      </c>
      <c r="J19" s="4">
        <v>9.83</v>
      </c>
      <c r="K19" s="8">
        <f t="shared" si="3"/>
        <v>96.088250000000002</v>
      </c>
    </row>
    <row r="20" spans="1:17" x14ac:dyDescent="0.3">
      <c r="B20" s="4" t="s">
        <v>35</v>
      </c>
      <c r="C20" s="4">
        <v>4</v>
      </c>
      <c r="D20" s="4">
        <v>1.89</v>
      </c>
      <c r="E20" s="8">
        <f t="shared" si="2"/>
        <v>7.56</v>
      </c>
      <c r="G20" t="s">
        <v>125</v>
      </c>
      <c r="H20" s="4" t="s">
        <v>33</v>
      </c>
      <c r="I20" s="4">
        <v>9.8279999999999994</v>
      </c>
      <c r="J20" s="4">
        <v>9.83</v>
      </c>
      <c r="K20" s="8">
        <f t="shared" si="3"/>
        <v>96.60924</v>
      </c>
    </row>
    <row r="21" spans="1:17" x14ac:dyDescent="0.3">
      <c r="B21" s="4" t="s">
        <v>36</v>
      </c>
      <c r="C21" s="4">
        <v>4</v>
      </c>
      <c r="D21" s="4">
        <v>0.24</v>
      </c>
      <c r="E21" s="8">
        <f t="shared" si="2"/>
        <v>0.96</v>
      </c>
      <c r="H21" s="4" t="s">
        <v>87</v>
      </c>
      <c r="I21" s="4">
        <v>2</v>
      </c>
      <c r="J21" s="4">
        <v>1.98</v>
      </c>
      <c r="K21" s="8">
        <f t="shared" si="3"/>
        <v>3.96</v>
      </c>
    </row>
    <row r="22" spans="1:17" x14ac:dyDescent="0.3">
      <c r="E22" s="8">
        <f>SUM(E16:E21)</f>
        <v>147.87089000000003</v>
      </c>
      <c r="H22" s="4" t="s">
        <v>113</v>
      </c>
      <c r="I22" s="4">
        <v>2</v>
      </c>
      <c r="J22" s="4">
        <v>2.2400000000000002</v>
      </c>
      <c r="K22" s="4">
        <f t="shared" si="3"/>
        <v>4.4800000000000004</v>
      </c>
    </row>
    <row r="23" spans="1:17" x14ac:dyDescent="0.3">
      <c r="B23" s="4" t="s">
        <v>37</v>
      </c>
      <c r="C23">
        <v>20</v>
      </c>
      <c r="D23">
        <v>1.41</v>
      </c>
      <c r="E23" s="8">
        <f>C23*D23</f>
        <v>28.2</v>
      </c>
      <c r="H23" s="4" t="s">
        <v>34</v>
      </c>
      <c r="I23" s="4"/>
      <c r="J23" s="4"/>
      <c r="K23" s="8">
        <f t="shared" si="3"/>
        <v>0</v>
      </c>
    </row>
    <row r="24" spans="1:17" x14ac:dyDescent="0.3">
      <c r="E24" s="8">
        <f>SUM(E22:E23)</f>
        <v>176.07089000000002</v>
      </c>
      <c r="H24" s="4" t="s">
        <v>35</v>
      </c>
      <c r="I24" s="4">
        <v>4</v>
      </c>
      <c r="J24" s="4">
        <v>1.89</v>
      </c>
      <c r="K24" s="8">
        <f t="shared" si="3"/>
        <v>7.56</v>
      </c>
    </row>
    <row r="25" spans="1:17" x14ac:dyDescent="0.3">
      <c r="H25" s="4" t="s">
        <v>36</v>
      </c>
      <c r="I25" s="4">
        <v>4</v>
      </c>
      <c r="J25" s="4">
        <v>0.24</v>
      </c>
      <c r="K25" s="8">
        <f t="shared" si="3"/>
        <v>0.96</v>
      </c>
    </row>
    <row r="26" spans="1:17" x14ac:dyDescent="0.3">
      <c r="K26" s="8">
        <f>SUM(K18:K25)</f>
        <v>271.69400999999999</v>
      </c>
    </row>
    <row r="27" spans="1:17" x14ac:dyDescent="0.3">
      <c r="C27" s="4" t="s">
        <v>28</v>
      </c>
      <c r="D27" s="4" t="s">
        <v>29</v>
      </c>
      <c r="E27" s="4" t="s">
        <v>30</v>
      </c>
      <c r="H27" s="4" t="s">
        <v>37</v>
      </c>
      <c r="I27">
        <v>20</v>
      </c>
      <c r="J27">
        <v>1.41</v>
      </c>
      <c r="K27" s="8">
        <f>I27*J27</f>
        <v>28.2</v>
      </c>
    </row>
    <row r="28" spans="1:17" x14ac:dyDescent="0.3">
      <c r="A28" t="s">
        <v>119</v>
      </c>
      <c r="B28" s="4" t="s">
        <v>32</v>
      </c>
      <c r="C28" s="4">
        <v>2.238</v>
      </c>
      <c r="D28" s="4">
        <v>19.38</v>
      </c>
      <c r="E28" s="8">
        <f t="shared" ref="E28:E33" si="4">C28*D28</f>
        <v>43.372439999999997</v>
      </c>
      <c r="K28" s="8">
        <f>SUM(K26:K27)</f>
        <v>299.89400999999998</v>
      </c>
    </row>
    <row r="29" spans="1:17" x14ac:dyDescent="0.3">
      <c r="A29" t="s">
        <v>117</v>
      </c>
      <c r="B29" s="4" t="s">
        <v>33</v>
      </c>
      <c r="C29" s="4">
        <v>11.77</v>
      </c>
      <c r="D29" s="4">
        <v>9.83</v>
      </c>
      <c r="E29" s="8">
        <f t="shared" si="4"/>
        <v>115.6991</v>
      </c>
    </row>
    <row r="30" spans="1:17" x14ac:dyDescent="0.3">
      <c r="B30" s="4" t="s">
        <v>87</v>
      </c>
      <c r="C30" s="4">
        <v>2</v>
      </c>
      <c r="D30" s="4">
        <v>1.98</v>
      </c>
      <c r="E30" s="8">
        <f t="shared" si="4"/>
        <v>3.96</v>
      </c>
      <c r="I30" s="4" t="s">
        <v>28</v>
      </c>
      <c r="J30" s="4" t="s">
        <v>29</v>
      </c>
      <c r="K30" s="4" t="s">
        <v>30</v>
      </c>
      <c r="O30" s="4" t="s">
        <v>28</v>
      </c>
      <c r="P30" s="4" t="s">
        <v>29</v>
      </c>
      <c r="Q30" s="4" t="s">
        <v>30</v>
      </c>
    </row>
    <row r="31" spans="1:17" x14ac:dyDescent="0.3">
      <c r="B31" s="4" t="s">
        <v>34</v>
      </c>
      <c r="C31" s="4">
        <v>0.4</v>
      </c>
      <c r="D31" s="4">
        <v>12.43</v>
      </c>
      <c r="E31" s="8">
        <f t="shared" si="4"/>
        <v>4.9720000000000004</v>
      </c>
      <c r="G31" t="s">
        <v>119</v>
      </c>
      <c r="H31" s="4" t="s">
        <v>32</v>
      </c>
      <c r="I31" s="4">
        <v>2.3460000000000001</v>
      </c>
      <c r="J31" s="4">
        <v>30.59</v>
      </c>
      <c r="K31" s="8">
        <f t="shared" ref="K31:K38" si="5">I31*J31</f>
        <v>71.764139999999998</v>
      </c>
      <c r="M31" t="s">
        <v>291</v>
      </c>
      <c r="N31" s="4" t="s">
        <v>32</v>
      </c>
      <c r="O31" s="4">
        <v>2.786</v>
      </c>
      <c r="P31" s="4">
        <v>30.59</v>
      </c>
      <c r="Q31" s="8">
        <f t="shared" ref="Q31:Q38" si="6">O31*P31</f>
        <v>85.223740000000006</v>
      </c>
    </row>
    <row r="32" spans="1:17" x14ac:dyDescent="0.3">
      <c r="B32" s="4" t="s">
        <v>35</v>
      </c>
      <c r="C32" s="4">
        <v>4</v>
      </c>
      <c r="D32" s="4">
        <v>1.89</v>
      </c>
      <c r="E32" s="8">
        <f t="shared" si="4"/>
        <v>7.56</v>
      </c>
      <c r="G32" t="s">
        <v>112</v>
      </c>
      <c r="H32" s="4" t="s">
        <v>33</v>
      </c>
      <c r="I32" s="4">
        <v>11.77</v>
      </c>
      <c r="J32" s="4">
        <v>9.83</v>
      </c>
      <c r="K32" s="8">
        <f t="shared" si="5"/>
        <v>115.6991</v>
      </c>
      <c r="M32" t="s">
        <v>126</v>
      </c>
      <c r="N32" s="4" t="s">
        <v>33</v>
      </c>
      <c r="O32" s="4">
        <v>18.821000000000002</v>
      </c>
      <c r="P32" s="4">
        <v>9.83</v>
      </c>
      <c r="Q32" s="8">
        <f t="shared" si="6"/>
        <v>185.01043000000001</v>
      </c>
    </row>
    <row r="33" spans="1:17" x14ac:dyDescent="0.3">
      <c r="B33" s="4" t="s">
        <v>36</v>
      </c>
      <c r="C33" s="4">
        <v>4</v>
      </c>
      <c r="D33" s="4">
        <v>0.24</v>
      </c>
      <c r="E33" s="8">
        <f t="shared" si="4"/>
        <v>0.96</v>
      </c>
      <c r="G33" t="s">
        <v>126</v>
      </c>
      <c r="H33" s="4" t="s">
        <v>33</v>
      </c>
      <c r="I33" s="4">
        <v>11.875</v>
      </c>
      <c r="J33" s="4">
        <v>9.83</v>
      </c>
      <c r="K33" s="8">
        <f t="shared" si="5"/>
        <v>116.73125</v>
      </c>
      <c r="M33" t="s">
        <v>126</v>
      </c>
      <c r="N33" s="4" t="s">
        <v>33</v>
      </c>
      <c r="O33" s="4">
        <v>18.821000000000002</v>
      </c>
      <c r="P33" s="4">
        <v>9.83</v>
      </c>
      <c r="Q33" s="8">
        <f t="shared" si="6"/>
        <v>185.01043000000001</v>
      </c>
    </row>
    <row r="34" spans="1:17" x14ac:dyDescent="0.3">
      <c r="E34" s="8">
        <f>SUM(E28:E33)</f>
        <v>176.52354000000003</v>
      </c>
      <c r="H34" s="4" t="s">
        <v>87</v>
      </c>
      <c r="I34" s="4">
        <v>2</v>
      </c>
      <c r="J34" s="4">
        <v>1.98</v>
      </c>
      <c r="K34" s="8">
        <f t="shared" si="5"/>
        <v>3.96</v>
      </c>
      <c r="N34" s="4" t="s">
        <v>87</v>
      </c>
      <c r="O34" s="4">
        <v>2</v>
      </c>
      <c r="P34" s="4">
        <v>1.98</v>
      </c>
      <c r="Q34" s="8">
        <f t="shared" si="6"/>
        <v>3.96</v>
      </c>
    </row>
    <row r="35" spans="1:17" x14ac:dyDescent="0.3">
      <c r="B35" s="4" t="s">
        <v>37</v>
      </c>
      <c r="C35">
        <v>85</v>
      </c>
      <c r="D35">
        <v>1.41</v>
      </c>
      <c r="E35" s="8">
        <f>C35*D35</f>
        <v>119.85</v>
      </c>
      <c r="H35" s="4" t="s">
        <v>98</v>
      </c>
      <c r="I35" s="4">
        <v>2</v>
      </c>
      <c r="J35" s="4">
        <v>3.8</v>
      </c>
      <c r="K35" s="4">
        <f t="shared" si="5"/>
        <v>7.6</v>
      </c>
      <c r="N35" s="4" t="s">
        <v>98</v>
      </c>
      <c r="O35" s="4">
        <v>2</v>
      </c>
      <c r="P35" s="4">
        <v>3.8</v>
      </c>
      <c r="Q35" s="4">
        <f t="shared" si="6"/>
        <v>7.6</v>
      </c>
    </row>
    <row r="36" spans="1:17" x14ac:dyDescent="0.3">
      <c r="E36" s="8">
        <f>SUM(E34:E35)</f>
        <v>296.37354000000005</v>
      </c>
      <c r="H36" s="4" t="s">
        <v>34</v>
      </c>
      <c r="I36" s="4">
        <v>0.8</v>
      </c>
      <c r="J36" s="4">
        <v>12.43</v>
      </c>
      <c r="K36" s="8">
        <f t="shared" si="5"/>
        <v>9.9440000000000008</v>
      </c>
      <c r="N36" s="4" t="s">
        <v>34</v>
      </c>
      <c r="O36" s="4">
        <v>0.8</v>
      </c>
      <c r="P36" s="4">
        <v>12.43</v>
      </c>
      <c r="Q36" s="8">
        <f t="shared" si="6"/>
        <v>9.9440000000000008</v>
      </c>
    </row>
    <row r="37" spans="1:17" x14ac:dyDescent="0.3">
      <c r="H37" s="4" t="s">
        <v>35</v>
      </c>
      <c r="I37" s="4">
        <v>4</v>
      </c>
      <c r="J37" s="4">
        <v>1.89</v>
      </c>
      <c r="K37" s="8">
        <f t="shared" si="5"/>
        <v>7.56</v>
      </c>
      <c r="N37" s="4" t="s">
        <v>35</v>
      </c>
      <c r="O37" s="4">
        <v>4</v>
      </c>
      <c r="P37" s="4">
        <v>1.89</v>
      </c>
      <c r="Q37" s="8">
        <f t="shared" si="6"/>
        <v>7.56</v>
      </c>
    </row>
    <row r="38" spans="1:17" x14ac:dyDescent="0.3">
      <c r="H38" s="4" t="s">
        <v>36</v>
      </c>
      <c r="I38" s="4">
        <v>4</v>
      </c>
      <c r="J38" s="4">
        <v>0.24</v>
      </c>
      <c r="K38" s="8">
        <f t="shared" si="5"/>
        <v>0.96</v>
      </c>
      <c r="N38" s="4" t="s">
        <v>36</v>
      </c>
      <c r="O38" s="4">
        <v>4</v>
      </c>
      <c r="P38" s="4">
        <v>0.24</v>
      </c>
      <c r="Q38" s="8">
        <f t="shared" si="6"/>
        <v>0.96</v>
      </c>
    </row>
    <row r="39" spans="1:17" x14ac:dyDescent="0.3">
      <c r="C39" s="4" t="s">
        <v>28</v>
      </c>
      <c r="D39" s="4" t="s">
        <v>29</v>
      </c>
      <c r="E39" s="4" t="s">
        <v>30</v>
      </c>
      <c r="K39" s="8">
        <f>SUM(K31:K38)</f>
        <v>334.21848999999997</v>
      </c>
      <c r="Q39" s="8">
        <f>SUM(Q31:Q38)</f>
        <v>485.26859999999999</v>
      </c>
    </row>
    <row r="40" spans="1:17" x14ac:dyDescent="0.3">
      <c r="A40" t="s">
        <v>120</v>
      </c>
      <c r="B40" s="4" t="s">
        <v>32</v>
      </c>
      <c r="C40" s="4">
        <v>2.448</v>
      </c>
      <c r="D40" s="4">
        <v>19.38</v>
      </c>
      <c r="E40" s="8">
        <f t="shared" ref="E40:E45" si="7">C40*D40</f>
        <v>47.442239999999998</v>
      </c>
      <c r="H40" s="4" t="s">
        <v>37</v>
      </c>
      <c r="I40">
        <v>63.9</v>
      </c>
      <c r="K40" s="8">
        <v>63.9</v>
      </c>
      <c r="N40" s="4" t="s">
        <v>37</v>
      </c>
      <c r="O40">
        <v>63.9</v>
      </c>
      <c r="Q40" s="8">
        <v>63.9</v>
      </c>
    </row>
    <row r="41" spans="1:17" x14ac:dyDescent="0.3">
      <c r="A41" t="s">
        <v>117</v>
      </c>
      <c r="B41" s="4" t="s">
        <v>33</v>
      </c>
      <c r="C41" s="4">
        <v>13.765000000000001</v>
      </c>
      <c r="D41" s="4">
        <v>9.83</v>
      </c>
      <c r="E41" s="8">
        <f t="shared" si="7"/>
        <v>135.30995000000001</v>
      </c>
      <c r="K41" s="8">
        <f>SUM(K39:K40)</f>
        <v>398.11848999999995</v>
      </c>
      <c r="Q41" s="8">
        <f>SUM(Q39:Q40)</f>
        <v>549.16859999999997</v>
      </c>
    </row>
    <row r="42" spans="1:17" x14ac:dyDescent="0.3">
      <c r="B42" s="4" t="s">
        <v>87</v>
      </c>
      <c r="C42" s="4">
        <v>2</v>
      </c>
      <c r="D42" s="4">
        <v>1.98</v>
      </c>
      <c r="E42" s="8">
        <f t="shared" si="7"/>
        <v>3.96</v>
      </c>
    </row>
    <row r="43" spans="1:17" x14ac:dyDescent="0.3">
      <c r="B43" s="4" t="s">
        <v>34</v>
      </c>
      <c r="C43" s="4">
        <v>0.4</v>
      </c>
      <c r="D43" s="4">
        <v>12.43</v>
      </c>
      <c r="E43" s="8">
        <f t="shared" si="7"/>
        <v>4.9720000000000004</v>
      </c>
    </row>
    <row r="44" spans="1:17" x14ac:dyDescent="0.3">
      <c r="B44" s="4" t="s">
        <v>35</v>
      </c>
      <c r="C44" s="4">
        <v>4</v>
      </c>
      <c r="D44" s="4">
        <v>1.89</v>
      </c>
      <c r="E44" s="8">
        <f t="shared" si="7"/>
        <v>7.56</v>
      </c>
      <c r="I44" s="4" t="s">
        <v>28</v>
      </c>
      <c r="J44" s="4" t="s">
        <v>29</v>
      </c>
      <c r="K44" s="4" t="s">
        <v>30</v>
      </c>
    </row>
    <row r="45" spans="1:17" x14ac:dyDescent="0.3">
      <c r="B45" s="4" t="s">
        <v>36</v>
      </c>
      <c r="C45" s="4">
        <v>4</v>
      </c>
      <c r="D45" s="4">
        <v>0.24</v>
      </c>
      <c r="E45" s="8">
        <f t="shared" si="7"/>
        <v>0.96</v>
      </c>
      <c r="G45" t="s">
        <v>120</v>
      </c>
      <c r="H45" s="4" t="s">
        <v>32</v>
      </c>
      <c r="I45" s="4">
        <v>2.448</v>
      </c>
      <c r="J45" s="4">
        <v>30.59</v>
      </c>
      <c r="K45" s="8">
        <f t="shared" ref="K45:K52" si="8">I45*J45</f>
        <v>74.884320000000002</v>
      </c>
    </row>
    <row r="46" spans="1:17" x14ac:dyDescent="0.3">
      <c r="E46" s="8">
        <f>SUM(E40:E45)</f>
        <v>200.20419000000004</v>
      </c>
      <c r="G46" t="s">
        <v>112</v>
      </c>
      <c r="H46" s="4" t="s">
        <v>33</v>
      </c>
      <c r="I46" s="4">
        <v>13.765000000000001</v>
      </c>
      <c r="J46" s="4">
        <v>9.83</v>
      </c>
      <c r="K46" s="8">
        <f t="shared" si="8"/>
        <v>135.30995000000001</v>
      </c>
    </row>
    <row r="47" spans="1:17" x14ac:dyDescent="0.3">
      <c r="B47" s="4" t="s">
        <v>37</v>
      </c>
      <c r="C47">
        <v>20</v>
      </c>
      <c r="D47">
        <v>1.41</v>
      </c>
      <c r="E47" s="8">
        <f>C47*D47</f>
        <v>28.2</v>
      </c>
      <c r="G47" t="s">
        <v>127</v>
      </c>
      <c r="H47" s="4" t="s">
        <v>33</v>
      </c>
      <c r="I47" s="4">
        <v>13.923</v>
      </c>
      <c r="J47" s="4">
        <v>9.83</v>
      </c>
      <c r="K47" s="8">
        <f t="shared" si="8"/>
        <v>136.86309</v>
      </c>
    </row>
    <row r="48" spans="1:17" x14ac:dyDescent="0.3">
      <c r="E48" s="8">
        <f>SUM(E46:E47)</f>
        <v>228.40419000000003</v>
      </c>
      <c r="H48" s="4" t="s">
        <v>87</v>
      </c>
      <c r="I48" s="4">
        <v>2</v>
      </c>
      <c r="J48" s="4">
        <v>1.98</v>
      </c>
      <c r="K48" s="8">
        <f t="shared" si="8"/>
        <v>3.96</v>
      </c>
    </row>
    <row r="49" spans="1:11" x14ac:dyDescent="0.3">
      <c r="H49" s="4" t="s">
        <v>98</v>
      </c>
      <c r="I49" s="4">
        <v>2</v>
      </c>
      <c r="J49" s="4">
        <v>3.8</v>
      </c>
      <c r="K49" s="4">
        <f t="shared" si="8"/>
        <v>7.6</v>
      </c>
    </row>
    <row r="50" spans="1:11" x14ac:dyDescent="0.3">
      <c r="H50" s="4" t="s">
        <v>34</v>
      </c>
      <c r="I50" s="4">
        <v>0.8</v>
      </c>
      <c r="J50" s="4">
        <v>12.43</v>
      </c>
      <c r="K50" s="8">
        <f t="shared" si="8"/>
        <v>9.9440000000000008</v>
      </c>
    </row>
    <row r="51" spans="1:11" x14ac:dyDescent="0.3">
      <c r="C51" s="4" t="s">
        <v>28</v>
      </c>
      <c r="D51" s="4" t="s">
        <v>29</v>
      </c>
      <c r="E51" s="4" t="s">
        <v>30</v>
      </c>
      <c r="H51" s="4" t="s">
        <v>35</v>
      </c>
      <c r="I51" s="4">
        <v>4</v>
      </c>
      <c r="J51" s="4">
        <v>1.89</v>
      </c>
      <c r="K51" s="8">
        <f t="shared" si="8"/>
        <v>7.56</v>
      </c>
    </row>
    <row r="52" spans="1:11" x14ac:dyDescent="0.3">
      <c r="A52" t="s">
        <v>121</v>
      </c>
      <c r="B52" s="4" t="s">
        <v>32</v>
      </c>
      <c r="C52" s="4">
        <v>2.6579999999999999</v>
      </c>
      <c r="D52" s="4">
        <v>19.38</v>
      </c>
      <c r="E52" s="8">
        <f t="shared" ref="E52:E57" si="9">C52*D52</f>
        <v>51.512039999999999</v>
      </c>
      <c r="H52" s="4" t="s">
        <v>36</v>
      </c>
      <c r="I52" s="4">
        <v>4</v>
      </c>
      <c r="J52" s="4">
        <v>0.24</v>
      </c>
      <c r="K52" s="8">
        <f t="shared" si="8"/>
        <v>0.96</v>
      </c>
    </row>
    <row r="53" spans="1:11" x14ac:dyDescent="0.3">
      <c r="A53" t="s">
        <v>117</v>
      </c>
      <c r="B53" s="4" t="s">
        <v>33</v>
      </c>
      <c r="C53" s="4">
        <v>15.76</v>
      </c>
      <c r="D53" s="4">
        <v>9.83</v>
      </c>
      <c r="E53" s="8">
        <f t="shared" si="9"/>
        <v>154.92079999999999</v>
      </c>
      <c r="K53" s="8">
        <f>SUM(K45:K52)</f>
        <v>377.08136000000002</v>
      </c>
    </row>
    <row r="54" spans="1:11" x14ac:dyDescent="0.3">
      <c r="B54" s="4" t="s">
        <v>87</v>
      </c>
      <c r="C54" s="4">
        <v>2</v>
      </c>
      <c r="D54" s="4">
        <v>1.98</v>
      </c>
      <c r="E54" s="8">
        <f t="shared" si="9"/>
        <v>3.96</v>
      </c>
      <c r="H54" s="4" t="s">
        <v>37</v>
      </c>
      <c r="I54">
        <v>35</v>
      </c>
      <c r="J54">
        <v>1.41</v>
      </c>
      <c r="K54" s="8">
        <f>I54*J54</f>
        <v>49.349999999999994</v>
      </c>
    </row>
    <row r="55" spans="1:11" x14ac:dyDescent="0.3">
      <c r="B55" s="4" t="s">
        <v>34</v>
      </c>
      <c r="C55" s="4">
        <v>0.4</v>
      </c>
      <c r="D55" s="4">
        <v>12.43</v>
      </c>
      <c r="E55" s="8">
        <f t="shared" si="9"/>
        <v>4.9720000000000004</v>
      </c>
      <c r="K55" s="8">
        <f>SUM(K53:K54)</f>
        <v>426.43136000000004</v>
      </c>
    </row>
    <row r="56" spans="1:11" x14ac:dyDescent="0.3">
      <c r="B56" s="4" t="s">
        <v>35</v>
      </c>
      <c r="C56" s="4">
        <v>4</v>
      </c>
      <c r="D56" s="4">
        <v>1.89</v>
      </c>
      <c r="E56" s="8">
        <f t="shared" si="9"/>
        <v>7.56</v>
      </c>
    </row>
    <row r="57" spans="1:11" x14ac:dyDescent="0.3">
      <c r="B57" s="4" t="s">
        <v>36</v>
      </c>
      <c r="C57" s="4">
        <v>4</v>
      </c>
      <c r="D57" s="4">
        <v>0.24</v>
      </c>
      <c r="E57" s="8">
        <f t="shared" si="9"/>
        <v>0.96</v>
      </c>
      <c r="I57" s="4" t="s">
        <v>28</v>
      </c>
      <c r="J57" s="4" t="s">
        <v>29</v>
      </c>
      <c r="K57" s="4" t="s">
        <v>30</v>
      </c>
    </row>
    <row r="58" spans="1:11" x14ac:dyDescent="0.3">
      <c r="E58" s="8">
        <f>SUM(E52:E57)</f>
        <v>223.88484000000003</v>
      </c>
      <c r="G58" t="s">
        <v>121</v>
      </c>
      <c r="H58" s="4" t="s">
        <v>32</v>
      </c>
      <c r="I58" s="4">
        <v>2.6579999999999999</v>
      </c>
      <c r="J58" s="4">
        <v>30.59</v>
      </c>
      <c r="K58" s="8">
        <f t="shared" ref="K58:K65" si="10">I58*J58</f>
        <v>81.308219999999992</v>
      </c>
    </row>
    <row r="59" spans="1:11" x14ac:dyDescent="0.3">
      <c r="B59" s="4" t="s">
        <v>37</v>
      </c>
      <c r="C59">
        <v>25</v>
      </c>
      <c r="D59">
        <v>1.41</v>
      </c>
      <c r="E59" s="8">
        <f>C59*D59</f>
        <v>35.25</v>
      </c>
      <c r="G59" t="s">
        <v>117</v>
      </c>
      <c r="H59" s="4" t="s">
        <v>33</v>
      </c>
      <c r="I59" s="4">
        <v>15.76</v>
      </c>
      <c r="J59" s="4">
        <v>9.83</v>
      </c>
      <c r="K59" s="8">
        <f t="shared" si="10"/>
        <v>154.92079999999999</v>
      </c>
    </row>
    <row r="60" spans="1:11" x14ac:dyDescent="0.3">
      <c r="E60" s="8">
        <f>SUM(E58:E59)</f>
        <v>259.13484000000005</v>
      </c>
      <c r="G60" t="s">
        <v>58</v>
      </c>
      <c r="H60" s="4" t="s">
        <v>33</v>
      </c>
      <c r="I60" s="4">
        <v>15.97</v>
      </c>
      <c r="J60" s="4">
        <v>9.83</v>
      </c>
      <c r="K60" s="8">
        <f t="shared" si="10"/>
        <v>156.98510000000002</v>
      </c>
    </row>
    <row r="61" spans="1:11" x14ac:dyDescent="0.3">
      <c r="H61" s="4" t="s">
        <v>87</v>
      </c>
      <c r="I61" s="4">
        <v>2</v>
      </c>
      <c r="J61" s="4">
        <v>1.98</v>
      </c>
      <c r="K61" s="8">
        <f t="shared" si="10"/>
        <v>3.96</v>
      </c>
    </row>
    <row r="62" spans="1:11" x14ac:dyDescent="0.3">
      <c r="C62" s="4" t="s">
        <v>28</v>
      </c>
      <c r="D62" s="4" t="s">
        <v>29</v>
      </c>
      <c r="E62" s="4" t="s">
        <v>30</v>
      </c>
      <c r="H62" s="4" t="s">
        <v>92</v>
      </c>
      <c r="I62" s="4">
        <v>2</v>
      </c>
      <c r="J62" s="4">
        <v>4</v>
      </c>
      <c r="K62" s="4">
        <f t="shared" si="10"/>
        <v>8</v>
      </c>
    </row>
    <row r="63" spans="1:11" x14ac:dyDescent="0.3">
      <c r="A63" t="s">
        <v>122</v>
      </c>
      <c r="B63" s="4" t="s">
        <v>32</v>
      </c>
      <c r="C63" s="4">
        <v>2.8679999999999999</v>
      </c>
      <c r="D63" s="4">
        <v>19.38</v>
      </c>
      <c r="E63" s="8">
        <f t="shared" ref="E63:E68" si="11">C63*D63</f>
        <v>55.581839999999993</v>
      </c>
      <c r="H63" s="4" t="s">
        <v>34</v>
      </c>
      <c r="I63" s="4">
        <v>0.8</v>
      </c>
      <c r="J63" s="4">
        <v>12.43</v>
      </c>
      <c r="K63" s="8">
        <f t="shared" si="10"/>
        <v>9.9440000000000008</v>
      </c>
    </row>
    <row r="64" spans="1:11" x14ac:dyDescent="0.3">
      <c r="A64" t="s">
        <v>117</v>
      </c>
      <c r="B64" s="4" t="s">
        <v>33</v>
      </c>
      <c r="C64" s="4">
        <v>17.754999999999999</v>
      </c>
      <c r="D64" s="4">
        <v>9.83</v>
      </c>
      <c r="E64" s="8">
        <f t="shared" si="11"/>
        <v>174.53164999999998</v>
      </c>
      <c r="H64" s="4" t="s">
        <v>35</v>
      </c>
      <c r="I64" s="4">
        <v>4</v>
      </c>
      <c r="J64" s="4">
        <v>1.89</v>
      </c>
      <c r="K64" s="8">
        <f t="shared" si="10"/>
        <v>7.56</v>
      </c>
    </row>
    <row r="65" spans="1:11" x14ac:dyDescent="0.3">
      <c r="B65" s="4" t="s">
        <v>87</v>
      </c>
      <c r="C65" s="4">
        <v>2</v>
      </c>
      <c r="D65" s="4">
        <v>1.98</v>
      </c>
      <c r="E65" s="8">
        <f t="shared" si="11"/>
        <v>3.96</v>
      </c>
      <c r="H65" s="4" t="s">
        <v>36</v>
      </c>
      <c r="I65" s="4">
        <v>4</v>
      </c>
      <c r="J65" s="4">
        <v>0.24</v>
      </c>
      <c r="K65" s="8">
        <f t="shared" si="10"/>
        <v>0.96</v>
      </c>
    </row>
    <row r="66" spans="1:11" x14ac:dyDescent="0.3">
      <c r="B66" s="4" t="s">
        <v>34</v>
      </c>
      <c r="C66" s="4">
        <v>0.4</v>
      </c>
      <c r="D66" s="4">
        <v>12.43</v>
      </c>
      <c r="E66" s="8">
        <f t="shared" si="11"/>
        <v>4.9720000000000004</v>
      </c>
      <c r="K66" s="8">
        <f>SUM(K58:K65)</f>
        <v>423.63811999999996</v>
      </c>
    </row>
    <row r="67" spans="1:11" x14ac:dyDescent="0.3">
      <c r="B67" s="4" t="s">
        <v>35</v>
      </c>
      <c r="C67" s="4">
        <v>4</v>
      </c>
      <c r="D67" s="4">
        <v>1.89</v>
      </c>
      <c r="E67" s="8">
        <f t="shared" si="11"/>
        <v>7.56</v>
      </c>
      <c r="H67" s="4" t="s">
        <v>37</v>
      </c>
      <c r="I67">
        <v>35</v>
      </c>
      <c r="J67">
        <v>1.41</v>
      </c>
      <c r="K67" s="8">
        <f>I67*J67</f>
        <v>49.349999999999994</v>
      </c>
    </row>
    <row r="68" spans="1:11" x14ac:dyDescent="0.3">
      <c r="B68" s="4" t="s">
        <v>36</v>
      </c>
      <c r="C68" s="4">
        <v>4</v>
      </c>
      <c r="D68" s="4">
        <v>0.24</v>
      </c>
      <c r="E68" s="8">
        <f t="shared" si="11"/>
        <v>0.96</v>
      </c>
      <c r="K68" s="8">
        <f>SUM(K66:K67)</f>
        <v>472.98811999999998</v>
      </c>
    </row>
    <row r="69" spans="1:11" x14ac:dyDescent="0.3">
      <c r="E69" s="8">
        <f>SUM(E63:E68)</f>
        <v>247.56549000000001</v>
      </c>
    </row>
    <row r="70" spans="1:11" x14ac:dyDescent="0.3">
      <c r="B70" s="4" t="s">
        <v>37</v>
      </c>
      <c r="C70">
        <v>25</v>
      </c>
      <c r="D70">
        <v>1.41</v>
      </c>
      <c r="E70" s="8">
        <f>C70*D70</f>
        <v>35.25</v>
      </c>
    </row>
    <row r="71" spans="1:11" x14ac:dyDescent="0.3">
      <c r="E71" s="8">
        <f>SUM(E69:E70)</f>
        <v>282.81549000000001</v>
      </c>
      <c r="I71" s="4" t="s">
        <v>28</v>
      </c>
      <c r="J71" s="4" t="s">
        <v>29</v>
      </c>
      <c r="K71" s="4" t="s">
        <v>30</v>
      </c>
    </row>
    <row r="72" spans="1:11" x14ac:dyDescent="0.3">
      <c r="G72" t="s">
        <v>122</v>
      </c>
      <c r="H72" s="4" t="s">
        <v>32</v>
      </c>
      <c r="I72" s="4">
        <v>2.8679999999999999</v>
      </c>
      <c r="J72" s="4">
        <v>30.59</v>
      </c>
      <c r="K72" s="8">
        <f t="shared" ref="K72:K79" si="12">I72*J72</f>
        <v>87.732119999999995</v>
      </c>
    </row>
    <row r="73" spans="1:11" x14ac:dyDescent="0.3">
      <c r="G73" t="s">
        <v>117</v>
      </c>
      <c r="H73" s="4" t="s">
        <v>33</v>
      </c>
      <c r="I73" s="4">
        <v>17.754999999999999</v>
      </c>
      <c r="J73" s="4">
        <v>9.83</v>
      </c>
      <c r="K73" s="8">
        <f t="shared" si="12"/>
        <v>174.53164999999998</v>
      </c>
    </row>
    <row r="74" spans="1:11" x14ac:dyDescent="0.3">
      <c r="C74" s="4" t="s">
        <v>28</v>
      </c>
      <c r="D74" s="4" t="s">
        <v>29</v>
      </c>
      <c r="E74" s="4" t="s">
        <v>30</v>
      </c>
      <c r="G74" t="s">
        <v>114</v>
      </c>
      <c r="H74" s="4" t="s">
        <v>33</v>
      </c>
      <c r="I74" s="4">
        <v>18.018000000000001</v>
      </c>
      <c r="J74" s="4">
        <v>9.83</v>
      </c>
      <c r="K74" s="8">
        <f t="shared" si="12"/>
        <v>177.11694</v>
      </c>
    </row>
    <row r="75" spans="1:11" x14ac:dyDescent="0.3">
      <c r="A75" t="s">
        <v>123</v>
      </c>
      <c r="B75" s="4" t="s">
        <v>32</v>
      </c>
      <c r="C75" s="4">
        <v>3.0779999999999998</v>
      </c>
      <c r="D75" s="4">
        <v>19.38</v>
      </c>
      <c r="E75" s="8">
        <f t="shared" ref="E75:E80" si="13">C75*D75</f>
        <v>59.651639999999993</v>
      </c>
      <c r="H75" s="4" t="s">
        <v>87</v>
      </c>
      <c r="I75" s="4">
        <v>2</v>
      </c>
      <c r="J75" s="4">
        <v>1.98</v>
      </c>
      <c r="K75" s="8">
        <f t="shared" si="12"/>
        <v>3.96</v>
      </c>
    </row>
    <row r="76" spans="1:11" x14ac:dyDescent="0.3">
      <c r="A76" t="s">
        <v>117</v>
      </c>
      <c r="B76" s="4" t="s">
        <v>33</v>
      </c>
      <c r="C76" s="4">
        <v>19.75</v>
      </c>
      <c r="D76" s="4">
        <v>9.83</v>
      </c>
      <c r="E76" s="8">
        <f t="shared" si="13"/>
        <v>194.14250000000001</v>
      </c>
      <c r="H76" s="4" t="s">
        <v>115</v>
      </c>
      <c r="I76" s="4">
        <v>2</v>
      </c>
      <c r="J76" s="4">
        <v>4.3</v>
      </c>
      <c r="K76" s="4">
        <f t="shared" si="12"/>
        <v>8.6</v>
      </c>
    </row>
    <row r="77" spans="1:11" x14ac:dyDescent="0.3">
      <c r="B77" s="4" t="s">
        <v>87</v>
      </c>
      <c r="C77" s="4">
        <v>2</v>
      </c>
      <c r="D77" s="4">
        <v>1.98</v>
      </c>
      <c r="E77" s="8">
        <f t="shared" si="13"/>
        <v>3.96</v>
      </c>
      <c r="H77" s="4" t="s">
        <v>34</v>
      </c>
      <c r="I77" s="4">
        <v>0.8</v>
      </c>
      <c r="J77" s="4">
        <v>12.43</v>
      </c>
      <c r="K77" s="8">
        <f t="shared" si="12"/>
        <v>9.9440000000000008</v>
      </c>
    </row>
    <row r="78" spans="1:11" x14ac:dyDescent="0.3">
      <c r="B78" s="4" t="s">
        <v>34</v>
      </c>
      <c r="C78" s="4">
        <v>0.4</v>
      </c>
      <c r="D78" s="4">
        <v>12.43</v>
      </c>
      <c r="E78" s="8">
        <f t="shared" si="13"/>
        <v>4.9720000000000004</v>
      </c>
      <c r="H78" s="4" t="s">
        <v>35</v>
      </c>
      <c r="I78" s="4">
        <v>4</v>
      </c>
      <c r="J78" s="4">
        <v>1.89</v>
      </c>
      <c r="K78" s="8">
        <f t="shared" si="12"/>
        <v>7.56</v>
      </c>
    </row>
    <row r="79" spans="1:11" x14ac:dyDescent="0.3">
      <c r="B79" s="4" t="s">
        <v>35</v>
      </c>
      <c r="C79" s="4">
        <v>4</v>
      </c>
      <c r="D79" s="4">
        <v>1.89</v>
      </c>
      <c r="E79" s="8">
        <f t="shared" si="13"/>
        <v>7.56</v>
      </c>
      <c r="H79" s="4" t="s">
        <v>36</v>
      </c>
      <c r="I79" s="4">
        <v>4</v>
      </c>
      <c r="J79" s="4">
        <v>0.24</v>
      </c>
      <c r="K79" s="8">
        <f t="shared" si="12"/>
        <v>0.96</v>
      </c>
    </row>
    <row r="80" spans="1:11" x14ac:dyDescent="0.3">
      <c r="B80" s="4" t="s">
        <v>36</v>
      </c>
      <c r="C80" s="4">
        <v>4</v>
      </c>
      <c r="D80" s="4">
        <v>0.24</v>
      </c>
      <c r="E80" s="8">
        <f t="shared" si="13"/>
        <v>0.96</v>
      </c>
      <c r="K80" s="9">
        <f>SUM(K72:K79)</f>
        <v>470.40470999999997</v>
      </c>
    </row>
    <row r="81" spans="1:11" x14ac:dyDescent="0.3">
      <c r="E81" s="8">
        <f>SUM(E75:E80)</f>
        <v>271.24613999999997</v>
      </c>
      <c r="H81" s="4" t="s">
        <v>37</v>
      </c>
      <c r="I81">
        <v>1.5</v>
      </c>
      <c r="K81" s="8">
        <v>127.5</v>
      </c>
    </row>
    <row r="82" spans="1:11" x14ac:dyDescent="0.3">
      <c r="B82" s="4" t="s">
        <v>37</v>
      </c>
      <c r="C82">
        <v>85</v>
      </c>
      <c r="E82" s="8">
        <v>85</v>
      </c>
      <c r="K82" s="8">
        <f>SUM(K80:K81)</f>
        <v>597.90471000000002</v>
      </c>
    </row>
    <row r="83" spans="1:11" x14ac:dyDescent="0.3">
      <c r="E83" s="8">
        <f>SUM(E81:E82)</f>
        <v>356.24613999999997</v>
      </c>
    </row>
    <row r="85" spans="1:11" x14ac:dyDescent="0.3">
      <c r="I85" s="4" t="s">
        <v>28</v>
      </c>
      <c r="J85" s="4" t="s">
        <v>29</v>
      </c>
      <c r="K85" s="4" t="s">
        <v>30</v>
      </c>
    </row>
    <row r="86" spans="1:11" x14ac:dyDescent="0.3">
      <c r="C86" s="4" t="s">
        <v>28</v>
      </c>
      <c r="D86" s="4" t="s">
        <v>29</v>
      </c>
      <c r="E86" s="4" t="s">
        <v>30</v>
      </c>
      <c r="G86" t="s">
        <v>123</v>
      </c>
      <c r="H86" s="4" t="s">
        <v>32</v>
      </c>
      <c r="I86" s="4">
        <v>3.0779999999999998</v>
      </c>
      <c r="J86" s="4">
        <v>30.59</v>
      </c>
      <c r="K86" s="8">
        <f t="shared" ref="K86:K93" si="14">I86*J86</f>
        <v>94.156019999999998</v>
      </c>
    </row>
    <row r="87" spans="1:11" x14ac:dyDescent="0.3">
      <c r="A87" t="s">
        <v>124</v>
      </c>
      <c r="B87" s="4" t="s">
        <v>32</v>
      </c>
      <c r="C87" s="4">
        <v>3.4980000000000002</v>
      </c>
      <c r="D87" s="4">
        <v>19.38</v>
      </c>
      <c r="E87" s="8">
        <f t="shared" ref="E87:E92" si="15">C87*D87</f>
        <v>67.791240000000002</v>
      </c>
      <c r="G87" t="s">
        <v>117</v>
      </c>
      <c r="H87" s="4" t="s">
        <v>33</v>
      </c>
      <c r="I87" s="4">
        <v>19.75</v>
      </c>
      <c r="J87" s="4">
        <v>9.83</v>
      </c>
      <c r="K87" s="8">
        <f t="shared" si="14"/>
        <v>194.14250000000001</v>
      </c>
    </row>
    <row r="88" spans="1:11" x14ac:dyDescent="0.3">
      <c r="A88" t="s">
        <v>117</v>
      </c>
      <c r="B88" s="4" t="s">
        <v>33</v>
      </c>
      <c r="C88" s="4">
        <v>23.74</v>
      </c>
      <c r="D88" s="4">
        <v>9.83</v>
      </c>
      <c r="E88" s="8">
        <f t="shared" si="15"/>
        <v>233.36419999999998</v>
      </c>
      <c r="G88" t="s">
        <v>60</v>
      </c>
      <c r="H88" s="4" t="s">
        <v>33</v>
      </c>
      <c r="I88" s="4">
        <v>20.065000000000001</v>
      </c>
      <c r="J88" s="4">
        <v>9.83</v>
      </c>
      <c r="K88" s="8">
        <f t="shared" si="14"/>
        <v>197.23895000000002</v>
      </c>
    </row>
    <row r="89" spans="1:11" x14ac:dyDescent="0.3">
      <c r="B89" s="4" t="s">
        <v>87</v>
      </c>
      <c r="C89" s="4">
        <v>2</v>
      </c>
      <c r="D89" s="4">
        <v>1.98</v>
      </c>
      <c r="E89" s="8">
        <f t="shared" si="15"/>
        <v>3.96</v>
      </c>
      <c r="H89" s="4" t="s">
        <v>128</v>
      </c>
      <c r="I89" s="4">
        <v>2</v>
      </c>
      <c r="J89" s="4">
        <v>1.98</v>
      </c>
      <c r="K89" s="8">
        <f t="shared" si="14"/>
        <v>3.96</v>
      </c>
    </row>
    <row r="90" spans="1:11" x14ac:dyDescent="0.3">
      <c r="B90" s="4" t="s">
        <v>34</v>
      </c>
      <c r="C90" s="4">
        <v>0.4</v>
      </c>
      <c r="D90" s="4">
        <v>12.43</v>
      </c>
      <c r="E90" s="8">
        <f t="shared" si="15"/>
        <v>4.9720000000000004</v>
      </c>
      <c r="H90" s="4" t="s">
        <v>100</v>
      </c>
      <c r="I90" s="4">
        <v>2</v>
      </c>
      <c r="J90" s="4">
        <v>4.5</v>
      </c>
      <c r="K90" s="4">
        <f t="shared" si="14"/>
        <v>9</v>
      </c>
    </row>
    <row r="91" spans="1:11" x14ac:dyDescent="0.3">
      <c r="B91" s="4" t="s">
        <v>35</v>
      </c>
      <c r="C91" s="4">
        <v>4</v>
      </c>
      <c r="D91" s="4">
        <v>1.89</v>
      </c>
      <c r="E91" s="8">
        <f t="shared" si="15"/>
        <v>7.56</v>
      </c>
      <c r="H91" s="4" t="s">
        <v>34</v>
      </c>
      <c r="I91" s="4">
        <v>0.8</v>
      </c>
      <c r="J91" s="4">
        <v>12.43</v>
      </c>
      <c r="K91" s="8">
        <f t="shared" si="14"/>
        <v>9.9440000000000008</v>
      </c>
    </row>
    <row r="92" spans="1:11" x14ac:dyDescent="0.3">
      <c r="B92" s="4" t="s">
        <v>36</v>
      </c>
      <c r="C92" s="4">
        <v>4</v>
      </c>
      <c r="D92" s="4">
        <v>0.24</v>
      </c>
      <c r="E92" s="8">
        <f t="shared" si="15"/>
        <v>0.96</v>
      </c>
      <c r="H92" s="4" t="s">
        <v>35</v>
      </c>
      <c r="I92" s="4">
        <v>4</v>
      </c>
      <c r="J92" s="4">
        <v>1.89</v>
      </c>
      <c r="K92" s="8">
        <f t="shared" si="14"/>
        <v>7.56</v>
      </c>
    </row>
    <row r="93" spans="1:11" x14ac:dyDescent="0.3">
      <c r="E93" s="8">
        <f>SUM(E87:E92)</f>
        <v>318.60743999999994</v>
      </c>
      <c r="H93" s="4" t="s">
        <v>36</v>
      </c>
      <c r="I93" s="4">
        <v>4</v>
      </c>
      <c r="J93" s="4">
        <v>0.24</v>
      </c>
      <c r="K93" s="8">
        <f t="shared" si="14"/>
        <v>0.96</v>
      </c>
    </row>
    <row r="94" spans="1:11" x14ac:dyDescent="0.3">
      <c r="B94" s="4" t="s">
        <v>37</v>
      </c>
      <c r="C94">
        <v>35</v>
      </c>
      <c r="D94">
        <v>1.41</v>
      </c>
      <c r="E94" s="8">
        <f>C94*D94</f>
        <v>49.349999999999994</v>
      </c>
      <c r="K94" s="9">
        <f>SUM(K86:K93)</f>
        <v>516.96146999999996</v>
      </c>
    </row>
    <row r="95" spans="1:11" x14ac:dyDescent="0.3">
      <c r="E95" s="8">
        <f>SUM(E93:E94)</f>
        <v>367.95743999999991</v>
      </c>
      <c r="H95" s="4" t="s">
        <v>37</v>
      </c>
      <c r="I95">
        <v>45</v>
      </c>
      <c r="J95">
        <v>1.41</v>
      </c>
      <c r="K95" s="8">
        <f>I95*J95</f>
        <v>63.449999999999996</v>
      </c>
    </row>
    <row r="96" spans="1:11" x14ac:dyDescent="0.3">
      <c r="K96" s="8">
        <f>SUM(K94:K95)</f>
        <v>580.41147000000001</v>
      </c>
    </row>
    <row r="99" spans="7:11" x14ac:dyDescent="0.3">
      <c r="I99" s="4" t="s">
        <v>28</v>
      </c>
      <c r="J99" s="4" t="s">
        <v>29</v>
      </c>
      <c r="K99" s="4" t="s">
        <v>30</v>
      </c>
    </row>
    <row r="100" spans="7:11" x14ac:dyDescent="0.3">
      <c r="G100" t="s">
        <v>124</v>
      </c>
      <c r="H100" s="4" t="s">
        <v>32</v>
      </c>
      <c r="I100" s="4">
        <v>3.4980000000000002</v>
      </c>
      <c r="J100" s="4">
        <v>30.59</v>
      </c>
      <c r="K100" s="8">
        <f t="shared" ref="K100:K107" si="16">I100*J100</f>
        <v>107.00382</v>
      </c>
    </row>
    <row r="101" spans="7:11" x14ac:dyDescent="0.3">
      <c r="G101" t="s">
        <v>117</v>
      </c>
      <c r="H101" s="4" t="s">
        <v>33</v>
      </c>
      <c r="I101" s="4">
        <v>23.74</v>
      </c>
      <c r="J101" s="4">
        <v>9.83</v>
      </c>
      <c r="K101" s="8">
        <f t="shared" si="16"/>
        <v>233.36419999999998</v>
      </c>
    </row>
    <row r="102" spans="7:11" x14ac:dyDescent="0.3">
      <c r="G102" t="s">
        <v>61</v>
      </c>
      <c r="H102" s="4" t="s">
        <v>33</v>
      </c>
      <c r="I102" s="4">
        <v>24.16</v>
      </c>
      <c r="J102" s="4">
        <v>9.83</v>
      </c>
      <c r="K102" s="8">
        <f t="shared" si="16"/>
        <v>237.49280000000002</v>
      </c>
    </row>
    <row r="103" spans="7:11" x14ac:dyDescent="0.3">
      <c r="H103" s="4" t="s">
        <v>128</v>
      </c>
      <c r="I103" s="4">
        <v>2</v>
      </c>
      <c r="J103" s="4">
        <v>1.98</v>
      </c>
      <c r="K103" s="8">
        <f t="shared" si="16"/>
        <v>3.96</v>
      </c>
    </row>
    <row r="104" spans="7:11" x14ac:dyDescent="0.3">
      <c r="H104" s="4" t="s">
        <v>101</v>
      </c>
      <c r="I104" s="4">
        <v>2</v>
      </c>
      <c r="J104" s="4">
        <v>6</v>
      </c>
      <c r="K104" s="4">
        <f t="shared" si="16"/>
        <v>12</v>
      </c>
    </row>
    <row r="105" spans="7:11" x14ac:dyDescent="0.3">
      <c r="H105" s="4" t="s">
        <v>34</v>
      </c>
      <c r="I105" s="4">
        <v>0.8</v>
      </c>
      <c r="J105" s="4">
        <v>12.43</v>
      </c>
      <c r="K105" s="8">
        <f t="shared" si="16"/>
        <v>9.9440000000000008</v>
      </c>
    </row>
    <row r="106" spans="7:11" x14ac:dyDescent="0.3">
      <c r="H106" s="4" t="s">
        <v>35</v>
      </c>
      <c r="I106" s="4">
        <v>4</v>
      </c>
      <c r="J106" s="4">
        <v>1.89</v>
      </c>
      <c r="K106" s="8">
        <f t="shared" si="16"/>
        <v>7.56</v>
      </c>
    </row>
    <row r="107" spans="7:11" x14ac:dyDescent="0.3">
      <c r="H107" s="4" t="s">
        <v>36</v>
      </c>
      <c r="I107" s="4">
        <v>4</v>
      </c>
      <c r="J107" s="4">
        <v>0.24</v>
      </c>
      <c r="K107" s="8">
        <f t="shared" si="16"/>
        <v>0.96</v>
      </c>
    </row>
    <row r="108" spans="7:11" x14ac:dyDescent="0.3">
      <c r="K108" s="9">
        <f>SUM(K100:K107)</f>
        <v>612.28481999999997</v>
      </c>
    </row>
    <row r="109" spans="7:11" x14ac:dyDescent="0.3">
      <c r="H109" s="4" t="s">
        <v>37</v>
      </c>
      <c r="I109">
        <v>45</v>
      </c>
      <c r="J109">
        <v>1.41</v>
      </c>
      <c r="K109" s="8">
        <f>I109*J109</f>
        <v>63.449999999999996</v>
      </c>
    </row>
    <row r="110" spans="7:11" x14ac:dyDescent="0.3">
      <c r="K110" s="8">
        <f>SUM(K108:K109)</f>
        <v>675.73482000000001</v>
      </c>
    </row>
    <row r="113" spans="7:11" x14ac:dyDescent="0.3">
      <c r="G113" t="s">
        <v>281</v>
      </c>
      <c r="I113" s="4" t="s">
        <v>28</v>
      </c>
      <c r="J113" s="4" t="s">
        <v>29</v>
      </c>
      <c r="K113" s="4" t="s">
        <v>30</v>
      </c>
    </row>
    <row r="114" spans="7:11" x14ac:dyDescent="0.3">
      <c r="G114" t="s">
        <v>282</v>
      </c>
      <c r="H114" s="4" t="s">
        <v>32</v>
      </c>
      <c r="I114" s="4">
        <v>6.4390000000000001</v>
      </c>
      <c r="J114" s="4">
        <v>30.59</v>
      </c>
      <c r="K114" s="8">
        <f t="shared" ref="K114:K121" si="17">I114*J114</f>
        <v>196.96901</v>
      </c>
    </row>
    <row r="115" spans="7:11" x14ac:dyDescent="0.3">
      <c r="G115" t="s">
        <v>282</v>
      </c>
      <c r="H115" s="4" t="s">
        <v>33</v>
      </c>
      <c r="I115" s="4">
        <v>117.33799999999999</v>
      </c>
      <c r="J115" s="4">
        <v>9.83</v>
      </c>
      <c r="K115" s="8">
        <f t="shared" si="17"/>
        <v>1153.43254</v>
      </c>
    </row>
    <row r="116" spans="7:11" x14ac:dyDescent="0.3">
      <c r="H116" s="4" t="s">
        <v>33</v>
      </c>
      <c r="I116" s="4">
        <v>117.33799999999999</v>
      </c>
      <c r="J116" s="4">
        <v>9.83</v>
      </c>
      <c r="K116" s="8">
        <f t="shared" si="17"/>
        <v>1153.43254</v>
      </c>
    </row>
    <row r="117" spans="7:11" x14ac:dyDescent="0.3">
      <c r="H117" s="4" t="s">
        <v>128</v>
      </c>
      <c r="I117" s="4">
        <v>2</v>
      </c>
      <c r="J117" s="4">
        <v>6.72</v>
      </c>
      <c r="K117" s="8">
        <f t="shared" si="17"/>
        <v>13.44</v>
      </c>
    </row>
    <row r="118" spans="7:11" x14ac:dyDescent="0.3">
      <c r="H118" s="4" t="s">
        <v>101</v>
      </c>
      <c r="I118" s="4">
        <v>2</v>
      </c>
      <c r="J118" s="4">
        <v>6.72</v>
      </c>
      <c r="K118" s="4">
        <f t="shared" si="17"/>
        <v>13.44</v>
      </c>
    </row>
    <row r="119" spans="7:11" x14ac:dyDescent="0.3">
      <c r="H119" s="4" t="s">
        <v>34</v>
      </c>
      <c r="I119" s="4">
        <v>4.7300000000000004</v>
      </c>
      <c r="J119" s="4">
        <v>12.43</v>
      </c>
      <c r="K119" s="8">
        <f t="shared" si="17"/>
        <v>58.793900000000001</v>
      </c>
    </row>
    <row r="120" spans="7:11" x14ac:dyDescent="0.3">
      <c r="H120" s="4" t="s">
        <v>35</v>
      </c>
      <c r="I120" s="4">
        <v>8</v>
      </c>
      <c r="J120" s="4">
        <v>1.89</v>
      </c>
      <c r="K120" s="8">
        <f t="shared" si="17"/>
        <v>15.12</v>
      </c>
    </row>
    <row r="121" spans="7:11" x14ac:dyDescent="0.3">
      <c r="H121" s="4" t="s">
        <v>36</v>
      </c>
      <c r="I121" s="4">
        <v>4</v>
      </c>
      <c r="J121" s="4">
        <v>0.24</v>
      </c>
      <c r="K121" s="8">
        <f t="shared" si="17"/>
        <v>0.96</v>
      </c>
    </row>
    <row r="122" spans="7:11" x14ac:dyDescent="0.3">
      <c r="K122" s="9">
        <f>SUM(K114:K121)</f>
        <v>2605.5879900000004</v>
      </c>
    </row>
    <row r="123" spans="7:11" x14ac:dyDescent="0.3">
      <c r="H123" s="4" t="s">
        <v>37</v>
      </c>
      <c r="I123" t="s">
        <v>283</v>
      </c>
      <c r="J123">
        <v>85</v>
      </c>
      <c r="K123" s="8">
        <v>255</v>
      </c>
    </row>
    <row r="124" spans="7:11" x14ac:dyDescent="0.3">
      <c r="K124" s="9">
        <f>SUM(K122:K123)</f>
        <v>2860.5879900000004</v>
      </c>
    </row>
    <row r="128" spans="7:11" x14ac:dyDescent="0.3">
      <c r="G128" t="s">
        <v>284</v>
      </c>
      <c r="I128" s="4" t="s">
        <v>28</v>
      </c>
      <c r="J128" s="4" t="s">
        <v>29</v>
      </c>
      <c r="K128" s="4" t="s">
        <v>30</v>
      </c>
    </row>
    <row r="129" spans="7:11" x14ac:dyDescent="0.3">
      <c r="G129" t="s">
        <v>285</v>
      </c>
      <c r="H129" s="4" t="s">
        <v>32</v>
      </c>
      <c r="I129" s="4">
        <v>5.1790000000000003</v>
      </c>
      <c r="J129" s="4">
        <v>30.59</v>
      </c>
      <c r="K129" s="8">
        <f t="shared" ref="K129:K136" si="18">I129*J129</f>
        <v>158.42561000000001</v>
      </c>
    </row>
    <row r="130" spans="7:11" x14ac:dyDescent="0.3">
      <c r="G130" t="s">
        <v>286</v>
      </c>
      <c r="H130" s="4" t="s">
        <v>33</v>
      </c>
      <c r="I130" s="4">
        <v>75</v>
      </c>
      <c r="J130" s="4">
        <v>9.83</v>
      </c>
      <c r="K130" s="8">
        <f t="shared" si="18"/>
        <v>737.25</v>
      </c>
    </row>
    <row r="131" spans="7:11" x14ac:dyDescent="0.3">
      <c r="H131" s="4" t="s">
        <v>33</v>
      </c>
      <c r="I131" s="4">
        <v>75</v>
      </c>
      <c r="J131" s="4">
        <v>9.83</v>
      </c>
      <c r="K131" s="8">
        <f t="shared" si="18"/>
        <v>737.25</v>
      </c>
    </row>
    <row r="132" spans="7:11" x14ac:dyDescent="0.3">
      <c r="H132" s="4" t="s">
        <v>128</v>
      </c>
      <c r="I132" s="4">
        <v>2</v>
      </c>
      <c r="J132" s="4">
        <v>6.72</v>
      </c>
      <c r="K132" s="8">
        <f t="shared" si="18"/>
        <v>13.44</v>
      </c>
    </row>
    <row r="133" spans="7:11" x14ac:dyDescent="0.3">
      <c r="H133" s="4" t="s">
        <v>101</v>
      </c>
      <c r="I133" s="4">
        <v>2</v>
      </c>
      <c r="J133" s="4">
        <v>6.72</v>
      </c>
      <c r="K133" s="4">
        <f t="shared" si="18"/>
        <v>13.44</v>
      </c>
    </row>
    <row r="134" spans="7:11" x14ac:dyDescent="0.3">
      <c r="H134" s="4" t="s">
        <v>34</v>
      </c>
      <c r="I134" s="4">
        <v>4.7300000000000004</v>
      </c>
      <c r="J134" s="4">
        <v>12.43</v>
      </c>
      <c r="K134" s="8">
        <f t="shared" si="18"/>
        <v>58.793900000000001</v>
      </c>
    </row>
    <row r="135" spans="7:11" x14ac:dyDescent="0.3">
      <c r="H135" s="4" t="s">
        <v>35</v>
      </c>
      <c r="I135" s="4">
        <v>8</v>
      </c>
      <c r="J135" s="4">
        <v>1.89</v>
      </c>
      <c r="K135" s="8">
        <f t="shared" si="18"/>
        <v>15.12</v>
      </c>
    </row>
    <row r="136" spans="7:11" x14ac:dyDescent="0.3">
      <c r="H136" s="4" t="s">
        <v>36</v>
      </c>
      <c r="I136" s="4">
        <v>4</v>
      </c>
      <c r="J136" s="4">
        <v>0.24</v>
      </c>
      <c r="K136" s="8">
        <f t="shared" si="18"/>
        <v>0.96</v>
      </c>
    </row>
    <row r="137" spans="7:11" x14ac:dyDescent="0.3">
      <c r="K137" s="9">
        <f>SUM(K129:K136)</f>
        <v>1734.6795099999999</v>
      </c>
    </row>
    <row r="138" spans="7:11" x14ac:dyDescent="0.3">
      <c r="H138" s="4" t="s">
        <v>37</v>
      </c>
      <c r="I138" t="s">
        <v>283</v>
      </c>
      <c r="J138">
        <v>85</v>
      </c>
      <c r="K138" s="8">
        <v>255</v>
      </c>
    </row>
    <row r="139" spans="7:11" x14ac:dyDescent="0.3">
      <c r="K139" s="9">
        <f>SUM(K137:K138)</f>
        <v>1989.6795099999999</v>
      </c>
    </row>
  </sheetData>
  <pageMargins left="0" right="0" top="0.15748031496062992" bottom="0.15748031496062992" header="0.31496062992125984" footer="0.31496062992125984"/>
  <pageSetup paperSize="9" scale="85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R182"/>
  <sheetViews>
    <sheetView topLeftCell="A88" workbookViewId="0">
      <selection activeCell="D106" sqref="D106"/>
    </sheetView>
  </sheetViews>
  <sheetFormatPr baseColWidth="10" defaultColWidth="9.109375" defaultRowHeight="14.4" x14ac:dyDescent="0.3"/>
  <cols>
    <col min="1" max="1" width="10.5546875" customWidth="1"/>
    <col min="2" max="2" width="9.109375" customWidth="1"/>
    <col min="3" max="3" width="9.33203125" customWidth="1"/>
    <col min="4" max="4" width="9.44140625" customWidth="1"/>
    <col min="5" max="5" width="10.44140625" customWidth="1"/>
    <col min="6" max="6" width="5.109375" customWidth="1"/>
    <col min="11" max="11" width="10.33203125" customWidth="1"/>
  </cols>
  <sheetData>
    <row r="1" spans="1:11" ht="18" x14ac:dyDescent="0.35">
      <c r="A1" s="5" t="s">
        <v>129</v>
      </c>
    </row>
    <row r="3" spans="1:11" x14ac:dyDescent="0.3">
      <c r="A3" t="s">
        <v>135</v>
      </c>
      <c r="G3" t="s">
        <v>271</v>
      </c>
    </row>
    <row r="4" spans="1:11" x14ac:dyDescent="0.3">
      <c r="C4" s="4" t="s">
        <v>28</v>
      </c>
      <c r="D4" s="4" t="s">
        <v>29</v>
      </c>
      <c r="E4" s="4" t="s">
        <v>30</v>
      </c>
      <c r="I4" s="4" t="s">
        <v>28</v>
      </c>
      <c r="J4" s="4" t="s">
        <v>29</v>
      </c>
      <c r="K4" s="4" t="s">
        <v>30</v>
      </c>
    </row>
    <row r="5" spans="1:11" x14ac:dyDescent="0.3">
      <c r="A5" t="s">
        <v>31</v>
      </c>
      <c r="B5" s="4" t="s">
        <v>32</v>
      </c>
      <c r="C5" s="4">
        <v>0.76800000000000002</v>
      </c>
      <c r="D5" s="4">
        <v>19.89</v>
      </c>
      <c r="E5" s="8">
        <f t="shared" ref="E5:E10" si="0">C5*D5</f>
        <v>15.27552</v>
      </c>
      <c r="G5" t="s">
        <v>31</v>
      </c>
      <c r="H5" s="4" t="s">
        <v>32</v>
      </c>
      <c r="I5" s="4">
        <v>0.76800000000000002</v>
      </c>
      <c r="J5" s="4">
        <v>31.41</v>
      </c>
      <c r="K5" s="8">
        <f t="shared" ref="K5:K12" si="1">I5*J5</f>
        <v>24.122880000000002</v>
      </c>
    </row>
    <row r="6" spans="1:11" x14ac:dyDescent="0.3">
      <c r="A6" t="s">
        <v>39</v>
      </c>
      <c r="B6" s="4" t="s">
        <v>33</v>
      </c>
      <c r="C6" s="4">
        <v>0.79800000000000004</v>
      </c>
      <c r="D6" s="4">
        <v>11.03</v>
      </c>
      <c r="E6" s="8">
        <f t="shared" si="0"/>
        <v>8.8019400000000001</v>
      </c>
      <c r="G6" t="s">
        <v>39</v>
      </c>
      <c r="H6" s="4" t="s">
        <v>33</v>
      </c>
      <c r="I6" s="4">
        <v>0.79800000000000004</v>
      </c>
      <c r="J6" s="4">
        <v>11.03</v>
      </c>
      <c r="K6" s="8">
        <f t="shared" si="1"/>
        <v>8.8019400000000001</v>
      </c>
    </row>
    <row r="7" spans="1:11" x14ac:dyDescent="0.3">
      <c r="B7" s="4" t="s">
        <v>42</v>
      </c>
      <c r="C7" s="4">
        <v>2</v>
      </c>
      <c r="D7" s="4">
        <v>1.24</v>
      </c>
      <c r="E7" s="8">
        <f t="shared" si="0"/>
        <v>2.48</v>
      </c>
      <c r="G7" t="s">
        <v>52</v>
      </c>
      <c r="H7" s="4" t="s">
        <v>33</v>
      </c>
      <c r="I7" s="4">
        <v>0.85</v>
      </c>
      <c r="J7" s="4">
        <v>11.03</v>
      </c>
      <c r="K7" s="8">
        <f t="shared" si="1"/>
        <v>9.3754999999999988</v>
      </c>
    </row>
    <row r="8" spans="1:11" x14ac:dyDescent="0.3">
      <c r="B8" s="4" t="s">
        <v>34</v>
      </c>
      <c r="C8" s="4"/>
      <c r="D8" s="4"/>
      <c r="E8" s="8">
        <f t="shared" si="0"/>
        <v>0</v>
      </c>
      <c r="H8" s="4" t="s">
        <v>42</v>
      </c>
      <c r="I8" s="4">
        <v>2</v>
      </c>
      <c r="J8" s="4">
        <v>1.24</v>
      </c>
      <c r="K8" s="8">
        <f t="shared" si="1"/>
        <v>2.48</v>
      </c>
    </row>
    <row r="9" spans="1:11" x14ac:dyDescent="0.3">
      <c r="B9" s="4" t="s">
        <v>35</v>
      </c>
      <c r="C9" s="4">
        <v>4</v>
      </c>
      <c r="D9" s="4">
        <v>1.89</v>
      </c>
      <c r="E9" s="8">
        <f t="shared" si="0"/>
        <v>7.56</v>
      </c>
      <c r="H9" s="4" t="s">
        <v>85</v>
      </c>
      <c r="I9" s="10">
        <v>2</v>
      </c>
      <c r="J9" s="10">
        <v>1.36</v>
      </c>
      <c r="K9" s="11">
        <f t="shared" si="1"/>
        <v>2.72</v>
      </c>
    </row>
    <row r="10" spans="1:11" x14ac:dyDescent="0.3">
      <c r="B10" s="4" t="s">
        <v>36</v>
      </c>
      <c r="C10" s="4">
        <v>4</v>
      </c>
      <c r="D10" s="4">
        <v>0.24</v>
      </c>
      <c r="E10" s="8">
        <f t="shared" si="0"/>
        <v>0.96</v>
      </c>
      <c r="H10" s="4" t="s">
        <v>34</v>
      </c>
      <c r="I10" s="4"/>
      <c r="J10" s="4"/>
      <c r="K10" s="8">
        <f t="shared" si="1"/>
        <v>0</v>
      </c>
    </row>
    <row r="11" spans="1:11" x14ac:dyDescent="0.3">
      <c r="E11" s="8">
        <f>SUM(E5:E10)</f>
        <v>35.077460000000002</v>
      </c>
      <c r="H11" s="4" t="s">
        <v>35</v>
      </c>
      <c r="I11" s="4">
        <v>4</v>
      </c>
      <c r="J11" s="4">
        <v>1.89</v>
      </c>
      <c r="K11" s="8">
        <f t="shared" si="1"/>
        <v>7.56</v>
      </c>
    </row>
    <row r="12" spans="1:11" x14ac:dyDescent="0.3">
      <c r="B12" s="4" t="s">
        <v>37</v>
      </c>
      <c r="C12">
        <v>15</v>
      </c>
      <c r="D12">
        <v>1.41</v>
      </c>
      <c r="E12" s="8">
        <f>C12*D12</f>
        <v>21.15</v>
      </c>
      <c r="H12" s="4" t="s">
        <v>36</v>
      </c>
      <c r="I12" s="4">
        <v>4</v>
      </c>
      <c r="J12" s="4">
        <v>0.24</v>
      </c>
      <c r="K12" s="8">
        <f t="shared" si="1"/>
        <v>0.96</v>
      </c>
    </row>
    <row r="13" spans="1:11" x14ac:dyDescent="0.3">
      <c r="E13" s="8">
        <f>SUM(E11:E12)</f>
        <v>56.227460000000001</v>
      </c>
      <c r="K13" s="8">
        <f>SUM(K5:K12)</f>
        <v>56.020319999999998</v>
      </c>
    </row>
    <row r="14" spans="1:11" x14ac:dyDescent="0.3">
      <c r="H14" s="4" t="s">
        <v>37</v>
      </c>
      <c r="I14">
        <v>15</v>
      </c>
      <c r="J14">
        <v>1.41</v>
      </c>
      <c r="K14" s="8">
        <f>I14*J14</f>
        <v>21.15</v>
      </c>
    </row>
    <row r="15" spans="1:11" x14ac:dyDescent="0.3">
      <c r="K15" s="8">
        <f>SUM(K13:K14)</f>
        <v>77.170320000000004</v>
      </c>
    </row>
    <row r="18" spans="1:11" x14ac:dyDescent="0.3">
      <c r="I18" s="4" t="s">
        <v>28</v>
      </c>
      <c r="J18" s="4" t="s">
        <v>29</v>
      </c>
      <c r="K18" s="4" t="s">
        <v>30</v>
      </c>
    </row>
    <row r="19" spans="1:11" x14ac:dyDescent="0.3">
      <c r="C19" s="4" t="s">
        <v>28</v>
      </c>
      <c r="D19" s="4" t="s">
        <v>29</v>
      </c>
      <c r="E19" s="4" t="s">
        <v>30</v>
      </c>
      <c r="G19" t="s">
        <v>38</v>
      </c>
      <c r="H19" s="4" t="s">
        <v>32</v>
      </c>
      <c r="I19" s="4">
        <v>1.026</v>
      </c>
      <c r="J19" s="4">
        <v>31.41</v>
      </c>
      <c r="K19" s="8">
        <f t="shared" ref="K19:K26" si="2">I19*J19</f>
        <v>32.226660000000003</v>
      </c>
    </row>
    <row r="20" spans="1:11" x14ac:dyDescent="0.3">
      <c r="A20" t="s">
        <v>38</v>
      </c>
      <c r="B20" s="4" t="s">
        <v>32</v>
      </c>
      <c r="C20" s="4">
        <v>0.97799999999999998</v>
      </c>
      <c r="D20" s="4">
        <v>19.89</v>
      </c>
      <c r="E20" s="8">
        <f t="shared" ref="E20:E25" si="3">C20*D20</f>
        <v>19.45242</v>
      </c>
      <c r="G20" t="s">
        <v>39</v>
      </c>
      <c r="H20" s="4" t="s">
        <v>33</v>
      </c>
      <c r="I20" s="4">
        <v>1.276</v>
      </c>
      <c r="J20" s="4">
        <v>11.03</v>
      </c>
      <c r="K20" s="8">
        <f t="shared" si="2"/>
        <v>14.07428</v>
      </c>
    </row>
    <row r="21" spans="1:11" x14ac:dyDescent="0.3">
      <c r="A21" t="s">
        <v>39</v>
      </c>
      <c r="B21" s="4" t="s">
        <v>33</v>
      </c>
      <c r="C21" s="4">
        <v>1.218</v>
      </c>
      <c r="D21" s="4">
        <v>11.03</v>
      </c>
      <c r="E21" s="8">
        <f t="shared" si="3"/>
        <v>13.434539999999998</v>
      </c>
      <c r="G21" t="s">
        <v>53</v>
      </c>
      <c r="H21" s="4" t="s">
        <v>33</v>
      </c>
      <c r="I21" s="4">
        <v>1.3859999999999999</v>
      </c>
      <c r="J21" s="4">
        <v>11.03</v>
      </c>
      <c r="K21" s="8">
        <f t="shared" si="2"/>
        <v>15.287579999999998</v>
      </c>
    </row>
    <row r="22" spans="1:11" x14ac:dyDescent="0.3">
      <c r="B22" s="4" t="s">
        <v>42</v>
      </c>
      <c r="C22" s="4">
        <v>2</v>
      </c>
      <c r="D22" s="4">
        <v>1.24</v>
      </c>
      <c r="E22" s="8">
        <f t="shared" si="3"/>
        <v>2.48</v>
      </c>
      <c r="H22" s="4" t="s">
        <v>42</v>
      </c>
      <c r="I22" s="4">
        <v>2</v>
      </c>
      <c r="J22" s="4">
        <v>1.24</v>
      </c>
      <c r="K22" s="8">
        <f t="shared" si="2"/>
        <v>2.48</v>
      </c>
    </row>
    <row r="23" spans="1:11" x14ac:dyDescent="0.3">
      <c r="B23" s="4" t="s">
        <v>34</v>
      </c>
      <c r="C23" s="4"/>
      <c r="D23" s="4"/>
      <c r="E23" s="8">
        <f t="shared" si="3"/>
        <v>0</v>
      </c>
      <c r="H23" s="4" t="s">
        <v>86</v>
      </c>
      <c r="I23" s="10">
        <v>2</v>
      </c>
      <c r="J23" s="10">
        <v>1.86</v>
      </c>
      <c r="K23" s="11">
        <f t="shared" si="2"/>
        <v>3.72</v>
      </c>
    </row>
    <row r="24" spans="1:11" x14ac:dyDescent="0.3">
      <c r="B24" s="4" t="s">
        <v>35</v>
      </c>
      <c r="C24" s="4">
        <v>4</v>
      </c>
      <c r="D24" s="4">
        <v>1.89</v>
      </c>
      <c r="E24" s="8">
        <f t="shared" si="3"/>
        <v>7.56</v>
      </c>
      <c r="H24" s="4" t="s">
        <v>34</v>
      </c>
      <c r="I24" s="4"/>
      <c r="J24" s="4"/>
      <c r="K24" s="8">
        <f t="shared" si="2"/>
        <v>0</v>
      </c>
    </row>
    <row r="25" spans="1:11" x14ac:dyDescent="0.3">
      <c r="B25" s="4" t="s">
        <v>36</v>
      </c>
      <c r="C25" s="4">
        <v>4</v>
      </c>
      <c r="D25" s="4">
        <v>0.24</v>
      </c>
      <c r="E25" s="8">
        <f t="shared" si="3"/>
        <v>0.96</v>
      </c>
      <c r="H25" s="4" t="s">
        <v>35</v>
      </c>
      <c r="I25" s="4">
        <v>4</v>
      </c>
      <c r="J25" s="4">
        <v>1.89</v>
      </c>
      <c r="K25" s="8">
        <f t="shared" si="2"/>
        <v>7.56</v>
      </c>
    </row>
    <row r="26" spans="1:11" x14ac:dyDescent="0.3">
      <c r="E26" s="9">
        <f>SUM(E20:E25)</f>
        <v>43.886960000000002</v>
      </c>
      <c r="H26" s="4" t="s">
        <v>36</v>
      </c>
      <c r="I26" s="4">
        <v>4</v>
      </c>
      <c r="J26" s="4">
        <v>0.24</v>
      </c>
      <c r="K26" s="8">
        <f t="shared" si="2"/>
        <v>0.96</v>
      </c>
    </row>
    <row r="27" spans="1:11" x14ac:dyDescent="0.3">
      <c r="B27" s="4" t="s">
        <v>37</v>
      </c>
      <c r="C27">
        <v>15</v>
      </c>
      <c r="D27">
        <v>1.41</v>
      </c>
      <c r="E27" s="8">
        <f>C27*D27</f>
        <v>21.15</v>
      </c>
      <c r="K27" s="8">
        <f>SUM(K19:K26)</f>
        <v>76.308520000000001</v>
      </c>
    </row>
    <row r="28" spans="1:11" x14ac:dyDescent="0.3">
      <c r="E28" s="8">
        <f>SUM(E26:E27)</f>
        <v>65.036959999999993</v>
      </c>
      <c r="H28" s="4" t="s">
        <v>37</v>
      </c>
      <c r="I28">
        <v>0.5</v>
      </c>
      <c r="J28">
        <v>42.5</v>
      </c>
      <c r="K28" s="8">
        <v>42.5</v>
      </c>
    </row>
    <row r="29" spans="1:11" x14ac:dyDescent="0.3">
      <c r="K29" s="8">
        <f>SUM(K27:K28)</f>
        <v>118.80852</v>
      </c>
    </row>
    <row r="31" spans="1:11" x14ac:dyDescent="0.3">
      <c r="C31" s="4" t="s">
        <v>28</v>
      </c>
      <c r="D31" s="4" t="s">
        <v>29</v>
      </c>
      <c r="E31" s="4" t="s">
        <v>30</v>
      </c>
    </row>
    <row r="32" spans="1:11" x14ac:dyDescent="0.3">
      <c r="A32" t="s">
        <v>40</v>
      </c>
      <c r="B32" s="4" t="s">
        <v>32</v>
      </c>
      <c r="C32" s="4">
        <v>1.1879999999999999</v>
      </c>
      <c r="D32" s="4">
        <v>19.89</v>
      </c>
      <c r="E32" s="8">
        <f t="shared" ref="E32:E37" si="4">C32*D32</f>
        <v>23.62932</v>
      </c>
      <c r="I32" s="4" t="s">
        <v>28</v>
      </c>
      <c r="J32" s="4" t="s">
        <v>29</v>
      </c>
      <c r="K32" s="4" t="s">
        <v>30</v>
      </c>
    </row>
    <row r="33" spans="1:11" x14ac:dyDescent="0.3">
      <c r="A33" t="s">
        <v>39</v>
      </c>
      <c r="B33" s="4" t="s">
        <v>33</v>
      </c>
      <c r="C33" s="4">
        <v>1.6379999999999999</v>
      </c>
      <c r="D33" s="4">
        <v>11.03</v>
      </c>
      <c r="E33" s="8">
        <f t="shared" si="4"/>
        <v>18.067139999999998</v>
      </c>
      <c r="G33" t="s">
        <v>40</v>
      </c>
      <c r="H33" s="4" t="s">
        <v>32</v>
      </c>
      <c r="I33" s="4">
        <v>1.246</v>
      </c>
      <c r="J33" s="4">
        <v>31.41</v>
      </c>
      <c r="K33" s="8">
        <f t="shared" ref="K33:K40" si="5">I33*J33</f>
        <v>39.136859999999999</v>
      </c>
    </row>
    <row r="34" spans="1:11" x14ac:dyDescent="0.3">
      <c r="B34" s="4" t="s">
        <v>42</v>
      </c>
      <c r="C34" s="4">
        <v>2</v>
      </c>
      <c r="D34" s="4">
        <v>1.24</v>
      </c>
      <c r="E34" s="8">
        <f t="shared" si="4"/>
        <v>2.48</v>
      </c>
      <c r="G34" t="s">
        <v>39</v>
      </c>
      <c r="H34" s="4" t="s">
        <v>33</v>
      </c>
      <c r="I34" s="4">
        <v>1.716</v>
      </c>
      <c r="J34" s="4">
        <v>11.03</v>
      </c>
      <c r="K34" s="8">
        <f t="shared" si="5"/>
        <v>18.927479999999999</v>
      </c>
    </row>
    <row r="35" spans="1:11" x14ac:dyDescent="0.3">
      <c r="B35" s="4" t="s">
        <v>34</v>
      </c>
      <c r="C35" s="4"/>
      <c r="D35" s="4"/>
      <c r="E35" s="8">
        <f t="shared" si="4"/>
        <v>0</v>
      </c>
      <c r="G35" t="s">
        <v>54</v>
      </c>
      <c r="H35" s="4" t="s">
        <v>33</v>
      </c>
      <c r="I35" s="4">
        <v>1.881</v>
      </c>
      <c r="J35" s="4">
        <v>11.03</v>
      </c>
      <c r="K35" s="8">
        <f t="shared" si="5"/>
        <v>20.747429999999998</v>
      </c>
    </row>
    <row r="36" spans="1:11" x14ac:dyDescent="0.3">
      <c r="B36" s="4" t="s">
        <v>35</v>
      </c>
      <c r="C36" s="4">
        <v>4</v>
      </c>
      <c r="D36" s="4">
        <v>1.89</v>
      </c>
      <c r="E36" s="8">
        <f t="shared" si="4"/>
        <v>7.56</v>
      </c>
      <c r="H36" s="4" t="s">
        <v>42</v>
      </c>
      <c r="I36" s="4">
        <v>2</v>
      </c>
      <c r="J36" s="4">
        <v>1.24</v>
      </c>
      <c r="K36" s="8">
        <f t="shared" si="5"/>
        <v>2.48</v>
      </c>
    </row>
    <row r="37" spans="1:11" x14ac:dyDescent="0.3">
      <c r="B37" s="4" t="s">
        <v>36</v>
      </c>
      <c r="C37" s="4">
        <v>4</v>
      </c>
      <c r="D37" s="4">
        <v>0.24</v>
      </c>
      <c r="E37" s="8">
        <f t="shared" si="4"/>
        <v>0.96</v>
      </c>
      <c r="H37" s="4" t="s">
        <v>87</v>
      </c>
      <c r="I37" s="10">
        <v>2</v>
      </c>
      <c r="J37" s="10">
        <v>1.98</v>
      </c>
      <c r="K37" s="11">
        <f t="shared" si="5"/>
        <v>3.96</v>
      </c>
    </row>
    <row r="38" spans="1:11" x14ac:dyDescent="0.3">
      <c r="E38" s="9">
        <f>SUM(E32:E37)</f>
        <v>52.696460000000002</v>
      </c>
      <c r="H38" s="4" t="s">
        <v>34</v>
      </c>
      <c r="I38" s="4"/>
      <c r="J38" s="4"/>
      <c r="K38" s="8">
        <f t="shared" si="5"/>
        <v>0</v>
      </c>
    </row>
    <row r="39" spans="1:11" x14ac:dyDescent="0.3">
      <c r="B39" s="4" t="s">
        <v>37</v>
      </c>
      <c r="C39">
        <v>20</v>
      </c>
      <c r="D39">
        <v>1.41</v>
      </c>
      <c r="E39" s="8">
        <f>C39*D39</f>
        <v>28.2</v>
      </c>
      <c r="H39" s="4" t="s">
        <v>35</v>
      </c>
      <c r="I39" s="4">
        <v>4</v>
      </c>
      <c r="J39" s="4">
        <v>1.89</v>
      </c>
      <c r="K39" s="8">
        <f t="shared" si="5"/>
        <v>7.56</v>
      </c>
    </row>
    <row r="40" spans="1:11" x14ac:dyDescent="0.3">
      <c r="E40" s="8">
        <f>SUM(E38:E39)</f>
        <v>80.896460000000005</v>
      </c>
      <c r="H40" s="4" t="s">
        <v>36</v>
      </c>
      <c r="I40" s="4">
        <v>4</v>
      </c>
      <c r="J40" s="4">
        <v>0.24</v>
      </c>
      <c r="K40" s="8">
        <f t="shared" si="5"/>
        <v>0.96</v>
      </c>
    </row>
    <row r="41" spans="1:11" x14ac:dyDescent="0.3">
      <c r="K41" s="9">
        <f>SUM(K33:K40)</f>
        <v>93.771769999999989</v>
      </c>
    </row>
    <row r="42" spans="1:11" x14ac:dyDescent="0.3">
      <c r="H42" s="4" t="s">
        <v>37</v>
      </c>
      <c r="I42">
        <v>42.5</v>
      </c>
      <c r="K42" s="8">
        <v>42.5</v>
      </c>
    </row>
    <row r="43" spans="1:11" x14ac:dyDescent="0.3">
      <c r="C43" s="4" t="s">
        <v>28</v>
      </c>
      <c r="D43" s="4" t="s">
        <v>29</v>
      </c>
      <c r="E43" s="4" t="s">
        <v>30</v>
      </c>
      <c r="K43" s="8">
        <f>SUM(K41:K42)</f>
        <v>136.27177</v>
      </c>
    </row>
    <row r="44" spans="1:11" x14ac:dyDescent="0.3">
      <c r="A44" t="s">
        <v>41</v>
      </c>
      <c r="B44" s="4" t="s">
        <v>32</v>
      </c>
      <c r="C44" s="4">
        <v>1.3979999999999999</v>
      </c>
      <c r="D44" s="4">
        <v>19.89</v>
      </c>
      <c r="E44" s="8">
        <f t="shared" ref="E44:E49" si="6">C44*D44</f>
        <v>27.80622</v>
      </c>
    </row>
    <row r="45" spans="1:11" x14ac:dyDescent="0.3">
      <c r="A45" t="s">
        <v>39</v>
      </c>
      <c r="B45" s="4" t="s">
        <v>33</v>
      </c>
      <c r="C45" s="4">
        <v>2.0579999999999998</v>
      </c>
      <c r="D45" s="4">
        <v>11.03</v>
      </c>
      <c r="E45" s="8">
        <f t="shared" si="6"/>
        <v>22.699739999999998</v>
      </c>
    </row>
    <row r="46" spans="1:11" x14ac:dyDescent="0.3">
      <c r="B46" s="4" t="s">
        <v>43</v>
      </c>
      <c r="C46" s="4">
        <v>2</v>
      </c>
      <c r="D46" s="4">
        <v>1.24</v>
      </c>
      <c r="E46" s="8">
        <f t="shared" si="6"/>
        <v>2.48</v>
      </c>
      <c r="I46" s="4" t="s">
        <v>28</v>
      </c>
      <c r="J46" s="4" t="s">
        <v>29</v>
      </c>
      <c r="K46" s="4" t="s">
        <v>30</v>
      </c>
    </row>
    <row r="47" spans="1:11" x14ac:dyDescent="0.3">
      <c r="B47" s="4" t="s">
        <v>34</v>
      </c>
      <c r="C47" s="4"/>
      <c r="D47" s="4"/>
      <c r="E47" s="8">
        <f t="shared" si="6"/>
        <v>0</v>
      </c>
      <c r="G47" t="s">
        <v>41</v>
      </c>
      <c r="H47" s="4" t="s">
        <v>32</v>
      </c>
      <c r="I47" s="4">
        <v>1.3979999999999999</v>
      </c>
      <c r="J47" s="4">
        <v>31.41</v>
      </c>
      <c r="K47" s="8">
        <f t="shared" ref="K47:K54" si="7">I47*J47</f>
        <v>43.911179999999995</v>
      </c>
    </row>
    <row r="48" spans="1:11" x14ac:dyDescent="0.3">
      <c r="B48" s="4" t="s">
        <v>35</v>
      </c>
      <c r="C48" s="4">
        <v>4</v>
      </c>
      <c r="D48" s="4">
        <v>1.89</v>
      </c>
      <c r="E48" s="8">
        <f t="shared" si="6"/>
        <v>7.56</v>
      </c>
      <c r="G48" t="s">
        <v>39</v>
      </c>
      <c r="H48" s="4" t="s">
        <v>33</v>
      </c>
      <c r="I48" s="4">
        <v>2.0579999999999998</v>
      </c>
      <c r="J48" s="4">
        <v>11.03</v>
      </c>
      <c r="K48" s="8">
        <f t="shared" si="7"/>
        <v>22.699739999999998</v>
      </c>
    </row>
    <row r="49" spans="1:11" x14ac:dyDescent="0.3">
      <c r="B49" s="4" t="s">
        <v>36</v>
      </c>
      <c r="C49" s="4">
        <v>4</v>
      </c>
      <c r="D49" s="4">
        <v>0.24</v>
      </c>
      <c r="E49" s="8">
        <f t="shared" si="6"/>
        <v>0.96</v>
      </c>
      <c r="G49" t="s">
        <v>55</v>
      </c>
      <c r="H49" s="4" t="s">
        <v>33</v>
      </c>
      <c r="I49" s="4">
        <v>2.2679999999999998</v>
      </c>
      <c r="J49" s="4">
        <v>11.03</v>
      </c>
      <c r="K49" s="8">
        <f t="shared" si="7"/>
        <v>25.016039999999997</v>
      </c>
    </row>
    <row r="50" spans="1:11" x14ac:dyDescent="0.3">
      <c r="E50" s="9">
        <f>SUM(E44:E49)</f>
        <v>61.505960000000002</v>
      </c>
      <c r="H50" s="4" t="s">
        <v>43</v>
      </c>
      <c r="I50" s="4">
        <v>2</v>
      </c>
      <c r="J50" s="4">
        <v>1.24</v>
      </c>
      <c r="K50" s="8">
        <f t="shared" si="7"/>
        <v>2.48</v>
      </c>
    </row>
    <row r="51" spans="1:11" x14ac:dyDescent="0.3">
      <c r="B51" s="4" t="s">
        <v>37</v>
      </c>
      <c r="C51">
        <v>15</v>
      </c>
      <c r="D51">
        <v>1.41</v>
      </c>
      <c r="E51" s="8">
        <f>C51*D51</f>
        <v>21.15</v>
      </c>
      <c r="H51" s="4" t="s">
        <v>88</v>
      </c>
      <c r="I51" s="10">
        <v>2</v>
      </c>
      <c r="J51" s="4">
        <v>2.2400000000000002</v>
      </c>
      <c r="K51" s="4">
        <f t="shared" si="7"/>
        <v>4.4800000000000004</v>
      </c>
    </row>
    <row r="52" spans="1:11" x14ac:dyDescent="0.3">
      <c r="E52" s="8">
        <f>SUM(E50:E51)</f>
        <v>82.655959999999993</v>
      </c>
      <c r="H52" s="4" t="s">
        <v>34</v>
      </c>
      <c r="I52" s="4"/>
      <c r="J52" s="4"/>
      <c r="K52" s="8">
        <f t="shared" si="7"/>
        <v>0</v>
      </c>
    </row>
    <row r="53" spans="1:11" x14ac:dyDescent="0.3">
      <c r="H53" s="4" t="s">
        <v>35</v>
      </c>
      <c r="I53" s="4">
        <v>4</v>
      </c>
      <c r="J53" s="4">
        <v>1.89</v>
      </c>
      <c r="K53" s="8">
        <f t="shared" si="7"/>
        <v>7.56</v>
      </c>
    </row>
    <row r="54" spans="1:11" x14ac:dyDescent="0.3">
      <c r="H54" s="4" t="s">
        <v>36</v>
      </c>
      <c r="I54" s="4">
        <v>4</v>
      </c>
      <c r="J54" s="4">
        <v>0.24</v>
      </c>
      <c r="K54" s="8">
        <f t="shared" si="7"/>
        <v>0.96</v>
      </c>
    </row>
    <row r="55" spans="1:11" x14ac:dyDescent="0.3">
      <c r="K55" s="9">
        <f>SUM(K47:K54)</f>
        <v>107.10696</v>
      </c>
    </row>
    <row r="56" spans="1:11" x14ac:dyDescent="0.3">
      <c r="C56" s="4" t="s">
        <v>28</v>
      </c>
      <c r="D56" s="4" t="s">
        <v>29</v>
      </c>
      <c r="E56" s="4" t="s">
        <v>30</v>
      </c>
      <c r="H56" s="4" t="s">
        <v>37</v>
      </c>
      <c r="I56">
        <v>18</v>
      </c>
      <c r="J56">
        <v>1.41</v>
      </c>
      <c r="K56" s="8">
        <f>I56*J56</f>
        <v>25.38</v>
      </c>
    </row>
    <row r="57" spans="1:11" x14ac:dyDescent="0.3">
      <c r="A57" t="s">
        <v>44</v>
      </c>
      <c r="B57" s="4" t="s">
        <v>32</v>
      </c>
      <c r="C57" s="4">
        <v>1.6080000000000001</v>
      </c>
      <c r="D57" s="4">
        <v>19.89</v>
      </c>
      <c r="E57" s="8">
        <f t="shared" ref="E57:E62" si="8">C57*D57</f>
        <v>31.983120000000003</v>
      </c>
      <c r="K57" s="8">
        <f>SUM(K55:K56)</f>
        <v>132.48696000000001</v>
      </c>
    </row>
    <row r="58" spans="1:11" x14ac:dyDescent="0.3">
      <c r="A58" t="s">
        <v>39</v>
      </c>
      <c r="B58" s="4" t="s">
        <v>33</v>
      </c>
      <c r="C58" s="4">
        <v>2.4780000000000002</v>
      </c>
      <c r="D58" s="4">
        <v>11.03</v>
      </c>
      <c r="E58" s="8">
        <f t="shared" si="8"/>
        <v>27.332340000000002</v>
      </c>
    </row>
    <row r="59" spans="1:11" x14ac:dyDescent="0.3">
      <c r="B59" s="4" t="s">
        <v>43</v>
      </c>
      <c r="C59" s="4">
        <v>2</v>
      </c>
      <c r="D59" s="4">
        <v>1.24</v>
      </c>
      <c r="E59" s="8">
        <f t="shared" si="8"/>
        <v>2.48</v>
      </c>
      <c r="I59" s="4" t="s">
        <v>28</v>
      </c>
      <c r="J59" s="4" t="s">
        <v>29</v>
      </c>
      <c r="K59" s="4" t="s">
        <v>30</v>
      </c>
    </row>
    <row r="60" spans="1:11" x14ac:dyDescent="0.3">
      <c r="B60" s="4" t="s">
        <v>34</v>
      </c>
      <c r="C60" s="4">
        <v>0.1</v>
      </c>
      <c r="D60" s="4">
        <v>13.67</v>
      </c>
      <c r="E60" s="8">
        <f t="shared" si="8"/>
        <v>1.367</v>
      </c>
      <c r="G60" t="s">
        <v>44</v>
      </c>
      <c r="H60" s="4" t="s">
        <v>32</v>
      </c>
      <c r="I60" s="4">
        <v>1.6859999999999999</v>
      </c>
      <c r="J60" s="4">
        <v>31.41</v>
      </c>
      <c r="K60" s="8">
        <f t="shared" ref="K60:K67" si="9">I60*J60</f>
        <v>52.957259999999998</v>
      </c>
    </row>
    <row r="61" spans="1:11" x14ac:dyDescent="0.3">
      <c r="B61" s="4" t="s">
        <v>35</v>
      </c>
      <c r="C61" s="4">
        <v>4</v>
      </c>
      <c r="D61" s="4">
        <v>1.89</v>
      </c>
      <c r="E61" s="8">
        <f t="shared" si="8"/>
        <v>7.56</v>
      </c>
      <c r="G61" t="s">
        <v>39</v>
      </c>
      <c r="H61" s="4" t="s">
        <v>33</v>
      </c>
      <c r="I61" s="4">
        <v>2.5960000000000001</v>
      </c>
      <c r="J61" s="4">
        <v>11.03</v>
      </c>
      <c r="K61" s="8">
        <f t="shared" si="9"/>
        <v>28.633879999999998</v>
      </c>
    </row>
    <row r="62" spans="1:11" x14ac:dyDescent="0.3">
      <c r="B62" s="4" t="s">
        <v>36</v>
      </c>
      <c r="C62" s="4">
        <v>4</v>
      </c>
      <c r="D62" s="4">
        <v>0.24</v>
      </c>
      <c r="E62" s="8">
        <f t="shared" si="8"/>
        <v>0.96</v>
      </c>
      <c r="G62" t="s">
        <v>56</v>
      </c>
      <c r="H62" s="4" t="s">
        <v>33</v>
      </c>
      <c r="I62" s="4">
        <v>2.871</v>
      </c>
      <c r="J62" s="4">
        <v>11.03</v>
      </c>
      <c r="K62" s="8">
        <f t="shared" si="9"/>
        <v>31.667129999999997</v>
      </c>
    </row>
    <row r="63" spans="1:11" x14ac:dyDescent="0.3">
      <c r="E63" s="9">
        <f>SUM(E57:E62)</f>
        <v>71.682459999999992</v>
      </c>
      <c r="H63" s="4" t="s">
        <v>43</v>
      </c>
      <c r="I63" s="4">
        <v>2</v>
      </c>
      <c r="J63" s="4">
        <v>1.24</v>
      </c>
      <c r="K63" s="8">
        <f t="shared" si="9"/>
        <v>2.48</v>
      </c>
    </row>
    <row r="64" spans="1:11" x14ac:dyDescent="0.3">
      <c r="B64" s="4" t="s">
        <v>37</v>
      </c>
      <c r="C64">
        <v>20</v>
      </c>
      <c r="D64">
        <v>1.41</v>
      </c>
      <c r="E64" s="8">
        <f>C64*D64</f>
        <v>28.2</v>
      </c>
      <c r="H64" s="4" t="s">
        <v>89</v>
      </c>
      <c r="I64" s="10">
        <v>4</v>
      </c>
      <c r="J64" s="10">
        <v>1.86</v>
      </c>
      <c r="K64" s="11">
        <f t="shared" si="9"/>
        <v>7.44</v>
      </c>
    </row>
    <row r="65" spans="1:18" x14ac:dyDescent="0.3">
      <c r="E65" s="8">
        <f>SUM(E63:E64)</f>
        <v>99.882459999999995</v>
      </c>
      <c r="H65" s="4" t="s">
        <v>34</v>
      </c>
      <c r="I65" s="4">
        <v>0.1</v>
      </c>
      <c r="J65" s="4">
        <v>13.67</v>
      </c>
      <c r="K65" s="8">
        <f t="shared" si="9"/>
        <v>1.367</v>
      </c>
    </row>
    <row r="66" spans="1:18" x14ac:dyDescent="0.3">
      <c r="H66" s="4" t="s">
        <v>35</v>
      </c>
      <c r="I66" s="4">
        <v>4</v>
      </c>
      <c r="J66" s="4">
        <v>1.89</v>
      </c>
      <c r="K66" s="8">
        <f t="shared" si="9"/>
        <v>7.56</v>
      </c>
    </row>
    <row r="67" spans="1:18" x14ac:dyDescent="0.3">
      <c r="H67" s="4" t="s">
        <v>36</v>
      </c>
      <c r="I67" s="4">
        <v>4</v>
      </c>
      <c r="J67" s="4">
        <v>0.24</v>
      </c>
      <c r="K67" s="8">
        <f t="shared" si="9"/>
        <v>0.96</v>
      </c>
    </row>
    <row r="68" spans="1:18" x14ac:dyDescent="0.3">
      <c r="C68" s="4" t="s">
        <v>28</v>
      </c>
      <c r="D68" s="4" t="s">
        <v>29</v>
      </c>
      <c r="E68" s="4" t="s">
        <v>30</v>
      </c>
      <c r="K68" s="9">
        <f>SUM(K60:K67)</f>
        <v>133.06527</v>
      </c>
    </row>
    <row r="69" spans="1:18" x14ac:dyDescent="0.3">
      <c r="A69" t="s">
        <v>45</v>
      </c>
      <c r="B69" s="4" t="s">
        <v>32</v>
      </c>
      <c r="C69" s="4">
        <v>1.905</v>
      </c>
      <c r="D69" s="4">
        <v>19.89</v>
      </c>
      <c r="E69" s="8">
        <f t="shared" ref="E69:E74" si="10">C69*D69</f>
        <v>37.890450000000001</v>
      </c>
      <c r="H69" s="4" t="s">
        <v>37</v>
      </c>
      <c r="I69">
        <v>0.55000000000000004</v>
      </c>
      <c r="J69">
        <v>1.41</v>
      </c>
      <c r="K69" s="8">
        <v>63.9</v>
      </c>
    </row>
    <row r="70" spans="1:18" x14ac:dyDescent="0.3">
      <c r="A70" t="s">
        <v>39</v>
      </c>
      <c r="B70" s="4" t="s">
        <v>33</v>
      </c>
      <c r="C70" s="4">
        <v>3.036</v>
      </c>
      <c r="D70" s="4">
        <v>11.03</v>
      </c>
      <c r="E70" s="8">
        <f t="shared" si="10"/>
        <v>33.487079999999999</v>
      </c>
      <c r="K70" s="8">
        <f>SUM(K68:K69)</f>
        <v>196.96527</v>
      </c>
    </row>
    <row r="71" spans="1:18" x14ac:dyDescent="0.3">
      <c r="B71" s="4" t="s">
        <v>43</v>
      </c>
      <c r="C71" s="4">
        <v>2</v>
      </c>
      <c r="D71" s="4">
        <v>1.24</v>
      </c>
      <c r="E71" s="8">
        <f t="shared" si="10"/>
        <v>2.48</v>
      </c>
    </row>
    <row r="72" spans="1:18" x14ac:dyDescent="0.3">
      <c r="B72" s="4" t="s">
        <v>34</v>
      </c>
      <c r="C72" s="4">
        <v>0.1</v>
      </c>
      <c r="D72" s="4">
        <v>13.67</v>
      </c>
      <c r="E72" s="8">
        <f t="shared" si="10"/>
        <v>1.367</v>
      </c>
    </row>
    <row r="73" spans="1:18" x14ac:dyDescent="0.3">
      <c r="B73" s="4" t="s">
        <v>35</v>
      </c>
      <c r="C73" s="4">
        <v>4</v>
      </c>
      <c r="D73" s="4">
        <v>1.89</v>
      </c>
      <c r="E73" s="8">
        <f t="shared" si="10"/>
        <v>7.56</v>
      </c>
      <c r="I73" s="4" t="s">
        <v>28</v>
      </c>
      <c r="J73" s="4" t="s">
        <v>29</v>
      </c>
      <c r="K73" s="4" t="s">
        <v>30</v>
      </c>
    </row>
    <row r="74" spans="1:18" x14ac:dyDescent="0.3">
      <c r="B74" s="4" t="s">
        <v>36</v>
      </c>
      <c r="C74" s="4">
        <v>4</v>
      </c>
      <c r="D74" s="4">
        <v>0.24</v>
      </c>
      <c r="E74" s="8">
        <f t="shared" si="10"/>
        <v>0.96</v>
      </c>
      <c r="G74" t="s">
        <v>45</v>
      </c>
      <c r="H74" s="4" t="s">
        <v>32</v>
      </c>
      <c r="I74" s="4">
        <v>1.819</v>
      </c>
      <c r="J74" s="4">
        <v>31.41</v>
      </c>
      <c r="K74" s="8">
        <f>I74*J74</f>
        <v>57.134789999999995</v>
      </c>
    </row>
    <row r="75" spans="1:18" x14ac:dyDescent="0.3">
      <c r="E75" s="9">
        <f>SUM(E69:E74)</f>
        <v>83.744530000000012</v>
      </c>
      <c r="G75" t="s">
        <v>39</v>
      </c>
      <c r="H75" s="4" t="s">
        <v>33</v>
      </c>
      <c r="I75" s="4">
        <v>2.8980000000000001</v>
      </c>
      <c r="J75" s="4">
        <v>11.03</v>
      </c>
      <c r="K75" s="8">
        <f>I75*J75</f>
        <v>31.964939999999999</v>
      </c>
    </row>
    <row r="76" spans="1:18" x14ac:dyDescent="0.3">
      <c r="B76" s="4" t="s">
        <v>37</v>
      </c>
      <c r="C76">
        <v>42.5</v>
      </c>
      <c r="E76" s="8">
        <v>42.5</v>
      </c>
      <c r="G76" t="s">
        <v>57</v>
      </c>
      <c r="H76" s="4" t="s">
        <v>33</v>
      </c>
      <c r="I76" s="4">
        <v>3.2130000000000001</v>
      </c>
      <c r="J76" s="4">
        <v>11.03</v>
      </c>
      <c r="K76" s="8">
        <f>I76*J76</f>
        <v>35.439389999999996</v>
      </c>
    </row>
    <row r="77" spans="1:18" x14ac:dyDescent="0.3">
      <c r="E77" s="8">
        <f>SUM(E75:E76)</f>
        <v>126.24453000000001</v>
      </c>
      <c r="H77" s="4" t="s">
        <v>43</v>
      </c>
      <c r="I77" s="4">
        <v>2</v>
      </c>
      <c r="J77" s="4">
        <v>1.24</v>
      </c>
      <c r="K77" s="8">
        <f>I77*J77</f>
        <v>2.48</v>
      </c>
    </row>
    <row r="78" spans="1:18" x14ac:dyDescent="0.3">
      <c r="H78" s="4" t="s">
        <v>91</v>
      </c>
      <c r="I78" s="10">
        <v>4</v>
      </c>
      <c r="J78" s="4"/>
      <c r="K78" s="4">
        <v>7.68</v>
      </c>
    </row>
    <row r="79" spans="1:18" x14ac:dyDescent="0.3">
      <c r="C79" s="4" t="s">
        <v>28</v>
      </c>
      <c r="D79" s="4" t="s">
        <v>29</v>
      </c>
      <c r="E79" s="4" t="s">
        <v>30</v>
      </c>
      <c r="H79" s="4" t="s">
        <v>34</v>
      </c>
      <c r="I79" s="4">
        <v>0.1</v>
      </c>
      <c r="J79" s="4">
        <v>13.67</v>
      </c>
      <c r="K79" s="8">
        <f>I79*J79</f>
        <v>1.367</v>
      </c>
    </row>
    <row r="80" spans="1:18" x14ac:dyDescent="0.3">
      <c r="A80" t="s">
        <v>46</v>
      </c>
      <c r="B80" s="4" t="s">
        <v>32</v>
      </c>
      <c r="C80" s="4">
        <v>2.028</v>
      </c>
      <c r="D80" s="4">
        <v>19.89</v>
      </c>
      <c r="E80" s="8">
        <f t="shared" ref="E80:E85" si="11">C80*D80</f>
        <v>40.336919999999999</v>
      </c>
      <c r="H80" s="4" t="s">
        <v>35</v>
      </c>
      <c r="I80" s="4">
        <v>4</v>
      </c>
      <c r="J80" s="4">
        <v>1.89</v>
      </c>
      <c r="K80" s="8">
        <f>I80*J80</f>
        <v>7.56</v>
      </c>
      <c r="P80" s="4" t="s">
        <v>28</v>
      </c>
      <c r="Q80" s="4" t="s">
        <v>29</v>
      </c>
      <c r="R80" s="4" t="s">
        <v>30</v>
      </c>
    </row>
    <row r="81" spans="1:18" x14ac:dyDescent="0.3">
      <c r="A81" t="s">
        <v>39</v>
      </c>
      <c r="B81" s="4" t="s">
        <v>33</v>
      </c>
      <c r="C81" s="4">
        <v>3.3180000000000001</v>
      </c>
      <c r="D81" s="4">
        <v>11.03</v>
      </c>
      <c r="E81" s="8">
        <f t="shared" si="11"/>
        <v>36.597539999999995</v>
      </c>
      <c r="H81" s="4" t="s">
        <v>36</v>
      </c>
      <c r="I81" s="4">
        <v>4</v>
      </c>
      <c r="J81" s="4">
        <v>0.24</v>
      </c>
      <c r="K81" s="8">
        <f>I81*J81</f>
        <v>0.96</v>
      </c>
      <c r="N81" t="s">
        <v>520</v>
      </c>
      <c r="O81" s="4" t="s">
        <v>32</v>
      </c>
      <c r="P81" s="4">
        <v>2.0150000000000001</v>
      </c>
      <c r="Q81" s="4">
        <v>19.89</v>
      </c>
      <c r="R81" s="8">
        <f t="shared" ref="R81:R86" si="12">P81*Q81</f>
        <v>40.07835</v>
      </c>
    </row>
    <row r="82" spans="1:18" x14ac:dyDescent="0.3">
      <c r="B82" s="4" t="s">
        <v>43</v>
      </c>
      <c r="C82" s="4">
        <v>2</v>
      </c>
      <c r="D82" s="4">
        <v>1.24</v>
      </c>
      <c r="E82" s="8">
        <f t="shared" si="11"/>
        <v>2.48</v>
      </c>
      <c r="K82" s="9">
        <f>SUM(K74:K81)</f>
        <v>144.58611999999999</v>
      </c>
      <c r="N82" t="s">
        <v>201</v>
      </c>
      <c r="O82" s="4" t="s">
        <v>33</v>
      </c>
      <c r="P82" s="4">
        <v>1.716</v>
      </c>
      <c r="Q82" s="4">
        <v>11.03</v>
      </c>
      <c r="R82" s="8">
        <f t="shared" si="12"/>
        <v>18.927479999999999</v>
      </c>
    </row>
    <row r="83" spans="1:18" x14ac:dyDescent="0.3">
      <c r="B83" s="4" t="s">
        <v>34</v>
      </c>
      <c r="C83" s="4">
        <v>0.1</v>
      </c>
      <c r="D83" s="4">
        <v>13.67</v>
      </c>
      <c r="E83" s="8">
        <f t="shared" si="11"/>
        <v>1.367</v>
      </c>
      <c r="H83" s="4" t="s">
        <v>37</v>
      </c>
      <c r="I83">
        <v>25</v>
      </c>
      <c r="J83">
        <v>1.41</v>
      </c>
      <c r="K83" s="8">
        <f>I83*J83</f>
        <v>35.25</v>
      </c>
      <c r="O83" s="4" t="s">
        <v>43</v>
      </c>
      <c r="P83" s="4">
        <v>2</v>
      </c>
      <c r="Q83" s="4">
        <v>1.24</v>
      </c>
      <c r="R83" s="8">
        <f t="shared" si="12"/>
        <v>2.48</v>
      </c>
    </row>
    <row r="84" spans="1:18" x14ac:dyDescent="0.3">
      <c r="B84" s="4" t="s">
        <v>35</v>
      </c>
      <c r="C84" s="4">
        <v>4</v>
      </c>
      <c r="D84" s="4">
        <v>1.89</v>
      </c>
      <c r="E84" s="8">
        <f t="shared" si="11"/>
        <v>7.56</v>
      </c>
      <c r="K84" s="8">
        <f>SUM(K82:K83)</f>
        <v>179.83611999999999</v>
      </c>
      <c r="O84" s="4" t="s">
        <v>34</v>
      </c>
      <c r="P84" s="4">
        <v>0.1</v>
      </c>
      <c r="Q84" s="4">
        <v>13.67</v>
      </c>
      <c r="R84" s="8">
        <f t="shared" si="12"/>
        <v>1.367</v>
      </c>
    </row>
    <row r="85" spans="1:18" x14ac:dyDescent="0.3">
      <c r="B85" s="4" t="s">
        <v>36</v>
      </c>
      <c r="C85" s="4">
        <v>4</v>
      </c>
      <c r="D85" s="4">
        <v>0.24</v>
      </c>
      <c r="E85" s="8">
        <f t="shared" si="11"/>
        <v>0.96</v>
      </c>
      <c r="O85" s="4" t="s">
        <v>35</v>
      </c>
      <c r="P85" s="4">
        <v>4</v>
      </c>
      <c r="Q85" s="4">
        <v>1.89</v>
      </c>
      <c r="R85" s="8">
        <f t="shared" si="12"/>
        <v>7.56</v>
      </c>
    </row>
    <row r="86" spans="1:18" x14ac:dyDescent="0.3">
      <c r="E86" s="9">
        <f>SUM(E80:E85)</f>
        <v>89.301460000000006</v>
      </c>
      <c r="O86" s="4" t="s">
        <v>36</v>
      </c>
      <c r="P86" s="4">
        <v>4</v>
      </c>
      <c r="Q86" s="4">
        <v>0.24</v>
      </c>
      <c r="R86" s="8">
        <f t="shared" si="12"/>
        <v>0.96</v>
      </c>
    </row>
    <row r="87" spans="1:18" x14ac:dyDescent="0.3">
      <c r="B87" s="4" t="s">
        <v>37</v>
      </c>
      <c r="C87">
        <v>25</v>
      </c>
      <c r="D87">
        <v>1.41</v>
      </c>
      <c r="E87" s="8">
        <f>C87*D87</f>
        <v>35.25</v>
      </c>
      <c r="I87" s="4" t="s">
        <v>28</v>
      </c>
      <c r="J87" s="4" t="s">
        <v>29</v>
      </c>
      <c r="K87" s="4" t="s">
        <v>30</v>
      </c>
      <c r="R87" s="9">
        <f>SUM(R81:R86)</f>
        <v>71.372829999999993</v>
      </c>
    </row>
    <row r="88" spans="1:18" x14ac:dyDescent="0.3">
      <c r="E88" s="8">
        <f>SUM(E86:E87)</f>
        <v>124.55146000000001</v>
      </c>
      <c r="G88" t="s">
        <v>46</v>
      </c>
      <c r="H88" s="4" t="s">
        <v>32</v>
      </c>
      <c r="I88" s="4">
        <v>2.028</v>
      </c>
      <c r="J88" s="4">
        <v>31.41</v>
      </c>
      <c r="K88" s="8">
        <f t="shared" ref="K88:K95" si="13">I88*J88</f>
        <v>63.699480000000001</v>
      </c>
      <c r="O88" s="4" t="s">
        <v>37</v>
      </c>
      <c r="P88">
        <v>25</v>
      </c>
      <c r="Q88">
        <v>1.41</v>
      </c>
      <c r="R88" s="8">
        <f>P88*Q88</f>
        <v>35.25</v>
      </c>
    </row>
    <row r="89" spans="1:18" x14ac:dyDescent="0.3">
      <c r="G89" t="s">
        <v>39</v>
      </c>
      <c r="H89" s="4" t="s">
        <v>33</v>
      </c>
      <c r="I89" s="4">
        <v>3.3180000000000001</v>
      </c>
      <c r="J89" s="4">
        <v>11.03</v>
      </c>
      <c r="K89" s="8">
        <f t="shared" si="13"/>
        <v>36.597539999999995</v>
      </c>
      <c r="R89" s="8">
        <f>SUM(R87:R88)</f>
        <v>106.62282999999999</v>
      </c>
    </row>
    <row r="90" spans="1:18" x14ac:dyDescent="0.3">
      <c r="C90" s="4" t="s">
        <v>28</v>
      </c>
      <c r="D90" s="4" t="s">
        <v>29</v>
      </c>
      <c r="E90" s="4" t="s">
        <v>30</v>
      </c>
      <c r="G90" t="s">
        <v>58</v>
      </c>
      <c r="H90" s="4" t="s">
        <v>33</v>
      </c>
      <c r="I90" s="4">
        <v>3.6850000000000001</v>
      </c>
      <c r="J90" s="4">
        <v>11.03</v>
      </c>
      <c r="K90" s="8">
        <f t="shared" si="13"/>
        <v>40.64555</v>
      </c>
    </row>
    <row r="91" spans="1:18" x14ac:dyDescent="0.3">
      <c r="A91" t="s">
        <v>47</v>
      </c>
      <c r="B91" s="4" t="s">
        <v>32</v>
      </c>
      <c r="C91" s="4">
        <v>2.2389999999999999</v>
      </c>
      <c r="D91" s="4">
        <v>19.89</v>
      </c>
      <c r="E91" s="8">
        <f t="shared" ref="E91:E96" si="14">C91*D91</f>
        <v>44.533709999999999</v>
      </c>
      <c r="H91" s="4" t="s">
        <v>43</v>
      </c>
      <c r="I91" s="4">
        <v>2</v>
      </c>
      <c r="J91" s="4">
        <v>1.24</v>
      </c>
      <c r="K91" s="8">
        <f t="shared" si="13"/>
        <v>2.48</v>
      </c>
    </row>
    <row r="92" spans="1:18" x14ac:dyDescent="0.3">
      <c r="A92" t="s">
        <v>39</v>
      </c>
      <c r="B92" s="4" t="s">
        <v>33</v>
      </c>
      <c r="C92" s="4">
        <v>3.738</v>
      </c>
      <c r="D92" s="4">
        <v>11.03</v>
      </c>
      <c r="E92" s="8">
        <f t="shared" si="14"/>
        <v>41.230139999999999</v>
      </c>
      <c r="H92" s="4" t="s">
        <v>92</v>
      </c>
      <c r="I92" s="10">
        <v>4</v>
      </c>
      <c r="J92" s="10">
        <v>1.98</v>
      </c>
      <c r="K92" s="11">
        <f t="shared" si="13"/>
        <v>7.92</v>
      </c>
    </row>
    <row r="93" spans="1:18" x14ac:dyDescent="0.3">
      <c r="B93" s="4" t="s">
        <v>43</v>
      </c>
      <c r="C93" s="4">
        <v>2</v>
      </c>
      <c r="D93" s="4">
        <v>1.24</v>
      </c>
      <c r="E93" s="8">
        <f t="shared" si="14"/>
        <v>2.48</v>
      </c>
      <c r="H93" s="4" t="s">
        <v>34</v>
      </c>
      <c r="I93" s="4">
        <v>0.1</v>
      </c>
      <c r="J93" s="4">
        <v>13.67</v>
      </c>
      <c r="K93" s="8">
        <f t="shared" si="13"/>
        <v>1.367</v>
      </c>
    </row>
    <row r="94" spans="1:18" x14ac:dyDescent="0.3">
      <c r="B94" s="4" t="s">
        <v>34</v>
      </c>
      <c r="C94" s="4">
        <v>0.1</v>
      </c>
      <c r="D94" s="4">
        <v>13.67</v>
      </c>
      <c r="E94" s="8">
        <f t="shared" si="14"/>
        <v>1.367</v>
      </c>
      <c r="H94" s="4" t="s">
        <v>35</v>
      </c>
      <c r="I94" s="4">
        <v>4</v>
      </c>
      <c r="J94" s="4">
        <v>1.89</v>
      </c>
      <c r="K94" s="8">
        <f t="shared" si="13"/>
        <v>7.56</v>
      </c>
    </row>
    <row r="95" spans="1:18" x14ac:dyDescent="0.3">
      <c r="B95" s="4" t="s">
        <v>35</v>
      </c>
      <c r="C95" s="4">
        <v>4</v>
      </c>
      <c r="D95" s="4">
        <v>1.89</v>
      </c>
      <c r="E95" s="8">
        <f t="shared" si="14"/>
        <v>7.56</v>
      </c>
      <c r="H95" s="4" t="s">
        <v>36</v>
      </c>
      <c r="I95" s="4">
        <v>4</v>
      </c>
      <c r="J95" s="4">
        <v>0.24</v>
      </c>
      <c r="K95" s="8">
        <f t="shared" si="13"/>
        <v>0.96</v>
      </c>
    </row>
    <row r="96" spans="1:18" x14ac:dyDescent="0.3">
      <c r="B96" s="4" t="s">
        <v>36</v>
      </c>
      <c r="C96" s="4">
        <v>4</v>
      </c>
      <c r="D96" s="4">
        <v>0.24</v>
      </c>
      <c r="E96" s="8">
        <f t="shared" si="14"/>
        <v>0.96</v>
      </c>
      <c r="K96" s="9">
        <f>SUM(K88:K95)</f>
        <v>161.22956999999997</v>
      </c>
    </row>
    <row r="97" spans="1:11" x14ac:dyDescent="0.3">
      <c r="E97" s="9">
        <f>SUM(E91:E96)</f>
        <v>98.130849999999995</v>
      </c>
      <c r="H97" s="4" t="s">
        <v>37</v>
      </c>
      <c r="I97">
        <v>30</v>
      </c>
      <c r="J97">
        <v>1.41</v>
      </c>
      <c r="K97" s="8">
        <f>I97*J97</f>
        <v>42.3</v>
      </c>
    </row>
    <row r="98" spans="1:11" x14ac:dyDescent="0.3">
      <c r="B98" s="4" t="s">
        <v>37</v>
      </c>
      <c r="C98">
        <v>30</v>
      </c>
      <c r="D98">
        <v>1.41</v>
      </c>
      <c r="E98" s="8">
        <f>C98*D98</f>
        <v>42.3</v>
      </c>
      <c r="K98" s="8">
        <f>SUM(K96:K97)</f>
        <v>203.52956999999998</v>
      </c>
    </row>
    <row r="99" spans="1:11" x14ac:dyDescent="0.3">
      <c r="E99" s="8">
        <f>SUM(E97:E98)</f>
        <v>140.43084999999999</v>
      </c>
    </row>
    <row r="101" spans="1:11" x14ac:dyDescent="0.3">
      <c r="C101" s="4" t="s">
        <v>28</v>
      </c>
      <c r="D101" s="4" t="s">
        <v>29</v>
      </c>
      <c r="E101" s="4" t="s">
        <v>30</v>
      </c>
      <c r="I101" s="4" t="s">
        <v>28</v>
      </c>
      <c r="J101" s="4" t="s">
        <v>29</v>
      </c>
      <c r="K101" s="4" t="s">
        <v>30</v>
      </c>
    </row>
    <row r="102" spans="1:11" x14ac:dyDescent="0.3">
      <c r="A102" t="s">
        <v>48</v>
      </c>
      <c r="B102" s="4" t="s">
        <v>32</v>
      </c>
      <c r="C102" s="4">
        <v>2.448</v>
      </c>
      <c r="D102" s="4">
        <v>19.89</v>
      </c>
      <c r="E102" s="8">
        <f t="shared" ref="E102:E107" si="15">C102*D102</f>
        <v>48.690719999999999</v>
      </c>
      <c r="G102" t="s">
        <v>47</v>
      </c>
      <c r="H102" s="4" t="s">
        <v>32</v>
      </c>
      <c r="I102" s="4">
        <v>2.2389999999999999</v>
      </c>
      <c r="J102" s="4">
        <v>31.41</v>
      </c>
      <c r="K102" s="8">
        <f>I102*J102</f>
        <v>70.326989999999995</v>
      </c>
    </row>
    <row r="103" spans="1:11" x14ac:dyDescent="0.3">
      <c r="A103" t="s">
        <v>39</v>
      </c>
      <c r="B103" s="4" t="s">
        <v>33</v>
      </c>
      <c r="C103" s="4">
        <v>4.1580000000000004</v>
      </c>
      <c r="D103" s="4">
        <v>11.03</v>
      </c>
      <c r="E103" s="8">
        <f t="shared" si="15"/>
        <v>45.862740000000002</v>
      </c>
      <c r="G103" t="s">
        <v>39</v>
      </c>
      <c r="H103" s="4" t="s">
        <v>33</v>
      </c>
      <c r="I103" s="4">
        <v>3.738</v>
      </c>
      <c r="J103" s="4">
        <v>11.03</v>
      </c>
      <c r="K103" s="8">
        <f>I103*J103</f>
        <v>41.230139999999999</v>
      </c>
    </row>
    <row r="104" spans="1:11" x14ac:dyDescent="0.3">
      <c r="B104" s="4" t="s">
        <v>43</v>
      </c>
      <c r="C104" s="4">
        <v>2</v>
      </c>
      <c r="D104" s="4">
        <v>1.24</v>
      </c>
      <c r="E104" s="8">
        <f t="shared" si="15"/>
        <v>2.48</v>
      </c>
      <c r="G104" t="s">
        <v>59</v>
      </c>
      <c r="H104" s="4" t="s">
        <v>33</v>
      </c>
      <c r="I104" s="4">
        <v>4.1580000000000004</v>
      </c>
      <c r="J104" s="4">
        <v>11.03</v>
      </c>
      <c r="K104" s="8">
        <f>I104*J104</f>
        <v>45.862740000000002</v>
      </c>
    </row>
    <row r="105" spans="1:11" x14ac:dyDescent="0.3">
      <c r="B105" s="4" t="s">
        <v>34</v>
      </c>
      <c r="C105" s="4">
        <v>0.1</v>
      </c>
      <c r="D105" s="4">
        <v>13.67</v>
      </c>
      <c r="E105" s="8">
        <f t="shared" si="15"/>
        <v>1.367</v>
      </c>
      <c r="H105" s="4" t="s">
        <v>43</v>
      </c>
      <c r="I105" s="4">
        <v>2</v>
      </c>
      <c r="J105" s="4">
        <v>1.24</v>
      </c>
      <c r="K105" s="8">
        <f>I105*J105</f>
        <v>2.48</v>
      </c>
    </row>
    <row r="106" spans="1:11" x14ac:dyDescent="0.3">
      <c r="B106" s="4" t="s">
        <v>35</v>
      </c>
      <c r="C106" s="4">
        <v>4</v>
      </c>
      <c r="D106" s="4">
        <v>1.89</v>
      </c>
      <c r="E106" s="8">
        <f t="shared" si="15"/>
        <v>7.56</v>
      </c>
      <c r="H106" s="4" t="s">
        <v>93</v>
      </c>
      <c r="I106" s="4">
        <v>4</v>
      </c>
      <c r="J106" s="4"/>
      <c r="K106" s="4">
        <v>8.44</v>
      </c>
    </row>
    <row r="107" spans="1:11" x14ac:dyDescent="0.3">
      <c r="B107" s="4" t="s">
        <v>36</v>
      </c>
      <c r="C107" s="4">
        <v>4</v>
      </c>
      <c r="D107" s="4">
        <v>0.24</v>
      </c>
      <c r="E107" s="8">
        <f t="shared" si="15"/>
        <v>0.96</v>
      </c>
      <c r="H107" s="4" t="s">
        <v>34</v>
      </c>
      <c r="I107" s="4">
        <v>0.1</v>
      </c>
      <c r="J107" s="4">
        <v>13.67</v>
      </c>
      <c r="K107" s="8">
        <f>I107*J107</f>
        <v>1.367</v>
      </c>
    </row>
    <row r="108" spans="1:11" x14ac:dyDescent="0.3">
      <c r="E108" s="9">
        <f>SUM(E102:E107)</f>
        <v>106.92046000000001</v>
      </c>
      <c r="H108" s="4" t="s">
        <v>35</v>
      </c>
      <c r="I108" s="4">
        <v>4</v>
      </c>
      <c r="J108" s="4">
        <v>1.89</v>
      </c>
      <c r="K108" s="8">
        <f>I108*J108</f>
        <v>7.56</v>
      </c>
    </row>
    <row r="109" spans="1:11" x14ac:dyDescent="0.3">
      <c r="B109" s="4" t="s">
        <v>37</v>
      </c>
      <c r="C109">
        <v>30</v>
      </c>
      <c r="D109">
        <v>1.41</v>
      </c>
      <c r="E109" s="8">
        <f>C109*D109</f>
        <v>42.3</v>
      </c>
      <c r="H109" s="4" t="s">
        <v>36</v>
      </c>
      <c r="I109" s="4">
        <v>4</v>
      </c>
      <c r="J109" s="4">
        <v>0.24</v>
      </c>
      <c r="K109" s="8">
        <f>I109*J109</f>
        <v>0.96</v>
      </c>
    </row>
    <row r="110" spans="1:11" x14ac:dyDescent="0.3">
      <c r="E110" s="8">
        <f>SUM(E108:E109)</f>
        <v>149.22046</v>
      </c>
      <c r="K110" s="9">
        <f>SUM(K102:K109)</f>
        <v>178.22686999999999</v>
      </c>
    </row>
    <row r="111" spans="1:11" x14ac:dyDescent="0.3">
      <c r="H111" s="4" t="s">
        <v>37</v>
      </c>
      <c r="I111">
        <v>30</v>
      </c>
      <c r="J111">
        <v>1.41</v>
      </c>
      <c r="K111" s="8">
        <f>I111*J111</f>
        <v>42.3</v>
      </c>
    </row>
    <row r="112" spans="1:11" x14ac:dyDescent="0.3">
      <c r="C112" s="4" t="s">
        <v>28</v>
      </c>
      <c r="D112" s="4" t="s">
        <v>29</v>
      </c>
      <c r="E112" s="4" t="s">
        <v>30</v>
      </c>
      <c r="K112" s="8">
        <f>SUM(K110:K111)</f>
        <v>220.52686999999997</v>
      </c>
    </row>
    <row r="113" spans="1:17" x14ac:dyDescent="0.3">
      <c r="A113" t="s">
        <v>49</v>
      </c>
      <c r="B113" s="4" t="s">
        <v>32</v>
      </c>
      <c r="C113" s="4">
        <v>2.8690000000000002</v>
      </c>
      <c r="D113" s="4">
        <v>19.89</v>
      </c>
      <c r="E113" s="8">
        <f t="shared" ref="E113:E118" si="16">C113*D113</f>
        <v>57.064410000000009</v>
      </c>
    </row>
    <row r="114" spans="1:17" x14ac:dyDescent="0.3">
      <c r="A114" t="s">
        <v>39</v>
      </c>
      <c r="B114" s="4" t="s">
        <v>33</v>
      </c>
      <c r="C114" s="4">
        <v>4.9980000000000002</v>
      </c>
      <c r="D114" s="4">
        <v>11.03</v>
      </c>
      <c r="E114" s="8">
        <f t="shared" si="16"/>
        <v>55.127940000000002</v>
      </c>
      <c r="I114" s="4" t="s">
        <v>28</v>
      </c>
      <c r="J114" s="4" t="s">
        <v>29</v>
      </c>
      <c r="K114" s="4" t="s">
        <v>30</v>
      </c>
      <c r="O114" s="4" t="s">
        <v>28</v>
      </c>
      <c r="P114" s="4" t="s">
        <v>29</v>
      </c>
      <c r="Q114" s="4" t="s">
        <v>30</v>
      </c>
    </row>
    <row r="115" spans="1:17" x14ac:dyDescent="0.3">
      <c r="B115" s="4" t="s">
        <v>43</v>
      </c>
      <c r="C115" s="4">
        <v>2</v>
      </c>
      <c r="D115" s="4">
        <v>1.24</v>
      </c>
      <c r="E115" s="8">
        <f t="shared" si="16"/>
        <v>2.48</v>
      </c>
      <c r="G115" t="s">
        <v>48</v>
      </c>
      <c r="H115" s="4" t="s">
        <v>32</v>
      </c>
      <c r="I115" s="4">
        <v>2.448</v>
      </c>
      <c r="J115" s="4">
        <v>31.41</v>
      </c>
      <c r="K115" s="8">
        <f t="shared" ref="K115:K122" si="17">I115*J115</f>
        <v>76.891679999999994</v>
      </c>
      <c r="M115" t="s">
        <v>352</v>
      </c>
      <c r="N115" s="4" t="s">
        <v>32</v>
      </c>
      <c r="O115" s="4">
        <v>3.6659999999999999</v>
      </c>
      <c r="P115" s="4">
        <v>19.89</v>
      </c>
      <c r="Q115" s="8">
        <f t="shared" ref="Q115:Q120" si="18">O115*P115</f>
        <v>72.916740000000004</v>
      </c>
    </row>
    <row r="116" spans="1:17" x14ac:dyDescent="0.3">
      <c r="B116" s="4" t="s">
        <v>34</v>
      </c>
      <c r="C116" s="4">
        <v>0.1</v>
      </c>
      <c r="D116" s="4">
        <v>13.67</v>
      </c>
      <c r="E116" s="8">
        <f t="shared" si="16"/>
        <v>1.367</v>
      </c>
      <c r="G116" t="s">
        <v>39</v>
      </c>
      <c r="H116" s="4" t="s">
        <v>33</v>
      </c>
      <c r="I116" s="4">
        <v>4.1580000000000004</v>
      </c>
      <c r="J116" s="4">
        <v>11.03</v>
      </c>
      <c r="K116" s="8">
        <f t="shared" si="17"/>
        <v>45.862740000000002</v>
      </c>
      <c r="M116" t="s">
        <v>39</v>
      </c>
      <c r="N116" s="4" t="s">
        <v>33</v>
      </c>
      <c r="O116" s="4"/>
      <c r="P116" s="4">
        <v>11.03</v>
      </c>
      <c r="Q116" s="8">
        <f t="shared" si="18"/>
        <v>0</v>
      </c>
    </row>
    <row r="117" spans="1:17" x14ac:dyDescent="0.3">
      <c r="B117" s="4" t="s">
        <v>35</v>
      </c>
      <c r="C117" s="4">
        <v>4</v>
      </c>
      <c r="D117" s="4">
        <v>1.89</v>
      </c>
      <c r="E117" s="8">
        <f t="shared" si="16"/>
        <v>7.56</v>
      </c>
      <c r="G117" t="s">
        <v>60</v>
      </c>
      <c r="H117" s="4" t="s">
        <v>33</v>
      </c>
      <c r="I117" s="4">
        <v>4.63</v>
      </c>
      <c r="J117" s="4">
        <v>11.03</v>
      </c>
      <c r="K117" s="8">
        <f t="shared" si="17"/>
        <v>51.068899999999999</v>
      </c>
      <c r="N117" s="4" t="s">
        <v>43</v>
      </c>
      <c r="O117" s="4">
        <v>2</v>
      </c>
      <c r="P117" s="4">
        <v>1.24</v>
      </c>
      <c r="Q117" s="8">
        <f t="shared" si="18"/>
        <v>2.48</v>
      </c>
    </row>
    <row r="118" spans="1:17" x14ac:dyDescent="0.3">
      <c r="B118" s="4" t="s">
        <v>36</v>
      </c>
      <c r="C118" s="4">
        <v>4</v>
      </c>
      <c r="D118" s="4">
        <v>0.24</v>
      </c>
      <c r="E118" s="8">
        <f t="shared" si="16"/>
        <v>0.96</v>
      </c>
      <c r="H118" s="4" t="s">
        <v>43</v>
      </c>
      <c r="I118" s="4">
        <v>2</v>
      </c>
      <c r="J118" s="4">
        <v>1.24</v>
      </c>
      <c r="K118" s="8">
        <f t="shared" si="17"/>
        <v>2.48</v>
      </c>
      <c r="N118" s="4" t="s">
        <v>34</v>
      </c>
      <c r="O118" s="4">
        <v>0.5</v>
      </c>
      <c r="P118" s="4">
        <v>13.67</v>
      </c>
      <c r="Q118" s="8">
        <f t="shared" si="18"/>
        <v>6.835</v>
      </c>
    </row>
    <row r="119" spans="1:17" x14ac:dyDescent="0.3">
      <c r="E119" s="9">
        <f>SUM(E113:E118)</f>
        <v>124.55935000000001</v>
      </c>
      <c r="H119" s="4" t="s">
        <v>94</v>
      </c>
      <c r="I119" s="10">
        <v>4</v>
      </c>
      <c r="J119" s="10">
        <v>2.2400000000000002</v>
      </c>
      <c r="K119" s="11">
        <f t="shared" si="17"/>
        <v>8.9600000000000009</v>
      </c>
      <c r="N119" s="4" t="s">
        <v>35</v>
      </c>
      <c r="O119" s="4"/>
      <c r="P119" s="4">
        <v>1.89</v>
      </c>
      <c r="Q119" s="8">
        <f t="shared" si="18"/>
        <v>0</v>
      </c>
    </row>
    <row r="120" spans="1:17" x14ac:dyDescent="0.3">
      <c r="B120" s="4" t="s">
        <v>37</v>
      </c>
      <c r="C120">
        <v>30</v>
      </c>
      <c r="D120">
        <v>1.41</v>
      </c>
      <c r="E120" s="8">
        <f>C120*D120</f>
        <v>42.3</v>
      </c>
      <c r="H120" s="4" t="s">
        <v>34</v>
      </c>
      <c r="I120" s="4">
        <v>0.1</v>
      </c>
      <c r="J120" s="4">
        <v>13.67</v>
      </c>
      <c r="K120" s="8">
        <f t="shared" si="17"/>
        <v>1.367</v>
      </c>
      <c r="N120" s="4" t="s">
        <v>36</v>
      </c>
      <c r="O120" s="4">
        <v>4</v>
      </c>
      <c r="P120" s="4">
        <v>0.24</v>
      </c>
      <c r="Q120" s="8">
        <f t="shared" si="18"/>
        <v>0.96</v>
      </c>
    </row>
    <row r="121" spans="1:17" x14ac:dyDescent="0.3">
      <c r="E121" s="8">
        <f>SUM(E119:E120)</f>
        <v>166.85935000000001</v>
      </c>
      <c r="H121" s="4" t="s">
        <v>35</v>
      </c>
      <c r="I121" s="4">
        <v>4</v>
      </c>
      <c r="J121" s="4">
        <v>1.89</v>
      </c>
      <c r="K121" s="8">
        <f t="shared" si="17"/>
        <v>7.56</v>
      </c>
      <c r="Q121" s="9">
        <f>SUM(Q115:Q120)</f>
        <v>83.191739999999996</v>
      </c>
    </row>
    <row r="122" spans="1:17" x14ac:dyDescent="0.3">
      <c r="H122" s="4" t="s">
        <v>36</v>
      </c>
      <c r="I122" s="4">
        <v>4</v>
      </c>
      <c r="J122" s="4">
        <v>0.24</v>
      </c>
      <c r="K122" s="8">
        <f t="shared" si="17"/>
        <v>0.96</v>
      </c>
      <c r="N122" s="4" t="s">
        <v>37</v>
      </c>
      <c r="O122">
        <v>30</v>
      </c>
      <c r="P122">
        <v>1.41</v>
      </c>
      <c r="Q122" s="8">
        <f>O122*P122</f>
        <v>42.3</v>
      </c>
    </row>
    <row r="123" spans="1:17" x14ac:dyDescent="0.3">
      <c r="K123" s="9">
        <f>SUM(K115:K122)</f>
        <v>195.15031999999999</v>
      </c>
      <c r="Q123" s="8">
        <f>SUM(Q121:Q122)</f>
        <v>125.49173999999999</v>
      </c>
    </row>
    <row r="124" spans="1:17" x14ac:dyDescent="0.3">
      <c r="C124" s="4" t="s">
        <v>28</v>
      </c>
      <c r="D124" s="4" t="s">
        <v>29</v>
      </c>
      <c r="E124" s="4" t="s">
        <v>30</v>
      </c>
      <c r="H124" s="4" t="s">
        <v>37</v>
      </c>
      <c r="I124">
        <v>85</v>
      </c>
      <c r="K124" s="8">
        <v>85</v>
      </c>
    </row>
    <row r="125" spans="1:17" x14ac:dyDescent="0.3">
      <c r="A125" t="s">
        <v>304</v>
      </c>
      <c r="B125" s="4" t="s">
        <v>32</v>
      </c>
      <c r="C125" s="4">
        <v>4.423</v>
      </c>
      <c r="D125" s="4">
        <v>19.89</v>
      </c>
      <c r="E125" s="8">
        <f t="shared" ref="E125:E130" si="19">C125*D125</f>
        <v>87.973470000000006</v>
      </c>
      <c r="K125" s="8">
        <f>SUM(K123:K124)</f>
        <v>280.15031999999997</v>
      </c>
    </row>
    <row r="126" spans="1:17" x14ac:dyDescent="0.3">
      <c r="A126" t="s">
        <v>246</v>
      </c>
      <c r="B126" s="4" t="s">
        <v>33</v>
      </c>
      <c r="C126" s="4">
        <v>2.0990000000000002</v>
      </c>
      <c r="D126" s="4">
        <v>11.03</v>
      </c>
      <c r="E126" s="8">
        <f t="shared" si="19"/>
        <v>23.151970000000002</v>
      </c>
    </row>
    <row r="127" spans="1:17" x14ac:dyDescent="0.3">
      <c r="B127" s="4" t="s">
        <v>43</v>
      </c>
      <c r="C127" s="4">
        <v>2</v>
      </c>
      <c r="D127" s="4">
        <v>1.24</v>
      </c>
      <c r="E127" s="8">
        <f t="shared" si="19"/>
        <v>2.48</v>
      </c>
      <c r="I127" s="4" t="s">
        <v>28</v>
      </c>
      <c r="J127" s="4" t="s">
        <v>29</v>
      </c>
      <c r="K127" s="4" t="s">
        <v>30</v>
      </c>
    </row>
    <row r="128" spans="1:17" x14ac:dyDescent="0.3">
      <c r="B128" s="4" t="s">
        <v>34</v>
      </c>
      <c r="C128" s="4">
        <v>0.24</v>
      </c>
      <c r="D128" s="4">
        <v>13.67</v>
      </c>
      <c r="E128" s="8">
        <f t="shared" si="19"/>
        <v>3.2807999999999997</v>
      </c>
      <c r="G128" t="s">
        <v>49</v>
      </c>
      <c r="H128" s="4" t="s">
        <v>32</v>
      </c>
      <c r="I128" s="4">
        <v>2.8690000000000002</v>
      </c>
      <c r="J128" s="4">
        <v>31.41</v>
      </c>
      <c r="K128" s="8">
        <f t="shared" ref="K128:K135" si="20">I128*J128</f>
        <v>90.115290000000002</v>
      </c>
    </row>
    <row r="129" spans="1:11" x14ac:dyDescent="0.3">
      <c r="B129" s="4" t="s">
        <v>35</v>
      </c>
      <c r="C129" s="4">
        <v>4</v>
      </c>
      <c r="D129" s="4">
        <v>1.89</v>
      </c>
      <c r="E129" s="8">
        <f t="shared" si="19"/>
        <v>7.56</v>
      </c>
      <c r="G129" t="s">
        <v>39</v>
      </c>
      <c r="H129" s="4" t="s">
        <v>33</v>
      </c>
      <c r="I129" s="4">
        <v>4.9980000000000002</v>
      </c>
      <c r="J129" s="4">
        <v>11.03</v>
      </c>
      <c r="K129" s="8">
        <f t="shared" si="20"/>
        <v>55.127940000000002</v>
      </c>
    </row>
    <row r="130" spans="1:11" x14ac:dyDescent="0.3">
      <c r="B130" s="4" t="s">
        <v>36</v>
      </c>
      <c r="C130" s="4">
        <v>4</v>
      </c>
      <c r="D130" s="4">
        <v>0.24</v>
      </c>
      <c r="E130" s="8">
        <f t="shared" si="19"/>
        <v>0.96</v>
      </c>
      <c r="G130" t="s">
        <v>61</v>
      </c>
      <c r="H130" s="4" t="s">
        <v>33</v>
      </c>
      <c r="I130" s="4">
        <v>5.5750000000000002</v>
      </c>
      <c r="J130" s="4">
        <v>11.03</v>
      </c>
      <c r="K130" s="8">
        <f t="shared" si="20"/>
        <v>61.492249999999999</v>
      </c>
    </row>
    <row r="131" spans="1:11" x14ac:dyDescent="0.3">
      <c r="E131" s="9">
        <f>SUM(E125:E130)</f>
        <v>125.40624000000001</v>
      </c>
      <c r="H131" s="4" t="s">
        <v>43</v>
      </c>
      <c r="I131" s="4">
        <v>2</v>
      </c>
      <c r="J131" s="4">
        <v>1.24</v>
      </c>
      <c r="K131" s="8">
        <f t="shared" si="20"/>
        <v>2.48</v>
      </c>
    </row>
    <row r="132" spans="1:11" x14ac:dyDescent="0.3">
      <c r="B132" s="4" t="s">
        <v>37</v>
      </c>
      <c r="C132">
        <v>30</v>
      </c>
      <c r="D132">
        <v>1.41</v>
      </c>
      <c r="E132" s="8">
        <f>C132*D132</f>
        <v>42.3</v>
      </c>
      <c r="H132" s="4" t="s">
        <v>95</v>
      </c>
      <c r="I132" s="10">
        <v>6</v>
      </c>
      <c r="J132" s="10">
        <v>1.86</v>
      </c>
      <c r="K132" s="11">
        <f t="shared" si="20"/>
        <v>11.16</v>
      </c>
    </row>
    <row r="133" spans="1:11" x14ac:dyDescent="0.3">
      <c r="E133" s="8">
        <f>SUM(E131:E132)</f>
        <v>167.70624000000001</v>
      </c>
      <c r="H133" s="4" t="s">
        <v>34</v>
      </c>
      <c r="I133" s="4">
        <v>0.2</v>
      </c>
      <c r="J133" s="4">
        <v>13.67</v>
      </c>
      <c r="K133" s="8">
        <f t="shared" si="20"/>
        <v>2.734</v>
      </c>
    </row>
    <row r="134" spans="1:11" x14ac:dyDescent="0.3">
      <c r="H134" s="4" t="s">
        <v>35</v>
      </c>
      <c r="I134" s="4">
        <v>4</v>
      </c>
      <c r="J134" s="4">
        <v>1.89</v>
      </c>
      <c r="K134" s="8">
        <f t="shared" si="20"/>
        <v>7.56</v>
      </c>
    </row>
    <row r="135" spans="1:11" x14ac:dyDescent="0.3">
      <c r="H135" s="4" t="s">
        <v>36</v>
      </c>
      <c r="I135" s="4">
        <v>4</v>
      </c>
      <c r="J135" s="4">
        <v>0.24</v>
      </c>
      <c r="K135" s="8">
        <f t="shared" si="20"/>
        <v>0.96</v>
      </c>
    </row>
    <row r="136" spans="1:11" x14ac:dyDescent="0.3">
      <c r="C136" s="4" t="s">
        <v>28</v>
      </c>
      <c r="D136" s="4" t="s">
        <v>29</v>
      </c>
      <c r="E136" s="4" t="s">
        <v>30</v>
      </c>
      <c r="K136" s="9">
        <f>SUM(K128:K135)</f>
        <v>231.62948</v>
      </c>
    </row>
    <row r="137" spans="1:11" x14ac:dyDescent="0.3">
      <c r="A137" t="s">
        <v>305</v>
      </c>
      <c r="B137" s="4" t="s">
        <v>32</v>
      </c>
      <c r="C137" s="4">
        <v>6.5220000000000002</v>
      </c>
      <c r="D137" s="4">
        <v>19.89</v>
      </c>
      <c r="E137" s="8">
        <f t="shared" ref="E137:E142" si="21">C137*D137</f>
        <v>129.72258000000002</v>
      </c>
      <c r="H137" s="4" t="s">
        <v>37</v>
      </c>
      <c r="I137">
        <v>30</v>
      </c>
      <c r="J137">
        <v>1.41</v>
      </c>
      <c r="K137" s="8">
        <f>I137*J137</f>
        <v>42.3</v>
      </c>
    </row>
    <row r="138" spans="1:11" x14ac:dyDescent="0.3">
      <c r="A138" t="s">
        <v>246</v>
      </c>
      <c r="B138" s="4" t="s">
        <v>33</v>
      </c>
      <c r="C138" s="4">
        <v>3.14</v>
      </c>
      <c r="D138" s="4">
        <v>11.03</v>
      </c>
      <c r="E138" s="8">
        <f t="shared" si="21"/>
        <v>34.6342</v>
      </c>
      <c r="K138" s="8">
        <f>SUM(K136:K137)</f>
        <v>273.92948000000001</v>
      </c>
    </row>
    <row r="139" spans="1:11" x14ac:dyDescent="0.3">
      <c r="B139" s="4" t="s">
        <v>43</v>
      </c>
      <c r="C139" s="4">
        <v>2</v>
      </c>
      <c r="D139" s="4">
        <v>1.24</v>
      </c>
      <c r="E139" s="8">
        <f t="shared" si="21"/>
        <v>2.48</v>
      </c>
    </row>
    <row r="140" spans="1:11" x14ac:dyDescent="0.3">
      <c r="B140" s="4" t="s">
        <v>34</v>
      </c>
      <c r="C140" s="4">
        <v>0.32</v>
      </c>
      <c r="D140" s="4">
        <v>13.67</v>
      </c>
      <c r="E140" s="8">
        <f t="shared" si="21"/>
        <v>4.3744000000000005</v>
      </c>
    </row>
    <row r="141" spans="1:11" x14ac:dyDescent="0.3">
      <c r="B141" s="4" t="s">
        <v>35</v>
      </c>
      <c r="C141" s="4">
        <v>4</v>
      </c>
      <c r="D141" s="4">
        <v>1.89</v>
      </c>
      <c r="E141" s="8">
        <f t="shared" si="21"/>
        <v>7.56</v>
      </c>
      <c r="I141" s="4"/>
      <c r="J141" s="4"/>
      <c r="K141" s="4"/>
    </row>
    <row r="142" spans="1:11" x14ac:dyDescent="0.3">
      <c r="B142" s="4" t="s">
        <v>36</v>
      </c>
      <c r="C142" s="4">
        <v>4</v>
      </c>
      <c r="D142" s="4">
        <v>0.24</v>
      </c>
      <c r="E142" s="8">
        <f t="shared" si="21"/>
        <v>0.96</v>
      </c>
      <c r="H142" s="4"/>
      <c r="I142" s="4"/>
      <c r="J142" s="4"/>
      <c r="K142" s="8"/>
    </row>
    <row r="143" spans="1:11" x14ac:dyDescent="0.3">
      <c r="E143" s="9">
        <f>SUM(E137:E142)</f>
        <v>179.73118000000002</v>
      </c>
      <c r="H143" s="4"/>
      <c r="I143" s="4"/>
      <c r="J143" s="4"/>
      <c r="K143" s="8"/>
    </row>
    <row r="144" spans="1:11" x14ac:dyDescent="0.3">
      <c r="B144" s="4" t="s">
        <v>37</v>
      </c>
      <c r="C144">
        <v>30</v>
      </c>
      <c r="D144">
        <v>1.41</v>
      </c>
      <c r="E144" s="8">
        <f>C144*D144</f>
        <v>42.3</v>
      </c>
      <c r="H144" s="4"/>
      <c r="I144" s="4"/>
      <c r="J144" s="4"/>
      <c r="K144" s="8"/>
    </row>
    <row r="145" spans="1:11" x14ac:dyDescent="0.3">
      <c r="E145" s="8">
        <f>SUM(E143:E144)</f>
        <v>222.03118000000001</v>
      </c>
      <c r="H145" s="4"/>
      <c r="I145" s="4"/>
      <c r="J145" s="4"/>
      <c r="K145" s="8"/>
    </row>
    <row r="146" spans="1:11" x14ac:dyDescent="0.3">
      <c r="H146" s="4"/>
      <c r="I146" s="10"/>
      <c r="J146" s="10"/>
      <c r="K146" s="11"/>
    </row>
    <row r="147" spans="1:11" x14ac:dyDescent="0.3">
      <c r="H147" s="4"/>
      <c r="I147" s="4"/>
      <c r="J147" s="4"/>
      <c r="K147" s="8"/>
    </row>
    <row r="148" spans="1:11" x14ac:dyDescent="0.3">
      <c r="H148" s="4"/>
      <c r="I148" s="4"/>
      <c r="J148" s="4"/>
      <c r="K148" s="8"/>
    </row>
    <row r="149" spans="1:11" x14ac:dyDescent="0.3">
      <c r="C149" s="4" t="s">
        <v>28</v>
      </c>
      <c r="D149" s="4" t="s">
        <v>29</v>
      </c>
      <c r="E149" s="4" t="s">
        <v>30</v>
      </c>
      <c r="H149" s="4"/>
      <c r="I149" s="4"/>
      <c r="J149" s="4"/>
      <c r="K149" s="8"/>
    </row>
    <row r="150" spans="1:11" x14ac:dyDescent="0.3">
      <c r="A150" t="s">
        <v>317</v>
      </c>
      <c r="B150" s="4" t="s">
        <v>32</v>
      </c>
      <c r="C150" s="4">
        <v>1.504</v>
      </c>
      <c r="D150" s="4">
        <v>19.89</v>
      </c>
      <c r="E150" s="8">
        <f t="shared" ref="E150:E155" si="22">C150*D150</f>
        <v>29.914560000000002</v>
      </c>
      <c r="K150" s="9"/>
    </row>
    <row r="151" spans="1:11" x14ac:dyDescent="0.3">
      <c r="A151" t="s">
        <v>39</v>
      </c>
      <c r="B151" s="4" t="s">
        <v>33</v>
      </c>
      <c r="C151" s="4">
        <v>2.3759999999999999</v>
      </c>
      <c r="D151" s="4">
        <v>11.03</v>
      </c>
      <c r="E151" s="8">
        <f t="shared" si="22"/>
        <v>26.207279999999997</v>
      </c>
      <c r="H151" s="4"/>
      <c r="K151" s="8"/>
    </row>
    <row r="152" spans="1:11" x14ac:dyDescent="0.3">
      <c r="B152" s="4" t="s">
        <v>43</v>
      </c>
      <c r="C152" s="4">
        <v>2</v>
      </c>
      <c r="D152" s="4">
        <v>1.24</v>
      </c>
      <c r="E152" s="8">
        <f t="shared" si="22"/>
        <v>2.48</v>
      </c>
      <c r="K152" s="8"/>
    </row>
    <row r="153" spans="1:11" x14ac:dyDescent="0.3">
      <c r="B153" s="4" t="s">
        <v>34</v>
      </c>
      <c r="C153" s="4"/>
      <c r="D153" s="4"/>
      <c r="E153" s="8">
        <f t="shared" si="22"/>
        <v>0</v>
      </c>
    </row>
    <row r="154" spans="1:11" x14ac:dyDescent="0.3">
      <c r="B154" s="4" t="s">
        <v>35</v>
      </c>
      <c r="C154" s="4">
        <v>4</v>
      </c>
      <c r="D154" s="4">
        <v>1.89</v>
      </c>
      <c r="E154" s="8">
        <f t="shared" si="22"/>
        <v>7.56</v>
      </c>
    </row>
    <row r="155" spans="1:11" x14ac:dyDescent="0.3">
      <c r="B155" s="4" t="s">
        <v>36</v>
      </c>
      <c r="C155" s="4">
        <v>4</v>
      </c>
      <c r="D155" s="4">
        <v>0.24</v>
      </c>
      <c r="E155" s="8">
        <f t="shared" si="22"/>
        <v>0.96</v>
      </c>
    </row>
    <row r="156" spans="1:11" x14ac:dyDescent="0.3">
      <c r="E156" s="9">
        <f>SUM(E150:E155)</f>
        <v>67.121839999999992</v>
      </c>
    </row>
    <row r="157" spans="1:11" x14ac:dyDescent="0.3">
      <c r="B157" s="4" t="s">
        <v>37</v>
      </c>
      <c r="C157">
        <v>15</v>
      </c>
      <c r="D157">
        <v>1.41</v>
      </c>
      <c r="E157" s="8">
        <f>C157*D157</f>
        <v>21.15</v>
      </c>
    </row>
    <row r="158" spans="1:11" x14ac:dyDescent="0.3">
      <c r="E158" s="8">
        <f>SUM(E156:E157)</f>
        <v>88.271839999999997</v>
      </c>
    </row>
    <row r="161" spans="1:5" x14ac:dyDescent="0.3">
      <c r="C161" s="4" t="s">
        <v>28</v>
      </c>
      <c r="D161" s="4" t="s">
        <v>29</v>
      </c>
      <c r="E161" s="4" t="s">
        <v>30</v>
      </c>
    </row>
    <row r="162" spans="1:5" x14ac:dyDescent="0.3">
      <c r="A162" t="s">
        <v>466</v>
      </c>
      <c r="B162" s="4" t="s">
        <v>32</v>
      </c>
      <c r="C162" s="4">
        <v>4.766</v>
      </c>
      <c r="D162" s="4">
        <v>19.89</v>
      </c>
      <c r="E162" s="8">
        <f t="shared" ref="E162:E167" si="23">C162*D162</f>
        <v>94.795740000000009</v>
      </c>
    </row>
    <row r="163" spans="1:5" x14ac:dyDescent="0.3">
      <c r="A163" t="s">
        <v>39</v>
      </c>
      <c r="B163" s="4" t="s">
        <v>33</v>
      </c>
      <c r="C163" s="4">
        <v>8.7560000000000002</v>
      </c>
      <c r="D163" s="4">
        <v>11.03</v>
      </c>
      <c r="E163" s="8">
        <f t="shared" si="23"/>
        <v>96.578679999999991</v>
      </c>
    </row>
    <row r="164" spans="1:5" x14ac:dyDescent="0.3">
      <c r="B164" s="4" t="s">
        <v>43</v>
      </c>
      <c r="C164" s="4">
        <v>2</v>
      </c>
      <c r="D164" s="4">
        <v>1.24</v>
      </c>
      <c r="E164" s="8">
        <f t="shared" si="23"/>
        <v>2.48</v>
      </c>
    </row>
    <row r="165" spans="1:5" x14ac:dyDescent="0.3">
      <c r="B165" s="4" t="s">
        <v>34</v>
      </c>
      <c r="C165" s="4">
        <v>0.66</v>
      </c>
      <c r="D165" s="4">
        <v>13.67</v>
      </c>
      <c r="E165" s="8">
        <f t="shared" si="23"/>
        <v>9.0221999999999998</v>
      </c>
    </row>
    <row r="166" spans="1:5" x14ac:dyDescent="0.3">
      <c r="B166" s="4" t="s">
        <v>35</v>
      </c>
      <c r="C166" s="4">
        <v>4</v>
      </c>
      <c r="D166" s="4">
        <v>1.89</v>
      </c>
      <c r="E166" s="8">
        <f t="shared" si="23"/>
        <v>7.56</v>
      </c>
    </row>
    <row r="167" spans="1:5" x14ac:dyDescent="0.3">
      <c r="B167" s="4" t="s">
        <v>36</v>
      </c>
      <c r="C167" s="4">
        <v>4</v>
      </c>
      <c r="D167" s="4">
        <v>0.24</v>
      </c>
      <c r="E167" s="8">
        <f t="shared" si="23"/>
        <v>0.96</v>
      </c>
    </row>
    <row r="168" spans="1:5" x14ac:dyDescent="0.3">
      <c r="E168" s="9">
        <f>SUM(E162:E167)</f>
        <v>211.39661999999998</v>
      </c>
    </row>
    <row r="169" spans="1:5" x14ac:dyDescent="0.3">
      <c r="B169" s="4" t="s">
        <v>37</v>
      </c>
      <c r="C169">
        <v>85</v>
      </c>
      <c r="E169" s="8">
        <v>85</v>
      </c>
    </row>
    <row r="170" spans="1:5" x14ac:dyDescent="0.3">
      <c r="E170" s="8">
        <f>SUM(E168:E169)</f>
        <v>296.39661999999998</v>
      </c>
    </row>
    <row r="173" spans="1:5" x14ac:dyDescent="0.3">
      <c r="C173" s="4" t="s">
        <v>28</v>
      </c>
      <c r="D173" s="4" t="s">
        <v>29</v>
      </c>
      <c r="E173" s="4" t="s">
        <v>30</v>
      </c>
    </row>
    <row r="174" spans="1:5" x14ac:dyDescent="0.3">
      <c r="A174" t="s">
        <v>480</v>
      </c>
      <c r="B174" s="4" t="s">
        <v>32</v>
      </c>
      <c r="C174" s="4">
        <v>5.6459999999999999</v>
      </c>
      <c r="D174" s="4">
        <v>19.89</v>
      </c>
      <c r="E174" s="8">
        <f t="shared" ref="E174:E179" si="24">C174*D174</f>
        <v>112.29894</v>
      </c>
    </row>
    <row r="175" spans="1:5" x14ac:dyDescent="0.3">
      <c r="A175" t="s">
        <v>39</v>
      </c>
      <c r="B175" s="4" t="s">
        <v>33</v>
      </c>
      <c r="C175" s="4">
        <v>10.516</v>
      </c>
      <c r="D175" s="4">
        <v>11.03</v>
      </c>
      <c r="E175" s="8">
        <f t="shared" si="24"/>
        <v>115.99148</v>
      </c>
    </row>
    <row r="176" spans="1:5" x14ac:dyDescent="0.3">
      <c r="B176" s="4" t="s">
        <v>43</v>
      </c>
      <c r="C176" s="4">
        <v>2</v>
      </c>
      <c r="D176" s="4">
        <v>1.24</v>
      </c>
      <c r="E176" s="8">
        <f t="shared" si="24"/>
        <v>2.48</v>
      </c>
    </row>
    <row r="177" spans="2:5" x14ac:dyDescent="0.3">
      <c r="B177" s="4" t="s">
        <v>34</v>
      </c>
      <c r="C177" s="4">
        <v>0.66</v>
      </c>
      <c r="D177" s="4">
        <v>13.67</v>
      </c>
      <c r="E177" s="8">
        <f t="shared" si="24"/>
        <v>9.0221999999999998</v>
      </c>
    </row>
    <row r="178" spans="2:5" x14ac:dyDescent="0.3">
      <c r="B178" s="4" t="s">
        <v>35</v>
      </c>
      <c r="C178" s="4">
        <v>4</v>
      </c>
      <c r="D178" s="4">
        <v>1.89</v>
      </c>
      <c r="E178" s="8">
        <f t="shared" si="24"/>
        <v>7.56</v>
      </c>
    </row>
    <row r="179" spans="2:5" x14ac:dyDescent="0.3">
      <c r="B179" s="4" t="s">
        <v>36</v>
      </c>
      <c r="C179" s="4">
        <v>4</v>
      </c>
      <c r="D179" s="4">
        <v>0.24</v>
      </c>
      <c r="E179" s="8">
        <f t="shared" si="24"/>
        <v>0.96</v>
      </c>
    </row>
    <row r="180" spans="2:5" x14ac:dyDescent="0.3">
      <c r="E180" s="9">
        <f>SUM(E174:E179)</f>
        <v>248.31261999999998</v>
      </c>
    </row>
    <row r="181" spans="2:5" x14ac:dyDescent="0.3">
      <c r="B181" s="4" t="s">
        <v>37</v>
      </c>
      <c r="C181">
        <v>170</v>
      </c>
      <c r="E181" s="8">
        <v>170</v>
      </c>
    </row>
    <row r="182" spans="2:5" x14ac:dyDescent="0.3">
      <c r="E182" s="8">
        <f>SUM(E180:E181)</f>
        <v>418.31261999999998</v>
      </c>
    </row>
  </sheetData>
  <pageMargins left="0" right="0" top="0.15748031496062992" bottom="0.15748031496062992" header="0.31496062992125984" footer="0.31496062992125984"/>
  <pageSetup paperSize="9" scale="85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M134"/>
  <sheetViews>
    <sheetView topLeftCell="A10" workbookViewId="0">
      <selection activeCell="E26" sqref="E26"/>
    </sheetView>
  </sheetViews>
  <sheetFormatPr baseColWidth="10" defaultColWidth="9.109375" defaultRowHeight="14.4" x14ac:dyDescent="0.3"/>
  <cols>
    <col min="1" max="1" width="10.5546875" customWidth="1"/>
    <col min="2" max="2" width="10.88671875" customWidth="1"/>
    <col min="3" max="3" width="10.33203125" customWidth="1"/>
    <col min="4" max="4" width="9.109375" customWidth="1"/>
    <col min="5" max="5" width="10.44140625" customWidth="1"/>
    <col min="6" max="6" width="4.88671875" customWidth="1"/>
  </cols>
  <sheetData>
    <row r="1" spans="1:11" ht="18" x14ac:dyDescent="0.35">
      <c r="A1" s="5" t="s">
        <v>129</v>
      </c>
    </row>
    <row r="3" spans="1:11" x14ac:dyDescent="0.3">
      <c r="A3" t="s">
        <v>135</v>
      </c>
      <c r="G3" t="s">
        <v>271</v>
      </c>
    </row>
    <row r="4" spans="1:11" x14ac:dyDescent="0.3">
      <c r="C4" s="4" t="s">
        <v>28</v>
      </c>
      <c r="D4" s="4" t="s">
        <v>29</v>
      </c>
      <c r="E4" s="4" t="s">
        <v>30</v>
      </c>
      <c r="I4" s="4" t="s">
        <v>28</v>
      </c>
      <c r="J4" s="4" t="s">
        <v>29</v>
      </c>
      <c r="K4" s="4" t="s">
        <v>30</v>
      </c>
    </row>
    <row r="5" spans="1:11" x14ac:dyDescent="0.3">
      <c r="A5" t="s">
        <v>62</v>
      </c>
      <c r="B5" s="4" t="s">
        <v>32</v>
      </c>
      <c r="C5" s="4">
        <v>0.873</v>
      </c>
      <c r="D5" s="4">
        <v>19.89</v>
      </c>
      <c r="E5" s="8">
        <f t="shared" ref="E5:E10" si="0">C5*D5</f>
        <v>17.363970000000002</v>
      </c>
      <c r="G5" t="s">
        <v>62</v>
      </c>
      <c r="H5" s="4" t="s">
        <v>32</v>
      </c>
      <c r="I5" s="4">
        <v>0.873</v>
      </c>
      <c r="J5" s="4">
        <v>31.41</v>
      </c>
      <c r="K5" s="8">
        <f t="shared" ref="K5:K12" si="1">I5*J5</f>
        <v>27.420929999999998</v>
      </c>
    </row>
    <row r="6" spans="1:11" x14ac:dyDescent="0.3">
      <c r="A6" t="s">
        <v>63</v>
      </c>
      <c r="B6" s="4" t="s">
        <v>33</v>
      </c>
      <c r="C6" s="4">
        <v>1.1970000000000001</v>
      </c>
      <c r="D6" s="4">
        <v>11.03</v>
      </c>
      <c r="E6" s="8">
        <f t="shared" si="0"/>
        <v>13.202909999999999</v>
      </c>
      <c r="G6" t="s">
        <v>63</v>
      </c>
      <c r="H6" s="4" t="s">
        <v>33</v>
      </c>
      <c r="I6" s="4">
        <v>1.1970000000000001</v>
      </c>
      <c r="J6" s="4">
        <v>11.03</v>
      </c>
      <c r="K6" s="8">
        <f t="shared" si="1"/>
        <v>13.202909999999999</v>
      </c>
    </row>
    <row r="7" spans="1:11" x14ac:dyDescent="0.3">
      <c r="B7" s="4" t="s">
        <v>84</v>
      </c>
      <c r="C7" s="4">
        <v>2</v>
      </c>
      <c r="D7" s="4">
        <v>1.36</v>
      </c>
      <c r="E7" s="8">
        <f t="shared" si="0"/>
        <v>2.72</v>
      </c>
      <c r="G7" t="s">
        <v>52</v>
      </c>
      <c r="H7" s="4" t="s">
        <v>33</v>
      </c>
      <c r="I7" s="4">
        <v>1.323</v>
      </c>
      <c r="J7" s="4">
        <v>11.03</v>
      </c>
      <c r="K7" s="8">
        <f t="shared" si="1"/>
        <v>14.592689999999999</v>
      </c>
    </row>
    <row r="8" spans="1:11" x14ac:dyDescent="0.3">
      <c r="B8" s="4" t="s">
        <v>34</v>
      </c>
      <c r="C8" s="4"/>
      <c r="D8" s="4"/>
      <c r="E8" s="8">
        <f t="shared" si="0"/>
        <v>0</v>
      </c>
      <c r="H8" s="4" t="s">
        <v>84</v>
      </c>
      <c r="I8" s="4">
        <v>2</v>
      </c>
      <c r="J8" s="4">
        <v>1.36</v>
      </c>
      <c r="K8" s="8">
        <f t="shared" si="1"/>
        <v>2.72</v>
      </c>
    </row>
    <row r="9" spans="1:11" x14ac:dyDescent="0.3">
      <c r="B9" s="4" t="s">
        <v>35</v>
      </c>
      <c r="C9" s="4">
        <v>4</v>
      </c>
      <c r="D9" s="4">
        <v>1.89</v>
      </c>
      <c r="E9" s="8">
        <f t="shared" si="0"/>
        <v>7.56</v>
      </c>
      <c r="H9" s="4" t="s">
        <v>85</v>
      </c>
      <c r="I9" s="10">
        <v>2</v>
      </c>
      <c r="J9" s="10">
        <v>1.54</v>
      </c>
      <c r="K9" s="11">
        <f t="shared" si="1"/>
        <v>3.08</v>
      </c>
    </row>
    <row r="10" spans="1:11" x14ac:dyDescent="0.3">
      <c r="B10" s="4" t="s">
        <v>36</v>
      </c>
      <c r="C10" s="4">
        <v>4</v>
      </c>
      <c r="D10" s="4">
        <v>0.24</v>
      </c>
      <c r="E10" s="8">
        <f t="shared" si="0"/>
        <v>0.96</v>
      </c>
      <c r="H10" s="4" t="s">
        <v>34</v>
      </c>
      <c r="I10" s="4"/>
      <c r="J10" s="4"/>
      <c r="K10" s="8">
        <f t="shared" si="1"/>
        <v>0</v>
      </c>
    </row>
    <row r="11" spans="1:11" x14ac:dyDescent="0.3">
      <c r="E11" s="8">
        <f>SUM(E5:E10)</f>
        <v>41.806880000000007</v>
      </c>
      <c r="H11" s="4" t="s">
        <v>35</v>
      </c>
      <c r="I11" s="4">
        <v>4</v>
      </c>
      <c r="J11" s="4">
        <v>1.89</v>
      </c>
      <c r="K11" s="8">
        <f t="shared" si="1"/>
        <v>7.56</v>
      </c>
    </row>
    <row r="12" spans="1:11" x14ac:dyDescent="0.3">
      <c r="B12" s="4" t="s">
        <v>37</v>
      </c>
      <c r="C12">
        <v>15</v>
      </c>
      <c r="D12">
        <v>1.41</v>
      </c>
      <c r="E12" s="8">
        <f>C12*D12</f>
        <v>21.15</v>
      </c>
      <c r="H12" s="4" t="s">
        <v>36</v>
      </c>
      <c r="I12" s="4">
        <v>4</v>
      </c>
      <c r="J12" s="4">
        <v>0.24</v>
      </c>
      <c r="K12" s="8">
        <f t="shared" si="1"/>
        <v>0.96</v>
      </c>
    </row>
    <row r="13" spans="1:11" x14ac:dyDescent="0.3">
      <c r="E13" s="8">
        <f>SUM(E11:E12)</f>
        <v>62.956880000000005</v>
      </c>
      <c r="K13" s="8">
        <f>SUM(K5:K12)</f>
        <v>69.536529999999985</v>
      </c>
    </row>
    <row r="14" spans="1:11" x14ac:dyDescent="0.3">
      <c r="H14" s="4" t="s">
        <v>37</v>
      </c>
      <c r="I14">
        <v>15</v>
      </c>
      <c r="J14">
        <v>1.41</v>
      </c>
      <c r="K14" s="8">
        <f>I14*J14</f>
        <v>21.15</v>
      </c>
    </row>
    <row r="15" spans="1:11" x14ac:dyDescent="0.3">
      <c r="K15" s="8">
        <f>SUM(K13:K14)</f>
        <v>90.686529999999976</v>
      </c>
    </row>
    <row r="17" spans="1:11" x14ac:dyDescent="0.3">
      <c r="I17" s="4" t="s">
        <v>28</v>
      </c>
      <c r="J17" s="4" t="s">
        <v>29</v>
      </c>
      <c r="K17" s="4" t="s">
        <v>30</v>
      </c>
    </row>
    <row r="18" spans="1:11" x14ac:dyDescent="0.3">
      <c r="G18" t="s">
        <v>64</v>
      </c>
      <c r="H18" s="4" t="s">
        <v>32</v>
      </c>
      <c r="I18" s="4">
        <v>1.083</v>
      </c>
      <c r="J18" s="4">
        <v>31.41</v>
      </c>
      <c r="K18" s="8">
        <f t="shared" ref="K18:K25" si="2">I18*J18</f>
        <v>34.017029999999998</v>
      </c>
    </row>
    <row r="19" spans="1:11" x14ac:dyDescent="0.3">
      <c r="C19" s="4" t="s">
        <v>28</v>
      </c>
      <c r="D19" s="4" t="s">
        <v>29</v>
      </c>
      <c r="E19" s="4" t="s">
        <v>30</v>
      </c>
      <c r="G19" t="s">
        <v>63</v>
      </c>
      <c r="H19" s="4" t="s">
        <v>33</v>
      </c>
      <c r="I19" s="4">
        <v>1.827</v>
      </c>
      <c r="J19" s="4">
        <v>14.94</v>
      </c>
      <c r="K19" s="8">
        <f t="shared" si="2"/>
        <v>27.295379999999998</v>
      </c>
    </row>
    <row r="20" spans="1:11" x14ac:dyDescent="0.3">
      <c r="A20" t="s">
        <v>64</v>
      </c>
      <c r="B20" s="4" t="s">
        <v>32</v>
      </c>
      <c r="C20" s="4">
        <v>1.083</v>
      </c>
      <c r="D20" s="4">
        <v>19.89</v>
      </c>
      <c r="E20" s="8">
        <f t="shared" ref="E20:E25" si="3">C20*D20</f>
        <v>21.540869999999998</v>
      </c>
      <c r="G20" t="s">
        <v>53</v>
      </c>
      <c r="H20" s="4" t="s">
        <v>33</v>
      </c>
      <c r="I20" s="4">
        <v>2.0579999999999998</v>
      </c>
      <c r="J20" s="4">
        <v>14.94</v>
      </c>
      <c r="K20" s="8">
        <f t="shared" si="2"/>
        <v>30.746519999999997</v>
      </c>
    </row>
    <row r="21" spans="1:11" x14ac:dyDescent="0.3">
      <c r="A21" t="s">
        <v>63</v>
      </c>
      <c r="B21" s="4" t="s">
        <v>33</v>
      </c>
      <c r="C21" s="4">
        <v>1.827</v>
      </c>
      <c r="D21" s="4">
        <v>11.03</v>
      </c>
      <c r="E21" s="8">
        <f t="shared" si="3"/>
        <v>20.151809999999998</v>
      </c>
      <c r="H21" s="4" t="s">
        <v>84</v>
      </c>
      <c r="I21" s="4">
        <v>2</v>
      </c>
      <c r="J21" s="4">
        <v>1.36</v>
      </c>
      <c r="K21" s="8">
        <f t="shared" si="2"/>
        <v>2.72</v>
      </c>
    </row>
    <row r="22" spans="1:11" x14ac:dyDescent="0.3">
      <c r="B22" s="4" t="s">
        <v>84</v>
      </c>
      <c r="C22" s="4">
        <v>2</v>
      </c>
      <c r="D22" s="4">
        <v>1.36</v>
      </c>
      <c r="E22" s="8">
        <f t="shared" si="3"/>
        <v>2.72</v>
      </c>
      <c r="H22" s="4" t="s">
        <v>86</v>
      </c>
      <c r="I22" s="10">
        <v>2</v>
      </c>
      <c r="J22" s="10">
        <v>1.86</v>
      </c>
      <c r="K22" s="11">
        <f t="shared" si="2"/>
        <v>3.72</v>
      </c>
    </row>
    <row r="23" spans="1:11" x14ac:dyDescent="0.3">
      <c r="B23" s="4" t="s">
        <v>34</v>
      </c>
      <c r="C23" s="4"/>
      <c r="D23" s="4"/>
      <c r="E23" s="8">
        <f t="shared" si="3"/>
        <v>0</v>
      </c>
      <c r="H23" s="4" t="s">
        <v>34</v>
      </c>
      <c r="I23" s="4"/>
      <c r="J23" s="4"/>
      <c r="K23" s="8">
        <f t="shared" si="2"/>
        <v>0</v>
      </c>
    </row>
    <row r="24" spans="1:11" x14ac:dyDescent="0.3">
      <c r="B24" s="4" t="s">
        <v>35</v>
      </c>
      <c r="C24" s="4">
        <v>4</v>
      </c>
      <c r="D24" s="4">
        <v>1.89</v>
      </c>
      <c r="E24" s="8">
        <f t="shared" si="3"/>
        <v>7.56</v>
      </c>
      <c r="H24" s="4" t="s">
        <v>35</v>
      </c>
      <c r="I24" s="4">
        <v>4</v>
      </c>
      <c r="J24" s="4">
        <v>1.89</v>
      </c>
      <c r="K24" s="8">
        <f t="shared" si="2"/>
        <v>7.56</v>
      </c>
    </row>
    <row r="25" spans="1:11" x14ac:dyDescent="0.3">
      <c r="B25" s="4" t="s">
        <v>36</v>
      </c>
      <c r="C25" s="4">
        <v>4</v>
      </c>
      <c r="D25" s="4">
        <v>0.24</v>
      </c>
      <c r="E25" s="8">
        <f t="shared" si="3"/>
        <v>0.96</v>
      </c>
      <c r="H25" s="4" t="s">
        <v>36</v>
      </c>
      <c r="I25" s="4">
        <v>4</v>
      </c>
      <c r="J25" s="4">
        <v>0.24</v>
      </c>
      <c r="K25" s="8">
        <f t="shared" si="2"/>
        <v>0.96</v>
      </c>
    </row>
    <row r="26" spans="1:11" x14ac:dyDescent="0.3">
      <c r="E26" s="9">
        <f>SUM(E20:E25)</f>
        <v>52.932679999999998</v>
      </c>
      <c r="K26" s="8">
        <f>SUM(K18:K25)</f>
        <v>107.01893</v>
      </c>
    </row>
    <row r="27" spans="1:11" x14ac:dyDescent="0.3">
      <c r="B27" s="4" t="s">
        <v>37</v>
      </c>
      <c r="C27">
        <v>15</v>
      </c>
      <c r="D27">
        <v>1.41</v>
      </c>
      <c r="E27" s="8">
        <f>C27*D27</f>
        <v>21.15</v>
      </c>
      <c r="H27" s="4" t="s">
        <v>37</v>
      </c>
      <c r="I27">
        <v>15</v>
      </c>
      <c r="J27">
        <v>1.41</v>
      </c>
      <c r="K27" s="8">
        <v>52</v>
      </c>
    </row>
    <row r="28" spans="1:11" x14ac:dyDescent="0.3">
      <c r="E28" s="8">
        <f>SUM(E26:E27)</f>
        <v>74.082679999999996</v>
      </c>
      <c r="K28" s="8">
        <f>SUM(K26:K27)</f>
        <v>159.01893000000001</v>
      </c>
    </row>
    <row r="31" spans="1:11" x14ac:dyDescent="0.3">
      <c r="C31" s="4" t="s">
        <v>28</v>
      </c>
      <c r="D31" s="4" t="s">
        <v>29</v>
      </c>
      <c r="E31" s="4" t="s">
        <v>30</v>
      </c>
      <c r="I31" s="4" t="s">
        <v>28</v>
      </c>
      <c r="J31" s="4" t="s">
        <v>29</v>
      </c>
      <c r="K31" s="4" t="s">
        <v>30</v>
      </c>
    </row>
    <row r="32" spans="1:11" x14ac:dyDescent="0.3">
      <c r="A32" t="s">
        <v>65</v>
      </c>
      <c r="B32" s="4" t="s">
        <v>32</v>
      </c>
      <c r="C32" s="4">
        <v>1.2929999999999999</v>
      </c>
      <c r="D32" s="4">
        <v>19.89</v>
      </c>
      <c r="E32" s="8">
        <f t="shared" ref="E32:E37" si="4">C32*D32</f>
        <v>25.717769999999998</v>
      </c>
      <c r="G32" t="s">
        <v>65</v>
      </c>
      <c r="H32" s="4" t="s">
        <v>32</v>
      </c>
      <c r="I32" s="4">
        <v>1.2929999999999999</v>
      </c>
      <c r="J32" s="4">
        <v>31.41</v>
      </c>
      <c r="K32" s="8">
        <f t="shared" ref="K32:K39" si="5">I32*J32</f>
        <v>40.613129999999998</v>
      </c>
    </row>
    <row r="33" spans="1:11" x14ac:dyDescent="0.3">
      <c r="A33" t="s">
        <v>63</v>
      </c>
      <c r="B33" s="4" t="s">
        <v>33</v>
      </c>
      <c r="C33" s="4">
        <v>2.4569999999999999</v>
      </c>
      <c r="D33" s="4">
        <v>11.03</v>
      </c>
      <c r="E33" s="8">
        <f t="shared" si="4"/>
        <v>27.100709999999996</v>
      </c>
      <c r="G33" t="s">
        <v>63</v>
      </c>
      <c r="H33" s="4" t="s">
        <v>33</v>
      </c>
      <c r="I33" s="4">
        <v>2.4569999999999999</v>
      </c>
      <c r="J33" s="4">
        <v>11.03</v>
      </c>
      <c r="K33" s="8">
        <f t="shared" si="5"/>
        <v>27.100709999999996</v>
      </c>
    </row>
    <row r="34" spans="1:11" x14ac:dyDescent="0.3">
      <c r="B34" s="4" t="s">
        <v>84</v>
      </c>
      <c r="C34" s="4">
        <v>2</v>
      </c>
      <c r="D34" s="4">
        <v>1.36</v>
      </c>
      <c r="E34" s="8">
        <f t="shared" si="4"/>
        <v>2.72</v>
      </c>
      <c r="G34" t="s">
        <v>54</v>
      </c>
      <c r="H34" s="4" t="s">
        <v>33</v>
      </c>
      <c r="I34" s="4">
        <v>2.7930000000000001</v>
      </c>
      <c r="J34" s="4">
        <v>11.03</v>
      </c>
      <c r="K34" s="8">
        <f t="shared" si="5"/>
        <v>30.806789999999999</v>
      </c>
    </row>
    <row r="35" spans="1:11" x14ac:dyDescent="0.3">
      <c r="B35" s="4" t="s">
        <v>34</v>
      </c>
      <c r="C35" s="4"/>
      <c r="D35" s="4"/>
      <c r="E35" s="8">
        <f t="shared" si="4"/>
        <v>0</v>
      </c>
      <c r="H35" s="4" t="s">
        <v>84</v>
      </c>
      <c r="I35" s="4">
        <v>2</v>
      </c>
      <c r="J35" s="4">
        <v>1.36</v>
      </c>
      <c r="K35" s="8">
        <f t="shared" si="5"/>
        <v>2.72</v>
      </c>
    </row>
    <row r="36" spans="1:11" x14ac:dyDescent="0.3">
      <c r="B36" s="4" t="s">
        <v>35</v>
      </c>
      <c r="C36" s="4">
        <v>4</v>
      </c>
      <c r="D36" s="4">
        <v>1.89</v>
      </c>
      <c r="E36" s="8">
        <f t="shared" si="4"/>
        <v>7.56</v>
      </c>
      <c r="H36" s="4" t="s">
        <v>87</v>
      </c>
      <c r="I36" s="10">
        <v>2</v>
      </c>
      <c r="J36" s="10">
        <v>1.86</v>
      </c>
      <c r="K36" s="11">
        <f t="shared" si="5"/>
        <v>3.72</v>
      </c>
    </row>
    <row r="37" spans="1:11" x14ac:dyDescent="0.3">
      <c r="B37" s="4" t="s">
        <v>36</v>
      </c>
      <c r="C37" s="4">
        <v>4</v>
      </c>
      <c r="D37" s="4">
        <v>0.24</v>
      </c>
      <c r="E37" s="8">
        <f t="shared" si="4"/>
        <v>0.96</v>
      </c>
      <c r="H37" s="4" t="s">
        <v>34</v>
      </c>
      <c r="I37" s="4"/>
      <c r="J37" s="4"/>
      <c r="K37" s="8">
        <f t="shared" si="5"/>
        <v>0</v>
      </c>
    </row>
    <row r="38" spans="1:11" x14ac:dyDescent="0.3">
      <c r="E38" s="9">
        <f>SUM(E32:E37)</f>
        <v>64.058479999999989</v>
      </c>
      <c r="H38" s="4" t="s">
        <v>35</v>
      </c>
      <c r="I38" s="4">
        <v>4</v>
      </c>
      <c r="J38" s="4">
        <v>1.89</v>
      </c>
      <c r="K38" s="8">
        <f t="shared" si="5"/>
        <v>7.56</v>
      </c>
    </row>
    <row r="39" spans="1:11" x14ac:dyDescent="0.3">
      <c r="B39" s="4" t="s">
        <v>37</v>
      </c>
      <c r="C39">
        <v>15</v>
      </c>
      <c r="D39">
        <v>1.41</v>
      </c>
      <c r="E39" s="8">
        <f>C39*D39</f>
        <v>21.15</v>
      </c>
      <c r="H39" s="4" t="s">
        <v>36</v>
      </c>
      <c r="I39" s="4">
        <v>4</v>
      </c>
      <c r="J39" s="4">
        <v>0.24</v>
      </c>
      <c r="K39" s="8">
        <f t="shared" si="5"/>
        <v>0.96</v>
      </c>
    </row>
    <row r="40" spans="1:11" x14ac:dyDescent="0.3">
      <c r="E40" s="8">
        <f>SUM(E38:E39)</f>
        <v>85.20847999999998</v>
      </c>
      <c r="K40" s="9">
        <f>SUM(K32:K39)</f>
        <v>113.48062999999998</v>
      </c>
    </row>
    <row r="41" spans="1:11" x14ac:dyDescent="0.3">
      <c r="H41" s="4" t="s">
        <v>37</v>
      </c>
      <c r="I41">
        <v>20</v>
      </c>
      <c r="J41">
        <v>1.41</v>
      </c>
      <c r="K41" s="8">
        <f>I41*J41</f>
        <v>28.2</v>
      </c>
    </row>
    <row r="42" spans="1:11" x14ac:dyDescent="0.3">
      <c r="K42" s="8">
        <f>SUM(K40:K41)</f>
        <v>141.68062999999998</v>
      </c>
    </row>
    <row r="43" spans="1:11" x14ac:dyDescent="0.3">
      <c r="C43" s="4" t="s">
        <v>28</v>
      </c>
      <c r="D43" s="4" t="s">
        <v>29</v>
      </c>
      <c r="E43" s="4" t="s">
        <v>30</v>
      </c>
    </row>
    <row r="44" spans="1:11" x14ac:dyDescent="0.3">
      <c r="A44" t="s">
        <v>66</v>
      </c>
      <c r="B44" s="4" t="s">
        <v>32</v>
      </c>
      <c r="C44" s="4">
        <v>1.5029999999999999</v>
      </c>
      <c r="D44" s="4">
        <v>19.89</v>
      </c>
      <c r="E44" s="8">
        <f t="shared" ref="E44:E49" si="6">C44*D44</f>
        <v>29.894669999999998</v>
      </c>
      <c r="I44" s="4" t="s">
        <v>28</v>
      </c>
      <c r="J44" s="4" t="s">
        <v>29</v>
      </c>
      <c r="K44" s="4" t="s">
        <v>30</v>
      </c>
    </row>
    <row r="45" spans="1:11" x14ac:dyDescent="0.3">
      <c r="A45" t="s">
        <v>63</v>
      </c>
      <c r="B45" s="4" t="s">
        <v>33</v>
      </c>
      <c r="C45" s="4">
        <v>3.0870000000000002</v>
      </c>
      <c r="D45" s="4">
        <v>11.03</v>
      </c>
      <c r="E45" s="8">
        <f t="shared" si="6"/>
        <v>34.049610000000001</v>
      </c>
      <c r="G45" t="s">
        <v>66</v>
      </c>
      <c r="H45" s="4" t="s">
        <v>32</v>
      </c>
      <c r="I45" s="4">
        <v>1.5029999999999999</v>
      </c>
      <c r="J45" s="4">
        <v>31.41</v>
      </c>
      <c r="K45" s="8">
        <f t="shared" ref="K45:K52" si="7">I45*J45</f>
        <v>47.209229999999998</v>
      </c>
    </row>
    <row r="46" spans="1:11" x14ac:dyDescent="0.3">
      <c r="B46" s="4" t="s">
        <v>84</v>
      </c>
      <c r="C46" s="4">
        <v>2</v>
      </c>
      <c r="D46" s="4">
        <v>1.36</v>
      </c>
      <c r="E46" s="8">
        <f t="shared" si="6"/>
        <v>2.72</v>
      </c>
      <c r="G46" t="s">
        <v>63</v>
      </c>
      <c r="H46" s="4" t="s">
        <v>33</v>
      </c>
      <c r="I46" s="4">
        <v>3.0870000000000002</v>
      </c>
      <c r="J46" s="4">
        <v>11.03</v>
      </c>
      <c r="K46" s="8">
        <f t="shared" si="7"/>
        <v>34.049610000000001</v>
      </c>
    </row>
    <row r="47" spans="1:11" x14ac:dyDescent="0.3">
      <c r="B47" s="4" t="s">
        <v>34</v>
      </c>
      <c r="C47" s="4"/>
      <c r="D47" s="4"/>
      <c r="E47" s="8">
        <f t="shared" si="6"/>
        <v>0</v>
      </c>
      <c r="G47" t="s">
        <v>55</v>
      </c>
      <c r="H47" s="4" t="s">
        <v>33</v>
      </c>
      <c r="I47" s="4">
        <v>3.528</v>
      </c>
      <c r="J47" s="4">
        <v>11.03</v>
      </c>
      <c r="K47" s="8">
        <f t="shared" si="7"/>
        <v>38.91384</v>
      </c>
    </row>
    <row r="48" spans="1:11" x14ac:dyDescent="0.3">
      <c r="B48" s="4" t="s">
        <v>35</v>
      </c>
      <c r="C48" s="4">
        <v>4</v>
      </c>
      <c r="D48" s="4">
        <v>1.89</v>
      </c>
      <c r="E48" s="8">
        <f t="shared" si="6"/>
        <v>7.56</v>
      </c>
      <c r="H48" s="4" t="s">
        <v>96</v>
      </c>
      <c r="I48" s="4">
        <v>2</v>
      </c>
      <c r="J48" s="4">
        <v>1.35</v>
      </c>
      <c r="K48" s="8">
        <f t="shared" si="7"/>
        <v>2.7</v>
      </c>
    </row>
    <row r="49" spans="1:11" x14ac:dyDescent="0.3">
      <c r="B49" s="4" t="s">
        <v>36</v>
      </c>
      <c r="C49" s="4">
        <v>4</v>
      </c>
      <c r="D49" s="4">
        <v>0.24</v>
      </c>
      <c r="E49" s="8">
        <f t="shared" si="6"/>
        <v>0.96</v>
      </c>
      <c r="H49" s="4" t="s">
        <v>88</v>
      </c>
      <c r="I49" s="10">
        <v>2</v>
      </c>
      <c r="J49" s="10">
        <v>2.2400000000000002</v>
      </c>
      <c r="K49" s="11">
        <f t="shared" si="7"/>
        <v>4.4800000000000004</v>
      </c>
    </row>
    <row r="50" spans="1:11" x14ac:dyDescent="0.3">
      <c r="E50" s="9">
        <f>SUM(E44:E49)</f>
        <v>75.184280000000001</v>
      </c>
      <c r="H50" s="4" t="s">
        <v>34</v>
      </c>
      <c r="I50" s="4"/>
      <c r="J50" s="4"/>
      <c r="K50" s="8">
        <f t="shared" si="7"/>
        <v>0</v>
      </c>
    </row>
    <row r="51" spans="1:11" x14ac:dyDescent="0.3">
      <c r="B51" s="4" t="s">
        <v>37</v>
      </c>
      <c r="C51">
        <v>15</v>
      </c>
      <c r="D51">
        <v>1.41</v>
      </c>
      <c r="E51" s="8">
        <f>C51*D51</f>
        <v>21.15</v>
      </c>
      <c r="H51" s="4" t="s">
        <v>35</v>
      </c>
      <c r="I51" s="4">
        <v>4</v>
      </c>
      <c r="J51" s="4">
        <v>1.89</v>
      </c>
      <c r="K51" s="8">
        <f t="shared" si="7"/>
        <v>7.56</v>
      </c>
    </row>
    <row r="52" spans="1:11" x14ac:dyDescent="0.3">
      <c r="E52" s="8">
        <f>SUM(E50:E51)</f>
        <v>96.334280000000007</v>
      </c>
      <c r="H52" s="4" t="s">
        <v>36</v>
      </c>
      <c r="I52" s="4">
        <v>4</v>
      </c>
      <c r="J52" s="4">
        <v>0.24</v>
      </c>
      <c r="K52" s="8">
        <f t="shared" si="7"/>
        <v>0.96</v>
      </c>
    </row>
    <row r="53" spans="1:11" x14ac:dyDescent="0.3">
      <c r="K53" s="9">
        <f>SUM(K45:K52)</f>
        <v>135.87268</v>
      </c>
    </row>
    <row r="54" spans="1:11" x14ac:dyDescent="0.3">
      <c r="H54" s="4" t="s">
        <v>37</v>
      </c>
      <c r="I54">
        <v>20</v>
      </c>
      <c r="J54">
        <v>1.41</v>
      </c>
      <c r="K54" s="8">
        <f>I54*J54</f>
        <v>28.2</v>
      </c>
    </row>
    <row r="55" spans="1:11" x14ac:dyDescent="0.3">
      <c r="K55" s="8">
        <f>SUM(K53:K54)</f>
        <v>164.07267999999999</v>
      </c>
    </row>
    <row r="56" spans="1:11" x14ac:dyDescent="0.3">
      <c r="C56" s="4" t="s">
        <v>28</v>
      </c>
      <c r="D56" s="4" t="s">
        <v>29</v>
      </c>
      <c r="E56" s="4" t="s">
        <v>30</v>
      </c>
    </row>
    <row r="57" spans="1:11" x14ac:dyDescent="0.3">
      <c r="A57" t="s">
        <v>67</v>
      </c>
      <c r="B57" s="4" t="s">
        <v>32</v>
      </c>
      <c r="C57" s="4">
        <v>1.7130000000000001</v>
      </c>
      <c r="D57" s="4">
        <v>19.89</v>
      </c>
      <c r="E57" s="8">
        <f t="shared" ref="E57:E62" si="8">C57*D57</f>
        <v>34.071570000000001</v>
      </c>
      <c r="I57" s="4" t="s">
        <v>28</v>
      </c>
      <c r="J57" s="4" t="s">
        <v>29</v>
      </c>
      <c r="K57" s="4" t="s">
        <v>30</v>
      </c>
    </row>
    <row r="58" spans="1:11" x14ac:dyDescent="0.3">
      <c r="A58" t="s">
        <v>63</v>
      </c>
      <c r="B58" s="4" t="s">
        <v>33</v>
      </c>
      <c r="C58" s="4">
        <v>3.7170000000000001</v>
      </c>
      <c r="D58" s="4">
        <v>11.03</v>
      </c>
      <c r="E58" s="8">
        <f t="shared" si="8"/>
        <v>40.998509999999996</v>
      </c>
      <c r="G58" t="s">
        <v>67</v>
      </c>
      <c r="H58" s="4" t="s">
        <v>32</v>
      </c>
      <c r="I58" s="4">
        <v>1.7130000000000001</v>
      </c>
      <c r="J58" s="4">
        <v>31.41</v>
      </c>
      <c r="K58" s="8">
        <f t="shared" ref="K58:K65" si="9">I58*J58</f>
        <v>53.805330000000005</v>
      </c>
    </row>
    <row r="59" spans="1:11" x14ac:dyDescent="0.3">
      <c r="B59" s="4" t="s">
        <v>84</v>
      </c>
      <c r="C59" s="4">
        <v>2</v>
      </c>
      <c r="D59" s="4">
        <v>1.36</v>
      </c>
      <c r="E59" s="8">
        <f t="shared" si="8"/>
        <v>2.72</v>
      </c>
      <c r="G59" t="s">
        <v>63</v>
      </c>
      <c r="H59" s="4" t="s">
        <v>33</v>
      </c>
      <c r="I59" s="4">
        <v>3.7170000000000001</v>
      </c>
      <c r="J59" s="4">
        <v>11.03</v>
      </c>
      <c r="K59" s="8">
        <f t="shared" si="9"/>
        <v>40.998509999999996</v>
      </c>
    </row>
    <row r="60" spans="1:11" x14ac:dyDescent="0.3">
      <c r="B60" s="4" t="s">
        <v>34</v>
      </c>
      <c r="C60" s="4">
        <v>0.1</v>
      </c>
      <c r="D60" s="4">
        <v>13.67</v>
      </c>
      <c r="E60" s="8">
        <f t="shared" si="8"/>
        <v>1.367</v>
      </c>
      <c r="G60" t="s">
        <v>56</v>
      </c>
      <c r="H60" s="4" t="s">
        <v>33</v>
      </c>
      <c r="I60" s="4">
        <v>4.2629999999999999</v>
      </c>
      <c r="J60" s="4">
        <v>11.03</v>
      </c>
      <c r="K60" s="8">
        <f t="shared" si="9"/>
        <v>47.020889999999994</v>
      </c>
    </row>
    <row r="61" spans="1:11" x14ac:dyDescent="0.3">
      <c r="B61" s="4" t="s">
        <v>35</v>
      </c>
      <c r="C61" s="4">
        <v>4</v>
      </c>
      <c r="D61" s="4">
        <v>1.89</v>
      </c>
      <c r="E61" s="8">
        <f t="shared" si="8"/>
        <v>7.56</v>
      </c>
      <c r="H61" s="4" t="s">
        <v>96</v>
      </c>
      <c r="I61" s="4">
        <v>2</v>
      </c>
      <c r="J61" s="4">
        <v>1.36</v>
      </c>
      <c r="K61" s="8">
        <f t="shared" si="9"/>
        <v>2.72</v>
      </c>
    </row>
    <row r="62" spans="1:11" x14ac:dyDescent="0.3">
      <c r="B62" s="4" t="s">
        <v>36</v>
      </c>
      <c r="C62" s="4">
        <v>4</v>
      </c>
      <c r="D62" s="4">
        <v>0.24</v>
      </c>
      <c r="E62" s="8">
        <f t="shared" si="8"/>
        <v>0.96</v>
      </c>
      <c r="H62" s="4" t="s">
        <v>89</v>
      </c>
      <c r="I62" s="10">
        <v>4</v>
      </c>
      <c r="J62" s="10">
        <v>1.86</v>
      </c>
      <c r="K62" s="11">
        <f t="shared" si="9"/>
        <v>7.44</v>
      </c>
    </row>
    <row r="63" spans="1:11" x14ac:dyDescent="0.3">
      <c r="E63" s="9">
        <f>SUM(E57:E62)</f>
        <v>87.677079999999989</v>
      </c>
      <c r="H63" s="4" t="s">
        <v>34</v>
      </c>
      <c r="I63" s="4">
        <v>0.15</v>
      </c>
      <c r="J63" s="4">
        <v>13.67</v>
      </c>
      <c r="K63" s="8">
        <f t="shared" si="9"/>
        <v>2.0505</v>
      </c>
    </row>
    <row r="64" spans="1:11" x14ac:dyDescent="0.3">
      <c r="B64" s="4" t="s">
        <v>37</v>
      </c>
      <c r="C64" t="s">
        <v>265</v>
      </c>
      <c r="D64">
        <v>1.41</v>
      </c>
      <c r="E64" s="8">
        <v>42.5</v>
      </c>
      <c r="H64" s="4" t="s">
        <v>35</v>
      </c>
      <c r="I64" s="4">
        <v>4</v>
      </c>
      <c r="J64" s="4">
        <v>1.89</v>
      </c>
      <c r="K64" s="8">
        <f t="shared" si="9"/>
        <v>7.56</v>
      </c>
    </row>
    <row r="65" spans="1:13" x14ac:dyDescent="0.3">
      <c r="E65" s="8">
        <f>SUM(E63:E64)</f>
        <v>130.17707999999999</v>
      </c>
      <c r="H65" s="4" t="s">
        <v>36</v>
      </c>
      <c r="I65" s="4">
        <v>4</v>
      </c>
      <c r="J65" s="4">
        <v>0.24</v>
      </c>
      <c r="K65" s="8">
        <f t="shared" si="9"/>
        <v>0.96</v>
      </c>
    </row>
    <row r="66" spans="1:13" x14ac:dyDescent="0.3">
      <c r="D66" t="s">
        <v>418</v>
      </c>
      <c r="E66">
        <v>210</v>
      </c>
      <c r="K66" s="9">
        <f>SUM(K58:K65)</f>
        <v>162.55522999999999</v>
      </c>
    </row>
    <row r="67" spans="1:13" x14ac:dyDescent="0.3">
      <c r="H67" s="4" t="s">
        <v>37</v>
      </c>
      <c r="I67">
        <v>0.45</v>
      </c>
      <c r="J67">
        <v>63.9</v>
      </c>
      <c r="K67" s="8">
        <v>63.9</v>
      </c>
    </row>
    <row r="68" spans="1:13" x14ac:dyDescent="0.3">
      <c r="C68" s="4" t="s">
        <v>28</v>
      </c>
      <c r="D68" s="4" t="s">
        <v>29</v>
      </c>
      <c r="E68" s="4" t="s">
        <v>30</v>
      </c>
      <c r="K68" s="8">
        <f>SUM(K66:K67)</f>
        <v>226.45523</v>
      </c>
      <c r="L68" t="s">
        <v>418</v>
      </c>
      <c r="M68">
        <v>366</v>
      </c>
    </row>
    <row r="69" spans="1:13" x14ac:dyDescent="0.3">
      <c r="A69" t="s">
        <v>68</v>
      </c>
      <c r="B69" s="4" t="s">
        <v>32</v>
      </c>
      <c r="C69" s="4">
        <v>1.923</v>
      </c>
      <c r="D69" s="4">
        <v>19.89</v>
      </c>
      <c r="E69" s="8">
        <f t="shared" ref="E69:E74" si="10">C69*D69</f>
        <v>38.248470000000005</v>
      </c>
    </row>
    <row r="70" spans="1:13" x14ac:dyDescent="0.3">
      <c r="A70" t="s">
        <v>63</v>
      </c>
      <c r="B70" s="4" t="s">
        <v>33</v>
      </c>
      <c r="C70" s="4">
        <v>4.3470000000000004</v>
      </c>
      <c r="D70" s="4">
        <v>11.03</v>
      </c>
      <c r="E70" s="8">
        <f t="shared" si="10"/>
        <v>47.947410000000005</v>
      </c>
      <c r="I70" s="4" t="s">
        <v>28</v>
      </c>
      <c r="J70" s="4" t="s">
        <v>29</v>
      </c>
      <c r="K70" s="4" t="s">
        <v>30</v>
      </c>
    </row>
    <row r="71" spans="1:13" x14ac:dyDescent="0.3">
      <c r="B71" s="4" t="s">
        <v>84</v>
      </c>
      <c r="C71" s="4">
        <v>2</v>
      </c>
      <c r="D71" s="4">
        <v>1.36</v>
      </c>
      <c r="E71" s="8">
        <f t="shared" si="10"/>
        <v>2.72</v>
      </c>
      <c r="G71" t="s">
        <v>68</v>
      </c>
      <c r="H71" s="4" t="s">
        <v>32</v>
      </c>
      <c r="I71" s="4">
        <v>1.923</v>
      </c>
      <c r="J71" s="4">
        <v>31.41</v>
      </c>
      <c r="K71" s="8">
        <f>I71*J71</f>
        <v>60.401430000000005</v>
      </c>
    </row>
    <row r="72" spans="1:13" x14ac:dyDescent="0.3">
      <c r="B72" s="4" t="s">
        <v>34</v>
      </c>
      <c r="C72" s="4">
        <v>0.1</v>
      </c>
      <c r="D72" s="4">
        <v>13.67</v>
      </c>
      <c r="E72" s="8">
        <f t="shared" si="10"/>
        <v>1.367</v>
      </c>
      <c r="G72" t="s">
        <v>63</v>
      </c>
      <c r="H72" s="4" t="s">
        <v>33</v>
      </c>
      <c r="I72" s="4">
        <v>4.3470000000000004</v>
      </c>
      <c r="J72" s="4">
        <v>11.03</v>
      </c>
      <c r="K72" s="8">
        <f>I72*J72</f>
        <v>47.947410000000005</v>
      </c>
    </row>
    <row r="73" spans="1:13" x14ac:dyDescent="0.3">
      <c r="B73" s="4" t="s">
        <v>35</v>
      </c>
      <c r="C73" s="4">
        <v>4</v>
      </c>
      <c r="D73" s="4">
        <v>1.89</v>
      </c>
      <c r="E73" s="8">
        <f t="shared" si="10"/>
        <v>7.56</v>
      </c>
      <c r="G73" t="s">
        <v>57</v>
      </c>
      <c r="H73" s="4" t="s">
        <v>33</v>
      </c>
      <c r="I73" s="4">
        <v>4.9980000000000002</v>
      </c>
      <c r="J73" s="4">
        <v>11.03</v>
      </c>
      <c r="K73" s="8">
        <f>I73*J73</f>
        <v>55.127940000000002</v>
      </c>
    </row>
    <row r="74" spans="1:13" x14ac:dyDescent="0.3">
      <c r="B74" s="4" t="s">
        <v>36</v>
      </c>
      <c r="C74" s="4">
        <v>4</v>
      </c>
      <c r="D74" s="4">
        <v>0.24</v>
      </c>
      <c r="E74" s="8">
        <f t="shared" si="10"/>
        <v>0.96</v>
      </c>
      <c r="H74" s="4" t="s">
        <v>96</v>
      </c>
      <c r="I74" s="4">
        <v>2</v>
      </c>
      <c r="J74" s="4">
        <v>1.36</v>
      </c>
      <c r="K74" s="8">
        <f>I74*J74</f>
        <v>2.72</v>
      </c>
    </row>
    <row r="75" spans="1:13" x14ac:dyDescent="0.3">
      <c r="E75" s="9">
        <f>SUM(E69:E74)</f>
        <v>98.802880000000016</v>
      </c>
      <c r="H75" s="4" t="s">
        <v>91</v>
      </c>
      <c r="I75" s="10">
        <v>4</v>
      </c>
      <c r="J75" s="4"/>
      <c r="K75" s="4">
        <v>7.68</v>
      </c>
    </row>
    <row r="76" spans="1:13" x14ac:dyDescent="0.3">
      <c r="B76" s="4" t="s">
        <v>37</v>
      </c>
      <c r="C76">
        <v>20</v>
      </c>
      <c r="D76">
        <v>1.41</v>
      </c>
      <c r="E76" s="8">
        <f>C76*D76</f>
        <v>28.2</v>
      </c>
      <c r="H76" s="4" t="s">
        <v>34</v>
      </c>
      <c r="I76" s="4">
        <v>0.15</v>
      </c>
      <c r="J76" s="4">
        <v>13.67</v>
      </c>
      <c r="K76" s="8">
        <f>I76*J76</f>
        <v>2.0505</v>
      </c>
    </row>
    <row r="77" spans="1:13" x14ac:dyDescent="0.3">
      <c r="E77" s="8">
        <f>SUM(E75:E76)</f>
        <v>127.00288000000002</v>
      </c>
      <c r="H77" s="4" t="s">
        <v>35</v>
      </c>
      <c r="I77" s="4">
        <v>4</v>
      </c>
      <c r="J77" s="4">
        <v>1.89</v>
      </c>
      <c r="K77" s="8">
        <f>I77*J77</f>
        <v>7.56</v>
      </c>
    </row>
    <row r="78" spans="1:13" x14ac:dyDescent="0.3">
      <c r="H78" s="4" t="s">
        <v>36</v>
      </c>
      <c r="I78" s="4">
        <v>4</v>
      </c>
      <c r="J78" s="4">
        <v>0.24</v>
      </c>
      <c r="K78" s="8">
        <f>I78*J78</f>
        <v>0.96</v>
      </c>
    </row>
    <row r="79" spans="1:13" x14ac:dyDescent="0.3">
      <c r="C79" s="4" t="s">
        <v>28</v>
      </c>
      <c r="D79" s="4" t="s">
        <v>29</v>
      </c>
      <c r="E79" s="4" t="s">
        <v>30</v>
      </c>
      <c r="K79" s="9">
        <f>SUM(K71:K78)</f>
        <v>184.44728000000003</v>
      </c>
    </row>
    <row r="80" spans="1:13" x14ac:dyDescent="0.3">
      <c r="A80" t="s">
        <v>69</v>
      </c>
      <c r="B80" s="4" t="s">
        <v>32</v>
      </c>
      <c r="C80" s="4">
        <v>2.133</v>
      </c>
      <c r="D80" s="4">
        <v>19.89</v>
      </c>
      <c r="E80" s="8">
        <f t="shared" ref="E80:E85" si="11">C80*D80</f>
        <v>42.425370000000001</v>
      </c>
      <c r="H80" s="4" t="s">
        <v>37</v>
      </c>
      <c r="I80">
        <v>25</v>
      </c>
      <c r="J80">
        <v>1.41</v>
      </c>
      <c r="K80" s="8">
        <f>I80*J80</f>
        <v>35.25</v>
      </c>
    </row>
    <row r="81" spans="1:11" x14ac:dyDescent="0.3">
      <c r="A81" t="s">
        <v>63</v>
      </c>
      <c r="B81" s="4" t="s">
        <v>33</v>
      </c>
      <c r="C81" s="4">
        <v>4.9770000000000003</v>
      </c>
      <c r="D81" s="4">
        <v>11.03</v>
      </c>
      <c r="E81" s="8">
        <f t="shared" si="11"/>
        <v>54.89631</v>
      </c>
      <c r="K81" s="8">
        <f>SUM(K79:K80)</f>
        <v>219.69728000000003</v>
      </c>
    </row>
    <row r="82" spans="1:11" x14ac:dyDescent="0.3">
      <c r="B82" s="4" t="s">
        <v>84</v>
      </c>
      <c r="C82" s="4">
        <v>2</v>
      </c>
      <c r="D82" s="4">
        <v>1.36</v>
      </c>
      <c r="E82" s="8">
        <f t="shared" si="11"/>
        <v>2.72</v>
      </c>
    </row>
    <row r="83" spans="1:11" x14ac:dyDescent="0.3">
      <c r="B83" s="4" t="s">
        <v>34</v>
      </c>
      <c r="C83" s="4">
        <v>0.1</v>
      </c>
      <c r="D83" s="4">
        <v>13.67</v>
      </c>
      <c r="E83" s="8">
        <f t="shared" si="11"/>
        <v>1.367</v>
      </c>
      <c r="I83" s="4" t="s">
        <v>28</v>
      </c>
      <c r="J83" s="4" t="s">
        <v>29</v>
      </c>
      <c r="K83" s="4" t="s">
        <v>30</v>
      </c>
    </row>
    <row r="84" spans="1:11" x14ac:dyDescent="0.3">
      <c r="B84" s="4" t="s">
        <v>35</v>
      </c>
      <c r="C84" s="4">
        <v>4</v>
      </c>
      <c r="D84" s="4">
        <v>1.89</v>
      </c>
      <c r="E84" s="8">
        <f t="shared" si="11"/>
        <v>7.56</v>
      </c>
      <c r="G84" t="s">
        <v>69</v>
      </c>
      <c r="H84" s="4" t="s">
        <v>32</v>
      </c>
      <c r="I84" s="4">
        <v>2.133</v>
      </c>
      <c r="J84" s="4">
        <v>31.41</v>
      </c>
      <c r="K84" s="8">
        <f t="shared" ref="K84:K91" si="12">I84*J84</f>
        <v>66.997529999999998</v>
      </c>
    </row>
    <row r="85" spans="1:11" x14ac:dyDescent="0.3">
      <c r="B85" s="4" t="s">
        <v>36</v>
      </c>
      <c r="C85" s="4">
        <v>4</v>
      </c>
      <c r="D85" s="4">
        <v>0.24</v>
      </c>
      <c r="E85" s="8">
        <f t="shared" si="11"/>
        <v>0.96</v>
      </c>
      <c r="G85" t="s">
        <v>63</v>
      </c>
      <c r="H85" s="4" t="s">
        <v>33</v>
      </c>
      <c r="I85" s="4">
        <v>4.9770000000000003</v>
      </c>
      <c r="J85" s="4">
        <v>11.03</v>
      </c>
      <c r="K85" s="8">
        <f t="shared" si="12"/>
        <v>54.89631</v>
      </c>
    </row>
    <row r="86" spans="1:11" x14ac:dyDescent="0.3">
      <c r="E86" s="9">
        <f>SUM(E80:E85)</f>
        <v>109.92868</v>
      </c>
      <c r="G86" t="s">
        <v>58</v>
      </c>
      <c r="H86" s="4" t="s">
        <v>33</v>
      </c>
      <c r="I86" s="4">
        <v>5.7329999999999997</v>
      </c>
      <c r="J86" s="4">
        <v>11.03</v>
      </c>
      <c r="K86" s="8">
        <f t="shared" si="12"/>
        <v>63.234989999999989</v>
      </c>
    </row>
    <row r="87" spans="1:11" x14ac:dyDescent="0.3">
      <c r="B87" s="4" t="s">
        <v>37</v>
      </c>
      <c r="C87">
        <v>25</v>
      </c>
      <c r="D87">
        <v>1.41</v>
      </c>
      <c r="E87" s="8">
        <f>C87*D87</f>
        <v>35.25</v>
      </c>
      <c r="H87" s="4" t="s">
        <v>96</v>
      </c>
      <c r="I87" s="4">
        <v>2</v>
      </c>
      <c r="J87" s="4">
        <v>1.36</v>
      </c>
      <c r="K87" s="8">
        <f t="shared" si="12"/>
        <v>2.72</v>
      </c>
    </row>
    <row r="88" spans="1:11" x14ac:dyDescent="0.3">
      <c r="E88" s="8">
        <f>SUM(E86:E87)</f>
        <v>145.17867999999999</v>
      </c>
      <c r="H88" s="4" t="s">
        <v>92</v>
      </c>
      <c r="I88" s="10">
        <v>4</v>
      </c>
      <c r="J88" s="10">
        <v>1.98</v>
      </c>
      <c r="K88" s="11">
        <f t="shared" si="12"/>
        <v>7.92</v>
      </c>
    </row>
    <row r="89" spans="1:11" x14ac:dyDescent="0.3">
      <c r="H89" s="4" t="s">
        <v>34</v>
      </c>
      <c r="I89" s="4">
        <v>0.15</v>
      </c>
      <c r="J89" s="4">
        <v>13.67</v>
      </c>
      <c r="K89" s="8">
        <f t="shared" si="12"/>
        <v>2.0505</v>
      </c>
    </row>
    <row r="90" spans="1:11" x14ac:dyDescent="0.3">
      <c r="C90" s="4" t="s">
        <v>28</v>
      </c>
      <c r="D90" s="4" t="s">
        <v>29</v>
      </c>
      <c r="E90" s="4" t="s">
        <v>30</v>
      </c>
      <c r="H90" s="4" t="s">
        <v>35</v>
      </c>
      <c r="I90" s="4">
        <v>4</v>
      </c>
      <c r="J90" s="4">
        <v>1.89</v>
      </c>
      <c r="K90" s="8">
        <f t="shared" si="12"/>
        <v>7.56</v>
      </c>
    </row>
    <row r="91" spans="1:11" x14ac:dyDescent="0.3">
      <c r="A91" t="s">
        <v>70</v>
      </c>
      <c r="B91" s="4" t="s">
        <v>32</v>
      </c>
      <c r="C91" s="4">
        <v>2.343</v>
      </c>
      <c r="D91" s="4">
        <v>19.89</v>
      </c>
      <c r="E91" s="8">
        <f t="shared" ref="E91:E96" si="13">C91*D91</f>
        <v>46.602270000000004</v>
      </c>
      <c r="H91" s="4" t="s">
        <v>36</v>
      </c>
      <c r="I91" s="4">
        <v>4</v>
      </c>
      <c r="J91" s="4">
        <v>0.24</v>
      </c>
      <c r="K91" s="8">
        <f t="shared" si="12"/>
        <v>0.96</v>
      </c>
    </row>
    <row r="92" spans="1:11" x14ac:dyDescent="0.3">
      <c r="A92" t="s">
        <v>63</v>
      </c>
      <c r="B92" s="4" t="s">
        <v>33</v>
      </c>
      <c r="C92" s="4">
        <v>5.6070000000000002</v>
      </c>
      <c r="D92" s="4">
        <v>11.03</v>
      </c>
      <c r="E92" s="8">
        <f t="shared" si="13"/>
        <v>61.845210000000002</v>
      </c>
      <c r="K92" s="9">
        <f>SUM(K84:K91)</f>
        <v>206.33932999999999</v>
      </c>
    </row>
    <row r="93" spans="1:11" x14ac:dyDescent="0.3">
      <c r="B93" s="4" t="s">
        <v>84</v>
      </c>
      <c r="C93" s="4">
        <v>2</v>
      </c>
      <c r="D93" s="4">
        <v>1.36</v>
      </c>
      <c r="E93" s="8">
        <f t="shared" si="13"/>
        <v>2.72</v>
      </c>
      <c r="H93" s="4" t="s">
        <v>37</v>
      </c>
      <c r="I93">
        <v>30</v>
      </c>
      <c r="J93">
        <v>1.41</v>
      </c>
      <c r="K93" s="8">
        <f>I93*J93</f>
        <v>42.3</v>
      </c>
    </row>
    <row r="94" spans="1:11" x14ac:dyDescent="0.3">
      <c r="B94" s="4" t="s">
        <v>34</v>
      </c>
      <c r="C94" s="4">
        <v>0.1</v>
      </c>
      <c r="D94" s="4">
        <v>13.67</v>
      </c>
      <c r="E94" s="8">
        <f t="shared" si="13"/>
        <v>1.367</v>
      </c>
      <c r="K94" s="8">
        <f>SUM(K92:K93)</f>
        <v>248.63932999999997</v>
      </c>
    </row>
    <row r="95" spans="1:11" x14ac:dyDescent="0.3">
      <c r="B95" s="4" t="s">
        <v>35</v>
      </c>
      <c r="C95" s="4">
        <v>4</v>
      </c>
      <c r="D95" s="4">
        <v>1.89</v>
      </c>
      <c r="E95" s="8">
        <f t="shared" si="13"/>
        <v>7.56</v>
      </c>
    </row>
    <row r="96" spans="1:11" x14ac:dyDescent="0.3">
      <c r="B96" s="4" t="s">
        <v>36</v>
      </c>
      <c r="C96" s="4">
        <v>4</v>
      </c>
      <c r="D96" s="4">
        <v>0.24</v>
      </c>
      <c r="E96" s="8">
        <f t="shared" si="13"/>
        <v>0.96</v>
      </c>
      <c r="I96" s="4" t="s">
        <v>28</v>
      </c>
      <c r="J96" s="4" t="s">
        <v>29</v>
      </c>
      <c r="K96" s="4" t="s">
        <v>30</v>
      </c>
    </row>
    <row r="97" spans="1:11" x14ac:dyDescent="0.3">
      <c r="E97" s="9">
        <f>SUM(E91:E96)</f>
        <v>121.05448000000001</v>
      </c>
      <c r="G97" t="s">
        <v>70</v>
      </c>
      <c r="H97" s="4" t="s">
        <v>32</v>
      </c>
      <c r="I97" s="4">
        <v>2.343</v>
      </c>
      <c r="J97" s="4">
        <v>31.41</v>
      </c>
      <c r="K97" s="8">
        <f>I97*J97</f>
        <v>73.593630000000005</v>
      </c>
    </row>
    <row r="98" spans="1:11" x14ac:dyDescent="0.3">
      <c r="B98" s="4" t="s">
        <v>37</v>
      </c>
      <c r="C98">
        <v>30</v>
      </c>
      <c r="D98">
        <v>1.41</v>
      </c>
      <c r="E98" s="8">
        <f>C98*D98</f>
        <v>42.3</v>
      </c>
      <c r="G98" t="s">
        <v>63</v>
      </c>
      <c r="H98" s="4" t="s">
        <v>33</v>
      </c>
      <c r="I98" s="4">
        <v>5.6070000000000002</v>
      </c>
      <c r="J98" s="4">
        <v>11.03</v>
      </c>
      <c r="K98" s="8">
        <f>I98*J98</f>
        <v>61.845210000000002</v>
      </c>
    </row>
    <row r="99" spans="1:11" x14ac:dyDescent="0.3">
      <c r="E99" s="8">
        <f>SUM(E97:E98)</f>
        <v>163.35448000000002</v>
      </c>
      <c r="G99" t="s">
        <v>59</v>
      </c>
      <c r="H99" s="4" t="s">
        <v>33</v>
      </c>
      <c r="I99" s="4">
        <v>6.468</v>
      </c>
      <c r="J99" s="4">
        <v>11.03</v>
      </c>
      <c r="K99" s="8">
        <f>I99*J99</f>
        <v>71.342039999999997</v>
      </c>
    </row>
    <row r="100" spans="1:11" x14ac:dyDescent="0.3">
      <c r="H100" s="4" t="s">
        <v>96</v>
      </c>
      <c r="I100" s="4">
        <v>2</v>
      </c>
      <c r="J100" s="4">
        <v>1.36</v>
      </c>
      <c r="K100" s="8">
        <f>I100*J100</f>
        <v>2.72</v>
      </c>
    </row>
    <row r="101" spans="1:11" x14ac:dyDescent="0.3">
      <c r="C101" s="4" t="s">
        <v>28</v>
      </c>
      <c r="D101" s="4" t="s">
        <v>29</v>
      </c>
      <c r="E101" s="4" t="s">
        <v>30</v>
      </c>
      <c r="H101" s="4" t="s">
        <v>93</v>
      </c>
      <c r="I101" s="4">
        <v>4</v>
      </c>
      <c r="J101" s="4"/>
      <c r="K101" s="4">
        <v>8.44</v>
      </c>
    </row>
    <row r="102" spans="1:11" x14ac:dyDescent="0.3">
      <c r="A102" t="s">
        <v>71</v>
      </c>
      <c r="B102" s="4" t="s">
        <v>32</v>
      </c>
      <c r="C102" s="4">
        <v>2.5529999999999999</v>
      </c>
      <c r="D102" s="4">
        <v>19.89</v>
      </c>
      <c r="E102" s="8">
        <f t="shared" ref="E102:E107" si="14">C102*D102</f>
        <v>50.779170000000001</v>
      </c>
      <c r="H102" s="4" t="s">
        <v>34</v>
      </c>
      <c r="I102" s="4">
        <v>0.15</v>
      </c>
      <c r="J102" s="4">
        <v>13.67</v>
      </c>
      <c r="K102" s="8">
        <f>I102*J102</f>
        <v>2.0505</v>
      </c>
    </row>
    <row r="103" spans="1:11" x14ac:dyDescent="0.3">
      <c r="A103" t="s">
        <v>63</v>
      </c>
      <c r="B103" s="4" t="s">
        <v>33</v>
      </c>
      <c r="C103" s="4">
        <v>6.2370000000000001</v>
      </c>
      <c r="D103" s="4">
        <v>11.03</v>
      </c>
      <c r="E103" s="8">
        <f t="shared" si="14"/>
        <v>68.794110000000003</v>
      </c>
      <c r="H103" s="4" t="s">
        <v>35</v>
      </c>
      <c r="I103" s="4">
        <v>4</v>
      </c>
      <c r="J103" s="4">
        <v>1.89</v>
      </c>
      <c r="K103" s="8">
        <f>I103*J103</f>
        <v>7.56</v>
      </c>
    </row>
    <row r="104" spans="1:11" x14ac:dyDescent="0.3">
      <c r="B104" s="4" t="s">
        <v>84</v>
      </c>
      <c r="C104" s="4">
        <v>2</v>
      </c>
      <c r="D104" s="4">
        <v>1.36</v>
      </c>
      <c r="E104" s="8">
        <f t="shared" si="14"/>
        <v>2.72</v>
      </c>
      <c r="H104" s="4" t="s">
        <v>36</v>
      </c>
      <c r="I104" s="4">
        <v>4</v>
      </c>
      <c r="J104" s="4">
        <v>0.24</v>
      </c>
      <c r="K104" s="8">
        <f>I104*J104</f>
        <v>0.96</v>
      </c>
    </row>
    <row r="105" spans="1:11" x14ac:dyDescent="0.3">
      <c r="B105" s="4" t="s">
        <v>34</v>
      </c>
      <c r="C105" s="4">
        <v>0.1</v>
      </c>
      <c r="D105" s="4">
        <v>13.67</v>
      </c>
      <c r="E105" s="8">
        <f t="shared" si="14"/>
        <v>1.367</v>
      </c>
      <c r="K105" s="9">
        <f>SUM(K97:K104)</f>
        <v>228.51138</v>
      </c>
    </row>
    <row r="106" spans="1:11" x14ac:dyDescent="0.3">
      <c r="B106" s="4" t="s">
        <v>35</v>
      </c>
      <c r="C106" s="4">
        <v>4</v>
      </c>
      <c r="D106" s="4">
        <v>1.89</v>
      </c>
      <c r="E106" s="8">
        <f t="shared" si="14"/>
        <v>7.56</v>
      </c>
      <c r="H106" s="4" t="s">
        <v>37</v>
      </c>
      <c r="I106">
        <v>30</v>
      </c>
      <c r="J106">
        <v>1.41</v>
      </c>
      <c r="K106" s="8">
        <f>I106*J106</f>
        <v>42.3</v>
      </c>
    </row>
    <row r="107" spans="1:11" x14ac:dyDescent="0.3">
      <c r="B107" s="4" t="s">
        <v>36</v>
      </c>
      <c r="C107" s="4">
        <v>4</v>
      </c>
      <c r="D107" s="4">
        <v>0.24</v>
      </c>
      <c r="E107" s="8">
        <f t="shared" si="14"/>
        <v>0.96</v>
      </c>
      <c r="K107" s="8">
        <f>SUM(K105:K106)</f>
        <v>270.81137999999999</v>
      </c>
    </row>
    <row r="108" spans="1:11" x14ac:dyDescent="0.3">
      <c r="E108" s="9">
        <f>SUM(E102:E107)</f>
        <v>132.18028000000001</v>
      </c>
    </row>
    <row r="109" spans="1:11" x14ac:dyDescent="0.3">
      <c r="B109" s="4" t="s">
        <v>37</v>
      </c>
      <c r="C109">
        <v>30</v>
      </c>
      <c r="D109">
        <v>1.41</v>
      </c>
      <c r="E109" s="8">
        <f>C109*D109</f>
        <v>42.3</v>
      </c>
      <c r="I109" s="4" t="s">
        <v>28</v>
      </c>
      <c r="J109" s="4" t="s">
        <v>29</v>
      </c>
      <c r="K109" s="4" t="s">
        <v>30</v>
      </c>
    </row>
    <row r="110" spans="1:11" x14ac:dyDescent="0.3">
      <c r="E110" s="8">
        <f>SUM(E108:E109)</f>
        <v>174.48027999999999</v>
      </c>
      <c r="G110" t="s">
        <v>71</v>
      </c>
      <c r="H110" s="4" t="s">
        <v>32</v>
      </c>
      <c r="I110" s="4">
        <v>2.5529999999999999</v>
      </c>
      <c r="J110" s="4">
        <v>31.41</v>
      </c>
      <c r="K110" s="8">
        <f t="shared" ref="K110:K117" si="15">I110*J110</f>
        <v>80.189729999999997</v>
      </c>
    </row>
    <row r="111" spans="1:11" x14ac:dyDescent="0.3">
      <c r="G111" t="s">
        <v>63</v>
      </c>
      <c r="H111" s="4" t="s">
        <v>33</v>
      </c>
      <c r="I111" s="4">
        <v>6.2370000000000001</v>
      </c>
      <c r="J111" s="4">
        <v>11.03</v>
      </c>
      <c r="K111" s="8">
        <f t="shared" si="15"/>
        <v>68.794110000000003</v>
      </c>
    </row>
    <row r="112" spans="1:11" x14ac:dyDescent="0.3">
      <c r="C112" s="4" t="s">
        <v>28</v>
      </c>
      <c r="D112" s="4" t="s">
        <v>29</v>
      </c>
      <c r="E112" s="4" t="s">
        <v>30</v>
      </c>
      <c r="G112" t="s">
        <v>60</v>
      </c>
      <c r="H112" s="4" t="s">
        <v>33</v>
      </c>
      <c r="I112" s="4">
        <v>7.2030000000000003</v>
      </c>
      <c r="J112" s="4">
        <v>11.03</v>
      </c>
      <c r="K112" s="8">
        <f t="shared" si="15"/>
        <v>79.449089999999998</v>
      </c>
    </row>
    <row r="113" spans="1:11" x14ac:dyDescent="0.3">
      <c r="A113" t="s">
        <v>72</v>
      </c>
      <c r="B113" s="4" t="s">
        <v>32</v>
      </c>
      <c r="C113" s="4">
        <v>2.9729999999999999</v>
      </c>
      <c r="D113" s="4">
        <v>19.89</v>
      </c>
      <c r="E113" s="8">
        <f t="shared" ref="E113:E118" si="16">C113*D113</f>
        <v>59.13297</v>
      </c>
      <c r="H113" s="4" t="s">
        <v>96</v>
      </c>
      <c r="I113" s="4">
        <v>2</v>
      </c>
      <c r="J113" s="4">
        <v>1.36</v>
      </c>
      <c r="K113" s="8">
        <f t="shared" si="15"/>
        <v>2.72</v>
      </c>
    </row>
    <row r="114" spans="1:11" x14ac:dyDescent="0.3">
      <c r="A114" t="s">
        <v>63</v>
      </c>
      <c r="B114" s="4" t="s">
        <v>33</v>
      </c>
      <c r="C114" s="4">
        <v>7.4969999999999999</v>
      </c>
      <c r="D114" s="4">
        <v>11.03</v>
      </c>
      <c r="E114" s="8">
        <f t="shared" si="16"/>
        <v>82.691909999999993</v>
      </c>
      <c r="H114" s="4" t="s">
        <v>94</v>
      </c>
      <c r="I114" s="10">
        <v>4</v>
      </c>
      <c r="J114" s="10">
        <v>2.2400000000000002</v>
      </c>
      <c r="K114" s="11">
        <f t="shared" si="15"/>
        <v>8.9600000000000009</v>
      </c>
    </row>
    <row r="115" spans="1:11" x14ac:dyDescent="0.3">
      <c r="B115" s="4" t="s">
        <v>84</v>
      </c>
      <c r="C115" s="4">
        <v>2</v>
      </c>
      <c r="D115" s="4">
        <v>1.36</v>
      </c>
      <c r="E115" s="8">
        <f t="shared" si="16"/>
        <v>2.72</v>
      </c>
      <c r="H115" s="4" t="s">
        <v>34</v>
      </c>
      <c r="I115" s="4">
        <v>0.15</v>
      </c>
      <c r="J115" s="4">
        <v>13.67</v>
      </c>
      <c r="K115" s="8">
        <f t="shared" si="15"/>
        <v>2.0505</v>
      </c>
    </row>
    <row r="116" spans="1:11" x14ac:dyDescent="0.3">
      <c r="B116" s="4" t="s">
        <v>34</v>
      </c>
      <c r="C116" s="4">
        <v>0.1</v>
      </c>
      <c r="D116" s="4">
        <v>13.67</v>
      </c>
      <c r="E116" s="8">
        <f t="shared" si="16"/>
        <v>1.367</v>
      </c>
      <c r="H116" s="4" t="s">
        <v>35</v>
      </c>
      <c r="I116" s="4">
        <v>4</v>
      </c>
      <c r="J116" s="4">
        <v>1.89</v>
      </c>
      <c r="K116" s="8">
        <f t="shared" si="15"/>
        <v>7.56</v>
      </c>
    </row>
    <row r="117" spans="1:11" x14ac:dyDescent="0.3">
      <c r="B117" s="4" t="s">
        <v>35</v>
      </c>
      <c r="C117" s="4">
        <v>4</v>
      </c>
      <c r="D117" s="4">
        <v>1.89</v>
      </c>
      <c r="E117" s="8">
        <f t="shared" si="16"/>
        <v>7.56</v>
      </c>
      <c r="H117" s="4" t="s">
        <v>36</v>
      </c>
      <c r="I117" s="4">
        <v>4</v>
      </c>
      <c r="J117" s="4">
        <v>0.24</v>
      </c>
      <c r="K117" s="8">
        <f t="shared" si="15"/>
        <v>0.96</v>
      </c>
    </row>
    <row r="118" spans="1:11" x14ac:dyDescent="0.3">
      <c r="B118" s="4" t="s">
        <v>36</v>
      </c>
      <c r="C118" s="4">
        <v>4</v>
      </c>
      <c r="D118" s="4">
        <v>0.24</v>
      </c>
      <c r="E118" s="8">
        <f t="shared" si="16"/>
        <v>0.96</v>
      </c>
      <c r="K118" s="9">
        <f>SUM(K110:K117)</f>
        <v>250.68343000000002</v>
      </c>
    </row>
    <row r="119" spans="1:11" x14ac:dyDescent="0.3">
      <c r="E119" s="9">
        <f>SUM(E113:E118)</f>
        <v>154.43188000000001</v>
      </c>
      <c r="H119" s="4" t="s">
        <v>37</v>
      </c>
      <c r="I119">
        <v>63.9</v>
      </c>
      <c r="K119" s="8">
        <v>63.9</v>
      </c>
    </row>
    <row r="120" spans="1:11" x14ac:dyDescent="0.3">
      <c r="B120" s="4" t="s">
        <v>37</v>
      </c>
      <c r="C120">
        <v>30</v>
      </c>
      <c r="D120">
        <v>1.41</v>
      </c>
      <c r="E120" s="8">
        <f>C120*D120</f>
        <v>42.3</v>
      </c>
      <c r="K120" s="8">
        <f>SUM(K118:K119)</f>
        <v>314.58343000000002</v>
      </c>
    </row>
    <row r="121" spans="1:11" x14ac:dyDescent="0.3">
      <c r="E121" s="8">
        <f>SUM(E119:E120)</f>
        <v>196.73187999999999</v>
      </c>
    </row>
    <row r="123" spans="1:11" x14ac:dyDescent="0.3">
      <c r="I123" s="4" t="s">
        <v>28</v>
      </c>
      <c r="J123" s="4" t="s">
        <v>29</v>
      </c>
      <c r="K123" s="4" t="s">
        <v>30</v>
      </c>
    </row>
    <row r="124" spans="1:11" x14ac:dyDescent="0.3">
      <c r="C124" s="4" t="s">
        <v>28</v>
      </c>
      <c r="D124" s="4" t="s">
        <v>29</v>
      </c>
      <c r="E124" s="4" t="s">
        <v>30</v>
      </c>
      <c r="G124" t="s">
        <v>72</v>
      </c>
      <c r="H124" s="4" t="s">
        <v>32</v>
      </c>
      <c r="I124" s="4">
        <v>2.9729999999999999</v>
      </c>
      <c r="J124" s="4">
        <v>31.41</v>
      </c>
      <c r="K124" s="8">
        <f t="shared" ref="K124:K131" si="17">I124*J124</f>
        <v>93.381929999999997</v>
      </c>
    </row>
    <row r="125" spans="1:11" x14ac:dyDescent="0.3">
      <c r="A125" t="s">
        <v>471</v>
      </c>
      <c r="B125" s="4" t="s">
        <v>32</v>
      </c>
      <c r="C125" s="4">
        <v>4.8760000000000003</v>
      </c>
      <c r="D125" s="4">
        <v>19.89</v>
      </c>
      <c r="E125" s="8">
        <f t="shared" ref="E125:E130" si="18">C125*D125</f>
        <v>96.983640000000008</v>
      </c>
      <c r="G125" t="s">
        <v>63</v>
      </c>
      <c r="H125" s="4" t="s">
        <v>33</v>
      </c>
      <c r="I125" s="4">
        <v>7.4969999999999999</v>
      </c>
      <c r="J125" s="4">
        <v>11.03</v>
      </c>
      <c r="K125" s="8">
        <f t="shared" si="17"/>
        <v>82.691909999999993</v>
      </c>
    </row>
    <row r="126" spans="1:11" x14ac:dyDescent="0.3">
      <c r="A126" t="s">
        <v>63</v>
      </c>
      <c r="B126" s="4" t="s">
        <v>33</v>
      </c>
      <c r="C126" s="4">
        <v>13.134</v>
      </c>
      <c r="D126" s="4">
        <v>11.03</v>
      </c>
      <c r="E126" s="8">
        <f t="shared" si="18"/>
        <v>144.86802</v>
      </c>
      <c r="G126" t="s">
        <v>61</v>
      </c>
      <c r="H126" s="4" t="s">
        <v>33</v>
      </c>
      <c r="I126" s="4">
        <v>8.673</v>
      </c>
      <c r="J126" s="4">
        <v>11.03</v>
      </c>
      <c r="K126" s="8">
        <f t="shared" si="17"/>
        <v>95.66319</v>
      </c>
    </row>
    <row r="127" spans="1:11" x14ac:dyDescent="0.3">
      <c r="B127" s="4" t="s">
        <v>96</v>
      </c>
      <c r="C127" s="4">
        <v>2</v>
      </c>
      <c r="D127" s="4">
        <v>1.36</v>
      </c>
      <c r="E127" s="8">
        <f t="shared" si="18"/>
        <v>2.72</v>
      </c>
      <c r="H127" s="4" t="s">
        <v>96</v>
      </c>
      <c r="I127" s="4">
        <v>2</v>
      </c>
      <c r="J127" s="4">
        <v>1.36</v>
      </c>
      <c r="K127" s="8">
        <f t="shared" si="17"/>
        <v>2.72</v>
      </c>
    </row>
    <row r="128" spans="1:11" x14ac:dyDescent="0.3">
      <c r="B128" s="4" t="s">
        <v>34</v>
      </c>
      <c r="C128" s="4">
        <v>0.66</v>
      </c>
      <c r="D128" s="4">
        <v>13.67</v>
      </c>
      <c r="E128" s="8">
        <f t="shared" si="18"/>
        <v>9.0221999999999998</v>
      </c>
      <c r="H128" s="4" t="s">
        <v>95</v>
      </c>
      <c r="I128" s="10">
        <v>6</v>
      </c>
      <c r="J128" s="10">
        <v>1.86</v>
      </c>
      <c r="K128" s="11">
        <f t="shared" si="17"/>
        <v>11.16</v>
      </c>
    </row>
    <row r="129" spans="2:11" x14ac:dyDescent="0.3">
      <c r="B129" s="4" t="s">
        <v>35</v>
      </c>
      <c r="C129" s="4">
        <v>4</v>
      </c>
      <c r="D129" s="4">
        <v>1.89</v>
      </c>
      <c r="E129" s="8">
        <f t="shared" si="18"/>
        <v>7.56</v>
      </c>
      <c r="H129" s="4" t="s">
        <v>34</v>
      </c>
      <c r="I129" s="4">
        <v>0.3</v>
      </c>
      <c r="J129" s="4">
        <v>13.67</v>
      </c>
      <c r="K129" s="8">
        <f t="shared" si="17"/>
        <v>4.101</v>
      </c>
    </row>
    <row r="130" spans="2:11" x14ac:dyDescent="0.3">
      <c r="B130" s="4" t="s">
        <v>36</v>
      </c>
      <c r="C130" s="4">
        <v>4</v>
      </c>
      <c r="D130" s="4">
        <v>0.24</v>
      </c>
      <c r="E130" s="8">
        <f t="shared" si="18"/>
        <v>0.96</v>
      </c>
      <c r="H130" s="4" t="s">
        <v>35</v>
      </c>
      <c r="I130" s="4">
        <v>4</v>
      </c>
      <c r="J130" s="4">
        <v>1.89</v>
      </c>
      <c r="K130" s="8">
        <f t="shared" si="17"/>
        <v>7.56</v>
      </c>
    </row>
    <row r="131" spans="2:11" x14ac:dyDescent="0.3">
      <c r="E131" s="9">
        <f>SUM(E125:E130)</f>
        <v>262.11385999999999</v>
      </c>
      <c r="H131" s="4" t="s">
        <v>36</v>
      </c>
      <c r="I131" s="4">
        <v>4</v>
      </c>
      <c r="J131" s="4">
        <v>0.24</v>
      </c>
      <c r="K131" s="8">
        <f t="shared" si="17"/>
        <v>0.96</v>
      </c>
    </row>
    <row r="132" spans="2:11" x14ac:dyDescent="0.3">
      <c r="B132" s="4" t="s">
        <v>37</v>
      </c>
      <c r="C132">
        <v>85</v>
      </c>
      <c r="E132" s="8">
        <v>85</v>
      </c>
      <c r="K132" s="9">
        <f>SUM(K124:K131)</f>
        <v>298.23803000000004</v>
      </c>
    </row>
    <row r="133" spans="2:11" x14ac:dyDescent="0.3">
      <c r="E133" s="8">
        <f>SUM(E131:E132)</f>
        <v>347.11385999999999</v>
      </c>
      <c r="H133" s="4" t="s">
        <v>37</v>
      </c>
      <c r="I133">
        <v>35</v>
      </c>
      <c r="J133">
        <v>1.41</v>
      </c>
      <c r="K133" s="8">
        <f>I133*J133</f>
        <v>49.349999999999994</v>
      </c>
    </row>
    <row r="134" spans="2:11" x14ac:dyDescent="0.3">
      <c r="K134" s="8">
        <f>SUM(K132:K133)</f>
        <v>347.58803</v>
      </c>
    </row>
  </sheetData>
  <pageMargins left="0" right="0" top="0.15748031496062992" bottom="0.15748031496062992" header="0.31496062992125984" footer="0.31496062992125984"/>
  <pageSetup paperSize="9" scale="85" orientation="portrait" verticalDpi="0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W138"/>
  <sheetViews>
    <sheetView topLeftCell="A67" workbookViewId="0">
      <selection activeCell="N91" sqref="N91"/>
    </sheetView>
  </sheetViews>
  <sheetFormatPr baseColWidth="10" defaultRowHeight="14.4" x14ac:dyDescent="0.3"/>
  <cols>
    <col min="2" max="2" width="10.5546875" customWidth="1"/>
    <col min="3" max="3" width="9.6640625" customWidth="1"/>
    <col min="4" max="4" width="9.5546875" customWidth="1"/>
    <col min="5" max="5" width="9.6640625" customWidth="1"/>
    <col min="6" max="6" width="3.5546875" customWidth="1"/>
    <col min="7" max="7" width="9.6640625" customWidth="1"/>
    <col min="8" max="8" width="10.33203125" customWidth="1"/>
    <col min="9" max="9" width="10" customWidth="1"/>
    <col min="10" max="10" width="9.6640625" customWidth="1"/>
    <col min="11" max="11" width="9.33203125" customWidth="1"/>
  </cols>
  <sheetData>
    <row r="1" spans="1:11" ht="18" x14ac:dyDescent="0.35">
      <c r="A1" s="5" t="s">
        <v>129</v>
      </c>
    </row>
    <row r="3" spans="1:11" x14ac:dyDescent="0.3">
      <c r="A3" t="s">
        <v>135</v>
      </c>
      <c r="G3" t="s">
        <v>271</v>
      </c>
    </row>
    <row r="4" spans="1:11" x14ac:dyDescent="0.3">
      <c r="C4" s="4" t="s">
        <v>28</v>
      </c>
      <c r="D4" s="4" t="s">
        <v>29</v>
      </c>
      <c r="E4" s="4" t="s">
        <v>30</v>
      </c>
      <c r="I4" s="4" t="s">
        <v>28</v>
      </c>
      <c r="J4" s="4" t="s">
        <v>29</v>
      </c>
      <c r="K4" s="4" t="s">
        <v>30</v>
      </c>
    </row>
    <row r="5" spans="1:11" x14ac:dyDescent="0.3">
      <c r="A5" t="s">
        <v>73</v>
      </c>
      <c r="B5" s="4" t="s">
        <v>32</v>
      </c>
      <c r="C5" s="4">
        <v>0.97799999999999998</v>
      </c>
      <c r="D5" s="4">
        <v>19.89</v>
      </c>
      <c r="E5" s="8">
        <f t="shared" ref="E5:E10" si="0">C5*D5</f>
        <v>19.45242</v>
      </c>
      <c r="G5" t="s">
        <v>73</v>
      </c>
      <c r="H5" s="4" t="s">
        <v>32</v>
      </c>
      <c r="I5" s="4">
        <v>0.97799999999999998</v>
      </c>
      <c r="J5" s="4">
        <v>31.41</v>
      </c>
      <c r="K5" s="8">
        <f t="shared" ref="K5:K12" si="1">I5*J5</f>
        <v>30.718979999999998</v>
      </c>
    </row>
    <row r="6" spans="1:11" x14ac:dyDescent="0.3">
      <c r="A6" t="s">
        <v>52</v>
      </c>
      <c r="B6" s="4" t="s">
        <v>33</v>
      </c>
      <c r="C6" s="4">
        <v>1.7949999999999999</v>
      </c>
      <c r="D6" s="4">
        <v>11.03</v>
      </c>
      <c r="E6" s="8">
        <f t="shared" si="0"/>
        <v>19.798849999999998</v>
      </c>
      <c r="G6" t="s">
        <v>52</v>
      </c>
      <c r="H6" s="4" t="s">
        <v>33</v>
      </c>
      <c r="I6" s="4">
        <v>1.7949999999999999</v>
      </c>
      <c r="J6" s="4">
        <v>11.03</v>
      </c>
      <c r="K6" s="8">
        <f t="shared" si="1"/>
        <v>19.798849999999998</v>
      </c>
    </row>
    <row r="7" spans="1:11" x14ac:dyDescent="0.3">
      <c r="B7" s="4" t="s">
        <v>85</v>
      </c>
      <c r="C7" s="4">
        <v>2</v>
      </c>
      <c r="D7" s="4">
        <v>1.54</v>
      </c>
      <c r="E7" s="8">
        <f t="shared" si="0"/>
        <v>3.08</v>
      </c>
      <c r="G7" t="s">
        <v>52</v>
      </c>
      <c r="H7" s="4" t="s">
        <v>33</v>
      </c>
      <c r="I7" s="4">
        <v>1.7949999999999999</v>
      </c>
      <c r="J7" s="4">
        <v>11.03</v>
      </c>
      <c r="K7" s="8">
        <f t="shared" si="1"/>
        <v>19.798849999999998</v>
      </c>
    </row>
    <row r="8" spans="1:11" x14ac:dyDescent="0.3">
      <c r="B8" s="4" t="s">
        <v>34</v>
      </c>
      <c r="C8" s="4"/>
      <c r="D8" s="4"/>
      <c r="E8" s="8">
        <f t="shared" si="0"/>
        <v>0</v>
      </c>
      <c r="H8" s="4" t="s">
        <v>85</v>
      </c>
      <c r="I8" s="4">
        <v>2</v>
      </c>
      <c r="J8" s="4">
        <v>1.54</v>
      </c>
      <c r="K8" s="8">
        <f t="shared" si="1"/>
        <v>3.08</v>
      </c>
    </row>
    <row r="9" spans="1:11" x14ac:dyDescent="0.3">
      <c r="B9" s="4" t="s">
        <v>35</v>
      </c>
      <c r="C9" s="4">
        <v>4</v>
      </c>
      <c r="D9" s="4">
        <v>1.89</v>
      </c>
      <c r="E9" s="8">
        <f t="shared" si="0"/>
        <v>7.56</v>
      </c>
      <c r="H9" s="4" t="s">
        <v>85</v>
      </c>
      <c r="I9" s="4">
        <v>2</v>
      </c>
      <c r="J9" s="4">
        <v>1.54</v>
      </c>
      <c r="K9" s="4">
        <f t="shared" si="1"/>
        <v>3.08</v>
      </c>
    </row>
    <row r="10" spans="1:11" x14ac:dyDescent="0.3">
      <c r="B10" s="4" t="s">
        <v>36</v>
      </c>
      <c r="C10" s="4">
        <v>4</v>
      </c>
      <c r="D10" s="4">
        <v>0.24</v>
      </c>
      <c r="E10" s="8">
        <f t="shared" si="0"/>
        <v>0.96</v>
      </c>
      <c r="H10" s="4" t="s">
        <v>34</v>
      </c>
      <c r="I10" s="4"/>
      <c r="J10" s="4"/>
      <c r="K10" s="8">
        <f t="shared" si="1"/>
        <v>0</v>
      </c>
    </row>
    <row r="11" spans="1:11" x14ac:dyDescent="0.3">
      <c r="E11" s="8">
        <f>SUM(E5:E10)</f>
        <v>50.85127</v>
      </c>
      <c r="H11" s="4" t="s">
        <v>35</v>
      </c>
      <c r="I11" s="4">
        <v>4</v>
      </c>
      <c r="J11" s="4">
        <v>1.89</v>
      </c>
      <c r="K11" s="8">
        <f t="shared" si="1"/>
        <v>7.56</v>
      </c>
    </row>
    <row r="12" spans="1:11" x14ac:dyDescent="0.3">
      <c r="B12" s="4" t="s">
        <v>37</v>
      </c>
      <c r="C12">
        <v>15</v>
      </c>
      <c r="D12">
        <v>1.41</v>
      </c>
      <c r="E12" s="8">
        <f>C12*D12</f>
        <v>21.15</v>
      </c>
      <c r="H12" s="4" t="s">
        <v>36</v>
      </c>
      <c r="I12" s="4">
        <v>4</v>
      </c>
      <c r="J12" s="4">
        <v>0.24</v>
      </c>
      <c r="K12" s="8">
        <f t="shared" si="1"/>
        <v>0.96</v>
      </c>
    </row>
    <row r="13" spans="1:11" x14ac:dyDescent="0.3">
      <c r="E13" s="8">
        <f>SUM(E11:E12)</f>
        <v>72.001270000000005</v>
      </c>
      <c r="K13" s="8">
        <f>SUM(K5:K12)</f>
        <v>84.996679999999984</v>
      </c>
    </row>
    <row r="14" spans="1:11" x14ac:dyDescent="0.3">
      <c r="H14" s="4" t="s">
        <v>37</v>
      </c>
      <c r="I14">
        <v>15</v>
      </c>
      <c r="J14">
        <v>1.41</v>
      </c>
      <c r="K14" s="8">
        <f>I14*J14</f>
        <v>21.15</v>
      </c>
    </row>
    <row r="15" spans="1:11" x14ac:dyDescent="0.3">
      <c r="K15" s="8">
        <f>SUM(K13:K14)</f>
        <v>106.14667999999998</v>
      </c>
    </row>
    <row r="18" spans="1:11" x14ac:dyDescent="0.3">
      <c r="I18" s="4" t="s">
        <v>28</v>
      </c>
      <c r="J18" s="4" t="s">
        <v>29</v>
      </c>
      <c r="K18" s="4" t="s">
        <v>30</v>
      </c>
    </row>
    <row r="19" spans="1:11" x14ac:dyDescent="0.3">
      <c r="C19" s="4" t="s">
        <v>28</v>
      </c>
      <c r="D19" s="4" t="s">
        <v>29</v>
      </c>
      <c r="E19" s="4" t="s">
        <v>30</v>
      </c>
      <c r="G19" t="s">
        <v>74</v>
      </c>
      <c r="H19" s="4" t="s">
        <v>32</v>
      </c>
      <c r="I19" s="4">
        <v>1.2450000000000001</v>
      </c>
      <c r="J19" s="4">
        <v>31.41</v>
      </c>
      <c r="K19" s="8">
        <f t="shared" ref="K19:K26" si="2">I19*J19</f>
        <v>39.105450000000005</v>
      </c>
    </row>
    <row r="20" spans="1:11" x14ac:dyDescent="0.3">
      <c r="A20" t="s">
        <v>74</v>
      </c>
      <c r="B20" s="4" t="s">
        <v>32</v>
      </c>
      <c r="C20" s="4">
        <v>1.1879999999999999</v>
      </c>
      <c r="D20" s="4">
        <v>19.89</v>
      </c>
      <c r="E20" s="8">
        <f t="shared" ref="E20:E25" si="3">C20*D20</f>
        <v>23.62932</v>
      </c>
      <c r="G20" t="s">
        <v>52</v>
      </c>
      <c r="H20" s="4" t="s">
        <v>33</v>
      </c>
      <c r="I20" s="4">
        <v>2.871</v>
      </c>
      <c r="J20" s="4">
        <v>11.03</v>
      </c>
      <c r="K20" s="8">
        <f t="shared" si="2"/>
        <v>31.667129999999997</v>
      </c>
    </row>
    <row r="21" spans="1:11" x14ac:dyDescent="0.3">
      <c r="A21" t="s">
        <v>52</v>
      </c>
      <c r="B21" s="4" t="s">
        <v>33</v>
      </c>
      <c r="C21" s="4">
        <v>2.74</v>
      </c>
      <c r="D21" s="4">
        <v>11.03</v>
      </c>
      <c r="E21" s="8">
        <f t="shared" si="3"/>
        <v>30.222200000000001</v>
      </c>
      <c r="G21" t="s">
        <v>53</v>
      </c>
      <c r="H21" s="4" t="s">
        <v>33</v>
      </c>
      <c r="I21" s="4">
        <v>2.9260000000000002</v>
      </c>
      <c r="J21" s="4">
        <v>11.03</v>
      </c>
      <c r="K21" s="8">
        <f t="shared" si="2"/>
        <v>32.273780000000002</v>
      </c>
    </row>
    <row r="22" spans="1:11" x14ac:dyDescent="0.3">
      <c r="B22" s="4" t="s">
        <v>85</v>
      </c>
      <c r="C22" s="4">
        <v>2</v>
      </c>
      <c r="D22" s="4">
        <v>1.54</v>
      </c>
      <c r="E22" s="8">
        <f t="shared" si="3"/>
        <v>3.08</v>
      </c>
      <c r="H22" s="4" t="s">
        <v>85</v>
      </c>
      <c r="I22" s="4">
        <v>2</v>
      </c>
      <c r="J22" s="4">
        <v>1.54</v>
      </c>
      <c r="K22" s="8">
        <f t="shared" si="2"/>
        <v>3.08</v>
      </c>
    </row>
    <row r="23" spans="1:11" x14ac:dyDescent="0.3">
      <c r="B23" s="4" t="s">
        <v>34</v>
      </c>
      <c r="C23" s="4"/>
      <c r="D23" s="4"/>
      <c r="E23" s="8">
        <f t="shared" si="3"/>
        <v>0</v>
      </c>
      <c r="H23" s="4" t="s">
        <v>86</v>
      </c>
      <c r="I23" s="4">
        <v>2</v>
      </c>
      <c r="J23" s="4">
        <v>1.86</v>
      </c>
      <c r="K23" s="4">
        <f t="shared" si="2"/>
        <v>3.72</v>
      </c>
    </row>
    <row r="24" spans="1:11" x14ac:dyDescent="0.3">
      <c r="B24" s="4" t="s">
        <v>35</v>
      </c>
      <c r="C24" s="4">
        <v>4</v>
      </c>
      <c r="D24" s="4">
        <v>1.89</v>
      </c>
      <c r="E24" s="8">
        <f t="shared" si="3"/>
        <v>7.56</v>
      </c>
      <c r="H24" s="4" t="s">
        <v>34</v>
      </c>
      <c r="I24" s="4"/>
      <c r="J24" s="4"/>
      <c r="K24" s="8">
        <f t="shared" si="2"/>
        <v>0</v>
      </c>
    </row>
    <row r="25" spans="1:11" x14ac:dyDescent="0.3">
      <c r="B25" s="4" t="s">
        <v>36</v>
      </c>
      <c r="C25" s="4">
        <v>4</v>
      </c>
      <c r="D25" s="4">
        <v>0.24</v>
      </c>
      <c r="E25" s="8">
        <f t="shared" si="3"/>
        <v>0.96</v>
      </c>
      <c r="H25" s="4" t="s">
        <v>35</v>
      </c>
      <c r="I25" s="4">
        <v>4</v>
      </c>
      <c r="J25" s="4">
        <v>1.89</v>
      </c>
      <c r="K25" s="8">
        <f t="shared" si="2"/>
        <v>7.56</v>
      </c>
    </row>
    <row r="26" spans="1:11" x14ac:dyDescent="0.3">
      <c r="E26" s="9">
        <f>SUM(E20:E25)</f>
        <v>65.451519999999988</v>
      </c>
      <c r="H26" s="4" t="s">
        <v>36</v>
      </c>
      <c r="I26" s="4">
        <v>4</v>
      </c>
      <c r="J26" s="4">
        <v>0.24</v>
      </c>
      <c r="K26" s="8">
        <f t="shared" si="2"/>
        <v>0.96</v>
      </c>
    </row>
    <row r="27" spans="1:11" x14ac:dyDescent="0.3">
      <c r="B27" s="4" t="s">
        <v>37</v>
      </c>
      <c r="C27">
        <v>15</v>
      </c>
      <c r="D27">
        <v>1.41</v>
      </c>
      <c r="E27" s="8">
        <f>C27*D27</f>
        <v>21.15</v>
      </c>
      <c r="K27" s="8">
        <f>SUM(K19:K26)</f>
        <v>118.36636</v>
      </c>
    </row>
    <row r="28" spans="1:11" x14ac:dyDescent="0.3">
      <c r="E28" s="8">
        <f>SUM(E26:E27)</f>
        <v>86.601519999999994</v>
      </c>
      <c r="H28" s="4" t="s">
        <v>37</v>
      </c>
      <c r="I28">
        <v>0.5</v>
      </c>
      <c r="J28">
        <v>1.41</v>
      </c>
      <c r="K28" s="8">
        <v>42.5</v>
      </c>
    </row>
    <row r="29" spans="1:11" x14ac:dyDescent="0.3">
      <c r="K29" s="8">
        <f>SUM(K27:K28)</f>
        <v>160.86635999999999</v>
      </c>
    </row>
    <row r="31" spans="1:11" x14ac:dyDescent="0.3">
      <c r="C31" s="4" t="s">
        <v>28</v>
      </c>
      <c r="D31" s="4" t="s">
        <v>29</v>
      </c>
      <c r="E31" s="4" t="s">
        <v>30</v>
      </c>
    </row>
    <row r="32" spans="1:11" x14ac:dyDescent="0.3">
      <c r="A32" t="s">
        <v>75</v>
      </c>
      <c r="B32" s="4" t="s">
        <v>32</v>
      </c>
      <c r="C32" s="4">
        <v>1.3979999999999999</v>
      </c>
      <c r="D32" s="4">
        <v>19.89</v>
      </c>
      <c r="E32" s="8">
        <f t="shared" ref="E32:E37" si="4">C32*D32</f>
        <v>27.80622</v>
      </c>
      <c r="I32" s="4" t="s">
        <v>28</v>
      </c>
      <c r="J32" s="4" t="s">
        <v>29</v>
      </c>
      <c r="K32" s="4" t="s">
        <v>30</v>
      </c>
    </row>
    <row r="33" spans="1:11" x14ac:dyDescent="0.3">
      <c r="A33" t="s">
        <v>83</v>
      </c>
      <c r="B33" s="4" t="s">
        <v>33</v>
      </c>
      <c r="C33" s="4">
        <v>3.6850000000000001</v>
      </c>
      <c r="D33" s="4">
        <v>11.03</v>
      </c>
      <c r="E33" s="8">
        <f t="shared" si="4"/>
        <v>40.64555</v>
      </c>
      <c r="G33" t="s">
        <v>75</v>
      </c>
      <c r="H33" s="4" t="s">
        <v>32</v>
      </c>
      <c r="I33" s="4">
        <v>1.3979999999999999</v>
      </c>
      <c r="J33" s="4">
        <v>31.41</v>
      </c>
      <c r="K33" s="8">
        <f t="shared" ref="K33:K40" si="5">I33*J33</f>
        <v>43.911179999999995</v>
      </c>
    </row>
    <row r="34" spans="1:11" x14ac:dyDescent="0.3">
      <c r="B34" s="4" t="s">
        <v>85</v>
      </c>
      <c r="C34" s="4">
        <v>2</v>
      </c>
      <c r="D34" s="4">
        <v>1.54</v>
      </c>
      <c r="E34" s="8">
        <f t="shared" si="4"/>
        <v>3.08</v>
      </c>
      <c r="G34" t="s">
        <v>83</v>
      </c>
      <c r="H34" s="4" t="s">
        <v>33</v>
      </c>
      <c r="I34" s="4">
        <v>3.6850000000000001</v>
      </c>
      <c r="J34" s="4">
        <v>11.03</v>
      </c>
      <c r="K34" s="8">
        <f t="shared" si="5"/>
        <v>40.64555</v>
      </c>
    </row>
    <row r="35" spans="1:11" x14ac:dyDescent="0.3">
      <c r="B35" s="4" t="s">
        <v>34</v>
      </c>
      <c r="C35" s="4"/>
      <c r="D35" s="4"/>
      <c r="E35" s="8">
        <f t="shared" si="4"/>
        <v>0</v>
      </c>
      <c r="G35" t="s">
        <v>54</v>
      </c>
      <c r="H35" s="4" t="s">
        <v>33</v>
      </c>
      <c r="I35" s="4">
        <v>3.79</v>
      </c>
      <c r="J35" s="4">
        <v>11.03</v>
      </c>
      <c r="K35" s="8">
        <f t="shared" si="5"/>
        <v>41.803699999999999</v>
      </c>
    </row>
    <row r="36" spans="1:11" x14ac:dyDescent="0.3">
      <c r="B36" s="4" t="s">
        <v>35</v>
      </c>
      <c r="C36" s="4">
        <v>4</v>
      </c>
      <c r="D36" s="4">
        <v>1.89</v>
      </c>
      <c r="E36" s="8">
        <f t="shared" si="4"/>
        <v>7.56</v>
      </c>
      <c r="H36" s="4" t="s">
        <v>85</v>
      </c>
      <c r="I36" s="4">
        <v>2</v>
      </c>
      <c r="J36" s="4">
        <v>1.54</v>
      </c>
      <c r="K36" s="8">
        <f t="shared" si="5"/>
        <v>3.08</v>
      </c>
    </row>
    <row r="37" spans="1:11" x14ac:dyDescent="0.3">
      <c r="B37" s="4" t="s">
        <v>36</v>
      </c>
      <c r="C37" s="4">
        <v>4</v>
      </c>
      <c r="D37" s="4">
        <v>0.24</v>
      </c>
      <c r="E37" s="8">
        <f t="shared" si="4"/>
        <v>0.96</v>
      </c>
      <c r="H37" s="4" t="s">
        <v>87</v>
      </c>
      <c r="I37" s="10">
        <v>2</v>
      </c>
      <c r="J37" s="10">
        <v>1.98</v>
      </c>
      <c r="K37" s="11">
        <f t="shared" si="5"/>
        <v>3.96</v>
      </c>
    </row>
    <row r="38" spans="1:11" x14ac:dyDescent="0.3">
      <c r="E38" s="9">
        <f>SUM(E32:E37)</f>
        <v>80.051769999999991</v>
      </c>
      <c r="H38" s="4" t="s">
        <v>34</v>
      </c>
      <c r="I38" s="4"/>
      <c r="J38" s="4"/>
      <c r="K38" s="8">
        <f t="shared" si="5"/>
        <v>0</v>
      </c>
    </row>
    <row r="39" spans="1:11" x14ac:dyDescent="0.3">
      <c r="B39" s="4" t="s">
        <v>37</v>
      </c>
      <c r="C39">
        <v>15</v>
      </c>
      <c r="D39">
        <v>1.41</v>
      </c>
      <c r="E39" s="8">
        <f>C39*D39</f>
        <v>21.15</v>
      </c>
      <c r="H39" s="4" t="s">
        <v>35</v>
      </c>
      <c r="I39" s="4">
        <v>4</v>
      </c>
      <c r="J39" s="4">
        <v>1.89</v>
      </c>
      <c r="K39" s="8">
        <f t="shared" si="5"/>
        <v>7.56</v>
      </c>
    </row>
    <row r="40" spans="1:11" x14ac:dyDescent="0.3">
      <c r="E40" s="8">
        <f>SUM(E38:E39)</f>
        <v>101.20176999999998</v>
      </c>
      <c r="H40" s="4" t="s">
        <v>36</v>
      </c>
      <c r="I40" s="4">
        <v>4</v>
      </c>
      <c r="J40" s="4">
        <v>0.24</v>
      </c>
      <c r="K40" s="8">
        <f t="shared" si="5"/>
        <v>0.96</v>
      </c>
    </row>
    <row r="41" spans="1:11" x14ac:dyDescent="0.3">
      <c r="K41" s="9">
        <f>SUM(K33:K40)</f>
        <v>141.92043000000001</v>
      </c>
    </row>
    <row r="42" spans="1:11" x14ac:dyDescent="0.3">
      <c r="H42" s="4" t="s">
        <v>37</v>
      </c>
      <c r="I42">
        <v>20</v>
      </c>
      <c r="J42">
        <v>1.41</v>
      </c>
      <c r="K42" s="8">
        <f>I42*J42</f>
        <v>28.2</v>
      </c>
    </row>
    <row r="43" spans="1:11" x14ac:dyDescent="0.3">
      <c r="C43" s="4" t="s">
        <v>28</v>
      </c>
      <c r="D43" s="4" t="s">
        <v>29</v>
      </c>
      <c r="E43" s="4" t="s">
        <v>30</v>
      </c>
      <c r="K43" s="8">
        <f>SUM(K41:K42)</f>
        <v>170.12043</v>
      </c>
    </row>
    <row r="44" spans="1:11" x14ac:dyDescent="0.3">
      <c r="A44" t="s">
        <v>76</v>
      </c>
      <c r="B44" s="4" t="s">
        <v>32</v>
      </c>
      <c r="C44" s="4">
        <v>1.6080000000000001</v>
      </c>
      <c r="D44" s="4">
        <v>19.89</v>
      </c>
      <c r="E44" s="8">
        <f t="shared" ref="E44:E49" si="6">C44*D44</f>
        <v>31.983120000000003</v>
      </c>
    </row>
    <row r="45" spans="1:11" x14ac:dyDescent="0.3">
      <c r="A45" t="s">
        <v>52</v>
      </c>
      <c r="B45" s="4" t="s">
        <v>33</v>
      </c>
      <c r="C45" s="4">
        <v>4.63</v>
      </c>
      <c r="D45" s="4">
        <v>11.03</v>
      </c>
      <c r="E45" s="8">
        <f t="shared" si="6"/>
        <v>51.068899999999999</v>
      </c>
    </row>
    <row r="46" spans="1:11" x14ac:dyDescent="0.3">
      <c r="B46" s="4" t="s">
        <v>97</v>
      </c>
      <c r="C46" s="4">
        <v>2</v>
      </c>
      <c r="D46" s="4">
        <v>1.54</v>
      </c>
      <c r="E46" s="8">
        <f t="shared" si="6"/>
        <v>3.08</v>
      </c>
      <c r="I46" s="4" t="s">
        <v>28</v>
      </c>
      <c r="J46" s="4" t="s">
        <v>29</v>
      </c>
      <c r="K46" s="4" t="s">
        <v>30</v>
      </c>
    </row>
    <row r="47" spans="1:11" x14ac:dyDescent="0.3">
      <c r="B47" s="4" t="s">
        <v>34</v>
      </c>
      <c r="C47" s="4"/>
      <c r="D47" s="4"/>
      <c r="E47" s="8">
        <f t="shared" si="6"/>
        <v>0</v>
      </c>
      <c r="G47" t="s">
        <v>76</v>
      </c>
      <c r="H47" s="4" t="s">
        <v>32</v>
      </c>
      <c r="I47" s="4">
        <v>1.6850000000000001</v>
      </c>
      <c r="J47" s="4">
        <v>31.41</v>
      </c>
      <c r="K47" s="8">
        <f t="shared" ref="K47:K54" si="7">I47*J47</f>
        <v>52.925850000000004</v>
      </c>
    </row>
    <row r="48" spans="1:11" x14ac:dyDescent="0.3">
      <c r="B48" s="4" t="s">
        <v>35</v>
      </c>
      <c r="C48" s="4">
        <v>4</v>
      </c>
      <c r="D48" s="4">
        <v>1.89</v>
      </c>
      <c r="E48" s="8">
        <f t="shared" si="6"/>
        <v>7.56</v>
      </c>
      <c r="G48" t="s">
        <v>52</v>
      </c>
      <c r="H48" s="4" t="s">
        <v>33</v>
      </c>
      <c r="I48" s="4">
        <v>4.851</v>
      </c>
      <c r="J48" s="4">
        <v>11.03</v>
      </c>
      <c r="K48" s="8">
        <f t="shared" si="7"/>
        <v>53.506529999999998</v>
      </c>
    </row>
    <row r="49" spans="1:23" x14ac:dyDescent="0.3">
      <c r="B49" s="4" t="s">
        <v>36</v>
      </c>
      <c r="C49" s="4">
        <v>4</v>
      </c>
      <c r="D49" s="4">
        <v>0.24</v>
      </c>
      <c r="E49" s="8">
        <f t="shared" si="6"/>
        <v>0.96</v>
      </c>
      <c r="G49" t="s">
        <v>55</v>
      </c>
      <c r="H49" s="4" t="s">
        <v>33</v>
      </c>
      <c r="I49" s="4">
        <v>5.016</v>
      </c>
      <c r="J49" s="4">
        <v>11.03</v>
      </c>
      <c r="K49" s="8">
        <f t="shared" si="7"/>
        <v>55.326479999999997</v>
      </c>
    </row>
    <row r="50" spans="1:23" x14ac:dyDescent="0.3">
      <c r="E50" s="9">
        <f>SUM(E44:E49)</f>
        <v>94.652019999999993</v>
      </c>
      <c r="H50" s="4" t="s">
        <v>97</v>
      </c>
      <c r="I50" s="4">
        <v>2</v>
      </c>
      <c r="J50" s="4">
        <v>1.54</v>
      </c>
      <c r="K50" s="8">
        <f t="shared" si="7"/>
        <v>3.08</v>
      </c>
    </row>
    <row r="51" spans="1:23" x14ac:dyDescent="0.3">
      <c r="B51" s="4" t="s">
        <v>37</v>
      </c>
      <c r="C51">
        <v>15</v>
      </c>
      <c r="D51">
        <v>1.41</v>
      </c>
      <c r="E51" s="8">
        <f>C51*D51</f>
        <v>21.15</v>
      </c>
      <c r="H51" s="4" t="s">
        <v>88</v>
      </c>
      <c r="I51" s="4">
        <v>2</v>
      </c>
      <c r="J51" s="4">
        <v>2.2400000000000002</v>
      </c>
      <c r="K51" s="4">
        <f t="shared" si="7"/>
        <v>4.4800000000000004</v>
      </c>
    </row>
    <row r="52" spans="1:23" x14ac:dyDescent="0.3">
      <c r="E52" s="8">
        <f>SUM(E50:E51)</f>
        <v>115.80202</v>
      </c>
      <c r="H52" s="4" t="s">
        <v>34</v>
      </c>
      <c r="I52" s="4"/>
      <c r="J52" s="4"/>
      <c r="K52" s="8">
        <f t="shared" si="7"/>
        <v>0</v>
      </c>
    </row>
    <row r="53" spans="1:23" x14ac:dyDescent="0.3">
      <c r="H53" s="4" t="s">
        <v>35</v>
      </c>
      <c r="I53" s="4">
        <v>4</v>
      </c>
      <c r="J53" s="4">
        <v>1.89</v>
      </c>
      <c r="K53" s="8">
        <f t="shared" si="7"/>
        <v>7.56</v>
      </c>
    </row>
    <row r="54" spans="1:23" x14ac:dyDescent="0.3">
      <c r="H54" s="4" t="s">
        <v>36</v>
      </c>
      <c r="I54" s="4">
        <v>4</v>
      </c>
      <c r="J54" s="4">
        <v>0.24</v>
      </c>
      <c r="K54" s="8">
        <f t="shared" si="7"/>
        <v>0.96</v>
      </c>
    </row>
    <row r="55" spans="1:23" x14ac:dyDescent="0.3">
      <c r="K55" s="9">
        <f>SUM(K47:K54)</f>
        <v>177.83886000000001</v>
      </c>
    </row>
    <row r="56" spans="1:23" x14ac:dyDescent="0.3">
      <c r="C56" s="4" t="s">
        <v>28</v>
      </c>
      <c r="D56" s="4" t="s">
        <v>29</v>
      </c>
      <c r="E56" s="4" t="s">
        <v>30</v>
      </c>
      <c r="H56" s="4" t="s">
        <v>37</v>
      </c>
      <c r="I56">
        <v>0.5</v>
      </c>
      <c r="J56">
        <v>1.41</v>
      </c>
      <c r="K56" s="8">
        <v>42.5</v>
      </c>
    </row>
    <row r="57" spans="1:23" x14ac:dyDescent="0.3">
      <c r="A57" t="s">
        <v>77</v>
      </c>
      <c r="B57" s="4" t="s">
        <v>32</v>
      </c>
      <c r="C57" s="4">
        <v>1.8180000000000001</v>
      </c>
      <c r="D57" s="4">
        <v>19.89</v>
      </c>
      <c r="E57" s="8">
        <f t="shared" ref="E57:E62" si="8">C57*D57</f>
        <v>36.160020000000003</v>
      </c>
      <c r="K57" s="8">
        <f>SUM(K55:K56)</f>
        <v>220.33886000000001</v>
      </c>
      <c r="O57" s="4" t="s">
        <v>28</v>
      </c>
      <c r="P57" s="4" t="s">
        <v>29</v>
      </c>
      <c r="Q57" s="4" t="s">
        <v>30</v>
      </c>
      <c r="U57" s="4" t="s">
        <v>28</v>
      </c>
      <c r="V57" s="4" t="s">
        <v>29</v>
      </c>
      <c r="W57" s="4" t="s">
        <v>30</v>
      </c>
    </row>
    <row r="58" spans="1:23" x14ac:dyDescent="0.3">
      <c r="A58" t="s">
        <v>52</v>
      </c>
      <c r="B58" s="4" t="s">
        <v>33</v>
      </c>
      <c r="C58" s="4">
        <v>5.5750000000000002</v>
      </c>
      <c r="D58" s="4">
        <v>11.03</v>
      </c>
      <c r="E58" s="8">
        <f t="shared" si="8"/>
        <v>61.492249999999999</v>
      </c>
      <c r="M58" t="s">
        <v>189</v>
      </c>
      <c r="N58" s="4" t="s">
        <v>32</v>
      </c>
      <c r="O58" s="4">
        <v>2.016</v>
      </c>
      <c r="P58" s="4">
        <v>19.89</v>
      </c>
      <c r="Q58" s="8">
        <f t="shared" ref="Q58:Q63" si="9">O58*P58</f>
        <v>40.098240000000004</v>
      </c>
      <c r="S58" t="s">
        <v>189</v>
      </c>
      <c r="T58" s="4" t="s">
        <v>32</v>
      </c>
      <c r="U58" s="4">
        <v>2.016</v>
      </c>
      <c r="V58" s="4">
        <v>31.41</v>
      </c>
      <c r="W58" s="8">
        <f t="shared" ref="W58:W65" si="10">U58*V58</f>
        <v>63.322560000000003</v>
      </c>
    </row>
    <row r="59" spans="1:23" x14ac:dyDescent="0.3">
      <c r="B59" s="4" t="s">
        <v>97</v>
      </c>
      <c r="C59" s="4">
        <v>2</v>
      </c>
      <c r="D59" s="4">
        <v>1.54</v>
      </c>
      <c r="E59" s="8">
        <f t="shared" si="8"/>
        <v>3.08</v>
      </c>
      <c r="I59" s="4" t="s">
        <v>28</v>
      </c>
      <c r="J59" s="4" t="s">
        <v>29</v>
      </c>
      <c r="K59" s="4" t="s">
        <v>30</v>
      </c>
      <c r="M59" t="s">
        <v>544</v>
      </c>
      <c r="N59" s="4" t="s">
        <v>33</v>
      </c>
      <c r="O59" s="4">
        <v>7.1390000000000002</v>
      </c>
      <c r="P59" s="4">
        <v>11.03</v>
      </c>
      <c r="Q59" s="8">
        <f t="shared" si="9"/>
        <v>78.743169999999992</v>
      </c>
      <c r="S59" t="s">
        <v>545</v>
      </c>
      <c r="T59" s="4" t="s">
        <v>33</v>
      </c>
      <c r="U59" s="4">
        <v>7.1390000000000002</v>
      </c>
      <c r="V59" s="4">
        <v>11.03</v>
      </c>
      <c r="W59" s="8">
        <f t="shared" si="10"/>
        <v>78.743169999999992</v>
      </c>
    </row>
    <row r="60" spans="1:23" x14ac:dyDescent="0.3">
      <c r="B60" s="4" t="s">
        <v>34</v>
      </c>
      <c r="C60" s="4">
        <v>0.2</v>
      </c>
      <c r="D60" s="4">
        <v>13.67</v>
      </c>
      <c r="E60" s="8">
        <f t="shared" si="8"/>
        <v>2.734</v>
      </c>
      <c r="G60" t="s">
        <v>77</v>
      </c>
      <c r="H60" s="4" t="s">
        <v>32</v>
      </c>
      <c r="I60" s="4">
        <v>1.8180000000000001</v>
      </c>
      <c r="J60" s="4">
        <v>31.41</v>
      </c>
      <c r="K60" s="8">
        <f t="shared" ref="K60:K67" si="11">I60*J60</f>
        <v>57.103380000000001</v>
      </c>
      <c r="N60" s="4" t="s">
        <v>97</v>
      </c>
      <c r="O60" s="4">
        <v>2</v>
      </c>
      <c r="P60" s="4">
        <v>1.54</v>
      </c>
      <c r="Q60" s="8">
        <f t="shared" si="9"/>
        <v>3.08</v>
      </c>
      <c r="S60" t="s">
        <v>56</v>
      </c>
      <c r="T60" s="4" t="s">
        <v>33</v>
      </c>
      <c r="U60" s="4">
        <v>7.6559999999999997</v>
      </c>
      <c r="V60" s="4">
        <v>11.03</v>
      </c>
      <c r="W60" s="8">
        <f t="shared" si="10"/>
        <v>84.445679999999996</v>
      </c>
    </row>
    <row r="61" spans="1:23" x14ac:dyDescent="0.3">
      <c r="B61" s="4" t="s">
        <v>35</v>
      </c>
      <c r="C61" s="4">
        <v>4</v>
      </c>
      <c r="D61" s="4">
        <v>1.89</v>
      </c>
      <c r="E61" s="8">
        <f t="shared" si="8"/>
        <v>7.56</v>
      </c>
      <c r="G61" t="s">
        <v>52</v>
      </c>
      <c r="H61" s="4" t="s">
        <v>33</v>
      </c>
      <c r="I61" s="4">
        <v>5.5750000000000002</v>
      </c>
      <c r="J61" s="4">
        <v>11.03</v>
      </c>
      <c r="K61" s="8">
        <f t="shared" si="11"/>
        <v>61.492249999999999</v>
      </c>
      <c r="N61" s="4" t="s">
        <v>34</v>
      </c>
      <c r="O61" s="4">
        <v>0.2</v>
      </c>
      <c r="P61" s="4">
        <v>13.67</v>
      </c>
      <c r="Q61" s="8">
        <f t="shared" si="9"/>
        <v>2.734</v>
      </c>
      <c r="T61" s="4" t="s">
        <v>97</v>
      </c>
      <c r="U61" s="4">
        <v>2</v>
      </c>
      <c r="V61" s="4">
        <v>1.54</v>
      </c>
      <c r="W61" s="8">
        <f t="shared" si="10"/>
        <v>3.08</v>
      </c>
    </row>
    <row r="62" spans="1:23" x14ac:dyDescent="0.3">
      <c r="B62" s="4" t="s">
        <v>36</v>
      </c>
      <c r="C62" s="4">
        <v>4</v>
      </c>
      <c r="D62" s="4">
        <v>0.24</v>
      </c>
      <c r="E62" s="8">
        <f t="shared" si="8"/>
        <v>0.96</v>
      </c>
      <c r="G62" t="s">
        <v>56</v>
      </c>
      <c r="H62" s="4" t="s">
        <v>33</v>
      </c>
      <c r="I62" s="4">
        <v>5.7850000000000001</v>
      </c>
      <c r="J62" s="4">
        <v>11.03</v>
      </c>
      <c r="K62" s="8">
        <f t="shared" si="11"/>
        <v>63.808549999999997</v>
      </c>
      <c r="N62" s="4" t="s">
        <v>35</v>
      </c>
      <c r="O62" s="4">
        <v>4</v>
      </c>
      <c r="P62" s="4">
        <v>1.89</v>
      </c>
      <c r="Q62" s="8">
        <f t="shared" si="9"/>
        <v>7.56</v>
      </c>
      <c r="T62" s="4" t="s">
        <v>98</v>
      </c>
      <c r="U62" s="4">
        <v>4</v>
      </c>
      <c r="V62" s="4">
        <v>1.86</v>
      </c>
      <c r="W62" s="4">
        <f t="shared" si="10"/>
        <v>7.44</v>
      </c>
    </row>
    <row r="63" spans="1:23" x14ac:dyDescent="0.3">
      <c r="E63" s="9">
        <f>SUM(E57:E62)</f>
        <v>111.98626999999999</v>
      </c>
      <c r="H63" s="4" t="s">
        <v>97</v>
      </c>
      <c r="I63" s="4">
        <v>2</v>
      </c>
      <c r="J63" s="4">
        <v>1.54</v>
      </c>
      <c r="K63" s="8">
        <f t="shared" si="11"/>
        <v>3.08</v>
      </c>
      <c r="N63" s="4" t="s">
        <v>36</v>
      </c>
      <c r="O63" s="4">
        <v>4</v>
      </c>
      <c r="P63" s="4">
        <v>0.24</v>
      </c>
      <c r="Q63" s="8">
        <f t="shared" si="9"/>
        <v>0.96</v>
      </c>
      <c r="T63" s="4" t="s">
        <v>34</v>
      </c>
      <c r="U63" s="4">
        <v>0.2</v>
      </c>
      <c r="V63" s="4">
        <v>13.67</v>
      </c>
      <c r="W63" s="8">
        <f t="shared" si="10"/>
        <v>2.734</v>
      </c>
    </row>
    <row r="64" spans="1:23" x14ac:dyDescent="0.3">
      <c r="B64" s="4" t="s">
        <v>37</v>
      </c>
      <c r="C64">
        <v>20</v>
      </c>
      <c r="D64">
        <v>1.41</v>
      </c>
      <c r="E64" s="8">
        <f>C64*D64</f>
        <v>28.2</v>
      </c>
      <c r="H64" s="4" t="s">
        <v>98</v>
      </c>
      <c r="I64" s="4">
        <v>4</v>
      </c>
      <c r="J64" s="4">
        <v>1.86</v>
      </c>
      <c r="K64" s="4">
        <f t="shared" si="11"/>
        <v>7.44</v>
      </c>
      <c r="Q64" s="9">
        <f>SUM(Q58:Q63)</f>
        <v>133.17541</v>
      </c>
      <c r="T64" s="4" t="s">
        <v>35</v>
      </c>
      <c r="U64" s="4">
        <v>4</v>
      </c>
      <c r="V64" s="4">
        <v>1.89</v>
      </c>
      <c r="W64" s="8">
        <f t="shared" si="10"/>
        <v>7.56</v>
      </c>
    </row>
    <row r="65" spans="1:23" x14ac:dyDescent="0.3">
      <c r="E65" s="8">
        <f>SUM(E63:E64)</f>
        <v>140.18626999999998</v>
      </c>
      <c r="H65" s="4" t="s">
        <v>34</v>
      </c>
      <c r="I65" s="4">
        <v>0.2</v>
      </c>
      <c r="J65" s="4">
        <v>13.67</v>
      </c>
      <c r="K65" s="8">
        <f t="shared" si="11"/>
        <v>2.734</v>
      </c>
      <c r="N65" s="4" t="s">
        <v>37</v>
      </c>
      <c r="Q65" s="8">
        <v>42.5</v>
      </c>
      <c r="T65" s="4" t="s">
        <v>36</v>
      </c>
      <c r="U65" s="4">
        <v>4</v>
      </c>
      <c r="V65" s="4">
        <v>0.24</v>
      </c>
      <c r="W65" s="8">
        <f t="shared" si="10"/>
        <v>0.96</v>
      </c>
    </row>
    <row r="66" spans="1:23" x14ac:dyDescent="0.3">
      <c r="H66" s="4" t="s">
        <v>35</v>
      </c>
      <c r="I66" s="4">
        <v>4</v>
      </c>
      <c r="J66" s="4">
        <v>1.89</v>
      </c>
      <c r="K66" s="8">
        <f t="shared" si="11"/>
        <v>7.56</v>
      </c>
      <c r="Q66" s="8">
        <f>SUM(Q64:Q65)</f>
        <v>175.67541</v>
      </c>
      <c r="W66" s="9">
        <f>SUM(W58:W65)</f>
        <v>248.28541000000004</v>
      </c>
    </row>
    <row r="67" spans="1:23" x14ac:dyDescent="0.3">
      <c r="H67" s="4" t="s">
        <v>36</v>
      </c>
      <c r="I67" s="4">
        <v>4</v>
      </c>
      <c r="J67" s="4">
        <v>0.24</v>
      </c>
      <c r="K67" s="8">
        <f t="shared" si="11"/>
        <v>0.96</v>
      </c>
      <c r="T67" s="4" t="s">
        <v>37</v>
      </c>
      <c r="W67" s="8">
        <v>63.9</v>
      </c>
    </row>
    <row r="68" spans="1:23" x14ac:dyDescent="0.3">
      <c r="C68" s="4" t="s">
        <v>28</v>
      </c>
      <c r="D68" s="4" t="s">
        <v>29</v>
      </c>
      <c r="E68" s="4" t="s">
        <v>30</v>
      </c>
      <c r="K68" s="9">
        <f>SUM(K60:K67)</f>
        <v>204.17818000000003</v>
      </c>
      <c r="W68" s="8">
        <f>SUM(W66:W67)</f>
        <v>312.18541000000005</v>
      </c>
    </row>
    <row r="69" spans="1:23" x14ac:dyDescent="0.3">
      <c r="A69" t="s">
        <v>78</v>
      </c>
      <c r="B69" s="4" t="s">
        <v>32</v>
      </c>
      <c r="C69" s="4">
        <v>2.028</v>
      </c>
      <c r="D69" s="4">
        <v>19.89</v>
      </c>
      <c r="E69" s="8">
        <f t="shared" ref="E69:E74" si="12">C69*D69</f>
        <v>40.336919999999999</v>
      </c>
      <c r="H69" s="4" t="s">
        <v>37</v>
      </c>
      <c r="I69">
        <v>25</v>
      </c>
      <c r="J69">
        <v>1.41</v>
      </c>
      <c r="K69" s="8">
        <f>I69*J69</f>
        <v>35.25</v>
      </c>
    </row>
    <row r="70" spans="1:23" x14ac:dyDescent="0.3">
      <c r="A70" t="s">
        <v>52</v>
      </c>
      <c r="B70" s="4" t="s">
        <v>33</v>
      </c>
      <c r="C70" s="4">
        <v>6.52</v>
      </c>
      <c r="D70" s="4">
        <v>11.03</v>
      </c>
      <c r="E70" s="8">
        <f t="shared" si="12"/>
        <v>71.915599999999998</v>
      </c>
      <c r="K70" s="8">
        <f>SUM(K68:K69)</f>
        <v>239.42818000000003</v>
      </c>
    </row>
    <row r="71" spans="1:23" x14ac:dyDescent="0.3">
      <c r="B71" s="4" t="s">
        <v>97</v>
      </c>
      <c r="C71" s="4">
        <v>2</v>
      </c>
      <c r="D71" s="4">
        <v>1.54</v>
      </c>
      <c r="E71" s="8">
        <f t="shared" si="12"/>
        <v>3.08</v>
      </c>
    </row>
    <row r="72" spans="1:23" x14ac:dyDescent="0.3">
      <c r="B72" s="4" t="s">
        <v>34</v>
      </c>
      <c r="C72" s="4">
        <v>0.2</v>
      </c>
      <c r="D72" s="4">
        <v>13.67</v>
      </c>
      <c r="E72" s="8">
        <f t="shared" si="12"/>
        <v>2.734</v>
      </c>
    </row>
    <row r="73" spans="1:23" x14ac:dyDescent="0.3">
      <c r="B73" s="4" t="s">
        <v>35</v>
      </c>
      <c r="C73" s="4">
        <v>4</v>
      </c>
      <c r="D73" s="4">
        <v>1.89</v>
      </c>
      <c r="E73" s="8">
        <f t="shared" si="12"/>
        <v>7.56</v>
      </c>
      <c r="I73" s="4" t="s">
        <v>28</v>
      </c>
      <c r="J73" s="4" t="s">
        <v>29</v>
      </c>
      <c r="K73" s="4" t="s">
        <v>30</v>
      </c>
    </row>
    <row r="74" spans="1:23" x14ac:dyDescent="0.3">
      <c r="B74" s="4" t="s">
        <v>36</v>
      </c>
      <c r="C74" s="4">
        <v>4</v>
      </c>
      <c r="D74" s="4">
        <v>0.24</v>
      </c>
      <c r="E74" s="8">
        <f t="shared" si="12"/>
        <v>0.96</v>
      </c>
      <c r="G74" t="s">
        <v>78</v>
      </c>
      <c r="H74" s="4" t="s">
        <v>32</v>
      </c>
      <c r="I74" s="4">
        <v>2.028</v>
      </c>
      <c r="J74" s="4">
        <v>31.41</v>
      </c>
      <c r="K74" s="8">
        <f t="shared" ref="K74:K81" si="13">I74*J74</f>
        <v>63.699480000000001</v>
      </c>
    </row>
    <row r="75" spans="1:23" x14ac:dyDescent="0.3">
      <c r="E75" s="9">
        <f>SUM(E69:E74)</f>
        <v>126.58651999999999</v>
      </c>
      <c r="G75" t="s">
        <v>52</v>
      </c>
      <c r="H75" s="4" t="s">
        <v>33</v>
      </c>
      <c r="I75" s="4">
        <v>6.52</v>
      </c>
      <c r="J75" s="4">
        <v>11.03</v>
      </c>
      <c r="K75" s="8">
        <f t="shared" si="13"/>
        <v>71.915599999999998</v>
      </c>
    </row>
    <row r="76" spans="1:23" x14ac:dyDescent="0.3">
      <c r="B76" s="4" t="s">
        <v>37</v>
      </c>
      <c r="C76">
        <v>20</v>
      </c>
      <c r="D76">
        <v>1.41</v>
      </c>
      <c r="E76" s="8">
        <f>C76*D76</f>
        <v>28.2</v>
      </c>
      <c r="G76" t="s">
        <v>57</v>
      </c>
      <c r="H76" s="4" t="s">
        <v>33</v>
      </c>
      <c r="I76" s="4">
        <v>6.7830000000000004</v>
      </c>
      <c r="J76" s="4">
        <v>11.03</v>
      </c>
      <c r="K76" s="8">
        <f t="shared" si="13"/>
        <v>74.816490000000002</v>
      </c>
    </row>
    <row r="77" spans="1:23" x14ac:dyDescent="0.3">
      <c r="E77" s="8">
        <f>SUM(E75:E76)</f>
        <v>154.78652</v>
      </c>
      <c r="H77" s="4" t="s">
        <v>97</v>
      </c>
      <c r="I77" s="4">
        <v>2</v>
      </c>
      <c r="J77" s="4">
        <v>1.54</v>
      </c>
      <c r="K77" s="8">
        <f t="shared" si="13"/>
        <v>3.08</v>
      </c>
    </row>
    <row r="78" spans="1:23" x14ac:dyDescent="0.3">
      <c r="H78" s="4" t="s">
        <v>99</v>
      </c>
      <c r="I78" s="10">
        <v>2</v>
      </c>
      <c r="J78" s="10">
        <v>3.84</v>
      </c>
      <c r="K78" s="11">
        <f t="shared" si="13"/>
        <v>7.68</v>
      </c>
    </row>
    <row r="79" spans="1:23" x14ac:dyDescent="0.3">
      <c r="C79" s="4" t="s">
        <v>28</v>
      </c>
      <c r="D79" s="4" t="s">
        <v>29</v>
      </c>
      <c r="E79" s="4" t="s">
        <v>30</v>
      </c>
      <c r="H79" s="4" t="s">
        <v>34</v>
      </c>
      <c r="I79" s="4">
        <v>0.2</v>
      </c>
      <c r="J79" s="4">
        <v>13.67</v>
      </c>
      <c r="K79" s="8">
        <f t="shared" si="13"/>
        <v>2.734</v>
      </c>
      <c r="O79" s="4" t="s">
        <v>28</v>
      </c>
      <c r="P79" s="4" t="s">
        <v>29</v>
      </c>
      <c r="Q79" s="4" t="s">
        <v>30</v>
      </c>
    </row>
    <row r="80" spans="1:23" x14ac:dyDescent="0.3">
      <c r="A80" t="s">
        <v>79</v>
      </c>
      <c r="B80" s="4" t="s">
        <v>32</v>
      </c>
      <c r="C80" s="4">
        <v>2.238</v>
      </c>
      <c r="D80" s="4">
        <v>19.89</v>
      </c>
      <c r="E80" s="8">
        <f t="shared" ref="E80:E85" si="14">C80*D80</f>
        <v>44.513820000000003</v>
      </c>
      <c r="H80" s="4" t="s">
        <v>35</v>
      </c>
      <c r="I80" s="4">
        <v>4</v>
      </c>
      <c r="J80" s="4">
        <v>1.89</v>
      </c>
      <c r="K80" s="8">
        <f t="shared" si="13"/>
        <v>7.56</v>
      </c>
      <c r="M80" t="s">
        <v>79</v>
      </c>
      <c r="N80" s="4" t="s">
        <v>32</v>
      </c>
      <c r="O80" s="4">
        <v>2.238</v>
      </c>
      <c r="P80" s="4">
        <v>19.89</v>
      </c>
      <c r="Q80" s="8">
        <f t="shared" ref="Q80:Q85" si="15">O80*P80</f>
        <v>44.513820000000003</v>
      </c>
    </row>
    <row r="81" spans="1:17" x14ac:dyDescent="0.3">
      <c r="A81" t="s">
        <v>52</v>
      </c>
      <c r="B81" s="4" t="s">
        <v>33</v>
      </c>
      <c r="C81" s="4">
        <v>7.4649999999999999</v>
      </c>
      <c r="D81" s="4">
        <v>11.03</v>
      </c>
      <c r="E81" s="8">
        <f t="shared" si="14"/>
        <v>82.338949999999997</v>
      </c>
      <c r="H81" s="4" t="s">
        <v>36</v>
      </c>
      <c r="I81" s="4">
        <v>4</v>
      </c>
      <c r="J81" s="4">
        <v>0.24</v>
      </c>
      <c r="K81" s="8">
        <f t="shared" si="13"/>
        <v>0.96</v>
      </c>
      <c r="M81" t="s">
        <v>52</v>
      </c>
      <c r="N81" s="4" t="s">
        <v>33</v>
      </c>
      <c r="O81" s="4">
        <v>7.4649999999999999</v>
      </c>
      <c r="P81" s="4">
        <v>11.03</v>
      </c>
      <c r="Q81" s="8">
        <f t="shared" si="15"/>
        <v>82.338949999999997</v>
      </c>
    </row>
    <row r="82" spans="1:17" x14ac:dyDescent="0.3">
      <c r="B82" s="4" t="s">
        <v>97</v>
      </c>
      <c r="C82" s="4">
        <v>2</v>
      </c>
      <c r="D82" s="4">
        <v>1.54</v>
      </c>
      <c r="E82" s="8">
        <f t="shared" si="14"/>
        <v>3.08</v>
      </c>
      <c r="K82" s="9">
        <f>SUM(K74:K81)</f>
        <v>232.44557000000006</v>
      </c>
      <c r="N82" s="4" t="s">
        <v>97</v>
      </c>
      <c r="O82" s="4">
        <v>2</v>
      </c>
      <c r="P82" s="4">
        <v>1.54</v>
      </c>
      <c r="Q82" s="8">
        <f t="shared" si="15"/>
        <v>3.08</v>
      </c>
    </row>
    <row r="83" spans="1:17" x14ac:dyDescent="0.3">
      <c r="B83" s="4" t="s">
        <v>34</v>
      </c>
      <c r="C83" s="4">
        <v>0.2</v>
      </c>
      <c r="D83" s="4">
        <v>13.67</v>
      </c>
      <c r="E83" s="8">
        <f t="shared" si="14"/>
        <v>2.734</v>
      </c>
      <c r="H83" s="4" t="s">
        <v>37</v>
      </c>
      <c r="I83">
        <v>25</v>
      </c>
      <c r="J83">
        <v>1.41</v>
      </c>
      <c r="K83" s="8">
        <f>I83*J83</f>
        <v>35.25</v>
      </c>
      <c r="N83" s="4" t="s">
        <v>34</v>
      </c>
      <c r="O83" s="4">
        <v>0.2</v>
      </c>
      <c r="P83" s="4">
        <v>13.67</v>
      </c>
      <c r="Q83" s="8">
        <f t="shared" si="15"/>
        <v>2.734</v>
      </c>
    </row>
    <row r="84" spans="1:17" x14ac:dyDescent="0.3">
      <c r="B84" s="4" t="s">
        <v>35</v>
      </c>
      <c r="C84" s="4">
        <v>4</v>
      </c>
      <c r="D84" s="4">
        <v>1.89</v>
      </c>
      <c r="E84" s="8">
        <f t="shared" si="14"/>
        <v>7.56</v>
      </c>
      <c r="K84" s="8">
        <f>SUM(K82:K83)</f>
        <v>267.69557000000009</v>
      </c>
      <c r="N84" s="4" t="s">
        <v>35</v>
      </c>
      <c r="O84" s="4">
        <v>4</v>
      </c>
      <c r="P84" s="4">
        <v>1.89</v>
      </c>
      <c r="Q84" s="8">
        <f t="shared" si="15"/>
        <v>7.56</v>
      </c>
    </row>
    <row r="85" spans="1:17" x14ac:dyDescent="0.3">
      <c r="B85" s="4" t="s">
        <v>36</v>
      </c>
      <c r="C85" s="4">
        <v>4</v>
      </c>
      <c r="D85" s="4">
        <v>0.24</v>
      </c>
      <c r="E85" s="8">
        <f t="shared" si="14"/>
        <v>0.96</v>
      </c>
      <c r="N85" s="4" t="s">
        <v>36</v>
      </c>
      <c r="O85" s="4">
        <v>4</v>
      </c>
      <c r="P85" s="4">
        <v>0.24</v>
      </c>
      <c r="Q85" s="8">
        <f t="shared" si="15"/>
        <v>0.96</v>
      </c>
    </row>
    <row r="86" spans="1:17" x14ac:dyDescent="0.3">
      <c r="E86" s="9">
        <f>SUM(E80:E85)</f>
        <v>141.18677000000002</v>
      </c>
      <c r="Q86" s="9">
        <f>SUM(Q80:Q85)</f>
        <v>141.18677000000002</v>
      </c>
    </row>
    <row r="87" spans="1:17" x14ac:dyDescent="0.3">
      <c r="B87" s="4" t="s">
        <v>37</v>
      </c>
      <c r="C87">
        <v>25</v>
      </c>
      <c r="D87">
        <v>1.41</v>
      </c>
      <c r="E87" s="8">
        <f>C87*D87</f>
        <v>35.25</v>
      </c>
      <c r="I87" s="4" t="s">
        <v>28</v>
      </c>
      <c r="J87" s="4" t="s">
        <v>29</v>
      </c>
      <c r="K87" s="4" t="s">
        <v>30</v>
      </c>
      <c r="N87" s="4" t="s">
        <v>37</v>
      </c>
      <c r="O87">
        <v>25</v>
      </c>
      <c r="P87">
        <v>1.41</v>
      </c>
      <c r="Q87" s="8">
        <f>O87*P87</f>
        <v>35.25</v>
      </c>
    </row>
    <row r="88" spans="1:17" x14ac:dyDescent="0.3">
      <c r="E88" s="8">
        <f>SUM(E86:E87)</f>
        <v>176.43677000000002</v>
      </c>
      <c r="G88" t="s">
        <v>79</v>
      </c>
      <c r="H88" s="4" t="s">
        <v>32</v>
      </c>
      <c r="I88" s="4">
        <v>2.238</v>
      </c>
      <c r="J88" s="4">
        <v>31.41</v>
      </c>
      <c r="K88" s="8">
        <f t="shared" ref="K88:K95" si="16">I88*J88</f>
        <v>70.295580000000001</v>
      </c>
      <c r="Q88" s="8">
        <f>SUM(Q86:Q87)</f>
        <v>176.43677000000002</v>
      </c>
    </row>
    <row r="89" spans="1:17" x14ac:dyDescent="0.3">
      <c r="G89" t="s">
        <v>52</v>
      </c>
      <c r="H89" s="4" t="s">
        <v>33</v>
      </c>
      <c r="I89" s="4">
        <v>7.4649999999999999</v>
      </c>
      <c r="J89" s="4">
        <v>11.03</v>
      </c>
      <c r="K89" s="8">
        <f t="shared" si="16"/>
        <v>82.338949999999997</v>
      </c>
    </row>
    <row r="90" spans="1:17" x14ac:dyDescent="0.3">
      <c r="C90" s="4" t="s">
        <v>28</v>
      </c>
      <c r="D90" s="4" t="s">
        <v>29</v>
      </c>
      <c r="E90" s="4" t="s">
        <v>30</v>
      </c>
      <c r="G90" t="s">
        <v>58</v>
      </c>
      <c r="H90" s="4" t="s">
        <v>33</v>
      </c>
      <c r="I90" s="4">
        <v>7.78</v>
      </c>
      <c r="J90" s="4">
        <v>11.03</v>
      </c>
      <c r="K90" s="8">
        <f t="shared" si="16"/>
        <v>85.813400000000001</v>
      </c>
    </row>
    <row r="91" spans="1:17" x14ac:dyDescent="0.3">
      <c r="A91" t="s">
        <v>80</v>
      </c>
      <c r="B91" s="4" t="s">
        <v>32</v>
      </c>
      <c r="C91" s="4">
        <v>2.448</v>
      </c>
      <c r="D91" s="4">
        <v>19.89</v>
      </c>
      <c r="E91" s="8">
        <f t="shared" ref="E91:E96" si="17">C91*D91</f>
        <v>48.690719999999999</v>
      </c>
      <c r="H91" s="4" t="s">
        <v>97</v>
      </c>
      <c r="I91" s="4">
        <v>2</v>
      </c>
      <c r="J91" s="4">
        <v>1.54</v>
      </c>
      <c r="K91" s="8">
        <f t="shared" si="16"/>
        <v>3.08</v>
      </c>
    </row>
    <row r="92" spans="1:17" x14ac:dyDescent="0.3">
      <c r="A92" t="s">
        <v>52</v>
      </c>
      <c r="B92" s="4" t="s">
        <v>33</v>
      </c>
      <c r="C92" s="4">
        <v>8.41</v>
      </c>
      <c r="D92" s="4">
        <v>11.03</v>
      </c>
      <c r="E92" s="8">
        <f t="shared" si="17"/>
        <v>92.762299999999996</v>
      </c>
      <c r="H92" s="4" t="s">
        <v>92</v>
      </c>
      <c r="I92" s="10">
        <v>4</v>
      </c>
      <c r="J92" s="10">
        <v>1.98</v>
      </c>
      <c r="K92" s="11">
        <f t="shared" si="16"/>
        <v>7.92</v>
      </c>
    </row>
    <row r="93" spans="1:17" x14ac:dyDescent="0.3">
      <c r="B93" s="4" t="s">
        <v>97</v>
      </c>
      <c r="C93" s="4">
        <v>2</v>
      </c>
      <c r="D93" s="4">
        <v>1.54</v>
      </c>
      <c r="E93" s="8">
        <f t="shared" si="17"/>
        <v>3.08</v>
      </c>
      <c r="H93" s="4" t="s">
        <v>34</v>
      </c>
      <c r="I93" s="4">
        <v>0.2</v>
      </c>
      <c r="J93" s="4">
        <v>13.67</v>
      </c>
      <c r="K93" s="8">
        <f t="shared" si="16"/>
        <v>2.734</v>
      </c>
    </row>
    <row r="94" spans="1:17" x14ac:dyDescent="0.3">
      <c r="B94" s="4" t="s">
        <v>34</v>
      </c>
      <c r="C94" s="4">
        <v>0.2</v>
      </c>
      <c r="D94" s="4">
        <v>13.67</v>
      </c>
      <c r="E94" s="8">
        <f t="shared" si="17"/>
        <v>2.734</v>
      </c>
      <c r="H94" s="4" t="s">
        <v>35</v>
      </c>
      <c r="I94" s="4">
        <v>4</v>
      </c>
      <c r="J94" s="4">
        <v>1.89</v>
      </c>
      <c r="K94" s="8">
        <f t="shared" si="16"/>
        <v>7.56</v>
      </c>
    </row>
    <row r="95" spans="1:17" x14ac:dyDescent="0.3">
      <c r="B95" s="4" t="s">
        <v>35</v>
      </c>
      <c r="C95" s="4">
        <v>4</v>
      </c>
      <c r="D95" s="4">
        <v>1.89</v>
      </c>
      <c r="E95" s="8">
        <f t="shared" si="17"/>
        <v>7.56</v>
      </c>
      <c r="H95" s="4" t="s">
        <v>36</v>
      </c>
      <c r="I95" s="4">
        <v>4</v>
      </c>
      <c r="J95" s="4">
        <v>0.24</v>
      </c>
      <c r="K95" s="8">
        <f t="shared" si="16"/>
        <v>0.96</v>
      </c>
    </row>
    <row r="96" spans="1:17" x14ac:dyDescent="0.3">
      <c r="B96" s="4" t="s">
        <v>36</v>
      </c>
      <c r="C96" s="4">
        <v>4</v>
      </c>
      <c r="D96" s="4">
        <v>0.24</v>
      </c>
      <c r="E96" s="8">
        <f t="shared" si="17"/>
        <v>0.96</v>
      </c>
      <c r="K96" s="9">
        <f>SUM(K88:K95)</f>
        <v>260.70192999999995</v>
      </c>
    </row>
    <row r="97" spans="1:11" x14ac:dyDescent="0.3">
      <c r="E97" s="9">
        <f>SUM(E91:E96)</f>
        <v>155.78702000000001</v>
      </c>
      <c r="H97" s="4" t="s">
        <v>37</v>
      </c>
      <c r="I97">
        <v>30</v>
      </c>
      <c r="J97">
        <v>1.41</v>
      </c>
      <c r="K97" s="8">
        <f>I97*J97</f>
        <v>42.3</v>
      </c>
    </row>
    <row r="98" spans="1:11" x14ac:dyDescent="0.3">
      <c r="B98" s="4" t="s">
        <v>37</v>
      </c>
      <c r="C98">
        <v>30</v>
      </c>
      <c r="D98">
        <v>1.41</v>
      </c>
      <c r="E98" s="8">
        <f>C98*D98</f>
        <v>42.3</v>
      </c>
      <c r="K98" s="8">
        <f>SUM(K96:K97)</f>
        <v>303.00192999999996</v>
      </c>
    </row>
    <row r="99" spans="1:11" x14ac:dyDescent="0.3">
      <c r="E99" s="8">
        <f>SUM(E97:E98)</f>
        <v>198.08702</v>
      </c>
    </row>
    <row r="100" spans="1:11" x14ac:dyDescent="0.3">
      <c r="I100" s="4" t="s">
        <v>28</v>
      </c>
      <c r="J100" s="4" t="s">
        <v>29</v>
      </c>
      <c r="K100" s="4" t="s">
        <v>30</v>
      </c>
    </row>
    <row r="101" spans="1:11" x14ac:dyDescent="0.3">
      <c r="C101" s="4" t="s">
        <v>28</v>
      </c>
      <c r="D101" s="4" t="s">
        <v>29</v>
      </c>
      <c r="E101" s="4" t="s">
        <v>30</v>
      </c>
      <c r="G101" t="s">
        <v>80</v>
      </c>
      <c r="H101" s="4" t="s">
        <v>32</v>
      </c>
      <c r="I101" s="4">
        <v>2.448</v>
      </c>
      <c r="J101" s="4">
        <v>31.41</v>
      </c>
      <c r="K101" s="8">
        <f t="shared" ref="K101:K108" si="18">I101*J101</f>
        <v>76.891679999999994</v>
      </c>
    </row>
    <row r="102" spans="1:11" x14ac:dyDescent="0.3">
      <c r="A102" t="s">
        <v>81</v>
      </c>
      <c r="B102" s="4" t="s">
        <v>32</v>
      </c>
      <c r="C102" s="4">
        <v>2.6579999999999999</v>
      </c>
      <c r="D102" s="4">
        <v>19.89</v>
      </c>
      <c r="E102" s="8">
        <f t="shared" ref="E102:E107" si="19">C102*D102</f>
        <v>52.867620000000002</v>
      </c>
      <c r="G102" t="s">
        <v>52</v>
      </c>
      <c r="H102" s="4" t="s">
        <v>33</v>
      </c>
      <c r="I102" s="4">
        <v>8.41</v>
      </c>
      <c r="J102" s="4">
        <v>11.03</v>
      </c>
      <c r="K102" s="8">
        <f t="shared" si="18"/>
        <v>92.762299999999996</v>
      </c>
    </row>
    <row r="103" spans="1:11" x14ac:dyDescent="0.3">
      <c r="A103" t="s">
        <v>52</v>
      </c>
      <c r="B103" s="4" t="s">
        <v>33</v>
      </c>
      <c r="C103" s="4">
        <v>9.3550000000000004</v>
      </c>
      <c r="D103" s="4">
        <v>11.03</v>
      </c>
      <c r="E103" s="8">
        <f t="shared" si="19"/>
        <v>103.18565</v>
      </c>
      <c r="G103" t="s">
        <v>59</v>
      </c>
      <c r="H103" s="4" t="s">
        <v>33</v>
      </c>
      <c r="I103" s="4">
        <v>8.7780000000000005</v>
      </c>
      <c r="J103" s="4">
        <v>11.03</v>
      </c>
      <c r="K103" s="8">
        <f t="shared" si="18"/>
        <v>96.821340000000006</v>
      </c>
    </row>
    <row r="104" spans="1:11" x14ac:dyDescent="0.3">
      <c r="B104" s="4" t="s">
        <v>97</v>
      </c>
      <c r="C104" s="4">
        <v>2</v>
      </c>
      <c r="D104" s="4">
        <v>1.54</v>
      </c>
      <c r="E104" s="8">
        <f t="shared" si="19"/>
        <v>3.08</v>
      </c>
      <c r="H104" s="4" t="s">
        <v>97</v>
      </c>
      <c r="I104" s="4">
        <v>2</v>
      </c>
      <c r="J104" s="4">
        <v>1.54</v>
      </c>
      <c r="K104" s="8">
        <f t="shared" si="18"/>
        <v>3.08</v>
      </c>
    </row>
    <row r="105" spans="1:11" x14ac:dyDescent="0.3">
      <c r="B105" s="4" t="s">
        <v>34</v>
      </c>
      <c r="C105" s="4">
        <v>0.2</v>
      </c>
      <c r="D105" s="4">
        <v>13.67</v>
      </c>
      <c r="E105" s="8">
        <f t="shared" si="19"/>
        <v>2.734</v>
      </c>
      <c r="H105" s="4" t="s">
        <v>93</v>
      </c>
      <c r="I105" s="10">
        <v>2</v>
      </c>
      <c r="J105" s="10">
        <v>4.3</v>
      </c>
      <c r="K105" s="11">
        <f t="shared" si="18"/>
        <v>8.6</v>
      </c>
    </row>
    <row r="106" spans="1:11" x14ac:dyDescent="0.3">
      <c r="B106" s="4" t="s">
        <v>35</v>
      </c>
      <c r="C106" s="4">
        <v>4</v>
      </c>
      <c r="D106" s="4">
        <v>1.89</v>
      </c>
      <c r="E106" s="8">
        <f t="shared" si="19"/>
        <v>7.56</v>
      </c>
      <c r="H106" s="4" t="s">
        <v>34</v>
      </c>
      <c r="I106" s="4">
        <v>0.2</v>
      </c>
      <c r="J106" s="4">
        <v>13.67</v>
      </c>
      <c r="K106" s="8">
        <f t="shared" si="18"/>
        <v>2.734</v>
      </c>
    </row>
    <row r="107" spans="1:11" x14ac:dyDescent="0.3">
      <c r="B107" s="4" t="s">
        <v>36</v>
      </c>
      <c r="C107" s="4">
        <v>4</v>
      </c>
      <c r="D107" s="4">
        <v>0.24</v>
      </c>
      <c r="E107" s="8">
        <f t="shared" si="19"/>
        <v>0.96</v>
      </c>
      <c r="H107" s="4" t="s">
        <v>35</v>
      </c>
      <c r="I107" s="4">
        <v>4</v>
      </c>
      <c r="J107" s="4">
        <v>1.89</v>
      </c>
      <c r="K107" s="8">
        <f t="shared" si="18"/>
        <v>7.56</v>
      </c>
    </row>
    <row r="108" spans="1:11" x14ac:dyDescent="0.3">
      <c r="E108" s="9">
        <f>SUM(E102:E107)</f>
        <v>170.38727000000003</v>
      </c>
      <c r="H108" s="4" t="s">
        <v>36</v>
      </c>
      <c r="I108" s="4">
        <v>4</v>
      </c>
      <c r="J108" s="4">
        <v>0.24</v>
      </c>
      <c r="K108" s="8">
        <f t="shared" si="18"/>
        <v>0.96</v>
      </c>
    </row>
    <row r="109" spans="1:11" x14ac:dyDescent="0.3">
      <c r="B109" s="4" t="s">
        <v>37</v>
      </c>
      <c r="C109">
        <v>30</v>
      </c>
      <c r="D109">
        <v>1.41</v>
      </c>
      <c r="E109" s="8">
        <f>C109*D109</f>
        <v>42.3</v>
      </c>
      <c r="K109" s="9">
        <f>SUM(K101:K108)</f>
        <v>289.40931999999998</v>
      </c>
    </row>
    <row r="110" spans="1:11" x14ac:dyDescent="0.3">
      <c r="E110" s="8">
        <f>SUM(E108:E109)</f>
        <v>212.68727000000001</v>
      </c>
      <c r="H110" s="4" t="s">
        <v>37</v>
      </c>
      <c r="I110">
        <v>30</v>
      </c>
      <c r="J110">
        <v>1.41</v>
      </c>
      <c r="K110" s="8">
        <f>I110*J110</f>
        <v>42.3</v>
      </c>
    </row>
    <row r="111" spans="1:11" x14ac:dyDescent="0.3">
      <c r="K111" s="8">
        <f>SUM(K109:K110)</f>
        <v>331.70931999999999</v>
      </c>
    </row>
    <row r="112" spans="1:11" x14ac:dyDescent="0.3">
      <c r="C112" s="4" t="s">
        <v>28</v>
      </c>
      <c r="D112" s="4" t="s">
        <v>29</v>
      </c>
      <c r="E112" s="4" t="s">
        <v>30</v>
      </c>
    </row>
    <row r="113" spans="1:11" x14ac:dyDescent="0.3">
      <c r="A113" t="s">
        <v>82</v>
      </c>
      <c r="B113" s="4" t="s">
        <v>32</v>
      </c>
      <c r="C113" s="4">
        <v>3.0779999999999998</v>
      </c>
      <c r="D113" s="4">
        <v>19.89</v>
      </c>
      <c r="E113" s="8">
        <f t="shared" ref="E113:E118" si="20">C113*D113</f>
        <v>61.221420000000002</v>
      </c>
      <c r="I113" s="4" t="s">
        <v>28</v>
      </c>
      <c r="J113" s="4" t="s">
        <v>29</v>
      </c>
      <c r="K113" s="4" t="s">
        <v>30</v>
      </c>
    </row>
    <row r="114" spans="1:11" x14ac:dyDescent="0.3">
      <c r="A114" t="s">
        <v>52</v>
      </c>
      <c r="B114" s="4" t="s">
        <v>33</v>
      </c>
      <c r="C114" s="4">
        <v>11.244999999999999</v>
      </c>
      <c r="D114" s="4">
        <v>11.03</v>
      </c>
      <c r="E114" s="8">
        <f t="shared" si="20"/>
        <v>124.03234999999998</v>
      </c>
      <c r="G114" t="s">
        <v>81</v>
      </c>
      <c r="H114" s="4" t="s">
        <v>32</v>
      </c>
      <c r="I114" s="4">
        <v>2.6579999999999999</v>
      </c>
      <c r="J114" s="4">
        <v>31.41</v>
      </c>
      <c r="K114" s="8">
        <f t="shared" ref="K114:K121" si="21">I114*J114</f>
        <v>83.487780000000001</v>
      </c>
    </row>
    <row r="115" spans="1:11" x14ac:dyDescent="0.3">
      <c r="B115" s="4" t="s">
        <v>97</v>
      </c>
      <c r="C115" s="4">
        <v>2</v>
      </c>
      <c r="D115" s="4">
        <v>1.54</v>
      </c>
      <c r="E115" s="8">
        <f t="shared" si="20"/>
        <v>3.08</v>
      </c>
      <c r="G115" t="s">
        <v>52</v>
      </c>
      <c r="H115" s="4" t="s">
        <v>33</v>
      </c>
      <c r="I115" s="4">
        <v>9.3550000000000004</v>
      </c>
      <c r="J115" s="4">
        <v>11.03</v>
      </c>
      <c r="K115" s="8">
        <f t="shared" si="21"/>
        <v>103.18565</v>
      </c>
    </row>
    <row r="116" spans="1:11" x14ac:dyDescent="0.3">
      <c r="B116" s="4" t="s">
        <v>34</v>
      </c>
      <c r="C116" s="4">
        <v>0.2</v>
      </c>
      <c r="D116" s="4">
        <v>13.67</v>
      </c>
      <c r="E116" s="8">
        <f t="shared" si="20"/>
        <v>2.734</v>
      </c>
      <c r="G116" t="s">
        <v>60</v>
      </c>
      <c r="H116" s="4" t="s">
        <v>33</v>
      </c>
      <c r="I116" s="4">
        <v>9.7750000000000004</v>
      </c>
      <c r="J116" s="4">
        <v>11.03</v>
      </c>
      <c r="K116" s="8">
        <f t="shared" si="21"/>
        <v>107.81824999999999</v>
      </c>
    </row>
    <row r="117" spans="1:11" x14ac:dyDescent="0.3">
      <c r="B117" s="4" t="s">
        <v>35</v>
      </c>
      <c r="C117" s="4">
        <v>4</v>
      </c>
      <c r="D117" s="4">
        <v>1.89</v>
      </c>
      <c r="E117" s="8">
        <f t="shared" si="20"/>
        <v>7.56</v>
      </c>
      <c r="H117" s="4" t="s">
        <v>97</v>
      </c>
      <c r="I117" s="4">
        <v>2</v>
      </c>
      <c r="J117" s="4">
        <v>1.54</v>
      </c>
      <c r="K117" s="8">
        <f t="shared" si="21"/>
        <v>3.08</v>
      </c>
    </row>
    <row r="118" spans="1:11" x14ac:dyDescent="0.3">
      <c r="B118" s="4" t="s">
        <v>36</v>
      </c>
      <c r="C118" s="4">
        <v>4</v>
      </c>
      <c r="D118" s="4">
        <v>0.24</v>
      </c>
      <c r="E118" s="8">
        <f t="shared" si="20"/>
        <v>0.96</v>
      </c>
      <c r="H118" s="4" t="s">
        <v>100</v>
      </c>
      <c r="I118" s="4">
        <v>2</v>
      </c>
      <c r="J118" s="4">
        <v>2.2400000000000002</v>
      </c>
      <c r="K118" s="4">
        <f t="shared" si="21"/>
        <v>4.4800000000000004</v>
      </c>
    </row>
    <row r="119" spans="1:11" x14ac:dyDescent="0.3">
      <c r="E119" s="9">
        <f>SUM(E113:E118)</f>
        <v>199.58777000000001</v>
      </c>
      <c r="H119" s="4" t="s">
        <v>34</v>
      </c>
      <c r="I119" s="4">
        <v>0.2</v>
      </c>
      <c r="J119" s="4">
        <v>13.67</v>
      </c>
      <c r="K119" s="8">
        <f t="shared" si="21"/>
        <v>2.734</v>
      </c>
    </row>
    <row r="120" spans="1:11" x14ac:dyDescent="0.3">
      <c r="B120" s="4" t="s">
        <v>37</v>
      </c>
      <c r="C120">
        <v>30</v>
      </c>
      <c r="D120">
        <v>1.41</v>
      </c>
      <c r="E120" s="8">
        <f>C120*D120</f>
        <v>42.3</v>
      </c>
      <c r="H120" s="4" t="s">
        <v>35</v>
      </c>
      <c r="I120" s="4">
        <v>4</v>
      </c>
      <c r="J120" s="4">
        <v>1.89</v>
      </c>
      <c r="K120" s="8">
        <f t="shared" si="21"/>
        <v>7.56</v>
      </c>
    </row>
    <row r="121" spans="1:11" x14ac:dyDescent="0.3">
      <c r="E121" s="8">
        <f>SUM(E119:E120)</f>
        <v>241.88776999999999</v>
      </c>
      <c r="H121" s="4" t="s">
        <v>36</v>
      </c>
      <c r="I121" s="4">
        <v>4</v>
      </c>
      <c r="J121" s="4">
        <v>0.24</v>
      </c>
      <c r="K121" s="8">
        <f t="shared" si="21"/>
        <v>0.96</v>
      </c>
    </row>
    <row r="122" spans="1:11" x14ac:dyDescent="0.3">
      <c r="K122" s="9">
        <f>SUM(K114:K121)</f>
        <v>313.30567999999994</v>
      </c>
    </row>
    <row r="123" spans="1:11" x14ac:dyDescent="0.3">
      <c r="H123" s="4" t="s">
        <v>37</v>
      </c>
      <c r="I123">
        <v>40</v>
      </c>
      <c r="J123">
        <v>1.41</v>
      </c>
      <c r="K123" s="8">
        <f>I123*J123</f>
        <v>56.4</v>
      </c>
    </row>
    <row r="124" spans="1:11" x14ac:dyDescent="0.3">
      <c r="C124" s="4" t="s">
        <v>28</v>
      </c>
      <c r="D124" s="4" t="s">
        <v>29</v>
      </c>
      <c r="E124" s="4" t="s">
        <v>30</v>
      </c>
      <c r="K124" s="8">
        <f>SUM(K122:K123)</f>
        <v>369.70567999999992</v>
      </c>
    </row>
    <row r="125" spans="1:11" x14ac:dyDescent="0.3">
      <c r="A125" t="s">
        <v>419</v>
      </c>
      <c r="B125" s="4" t="s">
        <v>32</v>
      </c>
      <c r="C125" s="4">
        <v>3.8860000000000001</v>
      </c>
      <c r="D125" s="4">
        <v>19.89</v>
      </c>
      <c r="E125" s="8">
        <f t="shared" ref="E125:E130" si="22">C125*D125</f>
        <v>77.292540000000002</v>
      </c>
    </row>
    <row r="126" spans="1:11" x14ac:dyDescent="0.3">
      <c r="A126" t="s">
        <v>52</v>
      </c>
      <c r="B126" s="4" t="s">
        <v>33</v>
      </c>
      <c r="C126" s="4">
        <v>14.750999999999999</v>
      </c>
      <c r="D126" s="4">
        <v>11.03</v>
      </c>
      <c r="E126" s="8">
        <f t="shared" si="22"/>
        <v>162.70352999999997</v>
      </c>
    </row>
    <row r="127" spans="1:11" x14ac:dyDescent="0.3">
      <c r="B127" s="4" t="s">
        <v>97</v>
      </c>
      <c r="C127" s="4">
        <v>2</v>
      </c>
      <c r="D127" s="4">
        <v>1.54</v>
      </c>
      <c r="E127" s="8">
        <f t="shared" si="22"/>
        <v>3.08</v>
      </c>
      <c r="I127" s="4" t="s">
        <v>28</v>
      </c>
      <c r="J127" s="4" t="s">
        <v>29</v>
      </c>
      <c r="K127" s="4" t="s">
        <v>30</v>
      </c>
    </row>
    <row r="128" spans="1:11" x14ac:dyDescent="0.3">
      <c r="B128" s="4" t="s">
        <v>34</v>
      </c>
      <c r="C128" s="4">
        <v>0.2</v>
      </c>
      <c r="D128" s="4">
        <v>13.67</v>
      </c>
      <c r="E128" s="8">
        <f t="shared" si="22"/>
        <v>2.734</v>
      </c>
      <c r="G128" t="s">
        <v>82</v>
      </c>
      <c r="H128" s="4" t="s">
        <v>32</v>
      </c>
      <c r="I128" s="4">
        <v>3.0779999999999998</v>
      </c>
      <c r="J128" s="4">
        <v>31.41</v>
      </c>
      <c r="K128" s="8">
        <f t="shared" ref="K128:K135" si="23">I128*J128</f>
        <v>96.67998</v>
      </c>
    </row>
    <row r="129" spans="2:11" x14ac:dyDescent="0.3">
      <c r="B129" s="4" t="s">
        <v>35</v>
      </c>
      <c r="C129" s="4">
        <v>4</v>
      </c>
      <c r="D129" s="4">
        <v>1.89</v>
      </c>
      <c r="E129" s="8">
        <f t="shared" si="22"/>
        <v>7.56</v>
      </c>
      <c r="G129" t="s">
        <v>52</v>
      </c>
      <c r="H129" s="4" t="s">
        <v>33</v>
      </c>
      <c r="I129" s="4">
        <v>11.244999999999999</v>
      </c>
      <c r="J129" s="4">
        <v>11.03</v>
      </c>
      <c r="K129" s="8">
        <f t="shared" si="23"/>
        <v>124.03234999999998</v>
      </c>
    </row>
    <row r="130" spans="2:11" x14ac:dyDescent="0.3">
      <c r="B130" s="4" t="s">
        <v>36</v>
      </c>
      <c r="C130" s="4">
        <v>4</v>
      </c>
      <c r="D130" s="4">
        <v>0.24</v>
      </c>
      <c r="E130" s="8">
        <f t="shared" si="22"/>
        <v>0.96</v>
      </c>
      <c r="G130" t="s">
        <v>61</v>
      </c>
      <c r="H130" s="4" t="s">
        <v>33</v>
      </c>
      <c r="I130" s="4">
        <v>11.77</v>
      </c>
      <c r="J130" s="4">
        <v>11.03</v>
      </c>
      <c r="K130" s="8">
        <f t="shared" si="23"/>
        <v>129.82309999999998</v>
      </c>
    </row>
    <row r="131" spans="2:11" x14ac:dyDescent="0.3">
      <c r="E131" s="9">
        <f>SUM(E125:E130)</f>
        <v>254.33007000000001</v>
      </c>
      <c r="H131" s="4" t="s">
        <v>97</v>
      </c>
      <c r="I131" s="4">
        <v>2</v>
      </c>
      <c r="J131" s="4">
        <v>1.54</v>
      </c>
      <c r="K131" s="8">
        <f t="shared" si="23"/>
        <v>3.08</v>
      </c>
    </row>
    <row r="132" spans="2:11" x14ac:dyDescent="0.3">
      <c r="B132" s="4" t="s">
        <v>37</v>
      </c>
      <c r="C132">
        <v>63.9</v>
      </c>
      <c r="E132" s="8">
        <v>63.9</v>
      </c>
      <c r="H132" s="4" t="s">
        <v>101</v>
      </c>
      <c r="I132" s="4">
        <v>6</v>
      </c>
      <c r="J132" s="4">
        <v>1.86</v>
      </c>
      <c r="K132" s="4">
        <f t="shared" si="23"/>
        <v>11.16</v>
      </c>
    </row>
    <row r="133" spans="2:11" x14ac:dyDescent="0.3">
      <c r="E133" s="8">
        <f>SUM(E131:E132)</f>
        <v>318.23007000000001</v>
      </c>
      <c r="H133" s="4" t="s">
        <v>34</v>
      </c>
      <c r="I133" s="4">
        <v>0.4</v>
      </c>
      <c r="J133" s="4">
        <v>13.67</v>
      </c>
      <c r="K133" s="8">
        <f t="shared" si="23"/>
        <v>5.468</v>
      </c>
    </row>
    <row r="134" spans="2:11" x14ac:dyDescent="0.3">
      <c r="H134" s="4" t="s">
        <v>35</v>
      </c>
      <c r="I134" s="4">
        <v>4</v>
      </c>
      <c r="J134" s="4">
        <v>1.89</v>
      </c>
      <c r="K134" s="8">
        <f t="shared" si="23"/>
        <v>7.56</v>
      </c>
    </row>
    <row r="135" spans="2:11" x14ac:dyDescent="0.3">
      <c r="H135" s="4" t="s">
        <v>36</v>
      </c>
      <c r="I135" s="4">
        <v>4</v>
      </c>
      <c r="J135" s="4">
        <v>0.24</v>
      </c>
      <c r="K135" s="8">
        <f t="shared" si="23"/>
        <v>0.96</v>
      </c>
    </row>
    <row r="136" spans="2:11" x14ac:dyDescent="0.3">
      <c r="K136" s="9">
        <f>SUM(K128:K135)</f>
        <v>378.76342999999997</v>
      </c>
    </row>
    <row r="137" spans="2:11" x14ac:dyDescent="0.3">
      <c r="H137" s="4" t="s">
        <v>37</v>
      </c>
      <c r="I137">
        <v>40</v>
      </c>
      <c r="J137">
        <v>1.41</v>
      </c>
      <c r="K137" s="8">
        <f>I137*J137</f>
        <v>56.4</v>
      </c>
    </row>
    <row r="138" spans="2:11" x14ac:dyDescent="0.3">
      <c r="K138" s="8">
        <f>SUM(K136:K137)</f>
        <v>435.16342999999995</v>
      </c>
    </row>
  </sheetData>
  <pageMargins left="0" right="0" top="0.15748031496062992" bottom="0.15748031496062992" header="0.31496062992125984" footer="0.31496062992125984"/>
  <pageSetup paperSize="9" scale="85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K137"/>
  <sheetViews>
    <sheetView topLeftCell="A79" workbookViewId="0">
      <selection activeCell="E110" sqref="E110"/>
    </sheetView>
  </sheetViews>
  <sheetFormatPr baseColWidth="10" defaultRowHeight="14.4" x14ac:dyDescent="0.3"/>
  <cols>
    <col min="3" max="3" width="10.44140625" customWidth="1"/>
    <col min="4" max="4" width="10" customWidth="1"/>
    <col min="6" max="6" width="3.88671875" customWidth="1"/>
    <col min="8" max="8" width="10.109375" customWidth="1"/>
    <col min="9" max="9" width="10" customWidth="1"/>
    <col min="10" max="10" width="9" customWidth="1"/>
    <col min="11" max="11" width="10.44140625" customWidth="1"/>
  </cols>
  <sheetData>
    <row r="1" spans="1:11" ht="18" x14ac:dyDescent="0.35">
      <c r="A1" s="5" t="s">
        <v>129</v>
      </c>
    </row>
    <row r="3" spans="1:11" x14ac:dyDescent="0.3">
      <c r="A3" t="s">
        <v>135</v>
      </c>
    </row>
    <row r="4" spans="1:11" x14ac:dyDescent="0.3">
      <c r="C4" s="4" t="s">
        <v>28</v>
      </c>
      <c r="D4" s="4" t="s">
        <v>29</v>
      </c>
      <c r="E4" s="4" t="s">
        <v>30</v>
      </c>
      <c r="G4" t="s">
        <v>271</v>
      </c>
    </row>
    <row r="5" spans="1:11" x14ac:dyDescent="0.3">
      <c r="A5" t="s">
        <v>102</v>
      </c>
      <c r="B5" s="4" t="s">
        <v>32</v>
      </c>
      <c r="C5" s="4">
        <v>1.3979999999999999</v>
      </c>
      <c r="D5" s="4">
        <v>19.89</v>
      </c>
      <c r="E5" s="8">
        <f t="shared" ref="E5:E10" si="0">C5*D5</f>
        <v>27.80622</v>
      </c>
      <c r="I5" s="4" t="s">
        <v>28</v>
      </c>
      <c r="J5" s="4" t="s">
        <v>29</v>
      </c>
      <c r="K5" s="4" t="s">
        <v>30</v>
      </c>
    </row>
    <row r="6" spans="1:11" x14ac:dyDescent="0.3">
      <c r="A6" t="s">
        <v>53</v>
      </c>
      <c r="B6" s="4" t="s">
        <v>33</v>
      </c>
      <c r="C6" s="4">
        <v>4.2629999999999999</v>
      </c>
      <c r="D6" s="4">
        <v>11.03</v>
      </c>
      <c r="E6" s="8">
        <f t="shared" si="0"/>
        <v>47.020889999999994</v>
      </c>
      <c r="G6" t="s">
        <v>102</v>
      </c>
      <c r="H6" s="4" t="s">
        <v>32</v>
      </c>
      <c r="I6" s="4">
        <v>1.3979999999999999</v>
      </c>
      <c r="J6" s="4">
        <v>31.41</v>
      </c>
      <c r="K6" s="8">
        <f t="shared" ref="K6:K13" si="1">I6*J6</f>
        <v>43.911179999999995</v>
      </c>
    </row>
    <row r="7" spans="1:11" x14ac:dyDescent="0.3">
      <c r="B7" s="4" t="s">
        <v>86</v>
      </c>
      <c r="C7" s="4">
        <v>2</v>
      </c>
      <c r="D7" s="4">
        <v>1.86</v>
      </c>
      <c r="E7" s="8">
        <f t="shared" si="0"/>
        <v>3.72</v>
      </c>
      <c r="G7" t="s">
        <v>111</v>
      </c>
      <c r="H7" s="4" t="s">
        <v>33</v>
      </c>
      <c r="I7" s="4">
        <v>4.2629999999999999</v>
      </c>
      <c r="J7" s="4">
        <v>11.03</v>
      </c>
      <c r="K7" s="8">
        <f t="shared" si="1"/>
        <v>47.020889999999994</v>
      </c>
    </row>
    <row r="8" spans="1:11" x14ac:dyDescent="0.3">
      <c r="B8" s="4" t="s">
        <v>34</v>
      </c>
      <c r="C8" s="4"/>
      <c r="D8" s="4"/>
      <c r="E8" s="8">
        <f t="shared" si="0"/>
        <v>0</v>
      </c>
      <c r="G8" t="s">
        <v>111</v>
      </c>
      <c r="H8" s="4" t="s">
        <v>33</v>
      </c>
      <c r="I8" s="4">
        <v>4.2629999999999999</v>
      </c>
      <c r="J8" s="4">
        <v>11.03</v>
      </c>
      <c r="K8" s="8">
        <f t="shared" si="1"/>
        <v>47.020889999999994</v>
      </c>
    </row>
    <row r="9" spans="1:11" x14ac:dyDescent="0.3">
      <c r="B9" s="4" t="s">
        <v>35</v>
      </c>
      <c r="C9" s="4">
        <v>4</v>
      </c>
      <c r="D9" s="4">
        <v>1.89</v>
      </c>
      <c r="E9" s="8">
        <f t="shared" si="0"/>
        <v>7.56</v>
      </c>
      <c r="H9" s="4" t="s">
        <v>86</v>
      </c>
      <c r="I9" s="4">
        <v>2</v>
      </c>
      <c r="J9" s="4">
        <v>1.86</v>
      </c>
      <c r="K9" s="8">
        <f t="shared" si="1"/>
        <v>3.72</v>
      </c>
    </row>
    <row r="10" spans="1:11" x14ac:dyDescent="0.3">
      <c r="B10" s="4" t="s">
        <v>36</v>
      </c>
      <c r="C10" s="4">
        <v>4</v>
      </c>
      <c r="D10" s="4">
        <v>0.24</v>
      </c>
      <c r="E10" s="8">
        <f t="shared" si="0"/>
        <v>0.96</v>
      </c>
      <c r="H10" s="4" t="s">
        <v>86</v>
      </c>
      <c r="I10" s="4">
        <v>2</v>
      </c>
      <c r="J10" s="4">
        <v>1.86</v>
      </c>
      <c r="K10" s="4">
        <f t="shared" si="1"/>
        <v>3.72</v>
      </c>
    </row>
    <row r="11" spans="1:11" x14ac:dyDescent="0.3">
      <c r="E11" s="8">
        <f>SUM(E5:E10)</f>
        <v>87.067109999999985</v>
      </c>
      <c r="H11" s="4" t="s">
        <v>34</v>
      </c>
      <c r="I11" s="4"/>
      <c r="J11" s="4"/>
      <c r="K11" s="8">
        <f t="shared" si="1"/>
        <v>0</v>
      </c>
    </row>
    <row r="12" spans="1:11" x14ac:dyDescent="0.3">
      <c r="B12" s="4" t="s">
        <v>37</v>
      </c>
      <c r="C12">
        <v>15</v>
      </c>
      <c r="D12">
        <v>1.41</v>
      </c>
      <c r="E12" s="8">
        <f>C12*D12</f>
        <v>21.15</v>
      </c>
      <c r="H12" s="4" t="s">
        <v>35</v>
      </c>
      <c r="I12" s="4">
        <v>4</v>
      </c>
      <c r="J12" s="4">
        <v>1.89</v>
      </c>
      <c r="K12" s="8">
        <f t="shared" si="1"/>
        <v>7.56</v>
      </c>
    </row>
    <row r="13" spans="1:11" x14ac:dyDescent="0.3">
      <c r="E13" s="8">
        <f>SUM(E11:E12)</f>
        <v>108.21710999999999</v>
      </c>
      <c r="H13" s="4" t="s">
        <v>36</v>
      </c>
      <c r="I13" s="4">
        <v>4</v>
      </c>
      <c r="J13" s="4">
        <v>0.24</v>
      </c>
      <c r="K13" s="8">
        <f t="shared" si="1"/>
        <v>0.96</v>
      </c>
    </row>
    <row r="14" spans="1:11" x14ac:dyDescent="0.3">
      <c r="K14" s="8">
        <f>SUM(K6:K13)</f>
        <v>153.91295999999997</v>
      </c>
    </row>
    <row r="15" spans="1:11" x14ac:dyDescent="0.3">
      <c r="H15" s="4" t="s">
        <v>37</v>
      </c>
      <c r="I15">
        <v>63.9</v>
      </c>
      <c r="K15" s="8">
        <v>63.9</v>
      </c>
    </row>
    <row r="16" spans="1:11" x14ac:dyDescent="0.3">
      <c r="K16" s="8">
        <f>SUM(K14:K15)</f>
        <v>217.81295999999998</v>
      </c>
    </row>
    <row r="19" spans="1:11" x14ac:dyDescent="0.3">
      <c r="C19" s="4" t="s">
        <v>28</v>
      </c>
      <c r="D19" s="4" t="s">
        <v>29</v>
      </c>
      <c r="E19" s="4" t="s">
        <v>30</v>
      </c>
      <c r="I19" s="4" t="s">
        <v>28</v>
      </c>
      <c r="J19" s="4" t="s">
        <v>29</v>
      </c>
      <c r="K19" s="4" t="s">
        <v>30</v>
      </c>
    </row>
    <row r="20" spans="1:11" x14ac:dyDescent="0.3">
      <c r="A20" t="s">
        <v>103</v>
      </c>
      <c r="B20" s="4" t="s">
        <v>32</v>
      </c>
      <c r="C20" s="4">
        <v>1.6080000000000001</v>
      </c>
      <c r="D20" s="4">
        <v>19.89</v>
      </c>
      <c r="E20" s="8">
        <f t="shared" ref="E20:E25" si="2">C20*D20</f>
        <v>31.983120000000003</v>
      </c>
      <c r="G20" t="s">
        <v>103</v>
      </c>
      <c r="H20" s="4" t="s">
        <v>32</v>
      </c>
      <c r="I20" s="4">
        <v>1.6080000000000001</v>
      </c>
      <c r="J20" s="4">
        <v>31.41</v>
      </c>
      <c r="K20" s="8">
        <f t="shared" ref="K20:K27" si="3">I20*J20</f>
        <v>50.507280000000002</v>
      </c>
    </row>
    <row r="21" spans="1:11" x14ac:dyDescent="0.3">
      <c r="A21" t="s">
        <v>53</v>
      </c>
      <c r="B21" s="4" t="s">
        <v>33</v>
      </c>
      <c r="C21" s="4">
        <v>5.7329999999999997</v>
      </c>
      <c r="D21" s="4">
        <v>11.03</v>
      </c>
      <c r="E21" s="8">
        <f t="shared" si="2"/>
        <v>63.234989999999989</v>
      </c>
      <c r="G21" t="s">
        <v>111</v>
      </c>
      <c r="H21" s="4" t="s">
        <v>33</v>
      </c>
      <c r="I21" s="4">
        <v>5.7329999999999997</v>
      </c>
      <c r="J21" s="4">
        <v>11.03</v>
      </c>
      <c r="K21" s="8">
        <f t="shared" si="3"/>
        <v>63.234989999999989</v>
      </c>
    </row>
    <row r="22" spans="1:11" x14ac:dyDescent="0.3">
      <c r="B22" s="4" t="s">
        <v>86</v>
      </c>
      <c r="C22" s="4">
        <v>2</v>
      </c>
      <c r="D22" s="4">
        <v>1.86</v>
      </c>
      <c r="E22" s="8">
        <f t="shared" si="2"/>
        <v>3.72</v>
      </c>
      <c r="G22" t="s">
        <v>112</v>
      </c>
      <c r="H22" s="4" t="s">
        <v>33</v>
      </c>
      <c r="I22" s="4">
        <v>5.51</v>
      </c>
      <c r="J22" s="4">
        <v>11.03</v>
      </c>
      <c r="K22" s="8">
        <f t="shared" si="3"/>
        <v>60.775299999999994</v>
      </c>
    </row>
    <row r="23" spans="1:11" x14ac:dyDescent="0.3">
      <c r="B23" s="4" t="s">
        <v>34</v>
      </c>
      <c r="C23" s="4"/>
      <c r="D23" s="4"/>
      <c r="E23" s="8">
        <f t="shared" si="2"/>
        <v>0</v>
      </c>
      <c r="H23" s="4" t="s">
        <v>86</v>
      </c>
      <c r="I23" s="4">
        <v>2</v>
      </c>
      <c r="J23" s="4">
        <v>1.86</v>
      </c>
      <c r="K23" s="8">
        <f t="shared" si="3"/>
        <v>3.72</v>
      </c>
    </row>
    <row r="24" spans="1:11" x14ac:dyDescent="0.3">
      <c r="B24" s="4" t="s">
        <v>35</v>
      </c>
      <c r="C24" s="4">
        <v>4</v>
      </c>
      <c r="D24" s="4">
        <v>1.89</v>
      </c>
      <c r="E24" s="8">
        <f t="shared" si="2"/>
        <v>7.56</v>
      </c>
      <c r="H24" s="4" t="s">
        <v>87</v>
      </c>
      <c r="I24" s="4">
        <v>2</v>
      </c>
      <c r="J24" s="4">
        <v>1.98</v>
      </c>
      <c r="K24" s="4">
        <f t="shared" si="3"/>
        <v>3.96</v>
      </c>
    </row>
    <row r="25" spans="1:11" x14ac:dyDescent="0.3">
      <c r="B25" s="4" t="s">
        <v>36</v>
      </c>
      <c r="C25" s="4">
        <v>4</v>
      </c>
      <c r="D25" s="4">
        <v>0.24</v>
      </c>
      <c r="E25" s="8">
        <f t="shared" si="2"/>
        <v>0.96</v>
      </c>
      <c r="H25" s="4" t="s">
        <v>34</v>
      </c>
      <c r="I25" s="4"/>
      <c r="J25" s="4"/>
      <c r="K25" s="8">
        <f t="shared" si="3"/>
        <v>0</v>
      </c>
    </row>
    <row r="26" spans="1:11" x14ac:dyDescent="0.3">
      <c r="E26" s="9">
        <f>SUM(E20:E25)</f>
        <v>107.45810999999999</v>
      </c>
      <c r="H26" s="4" t="s">
        <v>35</v>
      </c>
      <c r="I26" s="4">
        <v>4</v>
      </c>
      <c r="J26" s="4">
        <v>1.89</v>
      </c>
      <c r="K26" s="8">
        <f t="shared" si="3"/>
        <v>7.56</v>
      </c>
    </row>
    <row r="27" spans="1:11" x14ac:dyDescent="0.3">
      <c r="B27" s="4" t="s">
        <v>37</v>
      </c>
      <c r="C27">
        <v>15</v>
      </c>
      <c r="D27">
        <v>1.41</v>
      </c>
      <c r="E27" s="8">
        <f>C27*D27</f>
        <v>21.15</v>
      </c>
      <c r="H27" s="4" t="s">
        <v>36</v>
      </c>
      <c r="I27" s="4">
        <v>4</v>
      </c>
      <c r="J27" s="4">
        <v>0.24</v>
      </c>
      <c r="K27" s="8">
        <f t="shared" si="3"/>
        <v>0.96</v>
      </c>
    </row>
    <row r="28" spans="1:11" x14ac:dyDescent="0.3">
      <c r="E28" s="8">
        <f>SUM(E26:E27)</f>
        <v>128.60810999999998</v>
      </c>
      <c r="K28" s="8">
        <f>SUM(K20:K27)</f>
        <v>190.71756999999999</v>
      </c>
    </row>
    <row r="29" spans="1:11" x14ac:dyDescent="0.3">
      <c r="H29" s="4" t="s">
        <v>37</v>
      </c>
      <c r="I29">
        <v>20</v>
      </c>
      <c r="J29">
        <v>1.41</v>
      </c>
      <c r="K29" s="8">
        <f>I29*J29</f>
        <v>28.2</v>
      </c>
    </row>
    <row r="30" spans="1:11" x14ac:dyDescent="0.3">
      <c r="K30" s="8">
        <f>SUM(K28:K29)</f>
        <v>218.91756999999998</v>
      </c>
    </row>
    <row r="31" spans="1:11" x14ac:dyDescent="0.3">
      <c r="C31" s="4" t="s">
        <v>28</v>
      </c>
      <c r="D31" s="4" t="s">
        <v>29</v>
      </c>
      <c r="E31" s="4" t="s">
        <v>30</v>
      </c>
    </row>
    <row r="32" spans="1:11" x14ac:dyDescent="0.3">
      <c r="A32" t="s">
        <v>104</v>
      </c>
      <c r="B32" s="4" t="s">
        <v>32</v>
      </c>
      <c r="C32" s="4">
        <v>1.8180000000000001</v>
      </c>
      <c r="D32" s="4">
        <v>19.89</v>
      </c>
      <c r="E32" s="8">
        <f t="shared" ref="E32:E37" si="4">C32*D32</f>
        <v>36.160020000000003</v>
      </c>
      <c r="I32" s="4" t="s">
        <v>28</v>
      </c>
      <c r="J32" s="4" t="s">
        <v>29</v>
      </c>
      <c r="K32" s="4" t="s">
        <v>30</v>
      </c>
    </row>
    <row r="33" spans="1:11" x14ac:dyDescent="0.3">
      <c r="A33" t="s">
        <v>53</v>
      </c>
      <c r="B33" s="4" t="s">
        <v>33</v>
      </c>
      <c r="C33" s="4">
        <v>7.2030000000000003</v>
      </c>
      <c r="D33" s="4">
        <v>11.03</v>
      </c>
      <c r="E33" s="8">
        <f t="shared" si="4"/>
        <v>79.449089999999998</v>
      </c>
      <c r="G33" t="s">
        <v>104</v>
      </c>
      <c r="H33" s="4" t="s">
        <v>32</v>
      </c>
      <c r="I33" s="4">
        <v>1.8180000000000001</v>
      </c>
      <c r="J33" s="4">
        <v>31.41</v>
      </c>
      <c r="K33" s="8">
        <f t="shared" ref="K33:K40" si="5">I33*J33</f>
        <v>57.103380000000001</v>
      </c>
    </row>
    <row r="34" spans="1:11" x14ac:dyDescent="0.3">
      <c r="B34" s="4" t="s">
        <v>86</v>
      </c>
      <c r="C34" s="4">
        <v>2</v>
      </c>
      <c r="D34" s="4">
        <v>1.86</v>
      </c>
      <c r="E34" s="8">
        <f t="shared" si="4"/>
        <v>3.72</v>
      </c>
      <c r="G34" t="s">
        <v>53</v>
      </c>
      <c r="H34" s="4" t="s">
        <v>33</v>
      </c>
      <c r="I34" s="4">
        <v>7.2030000000000003</v>
      </c>
      <c r="J34" s="4">
        <v>11.03</v>
      </c>
      <c r="K34" s="8">
        <f t="shared" si="5"/>
        <v>79.449089999999998</v>
      </c>
    </row>
    <row r="35" spans="1:11" x14ac:dyDescent="0.3">
      <c r="B35" s="4" t="s">
        <v>34</v>
      </c>
      <c r="C35" s="4"/>
      <c r="D35" s="4"/>
      <c r="E35" s="8">
        <f t="shared" si="4"/>
        <v>0</v>
      </c>
      <c r="G35" t="s">
        <v>55</v>
      </c>
      <c r="H35" s="4" t="s">
        <v>33</v>
      </c>
      <c r="I35" s="4">
        <v>7.3079999999999998</v>
      </c>
      <c r="J35" s="4">
        <v>11.03</v>
      </c>
      <c r="K35" s="8">
        <f t="shared" si="5"/>
        <v>80.60723999999999</v>
      </c>
    </row>
    <row r="36" spans="1:11" x14ac:dyDescent="0.3">
      <c r="B36" s="4" t="s">
        <v>35</v>
      </c>
      <c r="C36" s="4">
        <v>4</v>
      </c>
      <c r="D36" s="4">
        <v>1.89</v>
      </c>
      <c r="E36" s="8">
        <f t="shared" si="4"/>
        <v>7.56</v>
      </c>
      <c r="H36" s="4" t="s">
        <v>86</v>
      </c>
      <c r="I36" s="4">
        <v>2</v>
      </c>
      <c r="J36" s="4">
        <v>1.86</v>
      </c>
      <c r="K36" s="8">
        <f t="shared" si="5"/>
        <v>3.72</v>
      </c>
    </row>
    <row r="37" spans="1:11" x14ac:dyDescent="0.3">
      <c r="B37" s="4" t="s">
        <v>36</v>
      </c>
      <c r="C37" s="4">
        <v>4</v>
      </c>
      <c r="D37" s="4">
        <v>0.24</v>
      </c>
      <c r="E37" s="8">
        <f t="shared" si="4"/>
        <v>0.96</v>
      </c>
      <c r="H37" s="4" t="s">
        <v>113</v>
      </c>
      <c r="I37" s="4">
        <v>2</v>
      </c>
      <c r="J37" s="4">
        <v>2.2400000000000002</v>
      </c>
      <c r="K37" s="4">
        <f t="shared" si="5"/>
        <v>4.4800000000000004</v>
      </c>
    </row>
    <row r="38" spans="1:11" x14ac:dyDescent="0.3">
      <c r="E38" s="9">
        <f>SUM(E32:E37)</f>
        <v>127.84911</v>
      </c>
      <c r="H38" s="4" t="s">
        <v>34</v>
      </c>
      <c r="I38" s="4"/>
      <c r="J38" s="4"/>
      <c r="K38" s="8">
        <f t="shared" si="5"/>
        <v>0</v>
      </c>
    </row>
    <row r="39" spans="1:11" x14ac:dyDescent="0.3">
      <c r="B39" s="4" t="s">
        <v>37</v>
      </c>
      <c r="C39">
        <v>20</v>
      </c>
      <c r="D39">
        <v>1.41</v>
      </c>
      <c r="E39" s="8">
        <f>C39*D39</f>
        <v>28.2</v>
      </c>
      <c r="H39" s="4" t="s">
        <v>35</v>
      </c>
      <c r="I39" s="4">
        <v>4</v>
      </c>
      <c r="J39" s="4">
        <v>1.89</v>
      </c>
      <c r="K39" s="8">
        <f t="shared" si="5"/>
        <v>7.56</v>
      </c>
    </row>
    <row r="40" spans="1:11" x14ac:dyDescent="0.3">
      <c r="E40" s="8">
        <f>SUM(E38:E39)</f>
        <v>156.04910999999998</v>
      </c>
      <c r="H40" s="4" t="s">
        <v>36</v>
      </c>
      <c r="I40" s="4">
        <v>4</v>
      </c>
      <c r="J40" s="4">
        <v>0.24</v>
      </c>
      <c r="K40" s="8">
        <f t="shared" si="5"/>
        <v>0.96</v>
      </c>
    </row>
    <row r="41" spans="1:11" x14ac:dyDescent="0.3">
      <c r="K41" s="8">
        <f>SUM(K33:K40)</f>
        <v>233.87970999999999</v>
      </c>
    </row>
    <row r="42" spans="1:11" x14ac:dyDescent="0.3">
      <c r="H42" s="4" t="s">
        <v>37</v>
      </c>
      <c r="I42">
        <v>25</v>
      </c>
      <c r="J42">
        <v>1.41</v>
      </c>
      <c r="K42" s="8">
        <f>I42*J42</f>
        <v>35.25</v>
      </c>
    </row>
    <row r="43" spans="1:11" x14ac:dyDescent="0.3">
      <c r="C43" s="4" t="s">
        <v>28</v>
      </c>
      <c r="D43" s="4" t="s">
        <v>29</v>
      </c>
      <c r="E43" s="4" t="s">
        <v>30</v>
      </c>
      <c r="K43" s="8">
        <f>SUM(K41:K42)</f>
        <v>269.12970999999999</v>
      </c>
    </row>
    <row r="44" spans="1:11" x14ac:dyDescent="0.3">
      <c r="A44" t="s">
        <v>105</v>
      </c>
      <c r="B44" s="4" t="s">
        <v>32</v>
      </c>
      <c r="C44" s="4">
        <v>2.028</v>
      </c>
      <c r="D44" s="4">
        <v>19.89</v>
      </c>
      <c r="E44" s="8">
        <f t="shared" ref="E44:E49" si="6">C44*D44</f>
        <v>40.336919999999999</v>
      </c>
    </row>
    <row r="45" spans="1:11" x14ac:dyDescent="0.3">
      <c r="A45" t="s">
        <v>53</v>
      </c>
      <c r="B45" s="4" t="s">
        <v>33</v>
      </c>
      <c r="C45" s="4">
        <v>8.673</v>
      </c>
      <c r="D45" s="4">
        <v>11.03</v>
      </c>
      <c r="E45" s="8">
        <f t="shared" si="6"/>
        <v>95.66319</v>
      </c>
    </row>
    <row r="46" spans="1:11" x14ac:dyDescent="0.3">
      <c r="B46" s="4" t="s">
        <v>86</v>
      </c>
      <c r="C46" s="4">
        <v>2</v>
      </c>
      <c r="D46" s="4">
        <v>1.86</v>
      </c>
      <c r="E46" s="8">
        <f t="shared" si="6"/>
        <v>3.72</v>
      </c>
      <c r="I46" s="4" t="s">
        <v>28</v>
      </c>
      <c r="J46" s="4" t="s">
        <v>29</v>
      </c>
      <c r="K46" s="4" t="s">
        <v>30</v>
      </c>
    </row>
    <row r="47" spans="1:11" x14ac:dyDescent="0.3">
      <c r="B47" s="4" t="s">
        <v>34</v>
      </c>
      <c r="C47" s="4">
        <v>0.3</v>
      </c>
      <c r="D47" s="4"/>
      <c r="E47" s="8">
        <f t="shared" si="6"/>
        <v>0</v>
      </c>
      <c r="G47" t="s">
        <v>105</v>
      </c>
      <c r="H47" s="4" t="s">
        <v>32</v>
      </c>
      <c r="I47" s="4">
        <v>2.028</v>
      </c>
      <c r="J47" s="4">
        <v>31.41</v>
      </c>
      <c r="K47" s="8">
        <f t="shared" ref="K47:K54" si="7">I47*J47</f>
        <v>63.699480000000001</v>
      </c>
    </row>
    <row r="48" spans="1:11" x14ac:dyDescent="0.3">
      <c r="B48" s="4" t="s">
        <v>35</v>
      </c>
      <c r="C48" s="4">
        <v>4</v>
      </c>
      <c r="D48" s="4">
        <v>1.89</v>
      </c>
      <c r="E48" s="8">
        <f t="shared" si="6"/>
        <v>7.56</v>
      </c>
      <c r="G48" t="s">
        <v>53</v>
      </c>
      <c r="H48" s="4" t="s">
        <v>33</v>
      </c>
      <c r="I48" s="4">
        <v>8.673</v>
      </c>
      <c r="J48" s="4">
        <v>11.03</v>
      </c>
      <c r="K48" s="8">
        <f t="shared" si="7"/>
        <v>95.66319</v>
      </c>
    </row>
    <row r="49" spans="1:11" x14ac:dyDescent="0.3">
      <c r="B49" s="4" t="s">
        <v>36</v>
      </c>
      <c r="C49" s="4">
        <v>4</v>
      </c>
      <c r="D49" s="4">
        <v>0.24</v>
      </c>
      <c r="E49" s="8">
        <f t="shared" si="6"/>
        <v>0.96</v>
      </c>
      <c r="G49" t="s">
        <v>56</v>
      </c>
      <c r="H49" s="4" t="s">
        <v>33</v>
      </c>
      <c r="I49" s="4">
        <v>8.83</v>
      </c>
      <c r="J49" s="4">
        <v>11.03</v>
      </c>
      <c r="K49" s="8">
        <f t="shared" si="7"/>
        <v>97.394899999999993</v>
      </c>
    </row>
    <row r="50" spans="1:11" x14ac:dyDescent="0.3">
      <c r="E50" s="9">
        <f>SUM(E44:E49)</f>
        <v>148.24011000000002</v>
      </c>
      <c r="H50" s="4" t="s">
        <v>86</v>
      </c>
      <c r="I50" s="4">
        <v>2</v>
      </c>
      <c r="J50" s="4">
        <v>1.86</v>
      </c>
      <c r="K50" s="8">
        <f t="shared" si="7"/>
        <v>3.72</v>
      </c>
    </row>
    <row r="51" spans="1:11" x14ac:dyDescent="0.3">
      <c r="B51" s="4" t="s">
        <v>37</v>
      </c>
      <c r="C51">
        <v>20</v>
      </c>
      <c r="D51">
        <v>1.41</v>
      </c>
      <c r="E51" s="8">
        <f>C51*D51</f>
        <v>28.2</v>
      </c>
      <c r="H51" s="4" t="s">
        <v>98</v>
      </c>
      <c r="I51" s="4">
        <v>2</v>
      </c>
      <c r="J51" s="4">
        <v>3.8</v>
      </c>
      <c r="K51" s="4">
        <f t="shared" si="7"/>
        <v>7.6</v>
      </c>
    </row>
    <row r="52" spans="1:11" x14ac:dyDescent="0.3">
      <c r="E52" s="8">
        <f>SUM(E50:E51)</f>
        <v>176.44011</v>
      </c>
      <c r="H52" s="4" t="s">
        <v>34</v>
      </c>
      <c r="I52" s="4">
        <v>0.3</v>
      </c>
      <c r="J52" s="4">
        <v>12.43</v>
      </c>
      <c r="K52" s="8">
        <f t="shared" si="7"/>
        <v>3.7289999999999996</v>
      </c>
    </row>
    <row r="53" spans="1:11" x14ac:dyDescent="0.3">
      <c r="H53" s="4" t="s">
        <v>35</v>
      </c>
      <c r="I53" s="4">
        <v>4</v>
      </c>
      <c r="J53" s="4">
        <v>1.89</v>
      </c>
      <c r="K53" s="8">
        <f t="shared" si="7"/>
        <v>7.56</v>
      </c>
    </row>
    <row r="54" spans="1:11" x14ac:dyDescent="0.3">
      <c r="H54" s="4" t="s">
        <v>36</v>
      </c>
      <c r="I54" s="4">
        <v>4</v>
      </c>
      <c r="J54" s="4">
        <v>0.24</v>
      </c>
      <c r="K54" s="8">
        <f t="shared" si="7"/>
        <v>0.96</v>
      </c>
    </row>
    <row r="55" spans="1:11" x14ac:dyDescent="0.3">
      <c r="K55" s="8">
        <f>SUM(K47:K54)</f>
        <v>280.32657</v>
      </c>
    </row>
    <row r="56" spans="1:11" x14ac:dyDescent="0.3">
      <c r="C56" s="4" t="s">
        <v>28</v>
      </c>
      <c r="D56" s="4" t="s">
        <v>29</v>
      </c>
      <c r="E56" s="4" t="s">
        <v>30</v>
      </c>
      <c r="H56" s="4" t="s">
        <v>37</v>
      </c>
      <c r="I56">
        <v>30</v>
      </c>
      <c r="J56">
        <v>1.41</v>
      </c>
      <c r="K56" s="8">
        <f>I56*J56</f>
        <v>42.3</v>
      </c>
    </row>
    <row r="57" spans="1:11" x14ac:dyDescent="0.3">
      <c r="A57" t="s">
        <v>106</v>
      </c>
      <c r="B57" s="4" t="s">
        <v>32</v>
      </c>
      <c r="C57" s="4">
        <v>2.238</v>
      </c>
      <c r="D57" s="4">
        <v>19.89</v>
      </c>
      <c r="E57" s="8">
        <f t="shared" ref="E57:E62" si="8">C57*D57</f>
        <v>44.513820000000003</v>
      </c>
      <c r="K57" s="8">
        <f>SUM(K55:K56)</f>
        <v>322.62657000000002</v>
      </c>
    </row>
    <row r="58" spans="1:11" x14ac:dyDescent="0.3">
      <c r="A58" t="s">
        <v>53</v>
      </c>
      <c r="B58" s="4" t="s">
        <v>33</v>
      </c>
      <c r="C58" s="4">
        <v>10.143000000000001</v>
      </c>
      <c r="D58" s="4">
        <v>11.03</v>
      </c>
      <c r="E58" s="8">
        <f t="shared" si="8"/>
        <v>111.87729</v>
      </c>
    </row>
    <row r="59" spans="1:11" x14ac:dyDescent="0.3">
      <c r="B59" s="4" t="s">
        <v>86</v>
      </c>
      <c r="C59" s="4">
        <v>2</v>
      </c>
      <c r="D59" s="4">
        <v>1.86</v>
      </c>
      <c r="E59" s="8">
        <f t="shared" si="8"/>
        <v>3.72</v>
      </c>
    </row>
    <row r="60" spans="1:11" x14ac:dyDescent="0.3">
      <c r="B60" s="4" t="s">
        <v>34</v>
      </c>
      <c r="C60" s="4">
        <v>0.3</v>
      </c>
      <c r="D60" s="4">
        <v>13.67</v>
      </c>
      <c r="E60" s="8">
        <f t="shared" si="8"/>
        <v>4.101</v>
      </c>
      <c r="I60" s="4" t="s">
        <v>28</v>
      </c>
      <c r="J60" s="4" t="s">
        <v>29</v>
      </c>
      <c r="K60" s="4" t="s">
        <v>30</v>
      </c>
    </row>
    <row r="61" spans="1:11" x14ac:dyDescent="0.3">
      <c r="B61" s="4" t="s">
        <v>35</v>
      </c>
      <c r="C61" s="4">
        <v>4</v>
      </c>
      <c r="D61" s="4">
        <v>1.89</v>
      </c>
      <c r="E61" s="8">
        <f t="shared" si="8"/>
        <v>7.56</v>
      </c>
      <c r="G61" t="s">
        <v>106</v>
      </c>
      <c r="H61" s="4" t="s">
        <v>32</v>
      </c>
      <c r="I61" s="4">
        <v>2.238</v>
      </c>
      <c r="J61" s="4">
        <v>31.41</v>
      </c>
      <c r="K61" s="8">
        <f t="shared" ref="K61:K68" si="9">I61*J61</f>
        <v>70.295580000000001</v>
      </c>
    </row>
    <row r="62" spans="1:11" x14ac:dyDescent="0.3">
      <c r="B62" s="4" t="s">
        <v>36</v>
      </c>
      <c r="C62" s="4">
        <v>4</v>
      </c>
      <c r="D62" s="4">
        <v>0.24</v>
      </c>
      <c r="E62" s="8">
        <f t="shared" si="8"/>
        <v>0.96</v>
      </c>
      <c r="G62" t="s">
        <v>53</v>
      </c>
      <c r="H62" s="4" t="s">
        <v>33</v>
      </c>
      <c r="I62" s="4">
        <v>10.143000000000001</v>
      </c>
      <c r="J62" s="4">
        <v>11.03</v>
      </c>
      <c r="K62" s="8">
        <f t="shared" si="9"/>
        <v>111.87729</v>
      </c>
    </row>
    <row r="63" spans="1:11" x14ac:dyDescent="0.3">
      <c r="E63" s="9">
        <f>SUM(E57:E62)</f>
        <v>172.73211000000001</v>
      </c>
      <c r="G63" t="s">
        <v>57</v>
      </c>
      <c r="H63" s="4" t="s">
        <v>33</v>
      </c>
      <c r="I63" s="4">
        <v>10.353</v>
      </c>
      <c r="J63" s="4">
        <v>11.03</v>
      </c>
      <c r="K63" s="8">
        <f t="shared" si="9"/>
        <v>114.19358999999999</v>
      </c>
    </row>
    <row r="64" spans="1:11" x14ac:dyDescent="0.3">
      <c r="B64" s="4" t="s">
        <v>37</v>
      </c>
      <c r="C64">
        <v>20</v>
      </c>
      <c r="D64">
        <v>1.41</v>
      </c>
      <c r="E64" s="8">
        <f>C64*D64</f>
        <v>28.2</v>
      </c>
      <c r="H64" s="4" t="s">
        <v>86</v>
      </c>
      <c r="I64" s="4">
        <v>2</v>
      </c>
      <c r="J64" s="4">
        <v>1.86</v>
      </c>
      <c r="K64" s="8">
        <f t="shared" si="9"/>
        <v>3.72</v>
      </c>
    </row>
    <row r="65" spans="1:11" x14ac:dyDescent="0.3">
      <c r="E65" s="8">
        <f>SUM(E63:E64)</f>
        <v>200.93210999999999</v>
      </c>
      <c r="H65" s="4" t="s">
        <v>99</v>
      </c>
      <c r="I65" s="4">
        <v>2</v>
      </c>
      <c r="J65" s="4">
        <v>3.84</v>
      </c>
      <c r="K65" s="4">
        <f t="shared" si="9"/>
        <v>7.68</v>
      </c>
    </row>
    <row r="66" spans="1:11" x14ac:dyDescent="0.3">
      <c r="H66" s="4" t="s">
        <v>34</v>
      </c>
      <c r="I66" s="4">
        <v>0.3</v>
      </c>
      <c r="J66" s="4">
        <v>12.43</v>
      </c>
      <c r="K66" s="8">
        <f t="shared" si="9"/>
        <v>3.7289999999999996</v>
      </c>
    </row>
    <row r="67" spans="1:11" x14ac:dyDescent="0.3">
      <c r="H67" s="4" t="s">
        <v>35</v>
      </c>
      <c r="I67" s="4">
        <v>4</v>
      </c>
      <c r="J67" s="4">
        <v>1.89</v>
      </c>
      <c r="K67" s="8">
        <f t="shared" si="9"/>
        <v>7.56</v>
      </c>
    </row>
    <row r="68" spans="1:11" x14ac:dyDescent="0.3">
      <c r="C68" s="4" t="s">
        <v>28</v>
      </c>
      <c r="D68" s="4" t="s">
        <v>29</v>
      </c>
      <c r="E68" s="4" t="s">
        <v>30</v>
      </c>
      <c r="H68" s="4" t="s">
        <v>36</v>
      </c>
      <c r="I68" s="4">
        <v>4</v>
      </c>
      <c r="J68" s="4">
        <v>0.24</v>
      </c>
      <c r="K68" s="8">
        <f t="shared" si="9"/>
        <v>0.96</v>
      </c>
    </row>
    <row r="69" spans="1:11" x14ac:dyDescent="0.3">
      <c r="A69" t="s">
        <v>107</v>
      </c>
      <c r="B69" s="4" t="s">
        <v>32</v>
      </c>
      <c r="C69" s="4">
        <v>2.448</v>
      </c>
      <c r="D69" s="4">
        <v>19.89</v>
      </c>
      <c r="E69" s="8">
        <f t="shared" ref="E69:E74" si="10">C69*D69</f>
        <v>48.690719999999999</v>
      </c>
      <c r="K69" s="8">
        <f>SUM(K61:K68)</f>
        <v>320.01545999999996</v>
      </c>
    </row>
    <row r="70" spans="1:11" x14ac:dyDescent="0.3">
      <c r="A70" t="s">
        <v>53</v>
      </c>
      <c r="B70" s="4" t="s">
        <v>33</v>
      </c>
      <c r="C70" s="4">
        <v>11.613</v>
      </c>
      <c r="D70" s="4">
        <v>11.03</v>
      </c>
      <c r="E70" s="8">
        <f t="shared" si="10"/>
        <v>128.09138999999999</v>
      </c>
      <c r="H70" s="4" t="s">
        <v>37</v>
      </c>
      <c r="I70">
        <v>35</v>
      </c>
      <c r="J70">
        <v>1.41</v>
      </c>
      <c r="K70" s="8">
        <f>I70*J70</f>
        <v>49.349999999999994</v>
      </c>
    </row>
    <row r="71" spans="1:11" x14ac:dyDescent="0.3">
      <c r="B71" s="4" t="s">
        <v>86</v>
      </c>
      <c r="C71" s="4">
        <v>2</v>
      </c>
      <c r="D71" s="4">
        <v>1.86</v>
      </c>
      <c r="E71" s="8">
        <f t="shared" si="10"/>
        <v>3.72</v>
      </c>
      <c r="K71" s="8">
        <f>SUM(K69:K70)</f>
        <v>369.36545999999998</v>
      </c>
    </row>
    <row r="72" spans="1:11" x14ac:dyDescent="0.3">
      <c r="B72" s="4" t="s">
        <v>34</v>
      </c>
      <c r="C72" s="4">
        <v>0.3</v>
      </c>
      <c r="D72" s="4">
        <v>13.67</v>
      </c>
      <c r="E72" s="8">
        <f t="shared" si="10"/>
        <v>4.101</v>
      </c>
    </row>
    <row r="73" spans="1:11" x14ac:dyDescent="0.3">
      <c r="B73" s="4" t="s">
        <v>35</v>
      </c>
      <c r="C73" s="4">
        <v>4</v>
      </c>
      <c r="D73" s="4">
        <v>1.89</v>
      </c>
      <c r="E73" s="8">
        <f t="shared" si="10"/>
        <v>7.56</v>
      </c>
    </row>
    <row r="74" spans="1:11" x14ac:dyDescent="0.3">
      <c r="B74" s="4" t="s">
        <v>36</v>
      </c>
      <c r="C74" s="4">
        <v>4</v>
      </c>
      <c r="D74" s="4">
        <v>0.24</v>
      </c>
      <c r="E74" s="8">
        <f t="shared" si="10"/>
        <v>0.96</v>
      </c>
      <c r="I74" s="4" t="s">
        <v>28</v>
      </c>
      <c r="J74" s="4" t="s">
        <v>29</v>
      </c>
      <c r="K74" s="4" t="s">
        <v>30</v>
      </c>
    </row>
    <row r="75" spans="1:11" x14ac:dyDescent="0.3">
      <c r="E75" s="9">
        <f>SUM(E69:E74)</f>
        <v>193.12311</v>
      </c>
      <c r="G75" t="s">
        <v>107</v>
      </c>
      <c r="H75" s="4" t="s">
        <v>32</v>
      </c>
      <c r="I75" s="4">
        <v>2.448</v>
      </c>
      <c r="J75" s="4">
        <v>31.41</v>
      </c>
      <c r="K75" s="8">
        <f t="shared" ref="K75:K82" si="11">I75*J75</f>
        <v>76.891679999999994</v>
      </c>
    </row>
    <row r="76" spans="1:11" x14ac:dyDescent="0.3">
      <c r="B76" s="4" t="s">
        <v>37</v>
      </c>
      <c r="C76">
        <v>25</v>
      </c>
      <c r="D76">
        <v>1.41</v>
      </c>
      <c r="E76" s="8">
        <f>C76*D76</f>
        <v>35.25</v>
      </c>
      <c r="G76" t="s">
        <v>53</v>
      </c>
      <c r="H76" s="4" t="s">
        <v>33</v>
      </c>
      <c r="I76" s="4">
        <v>11.613</v>
      </c>
      <c r="J76" s="4">
        <v>11.03</v>
      </c>
      <c r="K76" s="8">
        <f t="shared" si="11"/>
        <v>128.09138999999999</v>
      </c>
    </row>
    <row r="77" spans="1:11" x14ac:dyDescent="0.3">
      <c r="E77" s="8">
        <f>SUM(E75:E76)</f>
        <v>228.37311</v>
      </c>
      <c r="G77" t="s">
        <v>58</v>
      </c>
      <c r="H77" s="4" t="s">
        <v>33</v>
      </c>
      <c r="I77" s="4">
        <v>11.875</v>
      </c>
      <c r="J77" s="4">
        <v>11.03</v>
      </c>
      <c r="K77" s="8">
        <f t="shared" si="11"/>
        <v>130.98124999999999</v>
      </c>
    </row>
    <row r="78" spans="1:11" x14ac:dyDescent="0.3">
      <c r="H78" s="4" t="s">
        <v>86</v>
      </c>
      <c r="I78" s="4">
        <v>2</v>
      </c>
      <c r="J78" s="4">
        <v>1.86</v>
      </c>
      <c r="K78" s="8">
        <f t="shared" si="11"/>
        <v>3.72</v>
      </c>
    </row>
    <row r="79" spans="1:11" x14ac:dyDescent="0.3">
      <c r="C79" s="4" t="s">
        <v>28</v>
      </c>
      <c r="D79" s="4" t="s">
        <v>29</v>
      </c>
      <c r="E79" s="4" t="s">
        <v>30</v>
      </c>
      <c r="H79" s="4" t="s">
        <v>92</v>
      </c>
      <c r="I79" s="4">
        <v>2</v>
      </c>
      <c r="J79" s="4">
        <v>4</v>
      </c>
      <c r="K79" s="4">
        <f t="shared" si="11"/>
        <v>8</v>
      </c>
    </row>
    <row r="80" spans="1:11" x14ac:dyDescent="0.3">
      <c r="A80" t="s">
        <v>108</v>
      </c>
      <c r="B80" s="4" t="s">
        <v>32</v>
      </c>
      <c r="C80" s="4">
        <v>2.6579999999999999</v>
      </c>
      <c r="D80" s="4">
        <v>19.89</v>
      </c>
      <c r="E80" s="8">
        <f t="shared" ref="E80:E85" si="12">C80*D80</f>
        <v>52.867620000000002</v>
      </c>
      <c r="H80" s="4" t="s">
        <v>34</v>
      </c>
      <c r="I80" s="4">
        <v>0.3</v>
      </c>
      <c r="J80" s="4">
        <v>12.43</v>
      </c>
      <c r="K80" s="8">
        <f t="shared" si="11"/>
        <v>3.7289999999999996</v>
      </c>
    </row>
    <row r="81" spans="1:11" x14ac:dyDescent="0.3">
      <c r="A81" t="s">
        <v>53</v>
      </c>
      <c r="B81" s="4" t="s">
        <v>33</v>
      </c>
      <c r="C81" s="4">
        <v>13.083</v>
      </c>
      <c r="D81" s="4">
        <v>11.03</v>
      </c>
      <c r="E81" s="8">
        <f t="shared" si="12"/>
        <v>144.30548999999999</v>
      </c>
      <c r="H81" s="4" t="s">
        <v>35</v>
      </c>
      <c r="I81" s="4">
        <v>4</v>
      </c>
      <c r="J81" s="4">
        <v>1.89</v>
      </c>
      <c r="K81" s="8">
        <f t="shared" si="11"/>
        <v>7.56</v>
      </c>
    </row>
    <row r="82" spans="1:11" x14ac:dyDescent="0.3">
      <c r="B82" s="4" t="s">
        <v>86</v>
      </c>
      <c r="C82" s="4">
        <v>2</v>
      </c>
      <c r="D82" s="4">
        <v>1.86</v>
      </c>
      <c r="E82" s="8">
        <f t="shared" si="12"/>
        <v>3.72</v>
      </c>
      <c r="H82" s="4" t="s">
        <v>36</v>
      </c>
      <c r="I82" s="4">
        <v>4</v>
      </c>
      <c r="J82" s="4">
        <v>0.24</v>
      </c>
      <c r="K82" s="8">
        <f t="shared" si="11"/>
        <v>0.96</v>
      </c>
    </row>
    <row r="83" spans="1:11" x14ac:dyDescent="0.3">
      <c r="B83" s="4" t="s">
        <v>34</v>
      </c>
      <c r="C83" s="4">
        <v>0.3</v>
      </c>
      <c r="D83" s="4">
        <v>13.67</v>
      </c>
      <c r="E83" s="8">
        <f t="shared" si="12"/>
        <v>4.101</v>
      </c>
      <c r="K83" s="8">
        <f>SUM(K75:K82)</f>
        <v>359.93331999999998</v>
      </c>
    </row>
    <row r="84" spans="1:11" x14ac:dyDescent="0.3">
      <c r="B84" s="4" t="s">
        <v>35</v>
      </c>
      <c r="C84" s="4">
        <v>4</v>
      </c>
      <c r="D84" s="4">
        <v>1.89</v>
      </c>
      <c r="E84" s="8">
        <f t="shared" si="12"/>
        <v>7.56</v>
      </c>
      <c r="H84" s="4" t="s">
        <v>37</v>
      </c>
      <c r="I84">
        <v>35</v>
      </c>
      <c r="J84">
        <v>1.41</v>
      </c>
      <c r="K84" s="8">
        <f>I84*J84</f>
        <v>49.349999999999994</v>
      </c>
    </row>
    <row r="85" spans="1:11" x14ac:dyDescent="0.3">
      <c r="B85" s="4" t="s">
        <v>36</v>
      </c>
      <c r="C85" s="4">
        <v>4</v>
      </c>
      <c r="D85" s="4">
        <v>0.24</v>
      </c>
      <c r="E85" s="8">
        <f t="shared" si="12"/>
        <v>0.96</v>
      </c>
      <c r="K85" s="8">
        <f>SUM(K83:K84)</f>
        <v>409.28332</v>
      </c>
    </row>
    <row r="86" spans="1:11" x14ac:dyDescent="0.3">
      <c r="E86" s="9">
        <f>SUM(E80:E85)</f>
        <v>213.51411000000002</v>
      </c>
    </row>
    <row r="87" spans="1:11" x14ac:dyDescent="0.3">
      <c r="B87" s="4" t="s">
        <v>37</v>
      </c>
      <c r="C87">
        <v>25</v>
      </c>
      <c r="D87">
        <v>1.41</v>
      </c>
      <c r="E87" s="8">
        <f>C87*D87</f>
        <v>35.25</v>
      </c>
      <c r="I87" s="4" t="s">
        <v>28</v>
      </c>
      <c r="J87" s="4" t="s">
        <v>29</v>
      </c>
      <c r="K87" s="4" t="s">
        <v>30</v>
      </c>
    </row>
    <row r="88" spans="1:11" x14ac:dyDescent="0.3">
      <c r="E88" s="8">
        <f>SUM(E86:E87)</f>
        <v>248.76411000000002</v>
      </c>
      <c r="G88" t="s">
        <v>108</v>
      </c>
      <c r="H88" s="4" t="s">
        <v>32</v>
      </c>
      <c r="I88" s="4">
        <v>2.6579999999999999</v>
      </c>
      <c r="J88" s="4">
        <v>31.41</v>
      </c>
      <c r="K88" s="8">
        <f t="shared" ref="K88:K95" si="13">I88*J88</f>
        <v>83.487780000000001</v>
      </c>
    </row>
    <row r="89" spans="1:11" x14ac:dyDescent="0.3">
      <c r="G89" t="s">
        <v>53</v>
      </c>
      <c r="H89" s="4" t="s">
        <v>33</v>
      </c>
      <c r="I89" s="4">
        <v>13.083</v>
      </c>
      <c r="J89" s="4">
        <v>11.03</v>
      </c>
      <c r="K89" s="8">
        <f t="shared" si="13"/>
        <v>144.30548999999999</v>
      </c>
    </row>
    <row r="90" spans="1:11" x14ac:dyDescent="0.3">
      <c r="C90" s="4" t="s">
        <v>28</v>
      </c>
      <c r="D90" s="4" t="s">
        <v>29</v>
      </c>
      <c r="E90" s="4" t="s">
        <v>30</v>
      </c>
      <c r="G90" t="s">
        <v>114</v>
      </c>
      <c r="H90" s="4" t="s">
        <v>33</v>
      </c>
      <c r="I90" s="4">
        <v>13.398</v>
      </c>
      <c r="J90" s="4">
        <v>11.03</v>
      </c>
      <c r="K90" s="8">
        <f t="shared" si="13"/>
        <v>147.77993999999998</v>
      </c>
    </row>
    <row r="91" spans="1:11" x14ac:dyDescent="0.3">
      <c r="A91" t="s">
        <v>109</v>
      </c>
      <c r="B91" s="4" t="s">
        <v>32</v>
      </c>
      <c r="C91" s="4">
        <v>3.0049999999999999</v>
      </c>
      <c r="D91" s="4">
        <v>19.89</v>
      </c>
      <c r="E91" s="8">
        <f t="shared" ref="E91:E96" si="14">C91*D91</f>
        <v>59.769449999999999</v>
      </c>
      <c r="H91" s="4" t="s">
        <v>86</v>
      </c>
      <c r="I91" s="4">
        <v>2</v>
      </c>
      <c r="J91" s="4">
        <v>1.86</v>
      </c>
      <c r="K91" s="8">
        <f t="shared" si="13"/>
        <v>3.72</v>
      </c>
    </row>
    <row r="92" spans="1:11" x14ac:dyDescent="0.3">
      <c r="A92" t="s">
        <v>53</v>
      </c>
      <c r="B92" s="4" t="s">
        <v>33</v>
      </c>
      <c r="C92" s="4">
        <v>15.246</v>
      </c>
      <c r="D92" s="4">
        <v>11.03</v>
      </c>
      <c r="E92" s="8">
        <f t="shared" si="14"/>
        <v>168.16337999999999</v>
      </c>
      <c r="H92" s="4" t="s">
        <v>115</v>
      </c>
      <c r="I92" s="4">
        <v>2</v>
      </c>
      <c r="J92" s="4">
        <v>4.3</v>
      </c>
      <c r="K92" s="4">
        <f t="shared" si="13"/>
        <v>8.6</v>
      </c>
    </row>
    <row r="93" spans="1:11" x14ac:dyDescent="0.3">
      <c r="B93" s="4" t="s">
        <v>86</v>
      </c>
      <c r="C93" s="4">
        <v>2</v>
      </c>
      <c r="D93" s="4">
        <v>1.86</v>
      </c>
      <c r="E93" s="8">
        <f t="shared" si="14"/>
        <v>3.72</v>
      </c>
      <c r="H93" s="4" t="s">
        <v>34</v>
      </c>
      <c r="I93" s="4">
        <v>0.3</v>
      </c>
      <c r="J93" s="4">
        <v>12.43</v>
      </c>
      <c r="K93" s="8">
        <f t="shared" si="13"/>
        <v>3.7289999999999996</v>
      </c>
    </row>
    <row r="94" spans="1:11" x14ac:dyDescent="0.3">
      <c r="B94" s="4" t="s">
        <v>34</v>
      </c>
      <c r="C94" s="4">
        <v>0.3</v>
      </c>
      <c r="D94" s="4">
        <v>13.67</v>
      </c>
      <c r="E94" s="8">
        <f t="shared" si="14"/>
        <v>4.101</v>
      </c>
      <c r="H94" s="4" t="s">
        <v>35</v>
      </c>
      <c r="I94" s="4">
        <v>4</v>
      </c>
      <c r="J94" s="4">
        <v>1.89</v>
      </c>
      <c r="K94" s="8">
        <f t="shared" si="13"/>
        <v>7.56</v>
      </c>
    </row>
    <row r="95" spans="1:11" x14ac:dyDescent="0.3">
      <c r="B95" s="4" t="s">
        <v>35</v>
      </c>
      <c r="C95" s="4">
        <v>4</v>
      </c>
      <c r="D95" s="4">
        <v>1.89</v>
      </c>
      <c r="E95" s="8">
        <f t="shared" si="14"/>
        <v>7.56</v>
      </c>
      <c r="H95" s="4" t="s">
        <v>36</v>
      </c>
      <c r="I95" s="4">
        <v>4</v>
      </c>
      <c r="J95" s="4">
        <v>0.24</v>
      </c>
      <c r="K95" s="8">
        <f t="shared" si="13"/>
        <v>0.96</v>
      </c>
    </row>
    <row r="96" spans="1:11" x14ac:dyDescent="0.3">
      <c r="B96" s="4" t="s">
        <v>36</v>
      </c>
      <c r="C96" s="4">
        <v>4</v>
      </c>
      <c r="D96" s="4">
        <v>0.24</v>
      </c>
      <c r="E96" s="8">
        <f t="shared" si="14"/>
        <v>0.96</v>
      </c>
      <c r="K96" s="9">
        <f>SUM(K88:K95)</f>
        <v>400.14221000000003</v>
      </c>
    </row>
    <row r="97" spans="1:11" x14ac:dyDescent="0.3">
      <c r="E97" s="9">
        <f>SUM(E91:E96)</f>
        <v>244.27383</v>
      </c>
      <c r="H97" s="4" t="s">
        <v>37</v>
      </c>
      <c r="I97">
        <v>35</v>
      </c>
      <c r="J97">
        <v>1.41</v>
      </c>
      <c r="K97" s="8">
        <f>I97*J97</f>
        <v>49.349999999999994</v>
      </c>
    </row>
    <row r="98" spans="1:11" x14ac:dyDescent="0.3">
      <c r="B98" s="4" t="s">
        <v>37</v>
      </c>
      <c r="C98">
        <v>60</v>
      </c>
      <c r="D98">
        <v>1.41</v>
      </c>
      <c r="E98" s="8">
        <f>C98*D98</f>
        <v>84.6</v>
      </c>
      <c r="K98" s="8">
        <f>SUM(K96:K97)</f>
        <v>449.49221</v>
      </c>
    </row>
    <row r="99" spans="1:11" x14ac:dyDescent="0.3">
      <c r="E99" s="8">
        <f>SUM(E97:E98)</f>
        <v>328.87383</v>
      </c>
    </row>
    <row r="100" spans="1:11" x14ac:dyDescent="0.3">
      <c r="I100" s="4" t="s">
        <v>28</v>
      </c>
      <c r="J100" s="4" t="s">
        <v>29</v>
      </c>
      <c r="K100" s="4" t="s">
        <v>30</v>
      </c>
    </row>
    <row r="101" spans="1:11" x14ac:dyDescent="0.3">
      <c r="C101" s="4" t="s">
        <v>28</v>
      </c>
      <c r="D101" s="4" t="s">
        <v>29</v>
      </c>
      <c r="E101" s="4" t="s">
        <v>30</v>
      </c>
      <c r="G101" t="s">
        <v>109</v>
      </c>
      <c r="H101" s="4" t="s">
        <v>32</v>
      </c>
      <c r="I101" s="4">
        <v>2.8679999999999999</v>
      </c>
      <c r="J101" s="4">
        <v>31.41</v>
      </c>
      <c r="K101" s="8">
        <f t="shared" ref="K101:K108" si="15">I101*J101</f>
        <v>90.083879999999994</v>
      </c>
    </row>
    <row r="102" spans="1:11" x14ac:dyDescent="0.3">
      <c r="A102" t="s">
        <v>110</v>
      </c>
      <c r="B102" s="4" t="s">
        <v>32</v>
      </c>
      <c r="C102" s="4">
        <v>3.2879999999999998</v>
      </c>
      <c r="D102" s="4">
        <v>19.89</v>
      </c>
      <c r="E102" s="8">
        <f t="shared" ref="E102:E107" si="16">C102*D102</f>
        <v>65.398319999999998</v>
      </c>
      <c r="G102" t="s">
        <v>53</v>
      </c>
      <c r="H102" s="4" t="s">
        <v>33</v>
      </c>
      <c r="I102" s="4">
        <v>14.553000000000001</v>
      </c>
      <c r="J102" s="4">
        <v>11.03</v>
      </c>
      <c r="K102" s="8">
        <f t="shared" si="15"/>
        <v>160.51958999999999</v>
      </c>
    </row>
    <row r="103" spans="1:11" x14ac:dyDescent="0.3">
      <c r="A103" t="s">
        <v>53</v>
      </c>
      <c r="B103" s="4" t="s">
        <v>33</v>
      </c>
      <c r="C103" s="4">
        <v>17.492999999999999</v>
      </c>
      <c r="D103" s="4">
        <v>11.03</v>
      </c>
      <c r="E103" s="8">
        <f t="shared" si="16"/>
        <v>192.94778999999997</v>
      </c>
      <c r="G103" t="s">
        <v>60</v>
      </c>
      <c r="H103" s="4" t="s">
        <v>33</v>
      </c>
      <c r="I103" s="4">
        <v>14.92</v>
      </c>
      <c r="J103" s="4">
        <v>11.03</v>
      </c>
      <c r="K103" s="8">
        <f t="shared" si="15"/>
        <v>164.5676</v>
      </c>
    </row>
    <row r="104" spans="1:11" x14ac:dyDescent="0.3">
      <c r="B104" s="4" t="s">
        <v>86</v>
      </c>
      <c r="C104" s="4">
        <v>2</v>
      </c>
      <c r="D104" s="4">
        <v>1.86</v>
      </c>
      <c r="E104" s="8">
        <f t="shared" si="16"/>
        <v>3.72</v>
      </c>
      <c r="H104" s="4" t="s">
        <v>90</v>
      </c>
      <c r="I104" s="4">
        <v>2</v>
      </c>
      <c r="J104" s="4">
        <v>1.86</v>
      </c>
      <c r="K104" s="8">
        <f t="shared" si="15"/>
        <v>3.72</v>
      </c>
    </row>
    <row r="105" spans="1:11" x14ac:dyDescent="0.3">
      <c r="B105" s="4" t="s">
        <v>34</v>
      </c>
      <c r="C105" s="4">
        <v>0.3</v>
      </c>
      <c r="D105" s="4">
        <v>13.67</v>
      </c>
      <c r="E105" s="8">
        <f t="shared" si="16"/>
        <v>4.101</v>
      </c>
      <c r="H105" s="4" t="s">
        <v>100</v>
      </c>
      <c r="I105" s="4">
        <v>2</v>
      </c>
      <c r="J105" s="4">
        <v>4.4800000000000004</v>
      </c>
      <c r="K105" s="4">
        <f t="shared" si="15"/>
        <v>8.9600000000000009</v>
      </c>
    </row>
    <row r="106" spans="1:11" x14ac:dyDescent="0.3">
      <c r="B106" s="4" t="s">
        <v>35</v>
      </c>
      <c r="C106" s="4">
        <v>4</v>
      </c>
      <c r="D106" s="4">
        <v>1.89</v>
      </c>
      <c r="E106" s="8">
        <f t="shared" si="16"/>
        <v>7.56</v>
      </c>
      <c r="H106" s="4" t="s">
        <v>34</v>
      </c>
      <c r="I106" s="4">
        <v>0.3</v>
      </c>
      <c r="J106" s="4">
        <v>12.43</v>
      </c>
      <c r="K106" s="8">
        <f t="shared" si="15"/>
        <v>3.7289999999999996</v>
      </c>
    </row>
    <row r="107" spans="1:11" x14ac:dyDescent="0.3">
      <c r="B107" s="4" t="s">
        <v>36</v>
      </c>
      <c r="C107" s="4">
        <v>4</v>
      </c>
      <c r="D107" s="4">
        <v>0.24</v>
      </c>
      <c r="E107" s="8">
        <f t="shared" si="16"/>
        <v>0.96</v>
      </c>
      <c r="H107" s="4" t="s">
        <v>35</v>
      </c>
      <c r="I107" s="4">
        <v>4</v>
      </c>
      <c r="J107" s="4">
        <v>1.89</v>
      </c>
      <c r="K107" s="8">
        <f t="shared" si="15"/>
        <v>7.56</v>
      </c>
    </row>
    <row r="108" spans="1:11" x14ac:dyDescent="0.3">
      <c r="E108" s="9">
        <f>SUM(E102:E107)</f>
        <v>274.68710999999996</v>
      </c>
      <c r="H108" s="4" t="s">
        <v>36</v>
      </c>
      <c r="I108" s="4">
        <v>4</v>
      </c>
      <c r="J108" s="4">
        <v>0.24</v>
      </c>
      <c r="K108" s="8">
        <f t="shared" si="15"/>
        <v>0.96</v>
      </c>
    </row>
    <row r="109" spans="1:11" x14ac:dyDescent="0.3">
      <c r="B109" s="4" t="s">
        <v>37</v>
      </c>
      <c r="C109">
        <v>85</v>
      </c>
      <c r="D109">
        <v>1.41</v>
      </c>
      <c r="E109" s="8">
        <v>85</v>
      </c>
      <c r="K109" s="9">
        <f>SUM(K101:K108)</f>
        <v>440.10006999999996</v>
      </c>
    </row>
    <row r="110" spans="1:11" x14ac:dyDescent="0.3">
      <c r="E110" s="8">
        <f>SUM(E108:E109)</f>
        <v>359.68710999999996</v>
      </c>
      <c r="H110" s="4" t="s">
        <v>37</v>
      </c>
      <c r="I110">
        <v>40</v>
      </c>
      <c r="J110">
        <v>1.41</v>
      </c>
      <c r="K110" s="8">
        <f>I110*J110</f>
        <v>56.4</v>
      </c>
    </row>
    <row r="111" spans="1:11" x14ac:dyDescent="0.3">
      <c r="K111" s="8">
        <f>SUM(K109:K110)</f>
        <v>496.50006999999994</v>
      </c>
    </row>
    <row r="113" spans="7:11" x14ac:dyDescent="0.3">
      <c r="I113" s="4" t="s">
        <v>28</v>
      </c>
      <c r="J113" s="4" t="s">
        <v>29</v>
      </c>
      <c r="K113" s="4" t="s">
        <v>30</v>
      </c>
    </row>
    <row r="114" spans="7:11" x14ac:dyDescent="0.3">
      <c r="G114" t="s">
        <v>110</v>
      </c>
      <c r="H114" s="4" t="s">
        <v>32</v>
      </c>
      <c r="I114" s="4">
        <v>3.2879999999999998</v>
      </c>
      <c r="J114" s="4">
        <v>31.41</v>
      </c>
      <c r="K114" s="8">
        <f t="shared" ref="K114:K121" si="17">I114*J114</f>
        <v>103.27607999999999</v>
      </c>
    </row>
    <row r="115" spans="7:11" x14ac:dyDescent="0.3">
      <c r="G115" t="s">
        <v>53</v>
      </c>
      <c r="H115" s="4" t="s">
        <v>33</v>
      </c>
      <c r="I115" s="4">
        <v>17.492999999999999</v>
      </c>
      <c r="J115" s="4">
        <v>11.03</v>
      </c>
      <c r="K115" s="8">
        <f t="shared" si="17"/>
        <v>192.94778999999997</v>
      </c>
    </row>
    <row r="116" spans="7:11" x14ac:dyDescent="0.3">
      <c r="G116" t="s">
        <v>61</v>
      </c>
      <c r="H116" s="4" t="s">
        <v>33</v>
      </c>
      <c r="I116" s="4">
        <v>17.965</v>
      </c>
      <c r="J116" s="4">
        <v>11.03</v>
      </c>
      <c r="K116" s="8">
        <f t="shared" si="17"/>
        <v>198.15394999999998</v>
      </c>
    </row>
    <row r="117" spans="7:11" x14ac:dyDescent="0.3">
      <c r="H117" s="4" t="s">
        <v>90</v>
      </c>
      <c r="I117" s="4">
        <v>2</v>
      </c>
      <c r="J117" s="4">
        <v>1.86</v>
      </c>
      <c r="K117" s="8">
        <f t="shared" si="17"/>
        <v>3.72</v>
      </c>
    </row>
    <row r="118" spans="7:11" x14ac:dyDescent="0.3">
      <c r="H118" s="4" t="s">
        <v>101</v>
      </c>
      <c r="I118" s="4">
        <v>6</v>
      </c>
      <c r="J118" s="4">
        <v>1.86</v>
      </c>
      <c r="K118" s="4">
        <f t="shared" si="17"/>
        <v>11.16</v>
      </c>
    </row>
    <row r="119" spans="7:11" x14ac:dyDescent="0.3">
      <c r="H119" s="4" t="s">
        <v>34</v>
      </c>
      <c r="I119" s="4">
        <v>0.6</v>
      </c>
      <c r="J119" s="4">
        <v>12.43</v>
      </c>
      <c r="K119" s="8">
        <f t="shared" si="17"/>
        <v>7.4579999999999993</v>
      </c>
    </row>
    <row r="120" spans="7:11" x14ac:dyDescent="0.3">
      <c r="H120" s="4" t="s">
        <v>35</v>
      </c>
      <c r="I120" s="4">
        <v>4</v>
      </c>
      <c r="J120" s="4">
        <v>1.89</v>
      </c>
      <c r="K120" s="8">
        <f t="shared" si="17"/>
        <v>7.56</v>
      </c>
    </row>
    <row r="121" spans="7:11" x14ac:dyDescent="0.3">
      <c r="H121" s="4" t="s">
        <v>36</v>
      </c>
      <c r="I121" s="4">
        <v>4</v>
      </c>
      <c r="J121" s="4">
        <v>0.24</v>
      </c>
      <c r="K121" s="8">
        <f t="shared" si="17"/>
        <v>0.96</v>
      </c>
    </row>
    <row r="122" spans="7:11" x14ac:dyDescent="0.3">
      <c r="K122" s="9">
        <f>SUM(K114:K121)</f>
        <v>525.23581999999999</v>
      </c>
    </row>
    <row r="123" spans="7:11" x14ac:dyDescent="0.3">
      <c r="H123" s="4" t="s">
        <v>37</v>
      </c>
      <c r="I123">
        <v>40</v>
      </c>
      <c r="J123">
        <v>1.41</v>
      </c>
      <c r="K123" s="8">
        <f>I123*J123</f>
        <v>56.4</v>
      </c>
    </row>
    <row r="124" spans="7:11" x14ac:dyDescent="0.3">
      <c r="K124" s="8">
        <f>SUM(K122:K123)</f>
        <v>581.63581999999997</v>
      </c>
    </row>
    <row r="126" spans="7:11" x14ac:dyDescent="0.3">
      <c r="I126" s="4" t="s">
        <v>28</v>
      </c>
      <c r="J126" s="4" t="s">
        <v>29</v>
      </c>
      <c r="K126" s="4" t="s">
        <v>30</v>
      </c>
    </row>
    <row r="127" spans="7:11" x14ac:dyDescent="0.3">
      <c r="G127" t="s">
        <v>518</v>
      </c>
      <c r="H127" s="4" t="s">
        <v>32</v>
      </c>
      <c r="I127" s="4">
        <v>3.5</v>
      </c>
      <c r="J127" s="4">
        <v>31.41</v>
      </c>
      <c r="K127" s="8">
        <f>I127*J127</f>
        <v>109.935</v>
      </c>
    </row>
    <row r="128" spans="7:11" x14ac:dyDescent="0.3">
      <c r="G128" t="s">
        <v>117</v>
      </c>
      <c r="H128" s="4" t="s">
        <v>33</v>
      </c>
      <c r="I128" s="4">
        <v>23.7</v>
      </c>
      <c r="J128" s="4">
        <v>11.03</v>
      </c>
      <c r="K128" s="8">
        <f t="shared" ref="K128:K134" si="18">I128*J128</f>
        <v>261.411</v>
      </c>
    </row>
    <row r="129" spans="7:11" x14ac:dyDescent="0.3">
      <c r="G129" t="s">
        <v>519</v>
      </c>
      <c r="H129" s="4" t="s">
        <v>33</v>
      </c>
      <c r="I129" s="4">
        <v>24.42</v>
      </c>
      <c r="J129" s="4">
        <v>11.03</v>
      </c>
      <c r="K129" s="8">
        <f t="shared" si="18"/>
        <v>269.3526</v>
      </c>
    </row>
    <row r="130" spans="7:11" x14ac:dyDescent="0.3">
      <c r="H130" s="4" t="s">
        <v>90</v>
      </c>
      <c r="I130" s="4">
        <v>2</v>
      </c>
      <c r="J130" s="4">
        <v>1.86</v>
      </c>
      <c r="K130" s="8">
        <f t="shared" si="18"/>
        <v>3.72</v>
      </c>
    </row>
    <row r="131" spans="7:11" x14ac:dyDescent="0.3">
      <c r="H131" s="4" t="s">
        <v>100</v>
      </c>
      <c r="I131" s="4">
        <v>2</v>
      </c>
      <c r="J131" s="4">
        <v>4.4800000000000004</v>
      </c>
      <c r="K131" s="8">
        <f t="shared" si="18"/>
        <v>8.9600000000000009</v>
      </c>
    </row>
    <row r="132" spans="7:11" x14ac:dyDescent="0.3">
      <c r="H132" s="4" t="s">
        <v>34</v>
      </c>
      <c r="I132" s="4">
        <v>0.3</v>
      </c>
      <c r="J132" s="4">
        <v>12.43</v>
      </c>
      <c r="K132" s="8">
        <f t="shared" si="18"/>
        <v>3.7289999999999996</v>
      </c>
    </row>
    <row r="133" spans="7:11" x14ac:dyDescent="0.3">
      <c r="H133" s="4" t="s">
        <v>35</v>
      </c>
      <c r="I133" s="4">
        <v>4</v>
      </c>
      <c r="J133" s="4">
        <v>1.89</v>
      </c>
      <c r="K133" s="8">
        <f t="shared" si="18"/>
        <v>7.56</v>
      </c>
    </row>
    <row r="134" spans="7:11" x14ac:dyDescent="0.3">
      <c r="H134" s="4" t="s">
        <v>36</v>
      </c>
      <c r="I134" s="4">
        <v>4</v>
      </c>
      <c r="J134" s="4">
        <v>0.24</v>
      </c>
      <c r="K134" s="8">
        <f t="shared" si="18"/>
        <v>0.96</v>
      </c>
    </row>
    <row r="135" spans="7:11" x14ac:dyDescent="0.3">
      <c r="K135" s="9">
        <f>SUM(K127:K134)</f>
        <v>665.62760000000003</v>
      </c>
    </row>
    <row r="136" spans="7:11" x14ac:dyDescent="0.3">
      <c r="H136" s="4" t="s">
        <v>37</v>
      </c>
      <c r="I136">
        <v>2.5</v>
      </c>
      <c r="J136">
        <v>212.5</v>
      </c>
      <c r="K136" s="8">
        <f>I136*J136</f>
        <v>531.25</v>
      </c>
    </row>
    <row r="137" spans="7:11" x14ac:dyDescent="0.3">
      <c r="K137" s="8">
        <f>SUM(K135:K136)</f>
        <v>1196.8776</v>
      </c>
    </row>
  </sheetData>
  <pageMargins left="0" right="0" top="0.15748031496062992" bottom="0.15748031496062992" header="0.31496062992125984" footer="0.31496062992125984"/>
  <pageSetup paperSize="9" scale="85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</sheetPr>
  <dimension ref="A1:K124"/>
  <sheetViews>
    <sheetView topLeftCell="A13" workbookViewId="0">
      <selection activeCell="H27" sqref="H27"/>
    </sheetView>
  </sheetViews>
  <sheetFormatPr baseColWidth="10" defaultRowHeight="14.4" x14ac:dyDescent="0.3"/>
  <cols>
    <col min="1" max="1" width="10.5546875" customWidth="1"/>
    <col min="2" max="2" width="10.33203125" customWidth="1"/>
    <col min="3" max="3" width="10.5546875" customWidth="1"/>
    <col min="4" max="4" width="9.44140625" customWidth="1"/>
    <col min="5" max="5" width="10.109375" customWidth="1"/>
    <col min="6" max="6" width="5.33203125" customWidth="1"/>
    <col min="7" max="7" width="10" customWidth="1"/>
    <col min="8" max="8" width="10.44140625" customWidth="1"/>
    <col min="9" max="10" width="10.33203125" customWidth="1"/>
    <col min="11" max="11" width="9.33203125" customWidth="1"/>
  </cols>
  <sheetData>
    <row r="1" spans="1:11" ht="18" x14ac:dyDescent="0.35">
      <c r="A1" s="5" t="s">
        <v>129</v>
      </c>
    </row>
    <row r="3" spans="1:11" x14ac:dyDescent="0.3">
      <c r="A3" t="s">
        <v>135</v>
      </c>
      <c r="G3" t="s">
        <v>271</v>
      </c>
    </row>
    <row r="4" spans="1:11" x14ac:dyDescent="0.3">
      <c r="C4" s="4" t="s">
        <v>28</v>
      </c>
      <c r="D4" s="4" t="s">
        <v>29</v>
      </c>
      <c r="E4" s="4" t="s">
        <v>30</v>
      </c>
      <c r="I4" s="4" t="s">
        <v>28</v>
      </c>
      <c r="J4" s="4" t="s">
        <v>29</v>
      </c>
      <c r="K4" s="4" t="s">
        <v>30</v>
      </c>
    </row>
    <row r="5" spans="1:11" x14ac:dyDescent="0.3">
      <c r="A5" t="s">
        <v>116</v>
      </c>
      <c r="B5" s="4" t="s">
        <v>32</v>
      </c>
      <c r="C5" s="4">
        <v>1.8180000000000001</v>
      </c>
      <c r="D5" s="4">
        <v>19.89</v>
      </c>
      <c r="E5" s="8">
        <f t="shared" ref="E5:E10" si="0">C5*D5</f>
        <v>36.160020000000003</v>
      </c>
      <c r="G5" t="s">
        <v>116</v>
      </c>
      <c r="H5" s="4" t="s">
        <v>32</v>
      </c>
      <c r="I5" s="4">
        <v>1.8180000000000001</v>
      </c>
      <c r="J5" s="4">
        <v>31.41</v>
      </c>
      <c r="K5" s="8">
        <f t="shared" ref="K5:K12" si="1">I5*J5</f>
        <v>57.103380000000001</v>
      </c>
    </row>
    <row r="6" spans="1:11" x14ac:dyDescent="0.3">
      <c r="A6" t="s">
        <v>117</v>
      </c>
      <c r="B6" s="4" t="s">
        <v>33</v>
      </c>
      <c r="C6" s="4">
        <v>7.78</v>
      </c>
      <c r="D6" s="4">
        <v>11.03</v>
      </c>
      <c r="E6" s="8">
        <f t="shared" si="0"/>
        <v>85.813400000000001</v>
      </c>
      <c r="G6" t="s">
        <v>112</v>
      </c>
      <c r="H6" s="4" t="s">
        <v>33</v>
      </c>
      <c r="I6" s="4">
        <v>7.78</v>
      </c>
      <c r="J6" s="4">
        <v>11.03</v>
      </c>
      <c r="K6" s="8">
        <f t="shared" si="1"/>
        <v>85.813400000000001</v>
      </c>
    </row>
    <row r="7" spans="1:11" x14ac:dyDescent="0.3">
      <c r="B7" s="4" t="s">
        <v>87</v>
      </c>
      <c r="C7" s="4">
        <v>2</v>
      </c>
      <c r="D7" s="4">
        <v>1.98</v>
      </c>
      <c r="E7" s="8">
        <f t="shared" si="0"/>
        <v>3.96</v>
      </c>
      <c r="G7" t="s">
        <v>112</v>
      </c>
      <c r="H7" s="4" t="s">
        <v>33</v>
      </c>
      <c r="I7" s="4">
        <v>7.78</v>
      </c>
      <c r="J7" s="4">
        <v>11.03</v>
      </c>
      <c r="K7" s="8">
        <f t="shared" si="1"/>
        <v>85.813400000000001</v>
      </c>
    </row>
    <row r="8" spans="1:11" x14ac:dyDescent="0.3">
      <c r="B8" s="4" t="s">
        <v>34</v>
      </c>
      <c r="C8" s="4"/>
      <c r="D8" s="4"/>
      <c r="E8" s="8">
        <f t="shared" si="0"/>
        <v>0</v>
      </c>
      <c r="H8" s="4" t="s">
        <v>87</v>
      </c>
      <c r="I8" s="4">
        <v>2</v>
      </c>
      <c r="J8" s="4">
        <v>1.98</v>
      </c>
      <c r="K8" s="8">
        <f t="shared" si="1"/>
        <v>3.96</v>
      </c>
    </row>
    <row r="9" spans="1:11" x14ac:dyDescent="0.3">
      <c r="B9" s="4" t="s">
        <v>35</v>
      </c>
      <c r="C9" s="4">
        <v>4</v>
      </c>
      <c r="D9" s="4">
        <v>1.89</v>
      </c>
      <c r="E9" s="8">
        <f t="shared" si="0"/>
        <v>7.56</v>
      </c>
      <c r="H9" s="4" t="s">
        <v>87</v>
      </c>
      <c r="I9" s="4">
        <v>2</v>
      </c>
      <c r="J9" s="4">
        <v>1.98</v>
      </c>
      <c r="K9" s="4">
        <f t="shared" si="1"/>
        <v>3.96</v>
      </c>
    </row>
    <row r="10" spans="1:11" x14ac:dyDescent="0.3">
      <c r="B10" s="4" t="s">
        <v>36</v>
      </c>
      <c r="C10" s="4">
        <v>4</v>
      </c>
      <c r="D10" s="4">
        <v>0.24</v>
      </c>
      <c r="E10" s="8">
        <f t="shared" si="0"/>
        <v>0.96</v>
      </c>
      <c r="H10" s="4" t="s">
        <v>34</v>
      </c>
      <c r="I10" s="4"/>
      <c r="J10" s="4"/>
      <c r="K10" s="8">
        <f t="shared" si="1"/>
        <v>0</v>
      </c>
    </row>
    <row r="11" spans="1:11" x14ac:dyDescent="0.3">
      <c r="E11" s="8">
        <f>SUM(E5:E10)</f>
        <v>134.45341999999999</v>
      </c>
      <c r="H11" s="4" t="s">
        <v>35</v>
      </c>
      <c r="I11" s="4">
        <v>4</v>
      </c>
      <c r="J11" s="4">
        <v>1.89</v>
      </c>
      <c r="K11" s="8">
        <f t="shared" si="1"/>
        <v>7.56</v>
      </c>
    </row>
    <row r="12" spans="1:11" x14ac:dyDescent="0.3">
      <c r="B12" s="4" t="s">
        <v>37</v>
      </c>
      <c r="C12">
        <v>15</v>
      </c>
      <c r="D12">
        <v>1.41</v>
      </c>
      <c r="E12" s="8">
        <f>C12*D12</f>
        <v>21.15</v>
      </c>
      <c r="H12" s="4" t="s">
        <v>36</v>
      </c>
      <c r="I12" s="4">
        <v>4</v>
      </c>
      <c r="J12" s="4">
        <v>0.24</v>
      </c>
      <c r="K12" s="8">
        <f t="shared" si="1"/>
        <v>0.96</v>
      </c>
    </row>
    <row r="13" spans="1:11" x14ac:dyDescent="0.3">
      <c r="E13" s="8">
        <f>SUM(E11:E12)</f>
        <v>155.60342</v>
      </c>
      <c r="K13" s="8">
        <f>SUM(K5:K12)</f>
        <v>245.17018000000004</v>
      </c>
    </row>
    <row r="14" spans="1:11" x14ac:dyDescent="0.3">
      <c r="H14" s="4" t="s">
        <v>37</v>
      </c>
      <c r="I14">
        <v>30</v>
      </c>
      <c r="J14">
        <v>1.41</v>
      </c>
      <c r="K14" s="8">
        <f>I14*J14</f>
        <v>42.3</v>
      </c>
    </row>
    <row r="15" spans="1:11" x14ac:dyDescent="0.3">
      <c r="C15" s="4" t="s">
        <v>28</v>
      </c>
      <c r="D15" s="4" t="s">
        <v>29</v>
      </c>
      <c r="E15" s="4" t="s">
        <v>30</v>
      </c>
      <c r="K15" s="8">
        <f>SUM(K13:K14)</f>
        <v>287.47018000000003</v>
      </c>
    </row>
    <row r="16" spans="1:11" x14ac:dyDescent="0.3">
      <c r="A16" t="s">
        <v>118</v>
      </c>
      <c r="B16" s="4" t="s">
        <v>32</v>
      </c>
      <c r="C16" s="4">
        <v>2.028</v>
      </c>
      <c r="D16" s="4">
        <v>19.89</v>
      </c>
      <c r="E16" s="8">
        <f t="shared" ref="E16:E21" si="2">C16*D16</f>
        <v>40.336919999999999</v>
      </c>
    </row>
    <row r="17" spans="1:11" x14ac:dyDescent="0.3">
      <c r="A17" t="s">
        <v>117</v>
      </c>
      <c r="B17" s="4" t="s">
        <v>33</v>
      </c>
      <c r="C17" s="4">
        <v>9.7750000000000004</v>
      </c>
      <c r="D17" s="4">
        <v>11.03</v>
      </c>
      <c r="E17" s="8">
        <f t="shared" si="2"/>
        <v>107.81824999999999</v>
      </c>
      <c r="I17" s="4" t="s">
        <v>28</v>
      </c>
      <c r="J17" s="4" t="s">
        <v>29</v>
      </c>
      <c r="K17" s="4" t="s">
        <v>30</v>
      </c>
    </row>
    <row r="18" spans="1:11" x14ac:dyDescent="0.3">
      <c r="B18" s="4" t="s">
        <v>87</v>
      </c>
      <c r="C18" s="4">
        <v>2</v>
      </c>
      <c r="D18" s="4">
        <v>1.98</v>
      </c>
      <c r="E18" s="8">
        <f t="shared" si="2"/>
        <v>3.96</v>
      </c>
      <c r="G18" t="s">
        <v>118</v>
      </c>
      <c r="H18" s="4" t="s">
        <v>32</v>
      </c>
      <c r="I18" s="4">
        <v>2.028</v>
      </c>
      <c r="J18" s="4">
        <v>31.41</v>
      </c>
      <c r="K18" s="8">
        <f t="shared" ref="K18:K25" si="3">I18*J18</f>
        <v>63.699480000000001</v>
      </c>
    </row>
    <row r="19" spans="1:11" x14ac:dyDescent="0.3">
      <c r="B19" s="4" t="s">
        <v>34</v>
      </c>
      <c r="C19" s="4"/>
      <c r="D19" s="4"/>
      <c r="E19" s="8">
        <f t="shared" si="2"/>
        <v>0</v>
      </c>
      <c r="G19" t="s">
        <v>112</v>
      </c>
      <c r="H19" s="4" t="s">
        <v>33</v>
      </c>
      <c r="I19" s="4">
        <v>9.7750000000000004</v>
      </c>
      <c r="J19" s="4">
        <v>11.03</v>
      </c>
      <c r="K19" s="8">
        <f t="shared" si="3"/>
        <v>107.81824999999999</v>
      </c>
    </row>
    <row r="20" spans="1:11" x14ac:dyDescent="0.3">
      <c r="B20" s="4" t="s">
        <v>35</v>
      </c>
      <c r="C20" s="4">
        <v>4</v>
      </c>
      <c r="D20" s="4">
        <v>1.89</v>
      </c>
      <c r="E20" s="8">
        <f t="shared" si="2"/>
        <v>7.56</v>
      </c>
      <c r="G20" t="s">
        <v>125</v>
      </c>
      <c r="H20" s="4" t="s">
        <v>33</v>
      </c>
      <c r="I20" s="4">
        <v>9.8279999999999994</v>
      </c>
      <c r="J20" s="4">
        <v>11.03</v>
      </c>
      <c r="K20" s="8">
        <f t="shared" si="3"/>
        <v>108.40283999999998</v>
      </c>
    </row>
    <row r="21" spans="1:11" x14ac:dyDescent="0.3">
      <c r="B21" s="4" t="s">
        <v>36</v>
      </c>
      <c r="C21" s="4">
        <v>4</v>
      </c>
      <c r="D21" s="4">
        <v>0.24</v>
      </c>
      <c r="E21" s="8">
        <f t="shared" si="2"/>
        <v>0.96</v>
      </c>
      <c r="H21" s="4" t="s">
        <v>87</v>
      </c>
      <c r="I21" s="4">
        <v>2</v>
      </c>
      <c r="J21" s="4">
        <v>1.98</v>
      </c>
      <c r="K21" s="8">
        <f t="shared" si="3"/>
        <v>3.96</v>
      </c>
    </row>
    <row r="22" spans="1:11" x14ac:dyDescent="0.3">
      <c r="E22" s="8">
        <f>SUM(E16:E21)</f>
        <v>160.63517000000002</v>
      </c>
      <c r="H22" s="4" t="s">
        <v>113</v>
      </c>
      <c r="I22" s="4">
        <v>2</v>
      </c>
      <c r="J22" s="4">
        <v>2.2400000000000002</v>
      </c>
      <c r="K22" s="4">
        <f t="shared" si="3"/>
        <v>4.4800000000000004</v>
      </c>
    </row>
    <row r="23" spans="1:11" x14ac:dyDescent="0.3">
      <c r="B23" s="4" t="s">
        <v>37</v>
      </c>
      <c r="C23">
        <v>20</v>
      </c>
      <c r="D23">
        <v>1.41</v>
      </c>
      <c r="E23" s="8">
        <f>C23*D23</f>
        <v>28.2</v>
      </c>
      <c r="H23" s="4" t="s">
        <v>34</v>
      </c>
      <c r="I23" s="4"/>
      <c r="J23" s="4"/>
      <c r="K23" s="8">
        <f t="shared" si="3"/>
        <v>0</v>
      </c>
    </row>
    <row r="24" spans="1:11" x14ac:dyDescent="0.3">
      <c r="E24" s="8">
        <f>SUM(E22:E23)</f>
        <v>188.83517000000001</v>
      </c>
      <c r="H24" s="4" t="s">
        <v>35</v>
      </c>
      <c r="I24" s="4">
        <v>4</v>
      </c>
      <c r="J24" s="4">
        <v>1.89</v>
      </c>
      <c r="K24" s="8">
        <f t="shared" si="3"/>
        <v>7.56</v>
      </c>
    </row>
    <row r="25" spans="1:11" x14ac:dyDescent="0.3">
      <c r="H25" s="4" t="s">
        <v>36</v>
      </c>
      <c r="I25" s="4">
        <v>4</v>
      </c>
      <c r="J25" s="4">
        <v>0.24</v>
      </c>
      <c r="K25" s="8">
        <f t="shared" si="3"/>
        <v>0.96</v>
      </c>
    </row>
    <row r="26" spans="1:11" x14ac:dyDescent="0.3">
      <c r="K26" s="8">
        <f>SUM(K18:K25)</f>
        <v>296.88056999999998</v>
      </c>
    </row>
    <row r="27" spans="1:11" x14ac:dyDescent="0.3">
      <c r="C27" s="4" t="s">
        <v>28</v>
      </c>
      <c r="D27" s="4" t="s">
        <v>29</v>
      </c>
      <c r="E27" s="4" t="s">
        <v>30</v>
      </c>
      <c r="H27" s="4" t="s">
        <v>37</v>
      </c>
      <c r="I27">
        <v>20</v>
      </c>
      <c r="J27">
        <v>1.41</v>
      </c>
      <c r="K27" s="8">
        <f>I27*J27</f>
        <v>28.2</v>
      </c>
    </row>
    <row r="28" spans="1:11" x14ac:dyDescent="0.3">
      <c r="A28" t="s">
        <v>119</v>
      </c>
      <c r="B28" s="4" t="s">
        <v>32</v>
      </c>
      <c r="C28" s="4">
        <v>2.35</v>
      </c>
      <c r="D28" s="4">
        <v>19.89</v>
      </c>
      <c r="E28" s="8">
        <f t="shared" ref="E28:E33" si="4">C28*D28</f>
        <v>46.741500000000002</v>
      </c>
      <c r="K28" s="8">
        <f>SUM(K26:K27)</f>
        <v>325.08056999999997</v>
      </c>
    </row>
    <row r="29" spans="1:11" x14ac:dyDescent="0.3">
      <c r="A29" t="s">
        <v>117</v>
      </c>
      <c r="B29" s="4" t="s">
        <v>33</v>
      </c>
      <c r="C29" s="4">
        <v>12.332000000000001</v>
      </c>
      <c r="D29" s="4">
        <v>11.03</v>
      </c>
      <c r="E29" s="8">
        <f t="shared" si="4"/>
        <v>136.02196000000001</v>
      </c>
    </row>
    <row r="30" spans="1:11" x14ac:dyDescent="0.3">
      <c r="B30" s="4" t="s">
        <v>87</v>
      </c>
      <c r="C30" s="4">
        <v>2</v>
      </c>
      <c r="D30" s="4">
        <v>1.98</v>
      </c>
      <c r="E30" s="8">
        <f t="shared" si="4"/>
        <v>3.96</v>
      </c>
      <c r="I30" s="4" t="s">
        <v>28</v>
      </c>
      <c r="J30" s="4" t="s">
        <v>29</v>
      </c>
      <c r="K30" s="4" t="s">
        <v>30</v>
      </c>
    </row>
    <row r="31" spans="1:11" x14ac:dyDescent="0.3">
      <c r="B31" s="4" t="s">
        <v>34</v>
      </c>
      <c r="C31" s="4">
        <v>0.4</v>
      </c>
      <c r="D31" s="4">
        <v>12.43</v>
      </c>
      <c r="E31" s="8">
        <f t="shared" si="4"/>
        <v>4.9720000000000004</v>
      </c>
      <c r="G31" t="s">
        <v>119</v>
      </c>
      <c r="H31" s="4" t="s">
        <v>32</v>
      </c>
      <c r="I31" s="4">
        <v>2.238</v>
      </c>
      <c r="J31" s="4">
        <v>31.41</v>
      </c>
      <c r="K31" s="8">
        <f t="shared" ref="K31:K38" si="5">I31*J31</f>
        <v>70.295580000000001</v>
      </c>
    </row>
    <row r="32" spans="1:11" x14ac:dyDescent="0.3">
      <c r="B32" s="4" t="s">
        <v>35</v>
      </c>
      <c r="C32" s="4">
        <v>4</v>
      </c>
      <c r="D32" s="4">
        <v>1.89</v>
      </c>
      <c r="E32" s="8">
        <f t="shared" si="4"/>
        <v>7.56</v>
      </c>
      <c r="G32" t="s">
        <v>112</v>
      </c>
      <c r="H32" s="4" t="s">
        <v>33</v>
      </c>
      <c r="I32" s="4">
        <v>11.77</v>
      </c>
      <c r="J32" s="4">
        <v>11.03</v>
      </c>
      <c r="K32" s="8">
        <f t="shared" si="5"/>
        <v>129.82309999999998</v>
      </c>
    </row>
    <row r="33" spans="1:11" x14ac:dyDescent="0.3">
      <c r="B33" s="4" t="s">
        <v>36</v>
      </c>
      <c r="C33" s="4">
        <v>4</v>
      </c>
      <c r="D33" s="4">
        <v>0.24</v>
      </c>
      <c r="E33" s="8">
        <f t="shared" si="4"/>
        <v>0.96</v>
      </c>
      <c r="G33" t="s">
        <v>126</v>
      </c>
      <c r="H33" s="4" t="s">
        <v>33</v>
      </c>
      <c r="I33" s="4">
        <v>11.875</v>
      </c>
      <c r="J33" s="4">
        <v>11.03</v>
      </c>
      <c r="K33" s="8">
        <f t="shared" si="5"/>
        <v>130.98124999999999</v>
      </c>
    </row>
    <row r="34" spans="1:11" x14ac:dyDescent="0.3">
      <c r="E34" s="8">
        <f>SUM(E28:E33)</f>
        <v>200.21546000000004</v>
      </c>
      <c r="H34" s="4" t="s">
        <v>87</v>
      </c>
      <c r="I34" s="4">
        <v>2</v>
      </c>
      <c r="J34" s="4">
        <v>1.98</v>
      </c>
      <c r="K34" s="8">
        <f t="shared" si="5"/>
        <v>3.96</v>
      </c>
    </row>
    <row r="35" spans="1:11" x14ac:dyDescent="0.3">
      <c r="B35" s="4" t="s">
        <v>37</v>
      </c>
      <c r="C35">
        <v>1.5</v>
      </c>
      <c r="D35">
        <v>85</v>
      </c>
      <c r="E35" s="8">
        <f>C35*D35</f>
        <v>127.5</v>
      </c>
      <c r="H35" s="4" t="s">
        <v>98</v>
      </c>
      <c r="I35" s="4">
        <v>2</v>
      </c>
      <c r="J35" s="4">
        <v>3.8</v>
      </c>
      <c r="K35" s="4">
        <f t="shared" si="5"/>
        <v>7.6</v>
      </c>
    </row>
    <row r="36" spans="1:11" x14ac:dyDescent="0.3">
      <c r="E36" s="8">
        <f>SUM(E34:E35)</f>
        <v>327.71546000000001</v>
      </c>
      <c r="H36" s="4" t="s">
        <v>34</v>
      </c>
      <c r="I36" s="4">
        <v>0.8</v>
      </c>
      <c r="J36" s="4">
        <v>12.43</v>
      </c>
      <c r="K36" s="8">
        <f t="shared" si="5"/>
        <v>9.9440000000000008</v>
      </c>
    </row>
    <row r="37" spans="1:11" x14ac:dyDescent="0.3">
      <c r="H37" s="4" t="s">
        <v>35</v>
      </c>
      <c r="I37" s="4">
        <v>4</v>
      </c>
      <c r="J37" s="4">
        <v>1.89</v>
      </c>
      <c r="K37" s="8">
        <f t="shared" si="5"/>
        <v>7.56</v>
      </c>
    </row>
    <row r="38" spans="1:11" x14ac:dyDescent="0.3">
      <c r="C38" s="4" t="s">
        <v>28</v>
      </c>
      <c r="D38" s="4" t="s">
        <v>29</v>
      </c>
      <c r="E38" s="4" t="s">
        <v>30</v>
      </c>
      <c r="H38" s="4" t="s">
        <v>36</v>
      </c>
      <c r="I38" s="4">
        <v>4</v>
      </c>
      <c r="J38" s="4">
        <v>0.24</v>
      </c>
      <c r="K38" s="8">
        <f t="shared" si="5"/>
        <v>0.96</v>
      </c>
    </row>
    <row r="39" spans="1:11" x14ac:dyDescent="0.3">
      <c r="A39" t="s">
        <v>335</v>
      </c>
      <c r="B39" s="4" t="s">
        <v>32</v>
      </c>
      <c r="C39" s="4">
        <v>2.448</v>
      </c>
      <c r="D39" s="4">
        <v>19.89</v>
      </c>
      <c r="E39" s="8">
        <f t="shared" ref="E39:E44" si="6">C39*D39</f>
        <v>48.690719999999999</v>
      </c>
      <c r="K39" s="8"/>
    </row>
    <row r="40" spans="1:11" x14ac:dyDescent="0.3">
      <c r="A40" t="s">
        <v>218</v>
      </c>
      <c r="B40" s="4" t="s">
        <v>33</v>
      </c>
      <c r="C40" s="4">
        <v>13.765000000000001</v>
      </c>
      <c r="D40" s="4">
        <v>11.03</v>
      </c>
      <c r="E40" s="8">
        <f t="shared" si="6"/>
        <v>151.82794999999999</v>
      </c>
      <c r="K40" s="8">
        <f>SUM(K31:K38)</f>
        <v>361.12392999999997</v>
      </c>
    </row>
    <row r="41" spans="1:11" x14ac:dyDescent="0.3">
      <c r="B41" s="4" t="s">
        <v>87</v>
      </c>
      <c r="C41" s="4">
        <v>2</v>
      </c>
      <c r="D41" s="4">
        <v>1.98</v>
      </c>
      <c r="E41" s="8">
        <f t="shared" si="6"/>
        <v>3.96</v>
      </c>
      <c r="H41" s="4" t="s">
        <v>37</v>
      </c>
      <c r="I41">
        <v>30</v>
      </c>
      <c r="J41">
        <v>1.41</v>
      </c>
      <c r="K41" s="8">
        <f>I41*J41</f>
        <v>42.3</v>
      </c>
    </row>
    <row r="42" spans="1:11" x14ac:dyDescent="0.3">
      <c r="B42" s="4" t="s">
        <v>34</v>
      </c>
      <c r="C42" s="4">
        <v>0.4</v>
      </c>
      <c r="D42" s="4">
        <v>12.43</v>
      </c>
      <c r="E42" s="8">
        <f t="shared" si="6"/>
        <v>4.9720000000000004</v>
      </c>
      <c r="K42" s="8">
        <f>SUM(K40:K41)</f>
        <v>403.42392999999998</v>
      </c>
    </row>
    <row r="43" spans="1:11" x14ac:dyDescent="0.3">
      <c r="B43" s="4" t="s">
        <v>35</v>
      </c>
      <c r="C43" s="4">
        <v>4</v>
      </c>
      <c r="D43" s="4">
        <v>1.89</v>
      </c>
      <c r="E43" s="8">
        <f t="shared" si="6"/>
        <v>7.56</v>
      </c>
    </row>
    <row r="44" spans="1:11" x14ac:dyDescent="0.3">
      <c r="B44" s="4" t="s">
        <v>36</v>
      </c>
      <c r="C44" s="4">
        <v>4</v>
      </c>
      <c r="D44" s="4">
        <v>0.24</v>
      </c>
      <c r="E44" s="8">
        <f t="shared" si="6"/>
        <v>0.96</v>
      </c>
    </row>
    <row r="45" spans="1:11" x14ac:dyDescent="0.3">
      <c r="E45" s="8">
        <f>SUM(E39:E44)</f>
        <v>217.97067000000001</v>
      </c>
      <c r="I45" s="4" t="s">
        <v>28</v>
      </c>
      <c r="J45" s="4" t="s">
        <v>29</v>
      </c>
      <c r="K45" s="4" t="s">
        <v>30</v>
      </c>
    </row>
    <row r="46" spans="1:11" x14ac:dyDescent="0.3">
      <c r="B46" s="4" t="s">
        <v>37</v>
      </c>
      <c r="C46">
        <v>20</v>
      </c>
      <c r="D46">
        <v>1.41</v>
      </c>
      <c r="E46" s="8">
        <f>C46*D46</f>
        <v>28.2</v>
      </c>
      <c r="G46" t="s">
        <v>120</v>
      </c>
      <c r="H46" s="4" t="s">
        <v>32</v>
      </c>
      <c r="I46" s="4">
        <v>2.448</v>
      </c>
      <c r="J46" s="4">
        <v>31.41</v>
      </c>
      <c r="K46" s="8">
        <f t="shared" ref="K46:K53" si="7">I46*J46</f>
        <v>76.891679999999994</v>
      </c>
    </row>
    <row r="47" spans="1:11" x14ac:dyDescent="0.3">
      <c r="E47" s="8">
        <f>SUM(E45:E46)</f>
        <v>246.17067</v>
      </c>
      <c r="G47" t="s">
        <v>112</v>
      </c>
      <c r="H47" s="4" t="s">
        <v>33</v>
      </c>
      <c r="I47" s="4">
        <v>13.765000000000001</v>
      </c>
      <c r="J47" s="4">
        <v>11.03</v>
      </c>
      <c r="K47" s="8">
        <f t="shared" si="7"/>
        <v>151.82794999999999</v>
      </c>
    </row>
    <row r="48" spans="1:11" x14ac:dyDescent="0.3">
      <c r="G48" t="s">
        <v>127</v>
      </c>
      <c r="H48" s="4" t="s">
        <v>33</v>
      </c>
      <c r="I48" s="4">
        <v>13.923</v>
      </c>
      <c r="J48" s="4">
        <v>11.03</v>
      </c>
      <c r="K48" s="8">
        <f t="shared" si="7"/>
        <v>153.57068999999998</v>
      </c>
    </row>
    <row r="49" spans="1:11" x14ac:dyDescent="0.3">
      <c r="H49" s="4" t="s">
        <v>87</v>
      </c>
      <c r="I49" s="4">
        <v>2</v>
      </c>
      <c r="J49" s="4">
        <v>1.98</v>
      </c>
      <c r="K49" s="8">
        <f t="shared" si="7"/>
        <v>3.96</v>
      </c>
    </row>
    <row r="50" spans="1:11" x14ac:dyDescent="0.3">
      <c r="H50" s="4" t="s">
        <v>98</v>
      </c>
      <c r="I50" s="4">
        <v>2</v>
      </c>
      <c r="J50" s="4">
        <v>3.8</v>
      </c>
      <c r="K50" s="4">
        <f t="shared" si="7"/>
        <v>7.6</v>
      </c>
    </row>
    <row r="51" spans="1:11" x14ac:dyDescent="0.3">
      <c r="H51" s="4" t="s">
        <v>34</v>
      </c>
      <c r="I51" s="4">
        <v>0.8</v>
      </c>
      <c r="J51" s="4">
        <v>12.43</v>
      </c>
      <c r="K51" s="8">
        <f t="shared" si="7"/>
        <v>9.9440000000000008</v>
      </c>
    </row>
    <row r="52" spans="1:11" x14ac:dyDescent="0.3">
      <c r="H52" s="4" t="s">
        <v>35</v>
      </c>
      <c r="I52" s="4">
        <v>4</v>
      </c>
      <c r="J52" s="4">
        <v>1.89</v>
      </c>
      <c r="K52" s="8">
        <f t="shared" si="7"/>
        <v>7.56</v>
      </c>
    </row>
    <row r="53" spans="1:11" x14ac:dyDescent="0.3">
      <c r="C53" s="4" t="s">
        <v>28</v>
      </c>
      <c r="D53" s="4" t="s">
        <v>29</v>
      </c>
      <c r="E53" s="4" t="s">
        <v>30</v>
      </c>
      <c r="H53" s="4" t="s">
        <v>36</v>
      </c>
      <c r="I53" s="4">
        <v>4</v>
      </c>
      <c r="J53" s="4">
        <v>0.24</v>
      </c>
      <c r="K53" s="8">
        <f t="shared" si="7"/>
        <v>0.96</v>
      </c>
    </row>
    <row r="54" spans="1:11" x14ac:dyDescent="0.3">
      <c r="A54" t="s">
        <v>120</v>
      </c>
      <c r="B54" s="4" t="s">
        <v>32</v>
      </c>
      <c r="C54" s="4">
        <v>2.448</v>
      </c>
      <c r="D54" s="4">
        <v>19.89</v>
      </c>
      <c r="E54" s="8">
        <f t="shared" ref="E54:E59" si="8">C54*D54</f>
        <v>48.690719999999999</v>
      </c>
      <c r="K54" s="8">
        <f>SUM(K46:K53)</f>
        <v>412.31431999999995</v>
      </c>
    </row>
    <row r="55" spans="1:11" x14ac:dyDescent="0.3">
      <c r="A55" t="s">
        <v>117</v>
      </c>
      <c r="B55" s="4" t="s">
        <v>33</v>
      </c>
      <c r="C55" s="4">
        <v>13.765000000000001</v>
      </c>
      <c r="D55" s="4">
        <v>11.03</v>
      </c>
      <c r="E55" s="8">
        <f t="shared" si="8"/>
        <v>151.82794999999999</v>
      </c>
      <c r="H55" s="4" t="s">
        <v>37</v>
      </c>
      <c r="I55">
        <v>35</v>
      </c>
      <c r="J55">
        <v>1.41</v>
      </c>
      <c r="K55" s="8">
        <f>I55*J55</f>
        <v>49.349999999999994</v>
      </c>
    </row>
    <row r="56" spans="1:11" x14ac:dyDescent="0.3">
      <c r="B56" s="4" t="s">
        <v>87</v>
      </c>
      <c r="C56" s="4">
        <v>2</v>
      </c>
      <c r="D56" s="4">
        <v>1.98</v>
      </c>
      <c r="E56" s="8">
        <f t="shared" si="8"/>
        <v>3.96</v>
      </c>
      <c r="K56" s="8">
        <f>SUM(K54:K55)</f>
        <v>461.66431999999998</v>
      </c>
    </row>
    <row r="57" spans="1:11" x14ac:dyDescent="0.3">
      <c r="B57" s="4" t="s">
        <v>34</v>
      </c>
      <c r="C57" s="4">
        <v>0.4</v>
      </c>
      <c r="D57" s="4">
        <v>12.43</v>
      </c>
      <c r="E57" s="8">
        <f t="shared" si="8"/>
        <v>4.9720000000000004</v>
      </c>
    </row>
    <row r="58" spans="1:11" x14ac:dyDescent="0.3">
      <c r="B58" s="4" t="s">
        <v>35</v>
      </c>
      <c r="C58" s="4">
        <v>4</v>
      </c>
      <c r="D58" s="4">
        <v>1.89</v>
      </c>
      <c r="E58" s="8">
        <f t="shared" si="8"/>
        <v>7.56</v>
      </c>
      <c r="I58" s="4" t="s">
        <v>28</v>
      </c>
      <c r="J58" s="4" t="s">
        <v>29</v>
      </c>
      <c r="K58" s="4" t="s">
        <v>30</v>
      </c>
    </row>
    <row r="59" spans="1:11" x14ac:dyDescent="0.3">
      <c r="B59" s="4" t="s">
        <v>36</v>
      </c>
      <c r="C59" s="4">
        <v>4</v>
      </c>
      <c r="D59" s="4">
        <v>0.24</v>
      </c>
      <c r="E59" s="8">
        <f t="shared" si="8"/>
        <v>0.96</v>
      </c>
      <c r="G59" t="s">
        <v>121</v>
      </c>
      <c r="H59" s="4" t="s">
        <v>32</v>
      </c>
      <c r="I59" s="4">
        <v>2.6579999999999999</v>
      </c>
      <c r="J59" s="4">
        <v>31.41</v>
      </c>
      <c r="K59" s="8">
        <f t="shared" ref="K59:K66" si="9">I59*J59</f>
        <v>83.487780000000001</v>
      </c>
    </row>
    <row r="60" spans="1:11" x14ac:dyDescent="0.3">
      <c r="E60" s="8">
        <f>SUM(E54:E59)</f>
        <v>217.97067000000001</v>
      </c>
      <c r="G60" t="s">
        <v>117</v>
      </c>
      <c r="H60" s="4" t="s">
        <v>33</v>
      </c>
      <c r="I60" s="4">
        <v>15.76</v>
      </c>
      <c r="J60" s="4">
        <v>11.03</v>
      </c>
      <c r="K60" s="8">
        <f t="shared" si="9"/>
        <v>173.83279999999999</v>
      </c>
    </row>
    <row r="61" spans="1:11" x14ac:dyDescent="0.3">
      <c r="B61" s="4" t="s">
        <v>37</v>
      </c>
      <c r="C61">
        <v>20</v>
      </c>
      <c r="D61">
        <v>1.41</v>
      </c>
      <c r="E61" s="8">
        <f>C61*D61</f>
        <v>28.2</v>
      </c>
      <c r="G61" t="s">
        <v>58</v>
      </c>
      <c r="H61" s="4" t="s">
        <v>33</v>
      </c>
      <c r="I61" s="4">
        <v>15.97</v>
      </c>
      <c r="J61" s="4">
        <v>11.03</v>
      </c>
      <c r="K61" s="8">
        <f t="shared" si="9"/>
        <v>176.1491</v>
      </c>
    </row>
    <row r="62" spans="1:11" x14ac:dyDescent="0.3">
      <c r="E62" s="8">
        <f>SUM(E60:E61)</f>
        <v>246.17067</v>
      </c>
      <c r="H62" s="4" t="s">
        <v>87</v>
      </c>
      <c r="I62" s="4">
        <v>2</v>
      </c>
      <c r="J62" s="4">
        <v>1.98</v>
      </c>
      <c r="K62" s="8">
        <f t="shared" si="9"/>
        <v>3.96</v>
      </c>
    </row>
    <row r="63" spans="1:11" x14ac:dyDescent="0.3">
      <c r="H63" s="4" t="s">
        <v>92</v>
      </c>
      <c r="I63" s="4">
        <v>2</v>
      </c>
      <c r="J63" s="4">
        <v>4</v>
      </c>
      <c r="K63" s="4">
        <f t="shared" si="9"/>
        <v>8</v>
      </c>
    </row>
    <row r="64" spans="1:11" x14ac:dyDescent="0.3">
      <c r="H64" s="4" t="s">
        <v>34</v>
      </c>
      <c r="I64" s="4">
        <v>0.8</v>
      </c>
      <c r="J64" s="4">
        <v>12.43</v>
      </c>
      <c r="K64" s="8">
        <f t="shared" si="9"/>
        <v>9.9440000000000008</v>
      </c>
    </row>
    <row r="65" spans="1:11" x14ac:dyDescent="0.3">
      <c r="C65" s="4" t="s">
        <v>28</v>
      </c>
      <c r="D65" s="4" t="s">
        <v>29</v>
      </c>
      <c r="E65" s="4" t="s">
        <v>30</v>
      </c>
      <c r="H65" s="4" t="s">
        <v>35</v>
      </c>
      <c r="I65" s="4">
        <v>4</v>
      </c>
      <c r="J65" s="4">
        <v>1.89</v>
      </c>
      <c r="K65" s="8">
        <f t="shared" si="9"/>
        <v>7.56</v>
      </c>
    </row>
    <row r="66" spans="1:11" x14ac:dyDescent="0.3">
      <c r="A66" t="s">
        <v>121</v>
      </c>
      <c r="B66" s="4" t="s">
        <v>32</v>
      </c>
      <c r="C66" s="4">
        <v>2.6579999999999999</v>
      </c>
      <c r="D66" s="4">
        <v>19.89</v>
      </c>
      <c r="E66" s="8">
        <f t="shared" ref="E66:E71" si="10">C66*D66</f>
        <v>52.867620000000002</v>
      </c>
      <c r="H66" s="4" t="s">
        <v>36</v>
      </c>
      <c r="I66" s="4">
        <v>4</v>
      </c>
      <c r="J66" s="4">
        <v>0.24</v>
      </c>
      <c r="K66" s="8">
        <f t="shared" si="9"/>
        <v>0.96</v>
      </c>
    </row>
    <row r="67" spans="1:11" x14ac:dyDescent="0.3">
      <c r="A67" t="s">
        <v>117</v>
      </c>
      <c r="B67" s="4" t="s">
        <v>33</v>
      </c>
      <c r="C67" s="4">
        <v>15.76</v>
      </c>
      <c r="D67" s="4">
        <v>11.03</v>
      </c>
      <c r="E67" s="8">
        <f t="shared" si="10"/>
        <v>173.83279999999999</v>
      </c>
      <c r="K67" s="8">
        <f>SUM(K59:K66)</f>
        <v>463.89368000000002</v>
      </c>
    </row>
    <row r="68" spans="1:11" x14ac:dyDescent="0.3">
      <c r="B68" s="4" t="s">
        <v>87</v>
      </c>
      <c r="C68" s="4">
        <v>2</v>
      </c>
      <c r="D68" s="4">
        <v>1.98</v>
      </c>
      <c r="E68" s="8">
        <f t="shared" si="10"/>
        <v>3.96</v>
      </c>
      <c r="H68" s="4" t="s">
        <v>37</v>
      </c>
      <c r="I68">
        <v>35</v>
      </c>
      <c r="J68">
        <v>1.41</v>
      </c>
      <c r="K68" s="8">
        <f>I68*J68</f>
        <v>49.349999999999994</v>
      </c>
    </row>
    <row r="69" spans="1:11" x14ac:dyDescent="0.3">
      <c r="B69" s="4" t="s">
        <v>34</v>
      </c>
      <c r="C69" s="4">
        <v>0.4</v>
      </c>
      <c r="D69" s="4">
        <v>12.43</v>
      </c>
      <c r="E69" s="8">
        <f t="shared" si="10"/>
        <v>4.9720000000000004</v>
      </c>
      <c r="K69" s="8">
        <f>SUM(K67:K68)</f>
        <v>513.24368000000004</v>
      </c>
    </row>
    <row r="70" spans="1:11" x14ac:dyDescent="0.3">
      <c r="B70" s="4" t="s">
        <v>35</v>
      </c>
      <c r="C70" s="4">
        <v>4</v>
      </c>
      <c r="D70" s="4">
        <v>1.89</v>
      </c>
      <c r="E70" s="8">
        <f t="shared" si="10"/>
        <v>7.56</v>
      </c>
    </row>
    <row r="71" spans="1:11" x14ac:dyDescent="0.3">
      <c r="B71" s="4" t="s">
        <v>36</v>
      </c>
      <c r="C71" s="4">
        <v>4</v>
      </c>
      <c r="D71" s="4">
        <v>0.24</v>
      </c>
      <c r="E71" s="8">
        <f t="shared" si="10"/>
        <v>0.96</v>
      </c>
    </row>
    <row r="72" spans="1:11" x14ac:dyDescent="0.3">
      <c r="E72" s="8">
        <f>SUM(E66:E71)</f>
        <v>244.15242000000003</v>
      </c>
      <c r="I72" s="4" t="s">
        <v>28</v>
      </c>
      <c r="J72" s="4" t="s">
        <v>29</v>
      </c>
      <c r="K72" s="4" t="s">
        <v>30</v>
      </c>
    </row>
    <row r="73" spans="1:11" x14ac:dyDescent="0.3">
      <c r="B73" s="4" t="s">
        <v>37</v>
      </c>
      <c r="C73">
        <v>25</v>
      </c>
      <c r="D73">
        <v>1.41</v>
      </c>
      <c r="E73" s="8">
        <f>C73*D73</f>
        <v>35.25</v>
      </c>
      <c r="G73" t="s">
        <v>122</v>
      </c>
      <c r="H73" s="4" t="s">
        <v>32</v>
      </c>
      <c r="I73" s="4">
        <v>2.8679999999999999</v>
      </c>
      <c r="J73" s="4">
        <v>31.41</v>
      </c>
      <c r="K73" s="8">
        <f t="shared" ref="K73:K80" si="11">I73*J73</f>
        <v>90.083879999999994</v>
      </c>
    </row>
    <row r="74" spans="1:11" x14ac:dyDescent="0.3">
      <c r="E74" s="8">
        <f>SUM(E72:E73)</f>
        <v>279.40242000000001</v>
      </c>
      <c r="G74" t="s">
        <v>117</v>
      </c>
      <c r="H74" s="4" t="s">
        <v>33</v>
      </c>
      <c r="I74" s="4">
        <v>17.754999999999999</v>
      </c>
      <c r="J74" s="4">
        <v>11.03</v>
      </c>
      <c r="K74" s="8">
        <f t="shared" si="11"/>
        <v>195.83764999999997</v>
      </c>
    </row>
    <row r="75" spans="1:11" x14ac:dyDescent="0.3">
      <c r="G75" t="s">
        <v>114</v>
      </c>
      <c r="H75" s="4" t="s">
        <v>33</v>
      </c>
      <c r="I75" s="4">
        <v>18.018000000000001</v>
      </c>
      <c r="J75" s="4">
        <v>11.03</v>
      </c>
      <c r="K75" s="8">
        <f t="shared" si="11"/>
        <v>198.73854</v>
      </c>
    </row>
    <row r="76" spans="1:11" x14ac:dyDescent="0.3">
      <c r="C76" s="4" t="s">
        <v>28</v>
      </c>
      <c r="D76" s="4" t="s">
        <v>29</v>
      </c>
      <c r="E76" s="4" t="s">
        <v>30</v>
      </c>
      <c r="H76" s="4" t="s">
        <v>87</v>
      </c>
      <c r="I76" s="4">
        <v>2</v>
      </c>
      <c r="J76" s="4">
        <v>1.98</v>
      </c>
      <c r="K76" s="8">
        <f t="shared" si="11"/>
        <v>3.96</v>
      </c>
    </row>
    <row r="77" spans="1:11" x14ac:dyDescent="0.3">
      <c r="A77" t="s">
        <v>122</v>
      </c>
      <c r="B77" s="4" t="s">
        <v>32</v>
      </c>
      <c r="C77" s="4">
        <v>3.0059999999999998</v>
      </c>
      <c r="D77" s="4">
        <v>19.89</v>
      </c>
      <c r="E77" s="8">
        <f t="shared" ref="E77:E82" si="12">C77*D77</f>
        <v>59.789339999999996</v>
      </c>
      <c r="H77" s="4" t="s">
        <v>115</v>
      </c>
      <c r="I77" s="4">
        <v>2</v>
      </c>
      <c r="J77" s="4">
        <v>4.3</v>
      </c>
      <c r="K77" s="4">
        <f t="shared" si="11"/>
        <v>8.6</v>
      </c>
    </row>
    <row r="78" spans="1:11" x14ac:dyDescent="0.3">
      <c r="A78" t="s">
        <v>117</v>
      </c>
      <c r="B78" s="4" t="s">
        <v>33</v>
      </c>
      <c r="C78" s="4">
        <v>18.600999999999999</v>
      </c>
      <c r="D78" s="4">
        <v>11.03</v>
      </c>
      <c r="E78" s="8">
        <f t="shared" si="12"/>
        <v>205.16902999999999</v>
      </c>
      <c r="H78" s="4" t="s">
        <v>34</v>
      </c>
      <c r="I78" s="4">
        <v>0.8</v>
      </c>
      <c r="J78" s="4">
        <v>12.43</v>
      </c>
      <c r="K78" s="8">
        <f t="shared" si="11"/>
        <v>9.9440000000000008</v>
      </c>
    </row>
    <row r="79" spans="1:11" x14ac:dyDescent="0.3">
      <c r="B79" s="4" t="s">
        <v>87</v>
      </c>
      <c r="C79" s="4">
        <v>2</v>
      </c>
      <c r="D79" s="4">
        <v>1.98</v>
      </c>
      <c r="E79" s="8">
        <f t="shared" si="12"/>
        <v>3.96</v>
      </c>
      <c r="H79" s="4" t="s">
        <v>35</v>
      </c>
      <c r="I79" s="4">
        <v>4</v>
      </c>
      <c r="J79" s="4">
        <v>1.89</v>
      </c>
      <c r="K79" s="8">
        <f t="shared" si="11"/>
        <v>7.56</v>
      </c>
    </row>
    <row r="80" spans="1:11" x14ac:dyDescent="0.3">
      <c r="B80" s="4" t="s">
        <v>34</v>
      </c>
      <c r="C80" s="4">
        <v>1.2</v>
      </c>
      <c r="D80" s="4">
        <v>12.43</v>
      </c>
      <c r="E80" s="8">
        <f t="shared" si="12"/>
        <v>14.915999999999999</v>
      </c>
      <c r="H80" s="4" t="s">
        <v>36</v>
      </c>
      <c r="I80" s="4">
        <v>4</v>
      </c>
      <c r="J80" s="4">
        <v>0.24</v>
      </c>
      <c r="K80" s="8">
        <f t="shared" si="11"/>
        <v>0.96</v>
      </c>
    </row>
    <row r="81" spans="1:11" x14ac:dyDescent="0.3">
      <c r="B81" s="4" t="s">
        <v>35</v>
      </c>
      <c r="C81" s="4">
        <v>4</v>
      </c>
      <c r="D81" s="4">
        <v>1.89</v>
      </c>
      <c r="E81" s="8">
        <f t="shared" si="12"/>
        <v>7.56</v>
      </c>
      <c r="K81" s="9">
        <f>SUM(K73:K80)</f>
        <v>515.68407000000002</v>
      </c>
    </row>
    <row r="82" spans="1:11" x14ac:dyDescent="0.3">
      <c r="B82" s="4" t="s">
        <v>36</v>
      </c>
      <c r="C82" s="4">
        <v>4</v>
      </c>
      <c r="D82" s="4">
        <v>0.24</v>
      </c>
      <c r="E82" s="8">
        <f t="shared" si="12"/>
        <v>0.96</v>
      </c>
      <c r="H82" s="4" t="s">
        <v>37</v>
      </c>
      <c r="I82">
        <v>35</v>
      </c>
      <c r="J82">
        <v>1.41</v>
      </c>
      <c r="K82" s="8">
        <f>I82*J82</f>
        <v>49.349999999999994</v>
      </c>
    </row>
    <row r="83" spans="1:11" x14ac:dyDescent="0.3">
      <c r="E83" s="8">
        <f>SUM(E77:E82)</f>
        <v>292.35436999999996</v>
      </c>
      <c r="K83" s="8">
        <f>SUM(K81:K82)</f>
        <v>565.03407000000004</v>
      </c>
    </row>
    <row r="84" spans="1:11" x14ac:dyDescent="0.3">
      <c r="B84" s="4" t="s">
        <v>37</v>
      </c>
      <c r="C84">
        <v>1</v>
      </c>
      <c r="D84">
        <v>85</v>
      </c>
      <c r="E84" s="8">
        <v>85</v>
      </c>
    </row>
    <row r="85" spans="1:11" x14ac:dyDescent="0.3">
      <c r="E85" s="8">
        <f>SUM(E83:E84)</f>
        <v>377.35436999999996</v>
      </c>
    </row>
    <row r="86" spans="1:11" x14ac:dyDescent="0.3">
      <c r="I86" s="4" t="s">
        <v>28</v>
      </c>
      <c r="J86" s="4" t="s">
        <v>29</v>
      </c>
      <c r="K86" s="4" t="s">
        <v>30</v>
      </c>
    </row>
    <row r="87" spans="1:11" x14ac:dyDescent="0.3">
      <c r="G87" t="s">
        <v>123</v>
      </c>
      <c r="H87" s="4" t="s">
        <v>32</v>
      </c>
      <c r="I87" s="4">
        <v>3.0779999999999998</v>
      </c>
      <c r="J87" s="4">
        <v>31.41</v>
      </c>
      <c r="K87" s="8">
        <f t="shared" ref="K87:K94" si="13">I87*J87</f>
        <v>96.67998</v>
      </c>
    </row>
    <row r="88" spans="1:11" x14ac:dyDescent="0.3">
      <c r="C88" s="4" t="s">
        <v>28</v>
      </c>
      <c r="D88" s="4" t="s">
        <v>29</v>
      </c>
      <c r="E88" s="4" t="s">
        <v>30</v>
      </c>
      <c r="G88" t="s">
        <v>117</v>
      </c>
      <c r="H88" s="4" t="s">
        <v>33</v>
      </c>
      <c r="I88" s="4">
        <v>19.75</v>
      </c>
      <c r="J88" s="4">
        <v>11.03</v>
      </c>
      <c r="K88" s="8">
        <f t="shared" si="13"/>
        <v>217.8425</v>
      </c>
    </row>
    <row r="89" spans="1:11" x14ac:dyDescent="0.3">
      <c r="A89" t="s">
        <v>123</v>
      </c>
      <c r="B89" s="4" t="s">
        <v>32</v>
      </c>
      <c r="C89" s="4">
        <v>3.0779999999999998</v>
      </c>
      <c r="D89" s="4">
        <v>19.89</v>
      </c>
      <c r="E89" s="8">
        <f t="shared" ref="E89:E94" si="14">C89*D89</f>
        <v>61.221420000000002</v>
      </c>
      <c r="G89" t="s">
        <v>60</v>
      </c>
      <c r="H89" s="4" t="s">
        <v>33</v>
      </c>
      <c r="I89" s="4">
        <v>20.065000000000001</v>
      </c>
      <c r="J89" s="4">
        <v>11.03</v>
      </c>
      <c r="K89" s="8">
        <f t="shared" si="13"/>
        <v>221.31694999999999</v>
      </c>
    </row>
    <row r="90" spans="1:11" x14ac:dyDescent="0.3">
      <c r="A90" t="s">
        <v>117</v>
      </c>
      <c r="B90" s="4" t="s">
        <v>33</v>
      </c>
      <c r="C90" s="4">
        <v>19.75</v>
      </c>
      <c r="D90" s="4">
        <v>11.03</v>
      </c>
      <c r="E90" s="8">
        <f t="shared" si="14"/>
        <v>217.8425</v>
      </c>
      <c r="H90" s="4" t="s">
        <v>128</v>
      </c>
      <c r="I90" s="4">
        <v>2</v>
      </c>
      <c r="J90" s="4">
        <v>1.98</v>
      </c>
      <c r="K90" s="8">
        <f t="shared" si="13"/>
        <v>3.96</v>
      </c>
    </row>
    <row r="91" spans="1:11" x14ac:dyDescent="0.3">
      <c r="B91" s="4" t="s">
        <v>87</v>
      </c>
      <c r="C91" s="4">
        <v>2</v>
      </c>
      <c r="D91" s="4">
        <v>1.98</v>
      </c>
      <c r="E91" s="8">
        <f t="shared" si="14"/>
        <v>3.96</v>
      </c>
      <c r="H91" s="4" t="s">
        <v>100</v>
      </c>
      <c r="I91" s="4">
        <v>2</v>
      </c>
      <c r="J91" s="4">
        <v>4.5</v>
      </c>
      <c r="K91" s="4">
        <f t="shared" si="13"/>
        <v>9</v>
      </c>
    </row>
    <row r="92" spans="1:11" x14ac:dyDescent="0.3">
      <c r="B92" s="4" t="s">
        <v>34</v>
      </c>
      <c r="C92" s="4">
        <v>0.4</v>
      </c>
      <c r="D92" s="4">
        <v>12.43</v>
      </c>
      <c r="E92" s="8">
        <f t="shared" si="14"/>
        <v>4.9720000000000004</v>
      </c>
      <c r="H92" s="4" t="s">
        <v>34</v>
      </c>
      <c r="I92" s="4">
        <v>0.8</v>
      </c>
      <c r="J92" s="4">
        <v>12.43</v>
      </c>
      <c r="K92" s="8">
        <f t="shared" si="13"/>
        <v>9.9440000000000008</v>
      </c>
    </row>
    <row r="93" spans="1:11" x14ac:dyDescent="0.3">
      <c r="B93" s="4" t="s">
        <v>35</v>
      </c>
      <c r="C93" s="4">
        <v>4</v>
      </c>
      <c r="D93" s="4">
        <v>1.89</v>
      </c>
      <c r="E93" s="8">
        <f t="shared" si="14"/>
        <v>7.56</v>
      </c>
      <c r="H93" s="4" t="s">
        <v>35</v>
      </c>
      <c r="I93" s="4">
        <v>4</v>
      </c>
      <c r="J93" s="4">
        <v>1.89</v>
      </c>
      <c r="K93" s="8">
        <f t="shared" si="13"/>
        <v>7.56</v>
      </c>
    </row>
    <row r="94" spans="1:11" x14ac:dyDescent="0.3">
      <c r="B94" s="4" t="s">
        <v>36</v>
      </c>
      <c r="C94" s="4">
        <v>4</v>
      </c>
      <c r="D94" s="4">
        <v>0.24</v>
      </c>
      <c r="E94" s="8">
        <f t="shared" si="14"/>
        <v>0.96</v>
      </c>
      <c r="H94" s="4" t="s">
        <v>36</v>
      </c>
      <c r="I94" s="4">
        <v>4</v>
      </c>
      <c r="J94" s="4">
        <v>0.24</v>
      </c>
      <c r="K94" s="8">
        <f t="shared" si="13"/>
        <v>0.96</v>
      </c>
    </row>
    <row r="95" spans="1:11" x14ac:dyDescent="0.3">
      <c r="E95" s="8">
        <f>SUM(E89:E94)</f>
        <v>296.51591999999994</v>
      </c>
      <c r="K95" s="9">
        <f>SUM(K87:K94)</f>
        <v>567.26342999999997</v>
      </c>
    </row>
    <row r="96" spans="1:11" x14ac:dyDescent="0.3">
      <c r="B96" s="4" t="s">
        <v>37</v>
      </c>
      <c r="C96">
        <v>30</v>
      </c>
      <c r="D96">
        <v>1.41</v>
      </c>
      <c r="E96" s="8">
        <f>C96*D96</f>
        <v>42.3</v>
      </c>
      <c r="H96" s="4" t="s">
        <v>37</v>
      </c>
      <c r="I96">
        <v>45</v>
      </c>
      <c r="J96">
        <v>1.41</v>
      </c>
      <c r="K96" s="8">
        <f>I96*J96</f>
        <v>63.449999999999996</v>
      </c>
    </row>
    <row r="97" spans="1:11" x14ac:dyDescent="0.3">
      <c r="E97" s="8">
        <f>SUM(E95:E96)</f>
        <v>338.81591999999995</v>
      </c>
      <c r="K97" s="8">
        <f>SUM(K95:K96)</f>
        <v>630.71343000000002</v>
      </c>
    </row>
    <row r="100" spans="1:11" x14ac:dyDescent="0.3">
      <c r="C100" s="4" t="s">
        <v>28</v>
      </c>
      <c r="D100" s="4" t="s">
        <v>29</v>
      </c>
      <c r="E100" s="4" t="s">
        <v>30</v>
      </c>
      <c r="I100" s="4" t="s">
        <v>28</v>
      </c>
      <c r="J100" s="4" t="s">
        <v>29</v>
      </c>
      <c r="K100" s="4" t="s">
        <v>30</v>
      </c>
    </row>
    <row r="101" spans="1:11" x14ac:dyDescent="0.3">
      <c r="A101" t="s">
        <v>124</v>
      </c>
      <c r="B101" s="4" t="s">
        <v>32</v>
      </c>
      <c r="C101" s="4">
        <v>3.4980000000000002</v>
      </c>
      <c r="D101" s="4">
        <v>19.89</v>
      </c>
      <c r="E101" s="8">
        <f t="shared" ref="E101:E106" si="15">C101*D101</f>
        <v>69.575220000000002</v>
      </c>
      <c r="G101" t="s">
        <v>124</v>
      </c>
      <c r="H101" s="4" t="s">
        <v>32</v>
      </c>
      <c r="I101" s="4">
        <v>3.4980000000000002</v>
      </c>
      <c r="J101" s="4">
        <v>31.41</v>
      </c>
      <c r="K101" s="8">
        <f t="shared" ref="K101:K108" si="16">I101*J101</f>
        <v>109.87218000000001</v>
      </c>
    </row>
    <row r="102" spans="1:11" x14ac:dyDescent="0.3">
      <c r="A102" t="s">
        <v>117</v>
      </c>
      <c r="B102" s="4" t="s">
        <v>33</v>
      </c>
      <c r="C102" s="4">
        <v>23.74</v>
      </c>
      <c r="D102" s="4">
        <v>11.03</v>
      </c>
      <c r="E102" s="8">
        <f t="shared" si="15"/>
        <v>261.85219999999998</v>
      </c>
      <c r="G102" t="s">
        <v>117</v>
      </c>
      <c r="H102" s="4" t="s">
        <v>33</v>
      </c>
      <c r="I102" s="4">
        <v>23.74</v>
      </c>
      <c r="J102" s="4">
        <v>11.03</v>
      </c>
      <c r="K102" s="8">
        <f t="shared" si="16"/>
        <v>261.85219999999998</v>
      </c>
    </row>
    <row r="103" spans="1:11" x14ac:dyDescent="0.3">
      <c r="B103" s="4" t="s">
        <v>87</v>
      </c>
      <c r="C103" s="4">
        <v>2</v>
      </c>
      <c r="D103" s="4">
        <v>1.98</v>
      </c>
      <c r="E103" s="8">
        <f t="shared" si="15"/>
        <v>3.96</v>
      </c>
      <c r="G103" t="s">
        <v>61</v>
      </c>
      <c r="H103" s="4" t="s">
        <v>33</v>
      </c>
      <c r="I103" s="4">
        <v>24.16</v>
      </c>
      <c r="J103" s="4">
        <v>11.03</v>
      </c>
      <c r="K103" s="8">
        <f t="shared" si="16"/>
        <v>266.48480000000001</v>
      </c>
    </row>
    <row r="104" spans="1:11" x14ac:dyDescent="0.3">
      <c r="B104" s="4" t="s">
        <v>34</v>
      </c>
      <c r="C104" s="4">
        <v>0.4</v>
      </c>
      <c r="D104" s="4">
        <v>12.43</v>
      </c>
      <c r="E104" s="8">
        <f t="shared" si="15"/>
        <v>4.9720000000000004</v>
      </c>
      <c r="H104" s="4" t="s">
        <v>128</v>
      </c>
      <c r="I104" s="4">
        <v>2</v>
      </c>
      <c r="J104" s="4">
        <v>1.98</v>
      </c>
      <c r="K104" s="8">
        <f t="shared" si="16"/>
        <v>3.96</v>
      </c>
    </row>
    <row r="105" spans="1:11" x14ac:dyDescent="0.3">
      <c r="B105" s="4" t="s">
        <v>35</v>
      </c>
      <c r="C105" s="4">
        <v>4</v>
      </c>
      <c r="D105" s="4">
        <v>1.89</v>
      </c>
      <c r="E105" s="8">
        <f t="shared" si="15"/>
        <v>7.56</v>
      </c>
      <c r="H105" s="4" t="s">
        <v>101</v>
      </c>
      <c r="I105" s="4">
        <v>2</v>
      </c>
      <c r="J105" s="4">
        <v>6</v>
      </c>
      <c r="K105" s="4">
        <f t="shared" si="16"/>
        <v>12</v>
      </c>
    </row>
    <row r="106" spans="1:11" x14ac:dyDescent="0.3">
      <c r="B106" s="4" t="s">
        <v>36</v>
      </c>
      <c r="C106" s="4">
        <v>4</v>
      </c>
      <c r="D106" s="4">
        <v>0.24</v>
      </c>
      <c r="E106" s="8">
        <f t="shared" si="15"/>
        <v>0.96</v>
      </c>
      <c r="H106" s="4" t="s">
        <v>34</v>
      </c>
      <c r="I106" s="4">
        <v>0.8</v>
      </c>
      <c r="J106" s="4">
        <v>12.43</v>
      </c>
      <c r="K106" s="8">
        <f t="shared" si="16"/>
        <v>9.9440000000000008</v>
      </c>
    </row>
    <row r="107" spans="1:11" x14ac:dyDescent="0.3">
      <c r="E107" s="8">
        <f>SUM(E101:E106)</f>
        <v>348.87941999999993</v>
      </c>
      <c r="H107" s="4" t="s">
        <v>35</v>
      </c>
      <c r="I107" s="4">
        <v>4</v>
      </c>
      <c r="J107" s="4">
        <v>1.89</v>
      </c>
      <c r="K107" s="8">
        <f t="shared" si="16"/>
        <v>7.56</v>
      </c>
    </row>
    <row r="108" spans="1:11" x14ac:dyDescent="0.3">
      <c r="B108" s="4" t="s">
        <v>37</v>
      </c>
      <c r="C108">
        <v>35</v>
      </c>
      <c r="D108">
        <v>1.41</v>
      </c>
      <c r="E108" s="8">
        <f>C108*D108</f>
        <v>49.349999999999994</v>
      </c>
      <c r="H108" s="4" t="s">
        <v>36</v>
      </c>
      <c r="I108" s="4">
        <v>4</v>
      </c>
      <c r="J108" s="4">
        <v>0.24</v>
      </c>
      <c r="K108" s="8">
        <f t="shared" si="16"/>
        <v>0.96</v>
      </c>
    </row>
    <row r="109" spans="1:11" x14ac:dyDescent="0.3">
      <c r="E109" s="8">
        <f>SUM(E107:E108)</f>
        <v>398.22941999999989</v>
      </c>
      <c r="K109" s="9">
        <f>SUM(K101:K108)</f>
        <v>672.63318000000004</v>
      </c>
    </row>
    <row r="110" spans="1:11" x14ac:dyDescent="0.3">
      <c r="H110" s="4" t="s">
        <v>37</v>
      </c>
      <c r="I110">
        <v>45</v>
      </c>
      <c r="J110">
        <v>1.41</v>
      </c>
      <c r="K110" s="8">
        <f>I110*J110</f>
        <v>63.449999999999996</v>
      </c>
    </row>
    <row r="111" spans="1:11" x14ac:dyDescent="0.3">
      <c r="K111" s="8">
        <f>SUM(K109:K110)</f>
        <v>736.08318000000008</v>
      </c>
    </row>
    <row r="113" spans="7:11" x14ac:dyDescent="0.3">
      <c r="I113" s="4" t="s">
        <v>28</v>
      </c>
      <c r="J113" s="4" t="s">
        <v>29</v>
      </c>
      <c r="K113" s="4" t="s">
        <v>30</v>
      </c>
    </row>
    <row r="114" spans="7:11" x14ac:dyDescent="0.3">
      <c r="G114" t="s">
        <v>291</v>
      </c>
      <c r="H114" s="4" t="s">
        <v>32</v>
      </c>
      <c r="I114" s="4">
        <v>2.6589999999999998</v>
      </c>
      <c r="J114" s="4">
        <v>31.41</v>
      </c>
      <c r="K114" s="8">
        <f t="shared" ref="K114:K121" si="17">I114*J114</f>
        <v>83.519189999999995</v>
      </c>
    </row>
    <row r="115" spans="7:11" x14ac:dyDescent="0.3">
      <c r="G115" t="s">
        <v>126</v>
      </c>
      <c r="H115" s="4" t="s">
        <v>33</v>
      </c>
      <c r="I115" s="4">
        <v>17.966000000000001</v>
      </c>
      <c r="J115" s="4">
        <v>11.03</v>
      </c>
      <c r="K115" s="8">
        <f t="shared" si="17"/>
        <v>198.16498000000001</v>
      </c>
    </row>
    <row r="116" spans="7:11" x14ac:dyDescent="0.3">
      <c r="G116" t="s">
        <v>126</v>
      </c>
      <c r="H116" s="4" t="s">
        <v>33</v>
      </c>
      <c r="I116" s="4">
        <v>17.966000000000001</v>
      </c>
      <c r="J116" s="4">
        <v>11.03</v>
      </c>
      <c r="K116" s="8">
        <f t="shared" si="17"/>
        <v>198.16498000000001</v>
      </c>
    </row>
    <row r="117" spans="7:11" x14ac:dyDescent="0.3">
      <c r="H117" s="4" t="s">
        <v>98</v>
      </c>
      <c r="I117" s="4">
        <v>2</v>
      </c>
      <c r="J117" s="4">
        <v>3.8</v>
      </c>
      <c r="K117" s="8">
        <f t="shared" si="17"/>
        <v>7.6</v>
      </c>
    </row>
    <row r="118" spans="7:11" x14ac:dyDescent="0.3">
      <c r="H118" s="4" t="s">
        <v>98</v>
      </c>
      <c r="I118" s="4">
        <v>2</v>
      </c>
      <c r="J118" s="4">
        <v>3.8</v>
      </c>
      <c r="K118" s="4">
        <f t="shared" si="17"/>
        <v>7.6</v>
      </c>
    </row>
    <row r="119" spans="7:11" x14ac:dyDescent="0.3">
      <c r="H119" s="4" t="s">
        <v>34</v>
      </c>
      <c r="I119" s="4">
        <v>0.8</v>
      </c>
      <c r="J119" s="4">
        <v>12.43</v>
      </c>
      <c r="K119" s="8">
        <f t="shared" si="17"/>
        <v>9.9440000000000008</v>
      </c>
    </row>
    <row r="120" spans="7:11" x14ac:dyDescent="0.3">
      <c r="H120" s="4" t="s">
        <v>35</v>
      </c>
      <c r="I120" s="4">
        <v>4</v>
      </c>
      <c r="J120" s="4">
        <v>1.89</v>
      </c>
      <c r="K120" s="8">
        <f t="shared" si="17"/>
        <v>7.56</v>
      </c>
    </row>
    <row r="121" spans="7:11" x14ac:dyDescent="0.3">
      <c r="H121" s="4" t="s">
        <v>36</v>
      </c>
      <c r="I121" s="4">
        <v>4</v>
      </c>
      <c r="J121" s="4">
        <v>0.24</v>
      </c>
      <c r="K121" s="8">
        <f t="shared" si="17"/>
        <v>0.96</v>
      </c>
    </row>
    <row r="122" spans="7:11" x14ac:dyDescent="0.3">
      <c r="K122" s="8">
        <f>SUM(K114:K121)</f>
        <v>513.51315000000011</v>
      </c>
    </row>
    <row r="123" spans="7:11" x14ac:dyDescent="0.3">
      <c r="H123" s="4" t="s">
        <v>37</v>
      </c>
      <c r="I123">
        <v>85</v>
      </c>
      <c r="K123" s="8">
        <v>85</v>
      </c>
    </row>
    <row r="124" spans="7:11" x14ac:dyDescent="0.3">
      <c r="K124" s="8">
        <f>SUM(K122:K123)</f>
        <v>598.51315000000011</v>
      </c>
    </row>
  </sheetData>
  <pageMargins left="0" right="0" top="0.15748031496062992" bottom="0.19685039370078741" header="0.31496062992125984" footer="0.31496062992125984"/>
  <pageSetup paperSize="9" scale="85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R1373"/>
  <sheetViews>
    <sheetView topLeftCell="A1152" workbookViewId="0">
      <selection activeCell="I1103" sqref="I1103"/>
    </sheetView>
  </sheetViews>
  <sheetFormatPr baseColWidth="10" defaultRowHeight="14.4" x14ac:dyDescent="0.3"/>
  <cols>
    <col min="1" max="1" width="9.6640625" customWidth="1"/>
    <col min="6" max="6" width="2.109375" customWidth="1"/>
    <col min="7" max="7" width="8.44140625" customWidth="1"/>
    <col min="15" max="15" width="18" customWidth="1"/>
    <col min="16" max="16" width="16.5546875" customWidth="1"/>
    <col min="17" max="17" width="15.5546875" customWidth="1"/>
    <col min="18" max="18" width="15.88671875" customWidth="1"/>
  </cols>
  <sheetData>
    <row r="1" spans="1:11" ht="18" x14ac:dyDescent="0.35">
      <c r="A1" s="5" t="s">
        <v>129</v>
      </c>
    </row>
    <row r="3" spans="1:11" x14ac:dyDescent="0.3">
      <c r="A3" t="s">
        <v>257</v>
      </c>
    </row>
    <row r="6" spans="1:11" x14ac:dyDescent="0.3">
      <c r="C6" s="4" t="s">
        <v>28</v>
      </c>
      <c r="D6" s="4" t="s">
        <v>29</v>
      </c>
      <c r="E6" s="4" t="s">
        <v>30</v>
      </c>
      <c r="F6" s="26"/>
      <c r="I6" s="4" t="s">
        <v>28</v>
      </c>
      <c r="J6" s="4" t="s">
        <v>29</v>
      </c>
      <c r="K6" s="4" t="s">
        <v>30</v>
      </c>
    </row>
    <row r="7" spans="1:11" x14ac:dyDescent="0.3">
      <c r="A7" t="s">
        <v>138</v>
      </c>
      <c r="B7" s="4" t="s">
        <v>32</v>
      </c>
      <c r="C7" s="4">
        <v>0.64300000000000002</v>
      </c>
      <c r="D7" s="4">
        <v>29.12</v>
      </c>
      <c r="E7" s="8">
        <f>C7*D7</f>
        <v>18.724160000000001</v>
      </c>
      <c r="F7" s="26"/>
      <c r="G7" t="s">
        <v>138</v>
      </c>
      <c r="H7" s="4" t="s">
        <v>32</v>
      </c>
      <c r="I7" s="4">
        <v>0.64300000000000002</v>
      </c>
      <c r="J7" s="4">
        <v>30.29</v>
      </c>
      <c r="K7" s="8">
        <f>I7*J7</f>
        <v>19.476469999999999</v>
      </c>
    </row>
    <row r="8" spans="1:11" x14ac:dyDescent="0.3">
      <c r="A8" t="s">
        <v>219</v>
      </c>
      <c r="B8" s="4" t="s">
        <v>33</v>
      </c>
      <c r="C8" s="4">
        <v>0.2</v>
      </c>
      <c r="D8" s="4">
        <v>15.25</v>
      </c>
      <c r="E8" s="8">
        <f>C8*D8</f>
        <v>3.0500000000000003</v>
      </c>
      <c r="F8" s="26"/>
      <c r="G8" t="s">
        <v>219</v>
      </c>
      <c r="H8" s="4" t="s">
        <v>33</v>
      </c>
      <c r="I8" s="4">
        <v>0.2</v>
      </c>
      <c r="J8" s="4">
        <v>16</v>
      </c>
      <c r="K8" s="8">
        <f>I8*J8</f>
        <v>3.2</v>
      </c>
    </row>
    <row r="9" spans="1:11" x14ac:dyDescent="0.3">
      <c r="B9" s="4" t="s">
        <v>137</v>
      </c>
      <c r="C9" s="4">
        <v>0.08</v>
      </c>
      <c r="D9" s="4">
        <v>17.190000000000001</v>
      </c>
      <c r="E9" s="8">
        <f>C9*D9</f>
        <v>1.3752000000000002</v>
      </c>
      <c r="F9" s="26"/>
      <c r="H9" s="4" t="s">
        <v>137</v>
      </c>
      <c r="I9" s="4">
        <v>0.08</v>
      </c>
      <c r="J9" s="4">
        <v>17.190000000000001</v>
      </c>
      <c r="K9" s="8">
        <f>I9*J9</f>
        <v>1.3752000000000002</v>
      </c>
    </row>
    <row r="10" spans="1:11" x14ac:dyDescent="0.3">
      <c r="B10" s="4" t="s">
        <v>35</v>
      </c>
      <c r="C10" s="4">
        <v>4</v>
      </c>
      <c r="D10" s="4">
        <v>2.89</v>
      </c>
      <c r="E10" s="8">
        <f>C10*D10</f>
        <v>11.56</v>
      </c>
      <c r="F10" s="26"/>
      <c r="H10" s="4" t="s">
        <v>35</v>
      </c>
      <c r="I10" s="4">
        <v>4</v>
      </c>
      <c r="J10" s="4">
        <v>2.89</v>
      </c>
      <c r="K10" s="8">
        <f>I10*J10</f>
        <v>11.56</v>
      </c>
    </row>
    <row r="11" spans="1:11" x14ac:dyDescent="0.3">
      <c r="B11" s="4" t="s">
        <v>36</v>
      </c>
      <c r="C11" s="4">
        <v>4</v>
      </c>
      <c r="D11" s="4">
        <v>0.6</v>
      </c>
      <c r="E11" s="8">
        <f>C11*D11</f>
        <v>2.4</v>
      </c>
      <c r="F11" s="26"/>
      <c r="H11" s="4" t="s">
        <v>36</v>
      </c>
      <c r="I11" s="4">
        <v>4</v>
      </c>
      <c r="J11" s="4">
        <v>0.6</v>
      </c>
      <c r="K11" s="8">
        <f>I11*J11</f>
        <v>2.4</v>
      </c>
    </row>
    <row r="12" spans="1:11" x14ac:dyDescent="0.3">
      <c r="B12" s="4" t="s">
        <v>37</v>
      </c>
      <c r="C12" t="s">
        <v>258</v>
      </c>
      <c r="E12" s="8">
        <v>21</v>
      </c>
      <c r="F12" s="26"/>
      <c r="H12" s="4" t="s">
        <v>37</v>
      </c>
      <c r="I12" t="s">
        <v>399</v>
      </c>
      <c r="K12" s="8">
        <v>42.5</v>
      </c>
    </row>
    <row r="13" spans="1:11" x14ac:dyDescent="0.3">
      <c r="E13" s="8">
        <f>SUM(E7:E12)</f>
        <v>58.109360000000002</v>
      </c>
      <c r="F13" s="26"/>
      <c r="K13" s="8">
        <f>SUM(K7:K12)</f>
        <v>80.511669999999995</v>
      </c>
    </row>
    <row r="14" spans="1:11" x14ac:dyDescent="0.3">
      <c r="F14" s="26"/>
    </row>
    <row r="15" spans="1:11" x14ac:dyDescent="0.3">
      <c r="F15" s="26"/>
    </row>
    <row r="16" spans="1:11" x14ac:dyDescent="0.3">
      <c r="C16" s="4" t="s">
        <v>28</v>
      </c>
      <c r="D16" s="4" t="s">
        <v>29</v>
      </c>
      <c r="E16" s="4" t="s">
        <v>30</v>
      </c>
      <c r="F16" s="26"/>
      <c r="I16" s="4" t="s">
        <v>28</v>
      </c>
      <c r="J16" s="4" t="s">
        <v>29</v>
      </c>
      <c r="K16" s="4" t="s">
        <v>30</v>
      </c>
    </row>
    <row r="17" spans="1:11" x14ac:dyDescent="0.3">
      <c r="A17" t="s">
        <v>136</v>
      </c>
      <c r="B17" s="4" t="s">
        <v>32</v>
      </c>
      <c r="C17" s="4">
        <v>0.66300000000000003</v>
      </c>
      <c r="D17" s="4">
        <v>29.12</v>
      </c>
      <c r="E17" s="8">
        <f>C17*D17</f>
        <v>19.306560000000001</v>
      </c>
      <c r="F17" s="26"/>
      <c r="G17" t="s">
        <v>136</v>
      </c>
      <c r="H17" s="4" t="s">
        <v>32</v>
      </c>
      <c r="I17" s="4">
        <v>0.66300000000000003</v>
      </c>
      <c r="J17" s="4">
        <v>30.29</v>
      </c>
      <c r="K17" s="8">
        <f>I17*J17</f>
        <v>20.082270000000001</v>
      </c>
    </row>
    <row r="18" spans="1:11" x14ac:dyDescent="0.3">
      <c r="A18" t="s">
        <v>171</v>
      </c>
      <c r="B18" s="4" t="s">
        <v>33</v>
      </c>
      <c r="C18" s="4">
        <v>0.39900000000000002</v>
      </c>
      <c r="D18" s="4">
        <v>15.25</v>
      </c>
      <c r="E18" s="8">
        <f>C18*D18</f>
        <v>6.0847500000000005</v>
      </c>
      <c r="F18" s="26"/>
      <c r="G18" t="s">
        <v>171</v>
      </c>
      <c r="H18" s="4" t="s">
        <v>33</v>
      </c>
      <c r="I18" s="4">
        <v>0.39900000000000002</v>
      </c>
      <c r="J18" s="4">
        <v>16</v>
      </c>
      <c r="K18" s="8">
        <f>I18*J18</f>
        <v>6.3840000000000003</v>
      </c>
    </row>
    <row r="19" spans="1:11" x14ac:dyDescent="0.3">
      <c r="B19" s="4" t="s">
        <v>137</v>
      </c>
      <c r="C19" s="4">
        <v>0.1</v>
      </c>
      <c r="D19" s="4">
        <v>17.190000000000001</v>
      </c>
      <c r="E19" s="8">
        <f>C19*D19</f>
        <v>1.7190000000000003</v>
      </c>
      <c r="F19" s="26"/>
      <c r="H19" s="4" t="s">
        <v>137</v>
      </c>
      <c r="I19" s="4">
        <v>0.1</v>
      </c>
      <c r="J19" s="4">
        <v>17.190000000000001</v>
      </c>
      <c r="K19" s="8">
        <f>I19*J19</f>
        <v>1.7190000000000003</v>
      </c>
    </row>
    <row r="20" spans="1:11" x14ac:dyDescent="0.3">
      <c r="B20" s="4" t="s">
        <v>35</v>
      </c>
      <c r="C20" s="4">
        <v>4</v>
      </c>
      <c r="D20" s="4">
        <v>2.89</v>
      </c>
      <c r="E20" s="8">
        <f>C20*D20</f>
        <v>11.56</v>
      </c>
      <c r="F20" s="26"/>
      <c r="H20" s="4" t="s">
        <v>35</v>
      </c>
      <c r="I20" s="4">
        <v>4</v>
      </c>
      <c r="J20" s="4">
        <v>2.89</v>
      </c>
      <c r="K20" s="8">
        <f>I20*J20</f>
        <v>11.56</v>
      </c>
    </row>
    <row r="21" spans="1:11" x14ac:dyDescent="0.3">
      <c r="B21" s="4" t="s">
        <v>36</v>
      </c>
      <c r="C21" s="4">
        <v>4</v>
      </c>
      <c r="D21" s="4">
        <v>0.6</v>
      </c>
      <c r="E21" s="8">
        <f>C21*D21</f>
        <v>2.4</v>
      </c>
      <c r="F21" s="26"/>
      <c r="H21" s="4" t="s">
        <v>36</v>
      </c>
      <c r="I21" s="4">
        <v>4</v>
      </c>
      <c r="J21" s="4">
        <v>0.6</v>
      </c>
      <c r="K21" s="8">
        <f>I21*J21</f>
        <v>2.4</v>
      </c>
    </row>
    <row r="22" spans="1:11" x14ac:dyDescent="0.3">
      <c r="B22" s="4" t="s">
        <v>37</v>
      </c>
      <c r="C22" t="s">
        <v>258</v>
      </c>
      <c r="E22" s="8">
        <v>21</v>
      </c>
      <c r="F22" s="26"/>
      <c r="H22" s="4" t="s">
        <v>37</v>
      </c>
      <c r="I22" t="s">
        <v>258</v>
      </c>
      <c r="K22" s="8">
        <v>21</v>
      </c>
    </row>
    <row r="23" spans="1:11" x14ac:dyDescent="0.3">
      <c r="E23" s="8">
        <f>SUM(E17:E22)</f>
        <v>62.070309999999999</v>
      </c>
      <c r="F23" s="26"/>
      <c r="K23" s="8">
        <f>SUM(K17:K22)</f>
        <v>63.145270000000004</v>
      </c>
    </row>
    <row r="24" spans="1:11" x14ac:dyDescent="0.3">
      <c r="F24" s="26"/>
    </row>
    <row r="25" spans="1:11" x14ac:dyDescent="0.3">
      <c r="C25" s="4" t="s">
        <v>28</v>
      </c>
      <c r="D25" s="4" t="s">
        <v>29</v>
      </c>
      <c r="E25" s="4" t="s">
        <v>30</v>
      </c>
      <c r="F25" s="26"/>
      <c r="I25" s="4" t="s">
        <v>28</v>
      </c>
      <c r="J25" s="4" t="s">
        <v>29</v>
      </c>
      <c r="K25" s="4" t="s">
        <v>30</v>
      </c>
    </row>
    <row r="26" spans="1:11" x14ac:dyDescent="0.3">
      <c r="A26" t="s">
        <v>139</v>
      </c>
      <c r="B26" s="4" t="s">
        <v>32</v>
      </c>
      <c r="C26" s="4">
        <v>0.68400000000000005</v>
      </c>
      <c r="D26" s="4">
        <v>29.12</v>
      </c>
      <c r="E26" s="8">
        <f>C26*D26</f>
        <v>19.918080000000003</v>
      </c>
      <c r="F26" s="26"/>
      <c r="G26" t="s">
        <v>139</v>
      </c>
      <c r="H26" s="4" t="s">
        <v>32</v>
      </c>
      <c r="I26" s="4">
        <v>0.68400000000000005</v>
      </c>
      <c r="J26" s="4">
        <v>30.29</v>
      </c>
      <c r="K26" s="8">
        <f>I26*J26</f>
        <v>20.718360000000001</v>
      </c>
    </row>
    <row r="27" spans="1:11" x14ac:dyDescent="0.3">
      <c r="A27" t="s">
        <v>214</v>
      </c>
      <c r="B27" s="4" t="s">
        <v>33</v>
      </c>
      <c r="C27" s="4">
        <v>0.59799999999999998</v>
      </c>
      <c r="D27" s="4">
        <v>15.25</v>
      </c>
      <c r="E27" s="8">
        <f>C27*D27</f>
        <v>9.1195000000000004</v>
      </c>
      <c r="F27" s="26"/>
      <c r="G27" t="s">
        <v>214</v>
      </c>
      <c r="H27" s="4" t="s">
        <v>33</v>
      </c>
      <c r="I27" s="4">
        <v>0.59799999999999998</v>
      </c>
      <c r="J27" s="4">
        <v>16</v>
      </c>
      <c r="K27" s="8">
        <f>I27*J27</f>
        <v>9.5679999999999996</v>
      </c>
    </row>
    <row r="28" spans="1:11" x14ac:dyDescent="0.3">
      <c r="B28" s="4" t="s">
        <v>137</v>
      </c>
      <c r="C28" s="4">
        <v>0.12</v>
      </c>
      <c r="D28" s="4">
        <v>17.190000000000001</v>
      </c>
      <c r="E28" s="8">
        <f>C28*D28</f>
        <v>2.0628000000000002</v>
      </c>
      <c r="F28" s="26"/>
      <c r="H28" s="4" t="s">
        <v>137</v>
      </c>
      <c r="I28" s="4">
        <v>0.12</v>
      </c>
      <c r="J28" s="4">
        <v>17.190000000000001</v>
      </c>
      <c r="K28" s="8">
        <f>I28*J28</f>
        <v>2.0628000000000002</v>
      </c>
    </row>
    <row r="29" spans="1:11" x14ac:dyDescent="0.3">
      <c r="B29" s="4" t="s">
        <v>35</v>
      </c>
      <c r="C29" s="4">
        <v>4</v>
      </c>
      <c r="D29" s="4">
        <v>2.89</v>
      </c>
      <c r="E29" s="8">
        <f>C29*D29</f>
        <v>11.56</v>
      </c>
      <c r="F29" s="26"/>
      <c r="H29" s="4" t="s">
        <v>35</v>
      </c>
      <c r="I29" s="4">
        <v>4</v>
      </c>
      <c r="J29" s="4">
        <v>2.89</v>
      </c>
      <c r="K29" s="8">
        <f>I29*J29</f>
        <v>11.56</v>
      </c>
    </row>
    <row r="30" spans="1:11" x14ac:dyDescent="0.3">
      <c r="B30" s="4" t="s">
        <v>36</v>
      </c>
      <c r="C30" s="4">
        <v>4</v>
      </c>
      <c r="D30" s="4">
        <v>0.6</v>
      </c>
      <c r="E30" s="8">
        <f>C30*D30</f>
        <v>2.4</v>
      </c>
      <c r="F30" s="26"/>
      <c r="H30" s="4" t="s">
        <v>36</v>
      </c>
      <c r="I30" s="4">
        <v>4</v>
      </c>
      <c r="J30" s="4">
        <v>0.6</v>
      </c>
      <c r="K30" s="8">
        <f>I30*J30</f>
        <v>2.4</v>
      </c>
    </row>
    <row r="31" spans="1:11" x14ac:dyDescent="0.3">
      <c r="B31" s="4" t="s">
        <v>37</v>
      </c>
      <c r="C31" t="s">
        <v>258</v>
      </c>
      <c r="E31" s="8">
        <v>21</v>
      </c>
      <c r="F31" s="26"/>
      <c r="H31" s="4" t="s">
        <v>37</v>
      </c>
      <c r="I31" t="s">
        <v>258</v>
      </c>
      <c r="K31" s="8">
        <v>21</v>
      </c>
    </row>
    <row r="32" spans="1:11" x14ac:dyDescent="0.3">
      <c r="E32" s="8">
        <f>SUM(E26:E31)</f>
        <v>66.060380000000009</v>
      </c>
      <c r="F32" s="26"/>
      <c r="K32" s="8">
        <f>SUM(K26:K31)</f>
        <v>67.309160000000006</v>
      </c>
    </row>
    <row r="33" spans="1:17" x14ac:dyDescent="0.3">
      <c r="F33" s="26"/>
    </row>
    <row r="34" spans="1:17" x14ac:dyDescent="0.3">
      <c r="F34" s="26"/>
    </row>
    <row r="35" spans="1:17" x14ac:dyDescent="0.3">
      <c r="C35" s="4" t="s">
        <v>28</v>
      </c>
      <c r="D35" s="4" t="s">
        <v>29</v>
      </c>
      <c r="E35" s="4" t="s">
        <v>30</v>
      </c>
      <c r="F35" s="26"/>
      <c r="I35" s="4" t="s">
        <v>28</v>
      </c>
      <c r="J35" s="4" t="s">
        <v>29</v>
      </c>
      <c r="K35" s="4" t="s">
        <v>30</v>
      </c>
    </row>
    <row r="36" spans="1:17" x14ac:dyDescent="0.3">
      <c r="A36" t="s">
        <v>140</v>
      </c>
      <c r="B36" s="4" t="s">
        <v>32</v>
      </c>
      <c r="C36" s="4">
        <v>0.71599999999999997</v>
      </c>
      <c r="D36" s="4">
        <v>29.12</v>
      </c>
      <c r="E36" s="8">
        <f>C36*D36</f>
        <v>20.849920000000001</v>
      </c>
      <c r="F36" s="26"/>
      <c r="G36" t="s">
        <v>140</v>
      </c>
      <c r="H36" s="4" t="s">
        <v>32</v>
      </c>
      <c r="I36" s="4">
        <v>0.71599999999999997</v>
      </c>
      <c r="J36" s="4">
        <v>30.29</v>
      </c>
      <c r="K36" s="8">
        <f>I36*J36</f>
        <v>21.687639999999998</v>
      </c>
    </row>
    <row r="37" spans="1:17" x14ac:dyDescent="0.3">
      <c r="A37" t="s">
        <v>238</v>
      </c>
      <c r="B37" s="4" t="s">
        <v>33</v>
      </c>
      <c r="C37" s="4">
        <v>0.79800000000000004</v>
      </c>
      <c r="D37" s="4">
        <v>15.25</v>
      </c>
      <c r="E37" s="8">
        <f>C37*D37</f>
        <v>12.169500000000001</v>
      </c>
      <c r="F37" s="26"/>
      <c r="G37" t="s">
        <v>238</v>
      </c>
      <c r="H37" s="4" t="s">
        <v>33</v>
      </c>
      <c r="I37" s="4">
        <v>0.79800000000000004</v>
      </c>
      <c r="J37" s="4">
        <v>16</v>
      </c>
      <c r="K37" s="8">
        <f>I37*J37</f>
        <v>12.768000000000001</v>
      </c>
    </row>
    <row r="38" spans="1:17" x14ac:dyDescent="0.3">
      <c r="B38" s="4" t="s">
        <v>137</v>
      </c>
      <c r="C38" s="4">
        <v>0.15</v>
      </c>
      <c r="D38" s="4">
        <v>17.190000000000001</v>
      </c>
      <c r="E38" s="8">
        <f>C38*D38</f>
        <v>2.5785</v>
      </c>
      <c r="F38" s="26"/>
      <c r="H38" s="4" t="s">
        <v>137</v>
      </c>
      <c r="I38" s="4">
        <v>0.15</v>
      </c>
      <c r="J38" s="4">
        <v>17.190000000000001</v>
      </c>
      <c r="K38" s="8">
        <f>I38*J38</f>
        <v>2.5785</v>
      </c>
    </row>
    <row r="39" spans="1:17" x14ac:dyDescent="0.3">
      <c r="B39" s="4" t="s">
        <v>35</v>
      </c>
      <c r="C39" s="4">
        <v>4</v>
      </c>
      <c r="D39" s="4">
        <v>2.89</v>
      </c>
      <c r="E39" s="8">
        <f>C39*D39</f>
        <v>11.56</v>
      </c>
      <c r="F39" s="26"/>
      <c r="H39" s="4" t="s">
        <v>35</v>
      </c>
      <c r="I39" s="4">
        <v>4</v>
      </c>
      <c r="J39" s="4">
        <v>2.89</v>
      </c>
      <c r="K39" s="8">
        <f>I39*J39</f>
        <v>11.56</v>
      </c>
    </row>
    <row r="40" spans="1:17" x14ac:dyDescent="0.3">
      <c r="B40" s="4" t="s">
        <v>36</v>
      </c>
      <c r="C40" s="4">
        <v>4</v>
      </c>
      <c r="D40" s="4">
        <v>0.6</v>
      </c>
      <c r="E40" s="8">
        <f>C40*D40</f>
        <v>2.4</v>
      </c>
      <c r="F40" s="26"/>
      <c r="H40" s="4" t="s">
        <v>36</v>
      </c>
      <c r="I40" s="4">
        <v>4</v>
      </c>
      <c r="J40" s="4">
        <v>0.6</v>
      </c>
      <c r="K40" s="8">
        <f>I40*J40</f>
        <v>2.4</v>
      </c>
    </row>
    <row r="41" spans="1:17" x14ac:dyDescent="0.3">
      <c r="B41" s="4" t="s">
        <v>37</v>
      </c>
      <c r="C41" t="s">
        <v>258</v>
      </c>
      <c r="E41" s="8">
        <v>21</v>
      </c>
      <c r="F41" s="26"/>
      <c r="H41" s="4" t="s">
        <v>37</v>
      </c>
      <c r="I41" t="s">
        <v>258</v>
      </c>
      <c r="K41" s="8">
        <v>21</v>
      </c>
    </row>
    <row r="42" spans="1:17" x14ac:dyDescent="0.3">
      <c r="E42" s="8">
        <f>SUM(E36:E41)</f>
        <v>70.557919999999996</v>
      </c>
      <c r="F42" s="26"/>
      <c r="K42" s="8">
        <f>SUM(K36:K41)</f>
        <v>71.994140000000002</v>
      </c>
    </row>
    <row r="43" spans="1:17" x14ac:dyDescent="0.3">
      <c r="F43" s="26"/>
    </row>
    <row r="44" spans="1:17" x14ac:dyDescent="0.3">
      <c r="C44" s="4" t="s">
        <v>28</v>
      </c>
      <c r="D44" s="4" t="s">
        <v>29</v>
      </c>
      <c r="E44" s="4" t="s">
        <v>30</v>
      </c>
      <c r="F44" s="26"/>
      <c r="I44" s="4" t="s">
        <v>28</v>
      </c>
      <c r="J44" s="4" t="s">
        <v>29</v>
      </c>
      <c r="K44" s="4" t="s">
        <v>30</v>
      </c>
      <c r="O44" s="4" t="s">
        <v>28</v>
      </c>
      <c r="P44" s="4" t="s">
        <v>29</v>
      </c>
      <c r="Q44" s="4" t="s">
        <v>30</v>
      </c>
    </row>
    <row r="45" spans="1:17" x14ac:dyDescent="0.3">
      <c r="A45" t="s">
        <v>141</v>
      </c>
      <c r="B45" s="4" t="s">
        <v>32</v>
      </c>
      <c r="C45" s="4">
        <v>0.73699999999999999</v>
      </c>
      <c r="D45" s="4">
        <v>29.12</v>
      </c>
      <c r="E45" s="8">
        <f>C45*D45</f>
        <v>21.46144</v>
      </c>
      <c r="F45" s="26"/>
      <c r="G45" t="s">
        <v>141</v>
      </c>
      <c r="H45" s="4" t="s">
        <v>32</v>
      </c>
      <c r="I45" s="4">
        <v>0.73699999999999999</v>
      </c>
      <c r="J45" s="4">
        <v>30.29</v>
      </c>
      <c r="K45" s="8">
        <f>I45*J45</f>
        <v>22.323729999999998</v>
      </c>
      <c r="M45" t="s">
        <v>403</v>
      </c>
      <c r="N45" s="4" t="s">
        <v>32</v>
      </c>
      <c r="O45" s="4">
        <v>0.73699999999999999</v>
      </c>
      <c r="P45" s="4">
        <v>30.29</v>
      </c>
      <c r="Q45" s="8">
        <f>O45*P45</f>
        <v>22.323729999999998</v>
      </c>
    </row>
    <row r="46" spans="1:17" x14ac:dyDescent="0.3">
      <c r="A46" t="s">
        <v>259</v>
      </c>
      <c r="B46" s="4" t="s">
        <v>33</v>
      </c>
      <c r="C46" s="4">
        <v>0.997</v>
      </c>
      <c r="D46" s="4">
        <v>15.25</v>
      </c>
      <c r="E46" s="8">
        <f>C46*D46</f>
        <v>15.20425</v>
      </c>
      <c r="F46" s="26"/>
      <c r="G46" t="s">
        <v>259</v>
      </c>
      <c r="H46" s="4" t="s">
        <v>33</v>
      </c>
      <c r="I46" s="4">
        <v>0.997</v>
      </c>
      <c r="J46" s="4">
        <v>16</v>
      </c>
      <c r="K46" s="8">
        <f>I46*J46</f>
        <v>15.952</v>
      </c>
      <c r="M46" t="s">
        <v>259</v>
      </c>
      <c r="N46" s="4" t="s">
        <v>33</v>
      </c>
      <c r="O46" s="4">
        <v>1.177</v>
      </c>
      <c r="P46" s="4">
        <v>16</v>
      </c>
      <c r="Q46" s="8">
        <f>O46*P46</f>
        <v>18.832000000000001</v>
      </c>
    </row>
    <row r="47" spans="1:17" x14ac:dyDescent="0.3">
      <c r="B47" s="4" t="s">
        <v>137</v>
      </c>
      <c r="C47" s="4">
        <v>0.17799999999999999</v>
      </c>
      <c r="D47" s="4">
        <v>17.190000000000001</v>
      </c>
      <c r="E47" s="8">
        <f>C47*D47</f>
        <v>3.0598200000000002</v>
      </c>
      <c r="F47" s="26"/>
      <c r="H47" s="4" t="s">
        <v>137</v>
      </c>
      <c r="I47" s="4">
        <v>0.17799999999999999</v>
      </c>
      <c r="J47" s="4">
        <v>17.190000000000001</v>
      </c>
      <c r="K47" s="8">
        <f>I47*J47</f>
        <v>3.0598200000000002</v>
      </c>
      <c r="N47" s="4" t="s">
        <v>137</v>
      </c>
      <c r="O47" s="4">
        <v>0.17799999999999999</v>
      </c>
      <c r="P47" s="4">
        <v>17.190000000000001</v>
      </c>
      <c r="Q47" s="8">
        <f>O47*P47</f>
        <v>3.0598200000000002</v>
      </c>
    </row>
    <row r="48" spans="1:17" x14ac:dyDescent="0.3">
      <c r="B48" s="4" t="s">
        <v>35</v>
      </c>
      <c r="C48" s="4">
        <v>4</v>
      </c>
      <c r="D48" s="4">
        <v>2.89</v>
      </c>
      <c r="E48" s="8">
        <f>C48*D48</f>
        <v>11.56</v>
      </c>
      <c r="F48" s="26"/>
      <c r="H48" s="4" t="s">
        <v>35</v>
      </c>
      <c r="I48" s="4">
        <v>4</v>
      </c>
      <c r="J48" s="4">
        <v>2.89</v>
      </c>
      <c r="K48" s="8">
        <f>I48*J48</f>
        <v>11.56</v>
      </c>
      <c r="M48" t="s">
        <v>404</v>
      </c>
      <c r="N48" s="4" t="s">
        <v>35</v>
      </c>
      <c r="O48" s="4">
        <v>4</v>
      </c>
      <c r="P48" s="4">
        <v>2.89</v>
      </c>
      <c r="Q48" s="8">
        <f>O48*P48</f>
        <v>11.56</v>
      </c>
    </row>
    <row r="49" spans="1:17" x14ac:dyDescent="0.3">
      <c r="B49" s="4" t="s">
        <v>36</v>
      </c>
      <c r="C49" s="4">
        <v>4</v>
      </c>
      <c r="D49" s="4">
        <v>0.6</v>
      </c>
      <c r="E49" s="8">
        <f>C49*D49</f>
        <v>2.4</v>
      </c>
      <c r="F49" s="26"/>
      <c r="H49" s="4" t="s">
        <v>36</v>
      </c>
      <c r="I49" s="4">
        <v>4</v>
      </c>
      <c r="J49" s="4">
        <v>0.6</v>
      </c>
      <c r="K49" s="8">
        <f>I49*J49</f>
        <v>2.4</v>
      </c>
      <c r="N49" s="4" t="s">
        <v>36</v>
      </c>
      <c r="O49" s="4">
        <v>4</v>
      </c>
      <c r="P49" s="4">
        <v>0.6</v>
      </c>
      <c r="Q49" s="8">
        <f>O49*P49</f>
        <v>2.4</v>
      </c>
    </row>
    <row r="50" spans="1:17" x14ac:dyDescent="0.3">
      <c r="B50" s="4" t="s">
        <v>37</v>
      </c>
      <c r="C50" t="s">
        <v>258</v>
      </c>
      <c r="E50" s="8">
        <v>21</v>
      </c>
      <c r="F50" s="26"/>
      <c r="H50" s="4" t="s">
        <v>37</v>
      </c>
      <c r="I50" t="s">
        <v>258</v>
      </c>
      <c r="K50" s="8">
        <v>21</v>
      </c>
      <c r="N50" s="4" t="s">
        <v>37</v>
      </c>
      <c r="P50" s="10">
        <v>42.5</v>
      </c>
      <c r="Q50" s="8">
        <v>42.5</v>
      </c>
    </row>
    <row r="51" spans="1:17" x14ac:dyDescent="0.3">
      <c r="E51" s="8">
        <f>SUM(E45:E50)</f>
        <v>74.685509999999994</v>
      </c>
      <c r="F51" s="26"/>
      <c r="K51" s="8">
        <f>SUM(K45:K50)</f>
        <v>76.295549999999992</v>
      </c>
      <c r="Q51" s="8">
        <f>SUM(Q45:Q50)</f>
        <v>100.67555</v>
      </c>
    </row>
    <row r="52" spans="1:17" x14ac:dyDescent="0.3">
      <c r="F52" s="26"/>
    </row>
    <row r="53" spans="1:17" x14ac:dyDescent="0.3">
      <c r="C53" s="4" t="s">
        <v>28</v>
      </c>
      <c r="D53" s="4" t="s">
        <v>29</v>
      </c>
      <c r="E53" s="4" t="s">
        <v>30</v>
      </c>
      <c r="F53" s="26"/>
      <c r="I53" s="4" t="s">
        <v>28</v>
      </c>
      <c r="J53" s="4" t="s">
        <v>29</v>
      </c>
      <c r="K53" s="4" t="s">
        <v>30</v>
      </c>
    </row>
    <row r="54" spans="1:17" x14ac:dyDescent="0.3">
      <c r="A54" t="s">
        <v>142</v>
      </c>
      <c r="B54" s="4" t="s">
        <v>32</v>
      </c>
      <c r="C54" s="25">
        <v>0.747</v>
      </c>
      <c r="D54" s="4">
        <v>29.12</v>
      </c>
      <c r="E54" s="8">
        <f>C54*D54</f>
        <v>21.75264</v>
      </c>
      <c r="F54" s="26"/>
      <c r="G54" t="s">
        <v>142</v>
      </c>
      <c r="H54" s="4" t="s">
        <v>32</v>
      </c>
      <c r="I54" s="25">
        <v>0.747</v>
      </c>
      <c r="J54" s="4">
        <v>30.29</v>
      </c>
      <c r="K54" s="8">
        <f>I54*J54</f>
        <v>22.626629999999999</v>
      </c>
    </row>
    <row r="55" spans="1:17" x14ac:dyDescent="0.3">
      <c r="A55" t="s">
        <v>259</v>
      </c>
      <c r="B55" s="4" t="s">
        <v>33</v>
      </c>
      <c r="C55" s="4">
        <v>0.997</v>
      </c>
      <c r="D55" s="4">
        <v>15.25</v>
      </c>
      <c r="E55" s="8">
        <f>C55*D55</f>
        <v>15.20425</v>
      </c>
      <c r="F55" s="26"/>
      <c r="G55" t="s">
        <v>259</v>
      </c>
      <c r="H55" s="4" t="s">
        <v>33</v>
      </c>
      <c r="I55" s="4">
        <v>0.997</v>
      </c>
      <c r="J55" s="4">
        <v>16</v>
      </c>
      <c r="K55" s="8">
        <f>I55*J55</f>
        <v>15.952</v>
      </c>
    </row>
    <row r="56" spans="1:17" x14ac:dyDescent="0.3">
      <c r="B56" s="4" t="s">
        <v>137</v>
      </c>
      <c r="C56" s="4">
        <v>0.189</v>
      </c>
      <c r="D56" s="4">
        <v>17.190000000000001</v>
      </c>
      <c r="E56" s="8">
        <f>C56*D56</f>
        <v>3.2489100000000004</v>
      </c>
      <c r="F56" s="26"/>
      <c r="H56" s="4" t="s">
        <v>137</v>
      </c>
      <c r="I56" s="4">
        <v>0.189</v>
      </c>
      <c r="J56" s="4">
        <v>17.190000000000001</v>
      </c>
      <c r="K56" s="8">
        <f>I56*J56</f>
        <v>3.2489100000000004</v>
      </c>
    </row>
    <row r="57" spans="1:17" x14ac:dyDescent="0.3">
      <c r="B57" s="4" t="s">
        <v>35</v>
      </c>
      <c r="C57" s="4">
        <v>4</v>
      </c>
      <c r="D57" s="4">
        <v>2.89</v>
      </c>
      <c r="E57" s="8">
        <f>C57*D57</f>
        <v>11.56</v>
      </c>
      <c r="F57" s="26"/>
      <c r="H57" s="4" t="s">
        <v>35</v>
      </c>
      <c r="I57" s="4">
        <v>4</v>
      </c>
      <c r="J57" s="4">
        <v>2.89</v>
      </c>
      <c r="K57" s="8">
        <f>I57*J57</f>
        <v>11.56</v>
      </c>
    </row>
    <row r="58" spans="1:17" x14ac:dyDescent="0.3">
      <c r="B58" s="4" t="s">
        <v>36</v>
      </c>
      <c r="C58" s="4">
        <v>4</v>
      </c>
      <c r="D58" s="4">
        <v>0.6</v>
      </c>
      <c r="E58" s="8">
        <f>C58*D58</f>
        <v>2.4</v>
      </c>
      <c r="F58" s="26"/>
      <c r="H58" s="4" t="s">
        <v>36</v>
      </c>
      <c r="I58" s="4">
        <v>4</v>
      </c>
      <c r="J58" s="4">
        <v>0.6</v>
      </c>
      <c r="K58" s="8">
        <f>I58*J58</f>
        <v>2.4</v>
      </c>
    </row>
    <row r="59" spans="1:17" x14ac:dyDescent="0.3">
      <c r="B59" s="4" t="s">
        <v>37</v>
      </c>
      <c r="C59" t="s">
        <v>258</v>
      </c>
      <c r="E59" s="8">
        <v>21</v>
      </c>
      <c r="F59" s="26"/>
      <c r="H59" s="4" t="s">
        <v>37</v>
      </c>
      <c r="I59" t="s">
        <v>258</v>
      </c>
      <c r="K59" s="8">
        <v>21</v>
      </c>
    </row>
    <row r="60" spans="1:17" x14ac:dyDescent="0.3">
      <c r="E60" s="8">
        <f>SUM(E54:E59)</f>
        <v>75.165800000000004</v>
      </c>
      <c r="F60" s="26"/>
      <c r="K60" s="8">
        <f>SUM(K54:K59)</f>
        <v>76.787540000000007</v>
      </c>
    </row>
    <row r="61" spans="1:17" x14ac:dyDescent="0.3">
      <c r="F61" s="26"/>
    </row>
    <row r="62" spans="1:17" x14ac:dyDescent="0.3">
      <c r="C62" s="4" t="s">
        <v>28</v>
      </c>
      <c r="D62" s="4" t="s">
        <v>29</v>
      </c>
      <c r="E62" s="4" t="s">
        <v>30</v>
      </c>
      <c r="F62" s="26"/>
      <c r="I62" s="4" t="s">
        <v>28</v>
      </c>
      <c r="J62" s="4" t="s">
        <v>29</v>
      </c>
      <c r="K62" s="4" t="s">
        <v>30</v>
      </c>
    </row>
    <row r="63" spans="1:17" x14ac:dyDescent="0.3">
      <c r="A63" t="s">
        <v>31</v>
      </c>
      <c r="B63" s="4" t="s">
        <v>32</v>
      </c>
      <c r="C63" s="4">
        <v>0.76800000000000002</v>
      </c>
      <c r="D63" s="4">
        <v>29.12</v>
      </c>
      <c r="E63" s="8">
        <f>C63*D63</f>
        <v>22.364160000000002</v>
      </c>
      <c r="F63" s="26"/>
      <c r="G63" t="s">
        <v>31</v>
      </c>
      <c r="H63" s="4" t="s">
        <v>32</v>
      </c>
      <c r="I63" s="4">
        <v>0.76800000000000002</v>
      </c>
      <c r="J63" s="4">
        <v>30.29</v>
      </c>
      <c r="K63" s="8">
        <f>I63*J63</f>
        <v>23.262719999999998</v>
      </c>
    </row>
    <row r="64" spans="1:17" x14ac:dyDescent="0.3">
      <c r="A64" t="s">
        <v>143</v>
      </c>
      <c r="B64" s="4" t="s">
        <v>33</v>
      </c>
      <c r="C64" s="4">
        <v>1.1970000000000001</v>
      </c>
      <c r="D64" s="4">
        <v>15.25</v>
      </c>
      <c r="E64" s="8">
        <f>C64*D64</f>
        <v>18.254250000000003</v>
      </c>
      <c r="F64" s="26"/>
      <c r="G64" t="s">
        <v>143</v>
      </c>
      <c r="H64" s="4" t="s">
        <v>33</v>
      </c>
      <c r="I64" s="4">
        <v>1.1970000000000001</v>
      </c>
      <c r="J64" s="4">
        <v>16</v>
      </c>
      <c r="K64" s="8">
        <f>I64*J64</f>
        <v>19.152000000000001</v>
      </c>
    </row>
    <row r="65" spans="1:11" x14ac:dyDescent="0.3">
      <c r="B65" s="4" t="s">
        <v>137</v>
      </c>
      <c r="C65" s="4">
        <v>0.21</v>
      </c>
      <c r="D65" s="4">
        <v>17.190000000000001</v>
      </c>
      <c r="E65" s="8">
        <f>C65*D65</f>
        <v>3.6099000000000001</v>
      </c>
      <c r="F65" s="26"/>
      <c r="H65" s="4" t="s">
        <v>137</v>
      </c>
      <c r="I65" s="4">
        <v>0.21</v>
      </c>
      <c r="J65" s="4">
        <v>17.190000000000001</v>
      </c>
      <c r="K65" s="8">
        <f>I65*J65</f>
        <v>3.6099000000000001</v>
      </c>
    </row>
    <row r="66" spans="1:11" x14ac:dyDescent="0.3">
      <c r="B66" s="4" t="s">
        <v>35</v>
      </c>
      <c r="C66" s="4">
        <v>4</v>
      </c>
      <c r="D66" s="4">
        <v>2.89</v>
      </c>
      <c r="E66" s="8">
        <f>C66*D66</f>
        <v>11.56</v>
      </c>
      <c r="F66" s="26"/>
      <c r="H66" s="4" t="s">
        <v>35</v>
      </c>
      <c r="I66" s="4">
        <v>4</v>
      </c>
      <c r="J66" s="4">
        <v>2.89</v>
      </c>
      <c r="K66" s="8">
        <f>I66*J66</f>
        <v>11.56</v>
      </c>
    </row>
    <row r="67" spans="1:11" x14ac:dyDescent="0.3">
      <c r="B67" s="4" t="s">
        <v>36</v>
      </c>
      <c r="C67" s="4">
        <v>4</v>
      </c>
      <c r="D67" s="4">
        <v>0.6</v>
      </c>
      <c r="E67" s="8">
        <f>C67*D67</f>
        <v>2.4</v>
      </c>
      <c r="F67" s="26"/>
      <c r="H67" s="4" t="s">
        <v>36</v>
      </c>
      <c r="I67" s="4">
        <v>4</v>
      </c>
      <c r="J67" s="4">
        <v>0.6</v>
      </c>
      <c r="K67" s="8">
        <f>I67*J67</f>
        <v>2.4</v>
      </c>
    </row>
    <row r="68" spans="1:11" x14ac:dyDescent="0.3">
      <c r="B68" s="4" t="s">
        <v>37</v>
      </c>
      <c r="C68">
        <v>42.5</v>
      </c>
      <c r="E68" s="8">
        <v>42.5</v>
      </c>
      <c r="F68" s="26"/>
      <c r="H68" s="4" t="s">
        <v>37</v>
      </c>
      <c r="I68" t="s">
        <v>215</v>
      </c>
      <c r="K68" s="8">
        <v>28</v>
      </c>
    </row>
    <row r="69" spans="1:11" x14ac:dyDescent="0.3">
      <c r="E69" s="8">
        <f>SUM(E63:E68)</f>
        <v>100.68831</v>
      </c>
      <c r="F69" s="26"/>
      <c r="K69" s="8">
        <f>SUM(K63:K68)</f>
        <v>87.984620000000007</v>
      </c>
    </row>
    <row r="70" spans="1:11" x14ac:dyDescent="0.3">
      <c r="F70" s="26"/>
    </row>
    <row r="71" spans="1:11" x14ac:dyDescent="0.3">
      <c r="C71" s="4" t="s">
        <v>28</v>
      </c>
      <c r="D71" s="4" t="s">
        <v>29</v>
      </c>
      <c r="E71" s="4" t="s">
        <v>30</v>
      </c>
      <c r="F71" s="26"/>
      <c r="I71" s="4" t="s">
        <v>28</v>
      </c>
      <c r="J71" s="4" t="s">
        <v>29</v>
      </c>
      <c r="K71" s="4" t="s">
        <v>30</v>
      </c>
    </row>
    <row r="72" spans="1:11" x14ac:dyDescent="0.3">
      <c r="A72" t="s">
        <v>144</v>
      </c>
      <c r="B72" s="4" t="s">
        <v>32</v>
      </c>
      <c r="C72" s="4">
        <v>0.81</v>
      </c>
      <c r="D72" s="4">
        <v>29.12</v>
      </c>
      <c r="E72" s="8">
        <f>C72*D72</f>
        <v>23.587200000000003</v>
      </c>
      <c r="F72" s="26"/>
      <c r="G72" t="s">
        <v>144</v>
      </c>
      <c r="H72" s="4" t="s">
        <v>32</v>
      </c>
      <c r="I72" s="4">
        <v>0.81</v>
      </c>
      <c r="J72" s="4">
        <v>30.29</v>
      </c>
      <c r="K72" s="8">
        <f>I72*J72</f>
        <v>24.5349</v>
      </c>
    </row>
    <row r="73" spans="1:11" x14ac:dyDescent="0.3">
      <c r="A73" t="s">
        <v>260</v>
      </c>
      <c r="B73" s="4" t="s">
        <v>33</v>
      </c>
      <c r="C73" s="4">
        <v>1.3959999999999999</v>
      </c>
      <c r="D73" s="4">
        <v>15.25</v>
      </c>
      <c r="E73" s="8">
        <f>C73*D73</f>
        <v>21.288999999999998</v>
      </c>
      <c r="F73" s="26"/>
      <c r="G73" t="s">
        <v>260</v>
      </c>
      <c r="H73" s="4" t="s">
        <v>33</v>
      </c>
      <c r="I73" s="4">
        <v>1.3959999999999999</v>
      </c>
      <c r="J73" s="4">
        <v>16</v>
      </c>
      <c r="K73" s="8">
        <f>I73*J73</f>
        <v>22.335999999999999</v>
      </c>
    </row>
    <row r="74" spans="1:11" x14ac:dyDescent="0.3">
      <c r="B74" s="4" t="s">
        <v>137</v>
      </c>
      <c r="C74" s="4">
        <v>0.252</v>
      </c>
      <c r="D74" s="4">
        <v>17.190000000000001</v>
      </c>
      <c r="E74" s="8">
        <f>C74*D74</f>
        <v>4.33188</v>
      </c>
      <c r="F74" s="26"/>
      <c r="H74" s="4" t="s">
        <v>137</v>
      </c>
      <c r="I74" s="4">
        <v>0.252</v>
      </c>
      <c r="J74" s="4">
        <v>17.190000000000001</v>
      </c>
      <c r="K74" s="8">
        <f>I74*J74</f>
        <v>4.33188</v>
      </c>
    </row>
    <row r="75" spans="1:11" x14ac:dyDescent="0.3">
      <c r="B75" s="4" t="s">
        <v>35</v>
      </c>
      <c r="C75" s="4">
        <v>4</v>
      </c>
      <c r="D75" s="4">
        <v>2.89</v>
      </c>
      <c r="E75" s="8">
        <f>C75*D75</f>
        <v>11.56</v>
      </c>
      <c r="F75" s="26"/>
      <c r="H75" s="4" t="s">
        <v>35</v>
      </c>
      <c r="I75" s="4">
        <v>4</v>
      </c>
      <c r="J75" s="4">
        <v>2.89</v>
      </c>
      <c r="K75" s="8">
        <f>I75*J75</f>
        <v>11.56</v>
      </c>
    </row>
    <row r="76" spans="1:11" x14ac:dyDescent="0.3">
      <c r="B76" s="4" t="s">
        <v>36</v>
      </c>
      <c r="C76" s="4">
        <v>4</v>
      </c>
      <c r="D76" s="4">
        <v>0.6</v>
      </c>
      <c r="E76" s="8">
        <f>C76*D76</f>
        <v>2.4</v>
      </c>
      <c r="F76" s="26"/>
      <c r="H76" s="4" t="s">
        <v>36</v>
      </c>
      <c r="I76" s="4">
        <v>4</v>
      </c>
      <c r="J76" s="4">
        <v>0.6</v>
      </c>
      <c r="K76" s="8">
        <f>I76*J76</f>
        <v>2.4</v>
      </c>
    </row>
    <row r="77" spans="1:11" x14ac:dyDescent="0.3">
      <c r="B77" s="4" t="s">
        <v>37</v>
      </c>
      <c r="C77" t="s">
        <v>215</v>
      </c>
      <c r="E77" s="8">
        <v>28</v>
      </c>
      <c r="F77" s="26"/>
      <c r="H77" s="4" t="s">
        <v>37</v>
      </c>
      <c r="I77" t="s">
        <v>215</v>
      </c>
      <c r="K77" s="8">
        <v>28</v>
      </c>
    </row>
    <row r="78" spans="1:11" x14ac:dyDescent="0.3">
      <c r="E78" s="8">
        <f>SUM(E72:E77)</f>
        <v>91.168080000000003</v>
      </c>
      <c r="F78" s="26"/>
      <c r="K78" s="8">
        <f>SUM(K72:K77)</f>
        <v>93.162779999999998</v>
      </c>
    </row>
    <row r="79" spans="1:11" x14ac:dyDescent="0.3">
      <c r="F79" s="26"/>
    </row>
    <row r="80" spans="1:11" x14ac:dyDescent="0.3">
      <c r="F80" s="26"/>
    </row>
    <row r="81" spans="1:11" x14ac:dyDescent="0.3">
      <c r="C81" s="4" t="s">
        <v>28</v>
      </c>
      <c r="D81" s="4" t="s">
        <v>29</v>
      </c>
      <c r="E81" s="4" t="s">
        <v>30</v>
      </c>
      <c r="F81" s="26"/>
      <c r="I81" s="4" t="s">
        <v>28</v>
      </c>
      <c r="J81" s="4" t="s">
        <v>29</v>
      </c>
      <c r="K81" s="4" t="s">
        <v>30</v>
      </c>
    </row>
    <row r="82" spans="1:11" x14ac:dyDescent="0.3">
      <c r="A82" t="s">
        <v>145</v>
      </c>
      <c r="B82" s="4" t="s">
        <v>32</v>
      </c>
      <c r="C82" s="4">
        <v>0.83099999999999996</v>
      </c>
      <c r="D82" s="4">
        <v>29.12</v>
      </c>
      <c r="E82" s="8">
        <f>C82*D82</f>
        <v>24.198719999999998</v>
      </c>
      <c r="F82" s="26"/>
      <c r="G82" t="s">
        <v>145</v>
      </c>
      <c r="H82" s="4" t="s">
        <v>32</v>
      </c>
      <c r="I82" s="4">
        <v>0.83099999999999996</v>
      </c>
      <c r="J82" s="4">
        <v>30.29</v>
      </c>
      <c r="K82" s="8">
        <f>I82*J82</f>
        <v>25.17099</v>
      </c>
    </row>
    <row r="83" spans="1:11" x14ac:dyDescent="0.3">
      <c r="A83" t="s">
        <v>220</v>
      </c>
      <c r="B83" s="4" t="s">
        <v>33</v>
      </c>
      <c r="C83" s="4">
        <v>1.5960000000000001</v>
      </c>
      <c r="D83" s="4">
        <v>15.25</v>
      </c>
      <c r="E83" s="8">
        <f>C83*D83</f>
        <v>24.339000000000002</v>
      </c>
      <c r="F83" s="26"/>
      <c r="G83" t="s">
        <v>220</v>
      </c>
      <c r="H83" s="4" t="s">
        <v>33</v>
      </c>
      <c r="I83" s="4">
        <v>1.5960000000000001</v>
      </c>
      <c r="J83" s="4">
        <v>16</v>
      </c>
      <c r="K83" s="8">
        <f>I83*J83</f>
        <v>25.536000000000001</v>
      </c>
    </row>
    <row r="84" spans="1:11" x14ac:dyDescent="0.3">
      <c r="B84" s="4" t="s">
        <v>137</v>
      </c>
      <c r="C84" s="4">
        <v>0.27300000000000002</v>
      </c>
      <c r="D84" s="4">
        <v>17.190000000000001</v>
      </c>
      <c r="E84" s="8">
        <f>C84*D84</f>
        <v>4.692870000000001</v>
      </c>
      <c r="F84" s="26"/>
      <c r="H84" s="4" t="s">
        <v>137</v>
      </c>
      <c r="I84" s="4">
        <v>0.27300000000000002</v>
      </c>
      <c r="J84" s="4">
        <v>17.190000000000001</v>
      </c>
      <c r="K84" s="8">
        <f>I84*J84</f>
        <v>4.692870000000001</v>
      </c>
    </row>
    <row r="85" spans="1:11" x14ac:dyDescent="0.3">
      <c r="B85" s="4" t="s">
        <v>35</v>
      </c>
      <c r="C85" s="4">
        <v>4</v>
      </c>
      <c r="D85" s="4">
        <v>2.89</v>
      </c>
      <c r="E85" s="8">
        <f>C85*D85</f>
        <v>11.56</v>
      </c>
      <c r="F85" s="26"/>
      <c r="H85" s="4" t="s">
        <v>35</v>
      </c>
      <c r="I85" s="4">
        <v>4</v>
      </c>
      <c r="J85" s="4">
        <v>2.89</v>
      </c>
      <c r="K85" s="8">
        <f>I85*J85</f>
        <v>11.56</v>
      </c>
    </row>
    <row r="86" spans="1:11" x14ac:dyDescent="0.3">
      <c r="B86" s="4" t="s">
        <v>36</v>
      </c>
      <c r="C86" s="4">
        <v>4</v>
      </c>
      <c r="D86" s="4">
        <v>0.6</v>
      </c>
      <c r="E86" s="8">
        <f>C86*D86</f>
        <v>2.4</v>
      </c>
      <c r="F86" s="26"/>
      <c r="H86" s="4" t="s">
        <v>36</v>
      </c>
      <c r="I86" s="4">
        <v>4</v>
      </c>
      <c r="J86" s="4">
        <v>0.6</v>
      </c>
      <c r="K86" s="8">
        <f>I86*J86</f>
        <v>2.4</v>
      </c>
    </row>
    <row r="87" spans="1:11" x14ac:dyDescent="0.3">
      <c r="B87" s="4" t="s">
        <v>37</v>
      </c>
      <c r="C87" t="s">
        <v>215</v>
      </c>
      <c r="E87" s="8">
        <v>28</v>
      </c>
      <c r="F87" s="26"/>
      <c r="H87" s="4" t="s">
        <v>37</v>
      </c>
      <c r="I87" t="s">
        <v>215</v>
      </c>
      <c r="K87" s="8">
        <v>28</v>
      </c>
    </row>
    <row r="88" spans="1:11" x14ac:dyDescent="0.3">
      <c r="E88" s="8">
        <f>SUM(E82:E87)</f>
        <v>95.19059</v>
      </c>
      <c r="F88" s="26"/>
      <c r="K88" s="8">
        <f>SUM(K82:K87)</f>
        <v>97.359860000000012</v>
      </c>
    </row>
    <row r="89" spans="1:11" x14ac:dyDescent="0.3">
      <c r="F89" s="26"/>
    </row>
    <row r="90" spans="1:11" x14ac:dyDescent="0.3">
      <c r="C90" s="4" t="s">
        <v>28</v>
      </c>
      <c r="D90" s="4" t="s">
        <v>29</v>
      </c>
      <c r="E90" s="4" t="s">
        <v>30</v>
      </c>
      <c r="F90" s="26"/>
      <c r="I90" s="4" t="s">
        <v>28</v>
      </c>
      <c r="J90" s="4" t="s">
        <v>29</v>
      </c>
      <c r="K90" s="4" t="s">
        <v>30</v>
      </c>
    </row>
    <row r="91" spans="1:11" x14ac:dyDescent="0.3">
      <c r="A91" t="s">
        <v>146</v>
      </c>
      <c r="B91" s="4" t="s">
        <v>32</v>
      </c>
      <c r="C91" s="4">
        <v>0.84199999999999997</v>
      </c>
      <c r="D91" s="4">
        <v>29.12</v>
      </c>
      <c r="E91" s="8">
        <f>C91*D91</f>
        <v>24.51904</v>
      </c>
      <c r="F91" s="26"/>
      <c r="G91" t="s">
        <v>146</v>
      </c>
      <c r="H91" s="4" t="s">
        <v>32</v>
      </c>
      <c r="I91" s="4">
        <v>0.84199999999999997</v>
      </c>
      <c r="J91" s="4">
        <v>30.29</v>
      </c>
      <c r="K91" s="8">
        <f>I91*J91</f>
        <v>25.504179999999998</v>
      </c>
    </row>
    <row r="92" spans="1:11" x14ac:dyDescent="0.3">
      <c r="A92" t="s">
        <v>178</v>
      </c>
      <c r="B92" s="4" t="s">
        <v>33</v>
      </c>
      <c r="C92" s="4">
        <v>1.7949999999999999</v>
      </c>
      <c r="D92" s="4">
        <v>15.25</v>
      </c>
      <c r="E92" s="8">
        <f>C92*D92</f>
        <v>27.373749999999998</v>
      </c>
      <c r="F92" s="26"/>
      <c r="G92" t="s">
        <v>178</v>
      </c>
      <c r="H92" s="4" t="s">
        <v>33</v>
      </c>
      <c r="I92" s="4">
        <v>1.7949999999999999</v>
      </c>
      <c r="J92" s="4">
        <v>10.86</v>
      </c>
      <c r="K92" s="8">
        <f>I92*J92</f>
        <v>19.493699999999997</v>
      </c>
    </row>
    <row r="93" spans="1:11" x14ac:dyDescent="0.3">
      <c r="B93" s="4" t="s">
        <v>137</v>
      </c>
      <c r="C93" s="4">
        <v>0.28299999999999997</v>
      </c>
      <c r="D93" s="4">
        <v>17.190000000000001</v>
      </c>
      <c r="E93" s="8">
        <f>C93*D93</f>
        <v>4.86477</v>
      </c>
      <c r="F93" s="26"/>
      <c r="H93" s="4" t="s">
        <v>137</v>
      </c>
      <c r="I93" s="4">
        <v>0.28299999999999997</v>
      </c>
      <c r="J93" s="4">
        <v>17.190000000000001</v>
      </c>
      <c r="K93" s="8">
        <f>I93*J93</f>
        <v>4.86477</v>
      </c>
    </row>
    <row r="94" spans="1:11" x14ac:dyDescent="0.3">
      <c r="B94" s="4" t="s">
        <v>35</v>
      </c>
      <c r="C94" s="4">
        <v>4</v>
      </c>
      <c r="D94" s="4">
        <v>2.89</v>
      </c>
      <c r="E94" s="8">
        <f>C94*D94</f>
        <v>11.56</v>
      </c>
      <c r="F94" s="26"/>
      <c r="H94" s="4" t="s">
        <v>35</v>
      </c>
      <c r="I94" s="4">
        <v>4</v>
      </c>
      <c r="J94" s="4">
        <v>2.89</v>
      </c>
      <c r="K94" s="8">
        <f>I94*J94</f>
        <v>11.56</v>
      </c>
    </row>
    <row r="95" spans="1:11" x14ac:dyDescent="0.3">
      <c r="B95" s="4" t="s">
        <v>36</v>
      </c>
      <c r="C95" s="4">
        <v>4</v>
      </c>
      <c r="D95" s="4">
        <v>0.6</v>
      </c>
      <c r="E95" s="8">
        <f>C95*D95</f>
        <v>2.4</v>
      </c>
      <c r="F95" s="26"/>
      <c r="H95" s="4" t="s">
        <v>36</v>
      </c>
      <c r="I95" s="4">
        <v>4</v>
      </c>
      <c r="J95" s="4">
        <v>0.6</v>
      </c>
      <c r="K95" s="8">
        <f>I95*J95</f>
        <v>2.4</v>
      </c>
    </row>
    <row r="96" spans="1:11" x14ac:dyDescent="0.3">
      <c r="B96" s="4" t="s">
        <v>37</v>
      </c>
      <c r="C96" t="s">
        <v>215</v>
      </c>
      <c r="E96" s="8">
        <v>28</v>
      </c>
      <c r="F96" s="26"/>
      <c r="H96" s="4" t="s">
        <v>37</v>
      </c>
      <c r="I96" t="s">
        <v>215</v>
      </c>
      <c r="K96" s="8">
        <v>28</v>
      </c>
    </row>
    <row r="97" spans="1:11" x14ac:dyDescent="0.3">
      <c r="E97" s="8">
        <f>SUM(E91:E96)</f>
        <v>98.717560000000006</v>
      </c>
      <c r="F97" s="26"/>
      <c r="K97" s="8">
        <f>SUM(K91:K96)</f>
        <v>91.822649999999996</v>
      </c>
    </row>
    <row r="98" spans="1:11" x14ac:dyDescent="0.3">
      <c r="F98" s="26"/>
    </row>
    <row r="99" spans="1:11" x14ac:dyDescent="0.3">
      <c r="C99" s="4" t="s">
        <v>28</v>
      </c>
      <c r="D99" s="4" t="s">
        <v>29</v>
      </c>
      <c r="E99" s="4" t="s">
        <v>30</v>
      </c>
      <c r="F99" s="26"/>
      <c r="I99" s="4" t="s">
        <v>28</v>
      </c>
      <c r="J99" s="4" t="s">
        <v>29</v>
      </c>
      <c r="K99" s="4" t="s">
        <v>30</v>
      </c>
    </row>
    <row r="100" spans="1:11" x14ac:dyDescent="0.3">
      <c r="A100" t="s">
        <v>62</v>
      </c>
      <c r="B100" s="4" t="s">
        <v>32</v>
      </c>
      <c r="C100" s="4">
        <v>0.873</v>
      </c>
      <c r="D100" s="4">
        <v>29.12</v>
      </c>
      <c r="E100" s="8">
        <f>C100*D100</f>
        <v>25.421760000000003</v>
      </c>
      <c r="F100" s="26"/>
      <c r="G100" t="s">
        <v>62</v>
      </c>
      <c r="H100" s="4" t="s">
        <v>32</v>
      </c>
      <c r="I100" s="4">
        <v>0.873</v>
      </c>
      <c r="J100" s="4">
        <v>30.29</v>
      </c>
      <c r="K100" s="8">
        <f>I100*J100</f>
        <v>26.443169999999999</v>
      </c>
    </row>
    <row r="101" spans="1:11" x14ac:dyDescent="0.3">
      <c r="A101" t="s">
        <v>232</v>
      </c>
      <c r="B101" s="4" t="s">
        <v>33</v>
      </c>
      <c r="C101" s="4">
        <v>1.9950000000000001</v>
      </c>
      <c r="D101" s="4">
        <v>15.25</v>
      </c>
      <c r="E101" s="8">
        <f>C101*D101</f>
        <v>30.423750000000002</v>
      </c>
      <c r="F101" s="26"/>
      <c r="G101" t="s">
        <v>232</v>
      </c>
      <c r="H101" s="4" t="s">
        <v>33</v>
      </c>
      <c r="I101" s="4">
        <v>1.9950000000000001</v>
      </c>
      <c r="J101" s="4">
        <v>16</v>
      </c>
      <c r="K101" s="8">
        <f>I101*J101</f>
        <v>31.92</v>
      </c>
    </row>
    <row r="102" spans="1:11" x14ac:dyDescent="0.3">
      <c r="B102" s="4" t="s">
        <v>137</v>
      </c>
      <c r="C102" s="4">
        <v>0.315</v>
      </c>
      <c r="D102" s="4">
        <v>17.190000000000001</v>
      </c>
      <c r="E102" s="8">
        <f>C102*D102</f>
        <v>5.4148500000000004</v>
      </c>
      <c r="F102" s="26"/>
      <c r="H102" s="4" t="s">
        <v>137</v>
      </c>
      <c r="I102" s="4">
        <v>0.315</v>
      </c>
      <c r="J102" s="4">
        <v>17.190000000000001</v>
      </c>
      <c r="K102" s="8">
        <f>I102*J102</f>
        <v>5.4148500000000004</v>
      </c>
    </row>
    <row r="103" spans="1:11" x14ac:dyDescent="0.3">
      <c r="B103" s="4" t="s">
        <v>35</v>
      </c>
      <c r="C103" s="4">
        <v>4</v>
      </c>
      <c r="D103" s="4">
        <v>2.89</v>
      </c>
      <c r="E103" s="8">
        <f>C103*D103</f>
        <v>11.56</v>
      </c>
      <c r="F103" s="26"/>
      <c r="H103" s="4" t="s">
        <v>35</v>
      </c>
      <c r="I103" s="4">
        <v>4</v>
      </c>
      <c r="J103" s="4">
        <v>2.89</v>
      </c>
      <c r="K103" s="8">
        <f>I103*J103</f>
        <v>11.56</v>
      </c>
    </row>
    <row r="104" spans="1:11" x14ac:dyDescent="0.3">
      <c r="B104" s="4" t="s">
        <v>36</v>
      </c>
      <c r="C104" s="4">
        <v>4</v>
      </c>
      <c r="D104" s="4">
        <v>0.6</v>
      </c>
      <c r="E104" s="8">
        <f>C104*D104</f>
        <v>2.4</v>
      </c>
      <c r="F104" s="26"/>
      <c r="H104" s="4" t="s">
        <v>36</v>
      </c>
      <c r="I104" s="4">
        <v>4</v>
      </c>
      <c r="J104" s="4">
        <v>0.6</v>
      </c>
      <c r="K104" s="8">
        <f>I104*J104</f>
        <v>2.4</v>
      </c>
    </row>
    <row r="105" spans="1:11" x14ac:dyDescent="0.3">
      <c r="B105" s="4" t="s">
        <v>37</v>
      </c>
      <c r="C105" t="s">
        <v>215</v>
      </c>
      <c r="E105" s="8">
        <v>28</v>
      </c>
      <c r="F105" s="26"/>
      <c r="H105" s="4" t="s">
        <v>37</v>
      </c>
      <c r="I105" t="s">
        <v>215</v>
      </c>
      <c r="K105" s="8">
        <v>28</v>
      </c>
    </row>
    <row r="106" spans="1:11" x14ac:dyDescent="0.3">
      <c r="E106" s="8">
        <f>SUM(E100:E105)</f>
        <v>103.22036000000001</v>
      </c>
      <c r="F106" s="26"/>
      <c r="K106" s="8">
        <f>SUM(K100:K105)</f>
        <v>105.73802000000001</v>
      </c>
    </row>
    <row r="107" spans="1:11" x14ac:dyDescent="0.3">
      <c r="F107" s="26"/>
    </row>
    <row r="108" spans="1:11" x14ac:dyDescent="0.3">
      <c r="C108" s="4" t="s">
        <v>28</v>
      </c>
      <c r="D108" s="4" t="s">
        <v>29</v>
      </c>
      <c r="E108" s="4" t="s">
        <v>30</v>
      </c>
      <c r="F108" s="26"/>
      <c r="I108" s="4" t="s">
        <v>28</v>
      </c>
      <c r="J108" s="4" t="s">
        <v>29</v>
      </c>
      <c r="K108" s="4" t="s">
        <v>30</v>
      </c>
    </row>
    <row r="109" spans="1:11" x14ac:dyDescent="0.3">
      <c r="A109" t="s">
        <v>73</v>
      </c>
      <c r="B109" s="4" t="s">
        <v>32</v>
      </c>
      <c r="C109" s="4">
        <v>0.97899999999999998</v>
      </c>
      <c r="D109" s="4">
        <v>29.12</v>
      </c>
      <c r="E109" s="8">
        <f>C109*D109</f>
        <v>28.508479999999999</v>
      </c>
      <c r="F109" s="26"/>
      <c r="G109" t="s">
        <v>73</v>
      </c>
      <c r="H109" s="4" t="s">
        <v>32</v>
      </c>
      <c r="I109" s="4">
        <v>0.97899999999999998</v>
      </c>
      <c r="J109" s="4">
        <v>30.29</v>
      </c>
      <c r="K109" s="8">
        <f>I109*J109</f>
        <v>29.65391</v>
      </c>
    </row>
    <row r="110" spans="1:11" x14ac:dyDescent="0.3">
      <c r="A110" t="s">
        <v>217</v>
      </c>
      <c r="B110" s="4" t="s">
        <v>33</v>
      </c>
      <c r="C110" s="4">
        <v>2.7930000000000001</v>
      </c>
      <c r="D110" s="4">
        <v>15.25</v>
      </c>
      <c r="E110" s="8">
        <f>C110*D110</f>
        <v>42.593250000000005</v>
      </c>
      <c r="F110" s="26"/>
      <c r="G110" t="s">
        <v>217</v>
      </c>
      <c r="H110" s="4" t="s">
        <v>33</v>
      </c>
      <c r="I110" s="4">
        <v>2.7930000000000001</v>
      </c>
      <c r="J110" s="4">
        <v>10.86</v>
      </c>
      <c r="K110" s="8">
        <f>I110*J110</f>
        <v>30.331980000000001</v>
      </c>
    </row>
    <row r="111" spans="1:11" x14ac:dyDescent="0.3">
      <c r="B111" s="4" t="s">
        <v>137</v>
      </c>
      <c r="C111" s="4">
        <v>0.42</v>
      </c>
      <c r="D111" s="4">
        <v>17.190000000000001</v>
      </c>
      <c r="E111" s="8">
        <f>C111*D111</f>
        <v>7.2198000000000002</v>
      </c>
      <c r="F111" s="26"/>
      <c r="H111" s="4" t="s">
        <v>137</v>
      </c>
      <c r="I111" s="4">
        <v>0.42</v>
      </c>
      <c r="J111" s="4">
        <v>17.190000000000001</v>
      </c>
      <c r="K111" s="8">
        <f>I111*J111</f>
        <v>7.2198000000000002</v>
      </c>
    </row>
    <row r="112" spans="1:11" x14ac:dyDescent="0.3">
      <c r="B112" s="4" t="s">
        <v>35</v>
      </c>
      <c r="C112" s="4">
        <v>4</v>
      </c>
      <c r="D112" s="4">
        <v>2.89</v>
      </c>
      <c r="E112" s="8">
        <f>C112*D112</f>
        <v>11.56</v>
      </c>
      <c r="F112" s="26"/>
      <c r="H112" s="4" t="s">
        <v>35</v>
      </c>
      <c r="I112" s="4">
        <v>4</v>
      </c>
      <c r="J112" s="4">
        <v>2.89</v>
      </c>
      <c r="K112" s="8">
        <f>I112*J112</f>
        <v>11.56</v>
      </c>
    </row>
    <row r="113" spans="1:11" x14ac:dyDescent="0.3">
      <c r="B113" s="4" t="s">
        <v>36</v>
      </c>
      <c r="C113" s="4">
        <v>4</v>
      </c>
      <c r="D113" s="4">
        <v>0.6</v>
      </c>
      <c r="E113" s="8">
        <f>C113*D113</f>
        <v>2.4</v>
      </c>
      <c r="F113" s="26"/>
      <c r="H113" s="4" t="s">
        <v>36</v>
      </c>
      <c r="I113" s="4">
        <v>4</v>
      </c>
      <c r="J113" s="4">
        <v>0.6</v>
      </c>
      <c r="K113" s="8">
        <f>I113*J113</f>
        <v>2.4</v>
      </c>
    </row>
    <row r="114" spans="1:11" x14ac:dyDescent="0.3">
      <c r="B114" s="4" t="s">
        <v>37</v>
      </c>
      <c r="C114" t="s">
        <v>215</v>
      </c>
      <c r="E114" s="8">
        <v>28</v>
      </c>
      <c r="F114" s="26"/>
      <c r="H114" s="4" t="s">
        <v>37</v>
      </c>
      <c r="I114" t="s">
        <v>215</v>
      </c>
      <c r="K114" s="8">
        <v>28</v>
      </c>
    </row>
    <row r="115" spans="1:11" x14ac:dyDescent="0.3">
      <c r="E115" s="8">
        <f>SUM(E109:E114)</f>
        <v>120.28153000000002</v>
      </c>
      <c r="F115" s="26"/>
      <c r="K115" s="8">
        <f>SUM(K109:K114)</f>
        <v>109.16569000000001</v>
      </c>
    </row>
    <row r="116" spans="1:11" x14ac:dyDescent="0.3">
      <c r="F116" s="26"/>
    </row>
    <row r="117" spans="1:11" x14ac:dyDescent="0.3">
      <c r="C117" s="4" t="s">
        <v>28</v>
      </c>
      <c r="D117" s="4" t="s">
        <v>29</v>
      </c>
      <c r="E117" s="4" t="s">
        <v>30</v>
      </c>
      <c r="F117" s="26"/>
      <c r="I117" s="4" t="s">
        <v>28</v>
      </c>
      <c r="J117" s="4" t="s">
        <v>29</v>
      </c>
      <c r="K117" s="4" t="s">
        <v>30</v>
      </c>
    </row>
    <row r="118" spans="1:11" x14ac:dyDescent="0.3">
      <c r="A118" t="s">
        <v>148</v>
      </c>
      <c r="B118" s="4" t="s">
        <v>32</v>
      </c>
      <c r="C118" s="4">
        <v>0.85199999999999998</v>
      </c>
      <c r="D118" s="4">
        <v>29.12</v>
      </c>
      <c r="E118" s="8">
        <f>C118*D118</f>
        <v>24.81024</v>
      </c>
      <c r="F118" s="26"/>
      <c r="G118" t="s">
        <v>148</v>
      </c>
      <c r="H118" s="4" t="s">
        <v>32</v>
      </c>
      <c r="I118" s="4">
        <v>0.85199999999999998</v>
      </c>
      <c r="J118" s="4">
        <v>30.29</v>
      </c>
      <c r="K118" s="8">
        <f>I118*J118</f>
        <v>25.807079999999999</v>
      </c>
    </row>
    <row r="119" spans="1:11" x14ac:dyDescent="0.3">
      <c r="A119" t="s">
        <v>219</v>
      </c>
      <c r="B119" s="4" t="s">
        <v>33</v>
      </c>
      <c r="C119" s="4">
        <v>0.30399999999999999</v>
      </c>
      <c r="D119" s="4">
        <v>15.25</v>
      </c>
      <c r="E119" s="8">
        <f>C119*D119</f>
        <v>4.6360000000000001</v>
      </c>
      <c r="F119" s="26"/>
      <c r="G119" t="s">
        <v>219</v>
      </c>
      <c r="H119" s="4" t="s">
        <v>33</v>
      </c>
      <c r="I119" s="4">
        <v>0.30399999999999999</v>
      </c>
      <c r="J119" s="4">
        <v>16</v>
      </c>
      <c r="K119" s="8">
        <f>I119*J119</f>
        <v>4.8639999999999999</v>
      </c>
    </row>
    <row r="120" spans="1:11" x14ac:dyDescent="0.3">
      <c r="B120" s="4" t="s">
        <v>137</v>
      </c>
      <c r="C120" s="4">
        <v>0.84</v>
      </c>
      <c r="D120" s="4">
        <v>17.190000000000001</v>
      </c>
      <c r="E120" s="8">
        <f>C120*D120</f>
        <v>14.4396</v>
      </c>
      <c r="F120" s="26"/>
      <c r="H120" s="4" t="s">
        <v>137</v>
      </c>
      <c r="I120" s="4">
        <v>0.84</v>
      </c>
      <c r="J120" s="4">
        <v>17.190000000000001</v>
      </c>
      <c r="K120" s="8">
        <f>I120*J120</f>
        <v>14.4396</v>
      </c>
    </row>
    <row r="121" spans="1:11" x14ac:dyDescent="0.3">
      <c r="B121" s="4" t="s">
        <v>35</v>
      </c>
      <c r="C121" s="4">
        <v>4</v>
      </c>
      <c r="D121" s="4">
        <v>2.89</v>
      </c>
      <c r="E121" s="8">
        <f>C121*D121</f>
        <v>11.56</v>
      </c>
      <c r="F121" s="26"/>
      <c r="H121" s="4" t="s">
        <v>35</v>
      </c>
      <c r="I121" s="4">
        <v>4</v>
      </c>
      <c r="J121" s="4">
        <v>2.89</v>
      </c>
      <c r="K121" s="8">
        <f>I121*J121</f>
        <v>11.56</v>
      </c>
    </row>
    <row r="122" spans="1:11" x14ac:dyDescent="0.3">
      <c r="B122" s="4" t="s">
        <v>36</v>
      </c>
      <c r="C122" s="4">
        <v>4</v>
      </c>
      <c r="D122" s="4">
        <v>0.6</v>
      </c>
      <c r="E122" s="8">
        <f>C122*D122</f>
        <v>2.4</v>
      </c>
      <c r="F122" s="26"/>
      <c r="H122" s="4" t="s">
        <v>36</v>
      </c>
      <c r="I122" s="4">
        <v>4</v>
      </c>
      <c r="J122" s="4">
        <v>0.6</v>
      </c>
      <c r="K122" s="8">
        <f>I122*J122</f>
        <v>2.4</v>
      </c>
    </row>
    <row r="123" spans="1:11" x14ac:dyDescent="0.3">
      <c r="B123" s="4" t="s">
        <v>37</v>
      </c>
      <c r="C123" t="s">
        <v>258</v>
      </c>
      <c r="E123" s="8">
        <v>21</v>
      </c>
      <c r="F123" s="26"/>
      <c r="H123" s="4" t="s">
        <v>37</v>
      </c>
      <c r="I123" s="10">
        <v>21.5</v>
      </c>
      <c r="K123" s="8">
        <v>21.5</v>
      </c>
    </row>
    <row r="124" spans="1:11" x14ac:dyDescent="0.3">
      <c r="E124" s="8">
        <f>SUM(E118:E123)</f>
        <v>78.84584000000001</v>
      </c>
      <c r="F124" s="26"/>
      <c r="K124" s="8">
        <f>SUM(K118:K123)</f>
        <v>80.57068000000001</v>
      </c>
    </row>
    <row r="125" spans="1:11" x14ac:dyDescent="0.3">
      <c r="F125" s="26"/>
    </row>
    <row r="126" spans="1:11" x14ac:dyDescent="0.3">
      <c r="C126" s="4" t="s">
        <v>28</v>
      </c>
      <c r="D126" s="4" t="s">
        <v>29</v>
      </c>
      <c r="E126" s="4" t="s">
        <v>30</v>
      </c>
      <c r="F126" s="26"/>
      <c r="I126" s="4" t="s">
        <v>28</v>
      </c>
      <c r="J126" s="4" t="s">
        <v>29</v>
      </c>
      <c r="K126" s="4" t="s">
        <v>30</v>
      </c>
    </row>
    <row r="127" spans="1:11" x14ac:dyDescent="0.3">
      <c r="A127" t="s">
        <v>147</v>
      </c>
      <c r="B127" s="4" t="s">
        <v>32</v>
      </c>
      <c r="C127" s="4">
        <v>0.873</v>
      </c>
      <c r="D127" s="4">
        <v>29.12</v>
      </c>
      <c r="E127" s="8">
        <f>C127*D127</f>
        <v>25.421760000000003</v>
      </c>
      <c r="F127" s="26"/>
      <c r="G127" t="s">
        <v>147</v>
      </c>
      <c r="H127" s="4" t="s">
        <v>32</v>
      </c>
      <c r="I127" s="4">
        <v>0.873</v>
      </c>
      <c r="J127" s="4">
        <v>30.29</v>
      </c>
      <c r="K127" s="8">
        <f>I127*J127</f>
        <v>26.443169999999999</v>
      </c>
    </row>
    <row r="128" spans="1:11" x14ac:dyDescent="0.3">
      <c r="A128" t="s">
        <v>171</v>
      </c>
      <c r="B128" s="4" t="s">
        <v>33</v>
      </c>
      <c r="C128" s="4">
        <v>0.60899999999999999</v>
      </c>
      <c r="D128" s="4">
        <v>15.25</v>
      </c>
      <c r="E128" s="8">
        <f>C128*D128</f>
        <v>9.2872500000000002</v>
      </c>
      <c r="F128" s="26"/>
      <c r="G128" t="s">
        <v>171</v>
      </c>
      <c r="H128" s="4" t="s">
        <v>33</v>
      </c>
      <c r="I128" s="4">
        <v>0.60899999999999999</v>
      </c>
      <c r="J128" s="4">
        <v>16</v>
      </c>
      <c r="K128" s="8">
        <f>I128*J128</f>
        <v>9.7439999999999998</v>
      </c>
    </row>
    <row r="129" spans="1:11" x14ac:dyDescent="0.3">
      <c r="B129" s="4" t="s">
        <v>137</v>
      </c>
      <c r="C129" s="4">
        <v>0.105</v>
      </c>
      <c r="D129" s="4">
        <v>17.190000000000001</v>
      </c>
      <c r="E129" s="8">
        <f>C129*D129</f>
        <v>1.8049500000000001</v>
      </c>
      <c r="F129" s="26"/>
      <c r="H129" s="4" t="s">
        <v>137</v>
      </c>
      <c r="I129" s="4">
        <v>0.105</v>
      </c>
      <c r="J129" s="4">
        <v>17.190000000000001</v>
      </c>
      <c r="K129" s="8">
        <f>I129*J129</f>
        <v>1.8049500000000001</v>
      </c>
    </row>
    <row r="130" spans="1:11" x14ac:dyDescent="0.3">
      <c r="B130" s="4" t="s">
        <v>35</v>
      </c>
      <c r="C130" s="4">
        <v>4</v>
      </c>
      <c r="D130" s="4">
        <v>2.89</v>
      </c>
      <c r="E130" s="8">
        <f>C130*D130</f>
        <v>11.56</v>
      </c>
      <c r="F130" s="26"/>
      <c r="H130" s="4" t="s">
        <v>35</v>
      </c>
      <c r="I130" s="4">
        <v>4</v>
      </c>
      <c r="J130" s="4">
        <v>2.89</v>
      </c>
      <c r="K130" s="8">
        <f>I130*J130</f>
        <v>11.56</v>
      </c>
    </row>
    <row r="131" spans="1:11" x14ac:dyDescent="0.3">
      <c r="B131" s="4" t="s">
        <v>36</v>
      </c>
      <c r="C131" s="4">
        <v>4</v>
      </c>
      <c r="D131" s="4">
        <v>0.6</v>
      </c>
      <c r="E131" s="8">
        <f>C131*D131</f>
        <v>2.4</v>
      </c>
      <c r="F131" s="26"/>
      <c r="H131" s="4" t="s">
        <v>36</v>
      </c>
      <c r="I131" s="4">
        <v>4</v>
      </c>
      <c r="J131" s="4">
        <v>0.6</v>
      </c>
      <c r="K131" s="8">
        <f>I131*J131</f>
        <v>2.4</v>
      </c>
    </row>
    <row r="132" spans="1:11" x14ac:dyDescent="0.3">
      <c r="B132" s="4" t="s">
        <v>37</v>
      </c>
      <c r="C132" t="s">
        <v>258</v>
      </c>
      <c r="E132" s="8">
        <v>21</v>
      </c>
      <c r="F132" s="26"/>
      <c r="H132" s="4" t="s">
        <v>37</v>
      </c>
      <c r="I132" t="s">
        <v>258</v>
      </c>
      <c r="K132" s="8">
        <v>21</v>
      </c>
    </row>
    <row r="133" spans="1:11" x14ac:dyDescent="0.3">
      <c r="E133" s="8">
        <f>SUM(E127:E132)</f>
        <v>71.473960000000005</v>
      </c>
      <c r="F133" s="26"/>
      <c r="K133" s="8">
        <f>SUM(K127:K132)</f>
        <v>72.952119999999994</v>
      </c>
    </row>
    <row r="134" spans="1:11" x14ac:dyDescent="0.3">
      <c r="F134" s="26"/>
    </row>
    <row r="135" spans="1:11" x14ac:dyDescent="0.3">
      <c r="C135" s="4" t="s">
        <v>28</v>
      </c>
      <c r="D135" s="4" t="s">
        <v>29</v>
      </c>
      <c r="E135" s="4" t="s">
        <v>30</v>
      </c>
      <c r="F135" s="26"/>
      <c r="I135" s="4" t="s">
        <v>28</v>
      </c>
      <c r="J135" s="4" t="s">
        <v>29</v>
      </c>
      <c r="K135" s="4" t="s">
        <v>30</v>
      </c>
    </row>
    <row r="136" spans="1:11" x14ac:dyDescent="0.3">
      <c r="A136" t="s">
        <v>149</v>
      </c>
      <c r="B136" s="4" t="s">
        <v>32</v>
      </c>
      <c r="C136" s="4">
        <v>0.89400000000000002</v>
      </c>
      <c r="D136" s="4">
        <v>29.12</v>
      </c>
      <c r="E136" s="8">
        <f>C136*D136</f>
        <v>26.033280000000001</v>
      </c>
      <c r="F136" s="26"/>
      <c r="G136" t="s">
        <v>149</v>
      </c>
      <c r="H136" s="4" t="s">
        <v>32</v>
      </c>
      <c r="I136" s="4">
        <v>0.89400000000000002</v>
      </c>
      <c r="J136" s="4">
        <v>30.29</v>
      </c>
      <c r="K136" s="8">
        <f>I136*J136</f>
        <v>27.079260000000001</v>
      </c>
    </row>
    <row r="137" spans="1:11" x14ac:dyDescent="0.3">
      <c r="A137" t="s">
        <v>261</v>
      </c>
      <c r="B137" s="4" t="s">
        <v>33</v>
      </c>
      <c r="C137" s="4">
        <v>0.91300000000000003</v>
      </c>
      <c r="D137" s="4">
        <v>15.25</v>
      </c>
      <c r="E137" s="8">
        <f>C137*D137</f>
        <v>13.923250000000001</v>
      </c>
      <c r="F137" s="26"/>
      <c r="G137" t="s">
        <v>261</v>
      </c>
      <c r="H137" s="4" t="s">
        <v>33</v>
      </c>
      <c r="I137" s="4">
        <v>0.91300000000000003</v>
      </c>
      <c r="J137" s="4">
        <v>16</v>
      </c>
      <c r="K137" s="8">
        <f>I137*J137</f>
        <v>14.608000000000001</v>
      </c>
    </row>
    <row r="138" spans="1:11" x14ac:dyDescent="0.3">
      <c r="B138" s="4" t="s">
        <v>137</v>
      </c>
      <c r="C138" s="4">
        <v>0.126</v>
      </c>
      <c r="D138" s="4">
        <v>17.190000000000001</v>
      </c>
      <c r="E138" s="8">
        <f>C138*D138</f>
        <v>2.16594</v>
      </c>
      <c r="F138" s="26"/>
      <c r="H138" s="4" t="s">
        <v>137</v>
      </c>
      <c r="I138" s="4">
        <v>0.126</v>
      </c>
      <c r="J138" s="4">
        <v>17.190000000000001</v>
      </c>
      <c r="K138" s="8">
        <f>I138*J138</f>
        <v>2.16594</v>
      </c>
    </row>
    <row r="139" spans="1:11" x14ac:dyDescent="0.3">
      <c r="B139" s="4" t="s">
        <v>35</v>
      </c>
      <c r="C139" s="4">
        <v>4</v>
      </c>
      <c r="D139" s="4">
        <v>2.89</v>
      </c>
      <c r="E139" s="8">
        <f>C139*D139</f>
        <v>11.56</v>
      </c>
      <c r="F139" s="26"/>
      <c r="H139" s="4" t="s">
        <v>35</v>
      </c>
      <c r="I139" s="4">
        <v>4</v>
      </c>
      <c r="J139" s="4">
        <v>2.89</v>
      </c>
      <c r="K139" s="8">
        <f>I139*J139</f>
        <v>11.56</v>
      </c>
    </row>
    <row r="140" spans="1:11" x14ac:dyDescent="0.3">
      <c r="B140" s="4" t="s">
        <v>36</v>
      </c>
      <c r="C140" s="4">
        <v>4</v>
      </c>
      <c r="D140" s="4">
        <v>0.6</v>
      </c>
      <c r="E140" s="8">
        <f>C140*D140</f>
        <v>2.4</v>
      </c>
      <c r="F140" s="26"/>
      <c r="H140" s="4" t="s">
        <v>36</v>
      </c>
      <c r="I140" s="4">
        <v>4</v>
      </c>
      <c r="J140" s="4">
        <v>0.6</v>
      </c>
      <c r="K140" s="8">
        <f>I140*J140</f>
        <v>2.4</v>
      </c>
    </row>
    <row r="141" spans="1:11" x14ac:dyDescent="0.3">
      <c r="B141" s="4" t="s">
        <v>37</v>
      </c>
      <c r="C141" t="s">
        <v>258</v>
      </c>
      <c r="E141" s="8">
        <v>21</v>
      </c>
      <c r="F141" s="26"/>
      <c r="H141" s="4" t="s">
        <v>37</v>
      </c>
      <c r="I141" t="s">
        <v>258</v>
      </c>
      <c r="K141" s="8">
        <v>21</v>
      </c>
    </row>
    <row r="142" spans="1:11" x14ac:dyDescent="0.3">
      <c r="E142" s="8">
        <f>SUM(E136:E141)</f>
        <v>77.082470000000001</v>
      </c>
      <c r="F142" s="26"/>
      <c r="K142" s="8">
        <f>SUM(K136:K141)</f>
        <v>78.813199999999995</v>
      </c>
    </row>
    <row r="143" spans="1:11" x14ac:dyDescent="0.3">
      <c r="F143" s="26"/>
    </row>
    <row r="144" spans="1:11" x14ac:dyDescent="0.3">
      <c r="C144" s="4" t="s">
        <v>28</v>
      </c>
      <c r="D144" s="4" t="s">
        <v>29</v>
      </c>
      <c r="E144" s="4" t="s">
        <v>30</v>
      </c>
      <c r="F144" s="26"/>
      <c r="I144" s="4" t="s">
        <v>28</v>
      </c>
      <c r="J144" s="4" t="s">
        <v>29</v>
      </c>
      <c r="K144" s="4" t="s">
        <v>30</v>
      </c>
    </row>
    <row r="145" spans="1:11" x14ac:dyDescent="0.3">
      <c r="A145" t="s">
        <v>150</v>
      </c>
      <c r="B145" s="4" t="s">
        <v>32</v>
      </c>
      <c r="C145" s="4">
        <v>0.92600000000000005</v>
      </c>
      <c r="D145" s="4">
        <v>29.12</v>
      </c>
      <c r="E145" s="8">
        <f>C145*D145</f>
        <v>26.965120000000002</v>
      </c>
      <c r="F145" s="26"/>
      <c r="G145" t="s">
        <v>150</v>
      </c>
      <c r="H145" s="4" t="s">
        <v>32</v>
      </c>
      <c r="I145" s="4">
        <v>0.92600000000000005</v>
      </c>
      <c r="J145" s="4">
        <v>30.29</v>
      </c>
      <c r="K145" s="8">
        <f>I145*J145</f>
        <v>28.048539999999999</v>
      </c>
    </row>
    <row r="146" spans="1:11" x14ac:dyDescent="0.3">
      <c r="A146" t="s">
        <v>39</v>
      </c>
      <c r="B146" s="4" t="s">
        <v>33</v>
      </c>
      <c r="C146" s="4">
        <v>1.218</v>
      </c>
      <c r="D146" s="4">
        <v>15.25</v>
      </c>
      <c r="E146" s="8">
        <f>C146*D146</f>
        <v>18.5745</v>
      </c>
      <c r="F146" s="26"/>
      <c r="G146" t="s">
        <v>39</v>
      </c>
      <c r="H146" s="4" t="s">
        <v>33</v>
      </c>
      <c r="I146" s="4">
        <v>1.218</v>
      </c>
      <c r="J146" s="4">
        <v>16</v>
      </c>
      <c r="K146" s="8">
        <f>I146*J146</f>
        <v>19.488</v>
      </c>
    </row>
    <row r="147" spans="1:11" x14ac:dyDescent="0.3">
      <c r="B147" s="4" t="s">
        <v>137</v>
      </c>
      <c r="C147" s="4">
        <v>0.157</v>
      </c>
      <c r="D147" s="4">
        <v>17.190000000000001</v>
      </c>
      <c r="E147" s="8">
        <f>C147*D147</f>
        <v>2.6988300000000001</v>
      </c>
      <c r="F147" s="26"/>
      <c r="H147" s="4" t="s">
        <v>137</v>
      </c>
      <c r="I147" s="4">
        <v>0.157</v>
      </c>
      <c r="J147" s="4">
        <v>17.190000000000001</v>
      </c>
      <c r="K147" s="8">
        <f>I147*J147</f>
        <v>2.6988300000000001</v>
      </c>
    </row>
    <row r="148" spans="1:11" x14ac:dyDescent="0.3">
      <c r="B148" s="4" t="s">
        <v>35</v>
      </c>
      <c r="C148" s="4">
        <v>4</v>
      </c>
      <c r="D148" s="4">
        <v>2.89</v>
      </c>
      <c r="E148" s="8">
        <f>C148*D148</f>
        <v>11.56</v>
      </c>
      <c r="F148" s="26"/>
      <c r="H148" s="4" t="s">
        <v>35</v>
      </c>
      <c r="I148" s="4">
        <v>4</v>
      </c>
      <c r="J148" s="4">
        <v>2.89</v>
      </c>
      <c r="K148" s="8">
        <f>I148*J148</f>
        <v>11.56</v>
      </c>
    </row>
    <row r="149" spans="1:11" x14ac:dyDescent="0.3">
      <c r="B149" s="4" t="s">
        <v>36</v>
      </c>
      <c r="C149" s="4">
        <v>4</v>
      </c>
      <c r="D149" s="4">
        <v>0.6</v>
      </c>
      <c r="E149" s="8">
        <f>C149*D149</f>
        <v>2.4</v>
      </c>
      <c r="F149" s="26"/>
      <c r="H149" s="4" t="s">
        <v>36</v>
      </c>
      <c r="I149" s="4">
        <v>4</v>
      </c>
      <c r="J149" s="4">
        <v>0.6</v>
      </c>
      <c r="K149" s="8">
        <f>I149*J149</f>
        <v>2.4</v>
      </c>
    </row>
    <row r="150" spans="1:11" x14ac:dyDescent="0.3">
      <c r="B150" s="4" t="s">
        <v>37</v>
      </c>
      <c r="C150" t="s">
        <v>258</v>
      </c>
      <c r="E150" s="8">
        <v>21</v>
      </c>
      <c r="F150" s="26"/>
      <c r="H150" s="4" t="s">
        <v>37</v>
      </c>
      <c r="I150" t="s">
        <v>258</v>
      </c>
      <c r="K150" s="8">
        <v>21</v>
      </c>
    </row>
    <row r="151" spans="1:11" x14ac:dyDescent="0.3">
      <c r="E151" s="8">
        <f>SUM(E145:E150)</f>
        <v>83.198450000000008</v>
      </c>
      <c r="F151" s="26"/>
      <c r="K151" s="8">
        <f>SUM(K145:K150)</f>
        <v>85.195370000000011</v>
      </c>
    </row>
    <row r="152" spans="1:11" x14ac:dyDescent="0.3">
      <c r="F152" s="26"/>
    </row>
    <row r="153" spans="1:11" x14ac:dyDescent="0.3">
      <c r="C153" s="4" t="s">
        <v>28</v>
      </c>
      <c r="D153" s="4" t="s">
        <v>29</v>
      </c>
      <c r="E153" s="4" t="s">
        <v>30</v>
      </c>
      <c r="F153" s="26"/>
      <c r="I153" s="4" t="s">
        <v>28</v>
      </c>
      <c r="J153" s="4" t="s">
        <v>29</v>
      </c>
      <c r="K153" s="4" t="s">
        <v>30</v>
      </c>
    </row>
    <row r="154" spans="1:11" x14ac:dyDescent="0.3">
      <c r="A154" t="s">
        <v>151</v>
      </c>
      <c r="B154" s="4" t="s">
        <v>32</v>
      </c>
      <c r="C154" s="4">
        <v>0.94699999999999995</v>
      </c>
      <c r="D154" s="4">
        <v>29.12</v>
      </c>
      <c r="E154" s="8">
        <f>C154*D154</f>
        <v>27.576640000000001</v>
      </c>
      <c r="F154" s="26"/>
      <c r="G154" t="s">
        <v>151</v>
      </c>
      <c r="H154" s="4" t="s">
        <v>32</v>
      </c>
      <c r="I154" s="4">
        <v>0.94699999999999995</v>
      </c>
      <c r="J154" s="4">
        <v>30.29</v>
      </c>
      <c r="K154" s="8">
        <f>I154*J154</f>
        <v>28.684629999999999</v>
      </c>
    </row>
    <row r="155" spans="1:11" x14ac:dyDescent="0.3">
      <c r="A155" t="s">
        <v>262</v>
      </c>
      <c r="B155" s="4" t="s">
        <v>33</v>
      </c>
      <c r="C155" s="4">
        <v>1.522</v>
      </c>
      <c r="D155" s="4">
        <v>15.25</v>
      </c>
      <c r="E155" s="8">
        <f>C155*D155</f>
        <v>23.2105</v>
      </c>
      <c r="F155" s="26"/>
      <c r="G155" t="s">
        <v>262</v>
      </c>
      <c r="H155" s="4" t="s">
        <v>33</v>
      </c>
      <c r="I155" s="4">
        <v>1.522</v>
      </c>
      <c r="J155" s="4">
        <v>16</v>
      </c>
      <c r="K155" s="8">
        <f>I155*J155</f>
        <v>24.352</v>
      </c>
    </row>
    <row r="156" spans="1:11" x14ac:dyDescent="0.3">
      <c r="B156" s="4" t="s">
        <v>137</v>
      </c>
      <c r="C156" s="4">
        <v>0.17799999999999999</v>
      </c>
      <c r="D156" s="4">
        <v>17.190000000000001</v>
      </c>
      <c r="E156" s="8">
        <f>C156*D156</f>
        <v>3.0598200000000002</v>
      </c>
      <c r="F156" s="26"/>
      <c r="H156" s="4" t="s">
        <v>137</v>
      </c>
      <c r="I156" s="4">
        <v>0.17799999999999999</v>
      </c>
      <c r="J156" s="4">
        <v>17.190000000000001</v>
      </c>
      <c r="K156" s="8">
        <f>I156*J156</f>
        <v>3.0598200000000002</v>
      </c>
    </row>
    <row r="157" spans="1:11" x14ac:dyDescent="0.3">
      <c r="B157" s="4" t="s">
        <v>35</v>
      </c>
      <c r="C157" s="4">
        <v>4</v>
      </c>
      <c r="D157" s="4">
        <v>2.89</v>
      </c>
      <c r="E157" s="8">
        <f>C157*D157</f>
        <v>11.56</v>
      </c>
      <c r="F157" s="26"/>
      <c r="H157" s="4" t="s">
        <v>35</v>
      </c>
      <c r="I157" s="4">
        <v>4</v>
      </c>
      <c r="J157" s="4">
        <v>2.89</v>
      </c>
      <c r="K157" s="8">
        <f>I157*J157</f>
        <v>11.56</v>
      </c>
    </row>
    <row r="158" spans="1:11" x14ac:dyDescent="0.3">
      <c r="B158" s="4" t="s">
        <v>36</v>
      </c>
      <c r="C158" s="4">
        <v>4</v>
      </c>
      <c r="D158" s="4">
        <v>0.6</v>
      </c>
      <c r="E158" s="8">
        <f>C158*D158</f>
        <v>2.4</v>
      </c>
      <c r="F158" s="26"/>
      <c r="H158" s="4" t="s">
        <v>36</v>
      </c>
      <c r="I158" s="4">
        <v>4</v>
      </c>
      <c r="J158" s="4">
        <v>0.6</v>
      </c>
      <c r="K158" s="8">
        <f>I158*J158</f>
        <v>2.4</v>
      </c>
    </row>
    <row r="159" spans="1:11" x14ac:dyDescent="0.3">
      <c r="B159" s="4" t="s">
        <v>37</v>
      </c>
      <c r="C159" t="s">
        <v>258</v>
      </c>
      <c r="E159" s="8">
        <v>21</v>
      </c>
      <c r="F159" s="26"/>
      <c r="H159" s="4" t="s">
        <v>37</v>
      </c>
      <c r="I159" t="s">
        <v>258</v>
      </c>
      <c r="K159" s="8">
        <v>21</v>
      </c>
    </row>
    <row r="160" spans="1:11" x14ac:dyDescent="0.3">
      <c r="E160" s="8">
        <f>SUM(E154:E159)</f>
        <v>88.806960000000004</v>
      </c>
      <c r="F160" s="26"/>
      <c r="K160" s="8">
        <f>SUM(K154:K159)</f>
        <v>91.056450000000012</v>
      </c>
    </row>
    <row r="161" spans="1:11" x14ac:dyDescent="0.3">
      <c r="F161" s="26"/>
    </row>
    <row r="162" spans="1:11" x14ac:dyDescent="0.3">
      <c r="C162" s="4" t="s">
        <v>28</v>
      </c>
      <c r="D162" s="4" t="s">
        <v>29</v>
      </c>
      <c r="E162" s="4" t="s">
        <v>30</v>
      </c>
      <c r="F162" s="26"/>
      <c r="I162" s="4" t="s">
        <v>28</v>
      </c>
      <c r="J162" s="4" t="s">
        <v>29</v>
      </c>
      <c r="K162" s="4" t="s">
        <v>30</v>
      </c>
    </row>
    <row r="163" spans="1:11" x14ac:dyDescent="0.3">
      <c r="A163" t="s">
        <v>152</v>
      </c>
      <c r="B163" s="4" t="s">
        <v>32</v>
      </c>
      <c r="C163" s="4">
        <v>0.95699999999999996</v>
      </c>
      <c r="D163" s="4">
        <v>29.12</v>
      </c>
      <c r="E163" s="8">
        <f>C163*D163</f>
        <v>27.867840000000001</v>
      </c>
      <c r="F163" s="26"/>
      <c r="G163" t="s">
        <v>152</v>
      </c>
      <c r="H163" s="4" t="s">
        <v>32</v>
      </c>
      <c r="I163" s="4">
        <v>0.95699999999999996</v>
      </c>
      <c r="J163" s="4">
        <v>30.29</v>
      </c>
      <c r="K163" s="8">
        <f>I163*J163</f>
        <v>28.98753</v>
      </c>
    </row>
    <row r="164" spans="1:11" x14ac:dyDescent="0.3">
      <c r="A164" t="s">
        <v>259</v>
      </c>
      <c r="B164" s="4" t="s">
        <v>33</v>
      </c>
      <c r="C164" s="4">
        <v>1.522</v>
      </c>
      <c r="D164" s="4">
        <v>15.25</v>
      </c>
      <c r="E164" s="8">
        <f>C164*D164</f>
        <v>23.2105</v>
      </c>
      <c r="F164" s="26"/>
      <c r="G164" t="s">
        <v>259</v>
      </c>
      <c r="H164" s="4" t="s">
        <v>33</v>
      </c>
      <c r="I164" s="4">
        <v>1.522</v>
      </c>
      <c r="J164" s="4">
        <v>16</v>
      </c>
      <c r="K164" s="8">
        <f>I164*J164</f>
        <v>24.352</v>
      </c>
    </row>
    <row r="165" spans="1:11" x14ac:dyDescent="0.3">
      <c r="B165" s="4" t="s">
        <v>137</v>
      </c>
      <c r="C165" s="4">
        <v>0.189</v>
      </c>
      <c r="D165" s="4">
        <v>17.190000000000001</v>
      </c>
      <c r="E165" s="8">
        <f>C165*D165</f>
        <v>3.2489100000000004</v>
      </c>
      <c r="F165" s="26"/>
      <c r="H165" s="4" t="s">
        <v>137</v>
      </c>
      <c r="I165" s="4">
        <v>0.189</v>
      </c>
      <c r="J165" s="4">
        <v>17.190000000000001</v>
      </c>
      <c r="K165" s="8">
        <f>I165*J165</f>
        <v>3.2489100000000004</v>
      </c>
    </row>
    <row r="166" spans="1:11" x14ac:dyDescent="0.3">
      <c r="B166" s="4" t="s">
        <v>35</v>
      </c>
      <c r="C166" s="4">
        <v>4</v>
      </c>
      <c r="D166" s="4">
        <v>2.89</v>
      </c>
      <c r="E166" s="8">
        <f>C166*D166</f>
        <v>11.56</v>
      </c>
      <c r="F166" s="26"/>
      <c r="H166" s="4" t="s">
        <v>35</v>
      </c>
      <c r="I166" s="4">
        <v>4</v>
      </c>
      <c r="J166" s="4">
        <v>2.89</v>
      </c>
      <c r="K166" s="8">
        <f>I166*J166</f>
        <v>11.56</v>
      </c>
    </row>
    <row r="167" spans="1:11" x14ac:dyDescent="0.3">
      <c r="B167" s="4" t="s">
        <v>36</v>
      </c>
      <c r="C167" s="4">
        <v>4</v>
      </c>
      <c r="D167" s="4">
        <v>0.6</v>
      </c>
      <c r="E167" s="8">
        <f>C167*D167</f>
        <v>2.4</v>
      </c>
      <c r="F167" s="26"/>
      <c r="H167" s="4" t="s">
        <v>36</v>
      </c>
      <c r="I167" s="4">
        <v>4</v>
      </c>
      <c r="J167" s="4">
        <v>0.6</v>
      </c>
      <c r="K167" s="8">
        <f>I167*J167</f>
        <v>2.4</v>
      </c>
    </row>
    <row r="168" spans="1:11" x14ac:dyDescent="0.3">
      <c r="B168" s="4" t="s">
        <v>37</v>
      </c>
      <c r="C168" t="s">
        <v>258</v>
      </c>
      <c r="E168" s="8">
        <v>21</v>
      </c>
      <c r="F168" s="26"/>
      <c r="H168" s="4" t="s">
        <v>37</v>
      </c>
      <c r="I168" t="s">
        <v>258</v>
      </c>
      <c r="K168" s="8">
        <v>21</v>
      </c>
    </row>
    <row r="169" spans="1:11" x14ac:dyDescent="0.3">
      <c r="E169" s="8">
        <f>SUM(E163:E168)</f>
        <v>89.28725</v>
      </c>
      <c r="F169" s="26"/>
      <c r="K169" s="8">
        <f>SUM(K163:K168)</f>
        <v>91.548439999999999</v>
      </c>
    </row>
    <row r="170" spans="1:11" x14ac:dyDescent="0.3">
      <c r="F170" s="26"/>
    </row>
    <row r="171" spans="1:11" x14ac:dyDescent="0.3">
      <c r="C171" s="4" t="s">
        <v>28</v>
      </c>
      <c r="D171" s="4" t="s">
        <v>29</v>
      </c>
      <c r="E171" s="4" t="s">
        <v>30</v>
      </c>
      <c r="F171" s="26"/>
      <c r="I171" s="4" t="s">
        <v>28</v>
      </c>
      <c r="J171" s="4" t="s">
        <v>29</v>
      </c>
      <c r="K171" s="4" t="s">
        <v>30</v>
      </c>
    </row>
    <row r="172" spans="1:11" x14ac:dyDescent="0.3">
      <c r="A172" t="s">
        <v>38</v>
      </c>
      <c r="B172" s="4" t="s">
        <v>32</v>
      </c>
      <c r="C172" s="4">
        <v>0.97799999999999998</v>
      </c>
      <c r="D172" s="4">
        <v>29.12</v>
      </c>
      <c r="E172" s="8">
        <f>C172*D172</f>
        <v>28.47936</v>
      </c>
      <c r="F172" s="26"/>
      <c r="G172" t="s">
        <v>38</v>
      </c>
      <c r="H172" s="4" t="s">
        <v>32</v>
      </c>
      <c r="I172" s="4">
        <v>1.026</v>
      </c>
      <c r="J172" s="4">
        <v>30.29</v>
      </c>
      <c r="K172" s="8">
        <f>I172*J172</f>
        <v>31.077539999999999</v>
      </c>
    </row>
    <row r="173" spans="1:11" x14ac:dyDescent="0.3">
      <c r="A173" t="s">
        <v>143</v>
      </c>
      <c r="B173" s="4" t="s">
        <v>33</v>
      </c>
      <c r="C173" s="4">
        <v>1.827</v>
      </c>
      <c r="D173" s="4">
        <v>15.25</v>
      </c>
      <c r="E173" s="8">
        <f>C173*D173</f>
        <v>27.861750000000001</v>
      </c>
      <c r="F173" s="26"/>
      <c r="G173" t="s">
        <v>143</v>
      </c>
      <c r="H173" s="4" t="s">
        <v>33</v>
      </c>
      <c r="I173" s="4">
        <v>1.9139999999999999</v>
      </c>
      <c r="J173" s="4">
        <v>16</v>
      </c>
      <c r="K173" s="8">
        <f>I173*J173</f>
        <v>30.623999999999999</v>
      </c>
    </row>
    <row r="174" spans="1:11" x14ac:dyDescent="0.3">
      <c r="B174" s="4" t="s">
        <v>137</v>
      </c>
      <c r="C174" s="4">
        <v>0.21</v>
      </c>
      <c r="D174" s="4">
        <v>17.190000000000001</v>
      </c>
      <c r="E174" s="8">
        <f>C174*D174</f>
        <v>3.6099000000000001</v>
      </c>
      <c r="F174" s="26"/>
      <c r="H174" s="4" t="s">
        <v>137</v>
      </c>
      <c r="I174" s="4">
        <v>0.22</v>
      </c>
      <c r="J174" s="4">
        <v>17.190000000000001</v>
      </c>
      <c r="K174" s="8">
        <f>I174*J174</f>
        <v>3.7818000000000005</v>
      </c>
    </row>
    <row r="175" spans="1:11" x14ac:dyDescent="0.3">
      <c r="B175" s="4" t="s">
        <v>35</v>
      </c>
      <c r="C175" s="4">
        <v>4</v>
      </c>
      <c r="D175" s="4">
        <v>2.89</v>
      </c>
      <c r="E175" s="8">
        <f>C175*D175</f>
        <v>11.56</v>
      </c>
      <c r="F175" s="26"/>
      <c r="H175" s="4" t="s">
        <v>35</v>
      </c>
      <c r="I175" s="4">
        <v>4</v>
      </c>
      <c r="J175" s="4">
        <v>2.89</v>
      </c>
      <c r="K175" s="8">
        <f>I175*J175</f>
        <v>11.56</v>
      </c>
    </row>
    <row r="176" spans="1:11" x14ac:dyDescent="0.3">
      <c r="B176" s="4" t="s">
        <v>36</v>
      </c>
      <c r="C176" s="4">
        <v>4</v>
      </c>
      <c r="D176" s="4">
        <v>0.6</v>
      </c>
      <c r="E176" s="8">
        <f>C176*D176</f>
        <v>2.4</v>
      </c>
      <c r="F176" s="26"/>
      <c r="H176" s="4" t="s">
        <v>36</v>
      </c>
      <c r="I176" s="4">
        <v>4</v>
      </c>
      <c r="J176" s="4">
        <v>0.6</v>
      </c>
      <c r="K176" s="8">
        <f>I176*J176</f>
        <v>2.4</v>
      </c>
    </row>
    <row r="177" spans="1:11" x14ac:dyDescent="0.3">
      <c r="B177" s="4" t="s">
        <v>37</v>
      </c>
      <c r="C177" t="s">
        <v>258</v>
      </c>
      <c r="E177" s="8">
        <v>21</v>
      </c>
      <c r="F177" s="26"/>
      <c r="H177" s="4" t="s">
        <v>37</v>
      </c>
      <c r="I177" t="s">
        <v>463</v>
      </c>
      <c r="K177" s="8">
        <v>42.5</v>
      </c>
    </row>
    <row r="178" spans="1:11" x14ac:dyDescent="0.3">
      <c r="E178" s="8">
        <f>SUM(E172:E177)</f>
        <v>94.911010000000005</v>
      </c>
      <c r="F178" s="26"/>
      <c r="K178" s="8">
        <f>SUM(K172:K177)</f>
        <v>121.94334000000001</v>
      </c>
    </row>
    <row r="179" spans="1:11" x14ac:dyDescent="0.3">
      <c r="F179" s="26"/>
    </row>
    <row r="180" spans="1:11" x14ac:dyDescent="0.3">
      <c r="C180" s="4" t="s">
        <v>28</v>
      </c>
      <c r="D180" s="4" t="s">
        <v>29</v>
      </c>
      <c r="E180" s="4" t="s">
        <v>30</v>
      </c>
      <c r="F180" s="26"/>
      <c r="I180" s="4" t="s">
        <v>28</v>
      </c>
      <c r="J180" s="4" t="s">
        <v>29</v>
      </c>
      <c r="K180" s="4" t="s">
        <v>30</v>
      </c>
    </row>
    <row r="181" spans="1:11" x14ac:dyDescent="0.3">
      <c r="A181" t="s">
        <v>153</v>
      </c>
      <c r="B181" s="4" t="s">
        <v>32</v>
      </c>
      <c r="C181" s="4">
        <v>1.02</v>
      </c>
      <c r="D181" s="4">
        <v>29.12</v>
      </c>
      <c r="E181" s="8">
        <f>C181*D181</f>
        <v>29.702400000000001</v>
      </c>
      <c r="F181" s="26"/>
      <c r="G181" t="s">
        <v>153</v>
      </c>
      <c r="H181" s="4" t="s">
        <v>32</v>
      </c>
      <c r="I181" s="4">
        <v>1.02</v>
      </c>
      <c r="J181" s="4">
        <v>30.29</v>
      </c>
      <c r="K181" s="8">
        <f>I181*J181</f>
        <v>30.895800000000001</v>
      </c>
    </row>
    <row r="182" spans="1:11" x14ac:dyDescent="0.3">
      <c r="A182" t="s">
        <v>260</v>
      </c>
      <c r="B182" s="4" t="s">
        <v>33</v>
      </c>
      <c r="C182" s="4">
        <v>2.1309999999999998</v>
      </c>
      <c r="D182" s="4">
        <v>15.25</v>
      </c>
      <c r="E182" s="8">
        <f>C182*D182</f>
        <v>32.497749999999996</v>
      </c>
      <c r="F182" s="26"/>
      <c r="G182" t="s">
        <v>260</v>
      </c>
      <c r="H182" s="4" t="s">
        <v>33</v>
      </c>
      <c r="I182" s="4">
        <v>2.1309999999999998</v>
      </c>
      <c r="J182" s="4">
        <v>16</v>
      </c>
      <c r="K182" s="8">
        <f>I182*J182</f>
        <v>34.095999999999997</v>
      </c>
    </row>
    <row r="183" spans="1:11" x14ac:dyDescent="0.3">
      <c r="B183" s="4" t="s">
        <v>137</v>
      </c>
      <c r="C183" s="4">
        <v>0.252</v>
      </c>
      <c r="D183" s="4">
        <v>17.190000000000001</v>
      </c>
      <c r="E183" s="8">
        <f>C183*D183</f>
        <v>4.33188</v>
      </c>
      <c r="F183" s="26"/>
      <c r="H183" s="4" t="s">
        <v>137</v>
      </c>
      <c r="I183" s="4">
        <v>0.252</v>
      </c>
      <c r="J183" s="4">
        <v>17.190000000000001</v>
      </c>
      <c r="K183" s="8">
        <f>I183*J183</f>
        <v>4.33188</v>
      </c>
    </row>
    <row r="184" spans="1:11" x14ac:dyDescent="0.3">
      <c r="B184" s="4" t="s">
        <v>35</v>
      </c>
      <c r="C184" s="4">
        <v>4</v>
      </c>
      <c r="D184" s="4">
        <v>2.89</v>
      </c>
      <c r="E184" s="8">
        <f>C184*D184</f>
        <v>11.56</v>
      </c>
      <c r="F184" s="26"/>
      <c r="H184" s="4" t="s">
        <v>35</v>
      </c>
      <c r="I184" s="4">
        <v>4</v>
      </c>
      <c r="J184" s="4">
        <v>2.89</v>
      </c>
      <c r="K184" s="8">
        <f>I184*J184</f>
        <v>11.56</v>
      </c>
    </row>
    <row r="185" spans="1:11" x14ac:dyDescent="0.3">
      <c r="B185" s="4" t="s">
        <v>36</v>
      </c>
      <c r="C185" s="4">
        <v>4</v>
      </c>
      <c r="D185" s="4">
        <v>0.6</v>
      </c>
      <c r="E185" s="8">
        <f>C185*D185</f>
        <v>2.4</v>
      </c>
      <c r="F185" s="26"/>
      <c r="H185" s="4" t="s">
        <v>36</v>
      </c>
      <c r="I185" s="4">
        <v>4</v>
      </c>
      <c r="J185" s="4">
        <v>0.6</v>
      </c>
      <c r="K185" s="8">
        <f>I185*J185</f>
        <v>2.4</v>
      </c>
    </row>
    <row r="186" spans="1:11" x14ac:dyDescent="0.3">
      <c r="B186" s="4" t="s">
        <v>37</v>
      </c>
      <c r="C186" t="s">
        <v>258</v>
      </c>
      <c r="E186" s="8">
        <v>21</v>
      </c>
      <c r="F186" s="26"/>
      <c r="H186" s="4" t="s">
        <v>37</v>
      </c>
      <c r="I186" t="s">
        <v>258</v>
      </c>
      <c r="K186" s="8">
        <v>21</v>
      </c>
    </row>
    <row r="187" spans="1:11" x14ac:dyDescent="0.3">
      <c r="E187" s="8">
        <f>SUM(E181:E186)</f>
        <v>101.49203</v>
      </c>
      <c r="F187" s="26"/>
      <c r="K187" s="8">
        <f>SUM(K181:K186)</f>
        <v>104.28368</v>
      </c>
    </row>
    <row r="188" spans="1:11" x14ac:dyDescent="0.3">
      <c r="F188" s="26"/>
    </row>
    <row r="189" spans="1:11" x14ac:dyDescent="0.3">
      <c r="C189" s="4" t="s">
        <v>28</v>
      </c>
      <c r="D189" s="4" t="s">
        <v>29</v>
      </c>
      <c r="E189" s="4" t="s">
        <v>30</v>
      </c>
      <c r="F189" s="26"/>
      <c r="I189" s="4" t="s">
        <v>28</v>
      </c>
      <c r="J189" s="4" t="s">
        <v>29</v>
      </c>
      <c r="K189" s="4" t="s">
        <v>30</v>
      </c>
    </row>
    <row r="190" spans="1:11" x14ac:dyDescent="0.3">
      <c r="A190" t="s">
        <v>154</v>
      </c>
      <c r="B190" s="4" t="s">
        <v>32</v>
      </c>
      <c r="C190" s="4">
        <v>1.0409999999999999</v>
      </c>
      <c r="D190" s="4">
        <v>29.12</v>
      </c>
      <c r="E190" s="8">
        <f>C190*D190</f>
        <v>30.31392</v>
      </c>
      <c r="F190" s="26"/>
      <c r="G190" t="s">
        <v>154</v>
      </c>
      <c r="H190" s="4" t="s">
        <v>32</v>
      </c>
      <c r="I190" s="4">
        <v>1.0409999999999999</v>
      </c>
      <c r="J190" s="4">
        <v>30.29</v>
      </c>
      <c r="K190" s="8">
        <f>I190*J190</f>
        <v>31.531889999999997</v>
      </c>
    </row>
    <row r="191" spans="1:11" x14ac:dyDescent="0.3">
      <c r="A191" t="s">
        <v>220</v>
      </c>
      <c r="B191" s="4" t="s">
        <v>33</v>
      </c>
      <c r="C191" s="4">
        <v>2.4359999999999999</v>
      </c>
      <c r="D191" s="4">
        <v>15.25</v>
      </c>
      <c r="E191" s="8">
        <f>C191*D191</f>
        <v>37.149000000000001</v>
      </c>
      <c r="F191" s="26"/>
      <c r="G191" t="s">
        <v>220</v>
      </c>
      <c r="H191" s="4" t="s">
        <v>33</v>
      </c>
      <c r="I191" s="4">
        <v>2.4359999999999999</v>
      </c>
      <c r="J191" s="4">
        <v>16</v>
      </c>
      <c r="K191" s="8">
        <f>I191*J191</f>
        <v>38.975999999999999</v>
      </c>
    </row>
    <row r="192" spans="1:11" x14ac:dyDescent="0.3">
      <c r="B192" s="4" t="s">
        <v>137</v>
      </c>
      <c r="C192" s="4">
        <v>0.27300000000000002</v>
      </c>
      <c r="D192" s="4">
        <v>17.190000000000001</v>
      </c>
      <c r="E192" s="8">
        <f>C192*D192</f>
        <v>4.692870000000001</v>
      </c>
      <c r="F192" s="26"/>
      <c r="H192" s="4" t="s">
        <v>137</v>
      </c>
      <c r="I192" s="4">
        <v>0.27300000000000002</v>
      </c>
      <c r="J192" s="4">
        <v>17.190000000000001</v>
      </c>
      <c r="K192" s="8">
        <f>I192*J192</f>
        <v>4.692870000000001</v>
      </c>
    </row>
    <row r="193" spans="1:11" x14ac:dyDescent="0.3">
      <c r="B193" s="4" t="s">
        <v>35</v>
      </c>
      <c r="C193" s="4">
        <v>4</v>
      </c>
      <c r="D193" s="4">
        <v>2.89</v>
      </c>
      <c r="E193" s="8">
        <f>C193*D193</f>
        <v>11.56</v>
      </c>
      <c r="F193" s="26"/>
      <c r="H193" s="4" t="s">
        <v>35</v>
      </c>
      <c r="I193" s="4">
        <v>4</v>
      </c>
      <c r="J193" s="4">
        <v>2.89</v>
      </c>
      <c r="K193" s="8">
        <f>I193*J193</f>
        <v>11.56</v>
      </c>
    </row>
    <row r="194" spans="1:11" x14ac:dyDescent="0.3">
      <c r="B194" s="4" t="s">
        <v>36</v>
      </c>
      <c r="C194" s="4">
        <v>4</v>
      </c>
      <c r="D194" s="4">
        <v>0.6</v>
      </c>
      <c r="E194" s="8">
        <f>C194*D194</f>
        <v>2.4</v>
      </c>
      <c r="F194" s="26"/>
      <c r="H194" s="4" t="s">
        <v>36</v>
      </c>
      <c r="I194" s="4">
        <v>4</v>
      </c>
      <c r="J194" s="4">
        <v>0.6</v>
      </c>
      <c r="K194" s="8">
        <f>I194*J194</f>
        <v>2.4</v>
      </c>
    </row>
    <row r="195" spans="1:11" x14ac:dyDescent="0.3">
      <c r="B195" s="4" t="s">
        <v>37</v>
      </c>
      <c r="C195" t="s">
        <v>258</v>
      </c>
      <c r="D195" s="10"/>
      <c r="E195" s="8">
        <v>21</v>
      </c>
      <c r="F195" s="26"/>
      <c r="H195" s="4" t="s">
        <v>37</v>
      </c>
      <c r="I195" t="s">
        <v>258</v>
      </c>
      <c r="J195" s="10"/>
      <c r="K195" s="8">
        <v>21</v>
      </c>
    </row>
    <row r="196" spans="1:11" x14ac:dyDescent="0.3">
      <c r="E196" s="8">
        <f>SUM(E190:E195)</f>
        <v>107.11579</v>
      </c>
      <c r="F196" s="26"/>
      <c r="K196" s="8">
        <f>SUM(K190:K195)</f>
        <v>110.16076000000001</v>
      </c>
    </row>
    <row r="197" spans="1:11" x14ac:dyDescent="0.3">
      <c r="F197" s="26"/>
    </row>
    <row r="198" spans="1:11" x14ac:dyDescent="0.3">
      <c r="C198" s="4" t="s">
        <v>28</v>
      </c>
      <c r="D198" s="4" t="s">
        <v>29</v>
      </c>
      <c r="E198" s="4" t="s">
        <v>30</v>
      </c>
      <c r="F198" s="26"/>
      <c r="I198" s="4" t="s">
        <v>28</v>
      </c>
      <c r="J198" s="4" t="s">
        <v>29</v>
      </c>
      <c r="K198" s="4" t="s">
        <v>30</v>
      </c>
    </row>
    <row r="199" spans="1:11" x14ac:dyDescent="0.3">
      <c r="A199" t="s">
        <v>155</v>
      </c>
      <c r="B199" s="4" t="s">
        <v>32</v>
      </c>
      <c r="C199" s="4">
        <v>1.052</v>
      </c>
      <c r="D199" s="4">
        <v>29.12</v>
      </c>
      <c r="E199" s="8">
        <f>C199*D199</f>
        <v>30.634240000000002</v>
      </c>
      <c r="F199" s="26"/>
      <c r="G199" t="s">
        <v>155</v>
      </c>
      <c r="H199" s="4" t="s">
        <v>32</v>
      </c>
      <c r="I199" s="4">
        <v>1.052</v>
      </c>
      <c r="J199" s="4">
        <v>30.29</v>
      </c>
      <c r="K199" s="8">
        <f>I199*J199</f>
        <v>31.865079999999999</v>
      </c>
    </row>
    <row r="200" spans="1:11" x14ac:dyDescent="0.3">
      <c r="A200" t="s">
        <v>52</v>
      </c>
      <c r="B200" s="4" t="s">
        <v>33</v>
      </c>
      <c r="C200" s="4">
        <v>2.74</v>
      </c>
      <c r="D200" s="4">
        <v>15.25</v>
      </c>
      <c r="E200" s="8">
        <f>C200*D200</f>
        <v>41.785000000000004</v>
      </c>
      <c r="F200" s="26"/>
      <c r="G200" t="s">
        <v>52</v>
      </c>
      <c r="H200" s="4" t="s">
        <v>33</v>
      </c>
      <c r="I200" s="4">
        <v>2.74</v>
      </c>
      <c r="J200" s="4">
        <v>16</v>
      </c>
      <c r="K200" s="8">
        <f>I200*J200</f>
        <v>43.84</v>
      </c>
    </row>
    <row r="201" spans="1:11" x14ac:dyDescent="0.3">
      <c r="B201" s="4" t="s">
        <v>137</v>
      </c>
      <c r="C201" s="4">
        <v>0.28299999999999997</v>
      </c>
      <c r="D201" s="4">
        <v>17.190000000000001</v>
      </c>
      <c r="E201" s="8">
        <f>C201*D201</f>
        <v>4.86477</v>
      </c>
      <c r="F201" s="26"/>
      <c r="H201" s="4" t="s">
        <v>137</v>
      </c>
      <c r="I201" s="4">
        <v>0.28299999999999997</v>
      </c>
      <c r="J201" s="4">
        <v>17.190000000000001</v>
      </c>
      <c r="K201" s="8">
        <f>I201*J201</f>
        <v>4.86477</v>
      </c>
    </row>
    <row r="202" spans="1:11" x14ac:dyDescent="0.3">
      <c r="B202" s="4" t="s">
        <v>35</v>
      </c>
      <c r="C202" s="4">
        <v>4</v>
      </c>
      <c r="D202" s="4">
        <v>2.89</v>
      </c>
      <c r="E202" s="8">
        <f>C202*D202</f>
        <v>11.56</v>
      </c>
      <c r="F202" s="26"/>
      <c r="H202" s="4" t="s">
        <v>35</v>
      </c>
      <c r="I202" s="4">
        <v>4</v>
      </c>
      <c r="J202" s="4">
        <v>2.89</v>
      </c>
      <c r="K202" s="8">
        <f>I202*J202</f>
        <v>11.56</v>
      </c>
    </row>
    <row r="203" spans="1:11" x14ac:dyDescent="0.3">
      <c r="B203" s="4" t="s">
        <v>36</v>
      </c>
      <c r="C203" s="4">
        <v>4</v>
      </c>
      <c r="D203" s="4">
        <v>0.6</v>
      </c>
      <c r="E203" s="8">
        <f>C203*D203</f>
        <v>2.4</v>
      </c>
      <c r="F203" s="26"/>
      <c r="H203" s="4" t="s">
        <v>36</v>
      </c>
      <c r="I203" s="4">
        <v>4</v>
      </c>
      <c r="J203" s="4">
        <v>0.6</v>
      </c>
      <c r="K203" s="8">
        <f>I203*J203</f>
        <v>2.4</v>
      </c>
    </row>
    <row r="204" spans="1:11" x14ac:dyDescent="0.3">
      <c r="B204" s="4" t="s">
        <v>37</v>
      </c>
      <c r="C204" t="s">
        <v>258</v>
      </c>
      <c r="E204" s="8">
        <v>21</v>
      </c>
      <c r="F204" s="26"/>
      <c r="H204" s="4" t="s">
        <v>37</v>
      </c>
      <c r="I204" t="s">
        <v>258</v>
      </c>
      <c r="K204" s="8">
        <v>21</v>
      </c>
    </row>
    <row r="205" spans="1:11" x14ac:dyDescent="0.3">
      <c r="E205" s="8">
        <f>SUM(E199:E204)</f>
        <v>112.24401</v>
      </c>
      <c r="F205" s="26"/>
      <c r="K205" s="8">
        <f>SUM(K199:K204)</f>
        <v>115.52985000000001</v>
      </c>
    </row>
    <row r="206" spans="1:11" x14ac:dyDescent="0.3">
      <c r="F206" s="26"/>
    </row>
    <row r="207" spans="1:11" x14ac:dyDescent="0.3">
      <c r="C207" s="4" t="s">
        <v>28</v>
      </c>
      <c r="D207" s="4" t="s">
        <v>29</v>
      </c>
      <c r="E207" s="4" t="s">
        <v>30</v>
      </c>
      <c r="F207" s="26"/>
      <c r="I207" s="4" t="s">
        <v>28</v>
      </c>
      <c r="J207" s="4" t="s">
        <v>29</v>
      </c>
      <c r="K207" s="4" t="s">
        <v>30</v>
      </c>
    </row>
    <row r="208" spans="1:11" x14ac:dyDescent="0.3">
      <c r="A208" t="s">
        <v>64</v>
      </c>
      <c r="B208" s="4" t="s">
        <v>32</v>
      </c>
      <c r="C208" s="4">
        <v>1.083</v>
      </c>
      <c r="D208" s="4">
        <v>29.12</v>
      </c>
      <c r="E208" s="8">
        <f>C208*D208</f>
        <v>31.536960000000001</v>
      </c>
      <c r="F208" s="26"/>
      <c r="G208" t="s">
        <v>64</v>
      </c>
      <c r="H208" s="4" t="s">
        <v>32</v>
      </c>
      <c r="I208" s="4">
        <v>1.0569999999999999</v>
      </c>
      <c r="J208" s="4">
        <v>30.29</v>
      </c>
      <c r="K208" s="8">
        <f>I208*J208</f>
        <v>32.016529999999996</v>
      </c>
    </row>
    <row r="209" spans="1:11" x14ac:dyDescent="0.3">
      <c r="A209" t="s">
        <v>212</v>
      </c>
      <c r="B209" s="4" t="s">
        <v>33</v>
      </c>
      <c r="C209" s="4">
        <v>3.0449999999999999</v>
      </c>
      <c r="D209" s="4">
        <v>15.25</v>
      </c>
      <c r="E209" s="8">
        <f>C209*D209</f>
        <v>46.436250000000001</v>
      </c>
      <c r="F209" s="26"/>
      <c r="G209" t="s">
        <v>212</v>
      </c>
      <c r="H209" s="4" t="s">
        <v>33</v>
      </c>
      <c r="I209" s="4">
        <v>2.972</v>
      </c>
      <c r="J209" s="4">
        <v>16</v>
      </c>
      <c r="K209" s="8">
        <f>I209*J209</f>
        <v>47.552</v>
      </c>
    </row>
    <row r="210" spans="1:11" x14ac:dyDescent="0.3">
      <c r="B210" s="4" t="s">
        <v>137</v>
      </c>
      <c r="C210" s="4">
        <v>0.315</v>
      </c>
      <c r="D210" s="4">
        <v>17.190000000000001</v>
      </c>
      <c r="E210" s="8">
        <f>C210*D210</f>
        <v>5.4148500000000004</v>
      </c>
      <c r="F210" s="26"/>
      <c r="H210" s="4" t="s">
        <v>137</v>
      </c>
      <c r="I210" s="4">
        <v>0.315</v>
      </c>
      <c r="J210" s="4">
        <v>17.190000000000001</v>
      </c>
      <c r="K210" s="8">
        <f>I210*J210</f>
        <v>5.4148500000000004</v>
      </c>
    </row>
    <row r="211" spans="1:11" x14ac:dyDescent="0.3">
      <c r="B211" s="4" t="s">
        <v>35</v>
      </c>
      <c r="C211" s="4">
        <v>4</v>
      </c>
      <c r="D211" s="4">
        <v>2.89</v>
      </c>
      <c r="E211" s="8">
        <f>C211*D211</f>
        <v>11.56</v>
      </c>
      <c r="F211" s="26"/>
      <c r="H211" s="4" t="s">
        <v>35</v>
      </c>
      <c r="I211" s="4">
        <v>4</v>
      </c>
      <c r="J211" s="4">
        <v>2.89</v>
      </c>
      <c r="K211" s="8">
        <f>I211*J211</f>
        <v>11.56</v>
      </c>
    </row>
    <row r="212" spans="1:11" x14ac:dyDescent="0.3">
      <c r="B212" s="4" t="s">
        <v>36</v>
      </c>
      <c r="C212" s="4">
        <v>4</v>
      </c>
      <c r="D212" s="4">
        <v>0.6</v>
      </c>
      <c r="E212" s="8">
        <f>C212*D212</f>
        <v>2.4</v>
      </c>
      <c r="F212" s="26"/>
      <c r="H212" s="4" t="s">
        <v>36</v>
      </c>
      <c r="I212" s="4">
        <v>4</v>
      </c>
      <c r="J212" s="4">
        <v>0.6</v>
      </c>
      <c r="K212" s="8">
        <f>I212*J212</f>
        <v>2.4</v>
      </c>
    </row>
    <row r="213" spans="1:11" x14ac:dyDescent="0.3">
      <c r="B213" s="4" t="s">
        <v>37</v>
      </c>
      <c r="C213" t="s">
        <v>258</v>
      </c>
      <c r="E213" s="8">
        <v>21</v>
      </c>
      <c r="F213" s="26"/>
      <c r="H213" s="4" t="s">
        <v>37</v>
      </c>
      <c r="I213" t="s">
        <v>258</v>
      </c>
      <c r="K213" s="8">
        <v>21</v>
      </c>
    </row>
    <row r="214" spans="1:11" x14ac:dyDescent="0.3">
      <c r="E214" s="8">
        <f>SUM(E208:E213)</f>
        <v>118.34806</v>
      </c>
      <c r="F214" s="26"/>
      <c r="K214" s="8">
        <f>SUM(K208:K213)</f>
        <v>119.94338</v>
      </c>
    </row>
    <row r="215" spans="1:11" x14ac:dyDescent="0.3">
      <c r="F215" s="26"/>
    </row>
    <row r="216" spans="1:11" x14ac:dyDescent="0.3">
      <c r="C216" s="4" t="s">
        <v>28</v>
      </c>
      <c r="D216" s="4" t="s">
        <v>29</v>
      </c>
      <c r="E216" s="4" t="s">
        <v>30</v>
      </c>
      <c r="F216" s="26"/>
      <c r="I216" s="4" t="s">
        <v>28</v>
      </c>
      <c r="J216" s="4" t="s">
        <v>29</v>
      </c>
      <c r="K216" s="4" t="s">
        <v>30</v>
      </c>
    </row>
    <row r="217" spans="1:11" x14ac:dyDescent="0.3">
      <c r="A217" t="s">
        <v>74</v>
      </c>
      <c r="B217" s="4" t="s">
        <v>32</v>
      </c>
      <c r="C217" s="4">
        <v>1.1879999999999999</v>
      </c>
      <c r="D217" s="4">
        <v>29.12</v>
      </c>
      <c r="E217" s="8">
        <f>C217*D217</f>
        <v>34.594560000000001</v>
      </c>
      <c r="F217" s="26"/>
      <c r="G217" t="s">
        <v>74</v>
      </c>
      <c r="H217" s="4" t="s">
        <v>32</v>
      </c>
      <c r="I217" s="4">
        <v>1.1879999999999999</v>
      </c>
      <c r="J217" s="4">
        <v>30.29</v>
      </c>
      <c r="K217" s="8">
        <f>I217*J217</f>
        <v>35.984519999999996</v>
      </c>
    </row>
    <row r="218" spans="1:11" x14ac:dyDescent="0.3">
      <c r="A218" t="s">
        <v>53</v>
      </c>
      <c r="B218" s="4" t="s">
        <v>33</v>
      </c>
      <c r="C218" s="4">
        <v>4.2629999999999999</v>
      </c>
      <c r="D218" s="4">
        <v>15.25</v>
      </c>
      <c r="E218" s="8">
        <f>C218*D218</f>
        <v>65.010750000000002</v>
      </c>
      <c r="F218" s="26"/>
      <c r="G218" t="s">
        <v>53</v>
      </c>
      <c r="H218" s="4" t="s">
        <v>33</v>
      </c>
      <c r="I218" s="4">
        <v>4.2629999999999999</v>
      </c>
      <c r="J218" s="4">
        <v>16</v>
      </c>
      <c r="K218" s="8">
        <f>I218*J218</f>
        <v>68.207999999999998</v>
      </c>
    </row>
    <row r="219" spans="1:11" x14ac:dyDescent="0.3">
      <c r="B219" s="4" t="s">
        <v>137</v>
      </c>
      <c r="C219" s="4">
        <v>0.42</v>
      </c>
      <c r="D219" s="4">
        <v>17.190000000000001</v>
      </c>
      <c r="E219" s="8">
        <f>C219*D219</f>
        <v>7.2198000000000002</v>
      </c>
      <c r="F219" s="26"/>
      <c r="H219" s="4" t="s">
        <v>137</v>
      </c>
      <c r="I219" s="4">
        <v>0.42</v>
      </c>
      <c r="J219" s="4">
        <v>17.190000000000001</v>
      </c>
      <c r="K219" s="8">
        <f>I219*J219</f>
        <v>7.2198000000000002</v>
      </c>
    </row>
    <row r="220" spans="1:11" x14ac:dyDescent="0.3">
      <c r="B220" s="4" t="s">
        <v>35</v>
      </c>
      <c r="C220" s="4">
        <v>4</v>
      </c>
      <c r="D220" s="4">
        <v>2.89</v>
      </c>
      <c r="E220" s="8">
        <f>C220*D220</f>
        <v>11.56</v>
      </c>
      <c r="F220" s="26"/>
      <c r="H220" s="4" t="s">
        <v>35</v>
      </c>
      <c r="I220" s="4">
        <v>4</v>
      </c>
      <c r="J220" s="4">
        <v>2.89</v>
      </c>
      <c r="K220" s="8">
        <f>I220*J220</f>
        <v>11.56</v>
      </c>
    </row>
    <row r="221" spans="1:11" x14ac:dyDescent="0.3">
      <c r="B221" s="4" t="s">
        <v>36</v>
      </c>
      <c r="C221" s="4">
        <v>4</v>
      </c>
      <c r="D221" s="4">
        <v>0.6</v>
      </c>
      <c r="E221" s="8">
        <f>C221*D221</f>
        <v>2.4</v>
      </c>
      <c r="F221" s="26"/>
      <c r="H221" s="4" t="s">
        <v>36</v>
      </c>
      <c r="I221" s="4">
        <v>4</v>
      </c>
      <c r="J221" s="4">
        <v>0.6</v>
      </c>
      <c r="K221" s="8">
        <f>I221*J221</f>
        <v>2.4</v>
      </c>
    </row>
    <row r="222" spans="1:11" x14ac:dyDescent="0.3">
      <c r="B222" s="4" t="s">
        <v>37</v>
      </c>
      <c r="C222" t="s">
        <v>215</v>
      </c>
      <c r="E222" s="8">
        <v>28</v>
      </c>
      <c r="F222" s="26"/>
      <c r="H222" s="4" t="s">
        <v>37</v>
      </c>
      <c r="I222" t="s">
        <v>215</v>
      </c>
      <c r="K222" s="8">
        <v>28</v>
      </c>
    </row>
    <row r="223" spans="1:11" x14ac:dyDescent="0.3">
      <c r="E223" s="8">
        <f>SUM(E217:E222)</f>
        <v>148.78511000000003</v>
      </c>
      <c r="F223" s="26"/>
      <c r="K223" s="8">
        <f>SUM(K217:K222)</f>
        <v>153.37232</v>
      </c>
    </row>
    <row r="224" spans="1:11" x14ac:dyDescent="0.3">
      <c r="F224" s="26"/>
    </row>
    <row r="225" spans="1:11" x14ac:dyDescent="0.3">
      <c r="C225" s="4" t="s">
        <v>28</v>
      </c>
      <c r="D225" s="4" t="s">
        <v>29</v>
      </c>
      <c r="E225" s="4" t="s">
        <v>30</v>
      </c>
      <c r="F225" s="26"/>
      <c r="I225" s="4" t="s">
        <v>28</v>
      </c>
      <c r="J225" s="4" t="s">
        <v>29</v>
      </c>
      <c r="K225" s="4" t="s">
        <v>30</v>
      </c>
    </row>
    <row r="226" spans="1:11" x14ac:dyDescent="0.3">
      <c r="A226" t="s">
        <v>156</v>
      </c>
      <c r="B226" s="4" t="s">
        <v>32</v>
      </c>
      <c r="C226" s="4">
        <v>1.2929999999999999</v>
      </c>
      <c r="D226" s="4">
        <v>29.12</v>
      </c>
      <c r="E226" s="8">
        <f>C226*D226</f>
        <v>37.652160000000002</v>
      </c>
      <c r="F226" s="26"/>
      <c r="G226" t="s">
        <v>156</v>
      </c>
      <c r="H226" s="4" t="s">
        <v>32</v>
      </c>
      <c r="I226" s="4">
        <v>1.2929999999999999</v>
      </c>
      <c r="J226" s="4">
        <v>30.29</v>
      </c>
      <c r="K226" s="8">
        <f>I226*J226</f>
        <v>39.164969999999997</v>
      </c>
    </row>
    <row r="227" spans="1:11" x14ac:dyDescent="0.3">
      <c r="A227" t="s">
        <v>218</v>
      </c>
      <c r="B227" s="4" t="s">
        <v>33</v>
      </c>
      <c r="C227" s="4">
        <v>5.1760000000000002</v>
      </c>
      <c r="D227" s="4">
        <v>15.25</v>
      </c>
      <c r="E227" s="8">
        <f>C227*D227</f>
        <v>78.933999999999997</v>
      </c>
      <c r="F227" s="26"/>
      <c r="G227" t="s">
        <v>218</v>
      </c>
      <c r="H227" s="4" t="s">
        <v>33</v>
      </c>
      <c r="I227" s="4">
        <v>5.1760000000000002</v>
      </c>
      <c r="J227" s="4">
        <v>16</v>
      </c>
      <c r="K227" s="8">
        <f>I227*J227</f>
        <v>82.816000000000003</v>
      </c>
    </row>
    <row r="228" spans="1:11" x14ac:dyDescent="0.3">
      <c r="B228" s="4" t="s">
        <v>137</v>
      </c>
      <c r="C228" s="4">
        <v>0.52500000000000002</v>
      </c>
      <c r="D228" s="4">
        <v>17.190000000000001</v>
      </c>
      <c r="E228" s="8">
        <f>C228*D228</f>
        <v>9.0247500000000009</v>
      </c>
      <c r="F228" s="26"/>
      <c r="H228" s="4" t="s">
        <v>137</v>
      </c>
      <c r="I228" s="4">
        <v>0.52500000000000002</v>
      </c>
      <c r="J228" s="4">
        <v>17.190000000000001</v>
      </c>
      <c r="K228" s="8">
        <f>I228*J228</f>
        <v>9.0247500000000009</v>
      </c>
    </row>
    <row r="229" spans="1:11" x14ac:dyDescent="0.3">
      <c r="B229" s="4" t="s">
        <v>35</v>
      </c>
      <c r="C229" s="4">
        <v>4</v>
      </c>
      <c r="D229" s="4">
        <v>2.89</v>
      </c>
      <c r="E229" s="8">
        <f>C229*D229</f>
        <v>11.56</v>
      </c>
      <c r="F229" s="26"/>
      <c r="H229" s="4" t="s">
        <v>35</v>
      </c>
      <c r="I229" s="4">
        <v>4</v>
      </c>
      <c r="J229" s="4">
        <v>2.89</v>
      </c>
      <c r="K229" s="8">
        <f>I229*J229</f>
        <v>11.56</v>
      </c>
    </row>
    <row r="230" spans="1:11" x14ac:dyDescent="0.3">
      <c r="B230" s="4" t="s">
        <v>36</v>
      </c>
      <c r="C230" s="4">
        <v>4</v>
      </c>
      <c r="D230" s="4">
        <v>0.6</v>
      </c>
      <c r="E230" s="8">
        <f>C230*D230</f>
        <v>2.4</v>
      </c>
      <c r="F230" s="26"/>
      <c r="H230" s="4" t="s">
        <v>36</v>
      </c>
      <c r="I230" s="4">
        <v>4</v>
      </c>
      <c r="J230" s="4">
        <v>0.6</v>
      </c>
      <c r="K230" s="8">
        <f>I230*J230</f>
        <v>2.4</v>
      </c>
    </row>
    <row r="231" spans="1:11" x14ac:dyDescent="0.3">
      <c r="B231" s="4" t="s">
        <v>37</v>
      </c>
      <c r="C231" t="s">
        <v>215</v>
      </c>
      <c r="E231" s="8">
        <v>28</v>
      </c>
      <c r="F231" s="26"/>
      <c r="H231" s="4" t="s">
        <v>37</v>
      </c>
      <c r="I231" t="s">
        <v>215</v>
      </c>
      <c r="K231" s="8">
        <v>28</v>
      </c>
    </row>
    <row r="232" spans="1:11" x14ac:dyDescent="0.3">
      <c r="E232" s="8">
        <f>SUM(E226:E231)</f>
        <v>167.57091</v>
      </c>
      <c r="F232" s="26"/>
      <c r="K232" s="8">
        <f>SUM(K226:K231)</f>
        <v>172.96572</v>
      </c>
    </row>
    <row r="233" spans="1:11" x14ac:dyDescent="0.3">
      <c r="F233" s="26"/>
    </row>
    <row r="234" spans="1:11" x14ac:dyDescent="0.3">
      <c r="C234" s="4" t="s">
        <v>28</v>
      </c>
      <c r="D234" s="4" t="s">
        <v>29</v>
      </c>
      <c r="E234" s="4" t="s">
        <v>30</v>
      </c>
      <c r="F234" s="26"/>
      <c r="I234" s="4" t="s">
        <v>28</v>
      </c>
      <c r="J234" s="4" t="s">
        <v>29</v>
      </c>
      <c r="K234" s="4" t="s">
        <v>30</v>
      </c>
    </row>
    <row r="235" spans="1:11" x14ac:dyDescent="0.3">
      <c r="A235" t="s">
        <v>102</v>
      </c>
      <c r="B235" s="4" t="s">
        <v>32</v>
      </c>
      <c r="C235" s="4">
        <v>1.3979999999999999</v>
      </c>
      <c r="D235" s="4">
        <v>29.12</v>
      </c>
      <c r="E235" s="8">
        <f>C235*D235</f>
        <v>40.709759999999996</v>
      </c>
      <c r="F235" s="26"/>
      <c r="G235" t="s">
        <v>102</v>
      </c>
      <c r="H235" s="4" t="s">
        <v>32</v>
      </c>
      <c r="I235" s="4">
        <v>1.3979999999999999</v>
      </c>
      <c r="J235" s="4">
        <v>30.29</v>
      </c>
      <c r="K235" s="8">
        <f>I235*J235</f>
        <v>42.345419999999997</v>
      </c>
    </row>
    <row r="236" spans="1:11" x14ac:dyDescent="0.3">
      <c r="A236" t="s">
        <v>167</v>
      </c>
      <c r="B236" s="4" t="s">
        <v>33</v>
      </c>
      <c r="C236" s="4">
        <v>6.3940000000000001</v>
      </c>
      <c r="D236" s="4">
        <v>15.25</v>
      </c>
      <c r="E236" s="8">
        <f>C236*D236</f>
        <v>97.508499999999998</v>
      </c>
      <c r="F236" s="26"/>
      <c r="G236" t="s">
        <v>167</v>
      </c>
      <c r="H236" s="4" t="s">
        <v>33</v>
      </c>
      <c r="I236" s="4">
        <v>6.3940000000000001</v>
      </c>
      <c r="J236" s="4">
        <v>16</v>
      </c>
      <c r="K236" s="8">
        <f>I236*J236</f>
        <v>102.304</v>
      </c>
    </row>
    <row r="237" spans="1:11" x14ac:dyDescent="0.3">
      <c r="B237" s="4" t="s">
        <v>137</v>
      </c>
      <c r="C237" s="4">
        <v>0.4</v>
      </c>
      <c r="D237" s="4">
        <v>17.190000000000001</v>
      </c>
      <c r="E237" s="8">
        <f>C237*D237</f>
        <v>6.8760000000000012</v>
      </c>
      <c r="F237" s="26"/>
      <c r="H237" s="4" t="s">
        <v>137</v>
      </c>
      <c r="I237" s="4">
        <v>0.4</v>
      </c>
      <c r="J237" s="4">
        <v>17.190000000000001</v>
      </c>
      <c r="K237" s="8">
        <f>I237*J237</f>
        <v>6.8760000000000012</v>
      </c>
    </row>
    <row r="238" spans="1:11" x14ac:dyDescent="0.3">
      <c r="B238" s="4" t="s">
        <v>35</v>
      </c>
      <c r="C238" s="4">
        <v>4</v>
      </c>
      <c r="D238" s="4">
        <v>2.89</v>
      </c>
      <c r="E238" s="8">
        <f>C238*D238</f>
        <v>11.56</v>
      </c>
      <c r="F238" s="26"/>
      <c r="H238" s="4" t="s">
        <v>35</v>
      </c>
      <c r="I238" s="4">
        <v>4</v>
      </c>
      <c r="J238" s="4">
        <v>2.89</v>
      </c>
      <c r="K238" s="8">
        <f>I238*J238</f>
        <v>11.56</v>
      </c>
    </row>
    <row r="239" spans="1:11" x14ac:dyDescent="0.3">
      <c r="B239" s="4" t="s">
        <v>36</v>
      </c>
      <c r="C239" s="4">
        <v>4</v>
      </c>
      <c r="D239" s="4">
        <v>0.6</v>
      </c>
      <c r="E239" s="8">
        <f>C239*D239</f>
        <v>2.4</v>
      </c>
      <c r="F239" s="26"/>
      <c r="H239" s="4" t="s">
        <v>36</v>
      </c>
      <c r="I239" s="4">
        <v>4</v>
      </c>
      <c r="J239" s="4">
        <v>0.6</v>
      </c>
      <c r="K239" s="8">
        <f>I239*J239</f>
        <v>2.4</v>
      </c>
    </row>
    <row r="240" spans="1:11" x14ac:dyDescent="0.3">
      <c r="B240" s="4" t="s">
        <v>37</v>
      </c>
      <c r="C240" t="s">
        <v>215</v>
      </c>
      <c r="E240" s="8">
        <v>28</v>
      </c>
      <c r="F240" s="26"/>
      <c r="H240" s="4" t="s">
        <v>37</v>
      </c>
      <c r="I240" t="s">
        <v>215</v>
      </c>
      <c r="K240" s="8">
        <v>28</v>
      </c>
    </row>
    <row r="241" spans="1:11" x14ac:dyDescent="0.3">
      <c r="E241" s="8">
        <f>SUM(E235:E240)</f>
        <v>187.05426</v>
      </c>
      <c r="F241" s="26"/>
      <c r="K241" s="8">
        <f>SUM(K235:K240)</f>
        <v>193.48542</v>
      </c>
    </row>
    <row r="242" spans="1:11" x14ac:dyDescent="0.3">
      <c r="F242" s="26"/>
    </row>
    <row r="243" spans="1:11" x14ac:dyDescent="0.3">
      <c r="F243" s="26"/>
    </row>
    <row r="244" spans="1:11" x14ac:dyDescent="0.3">
      <c r="C244" s="4" t="s">
        <v>28</v>
      </c>
      <c r="D244" s="4" t="s">
        <v>29</v>
      </c>
      <c r="E244" s="4" t="s">
        <v>30</v>
      </c>
      <c r="F244" s="26"/>
      <c r="I244" s="4" t="s">
        <v>28</v>
      </c>
      <c r="J244" s="4" t="s">
        <v>29</v>
      </c>
      <c r="K244" s="4" t="s">
        <v>30</v>
      </c>
    </row>
    <row r="245" spans="1:11" x14ac:dyDescent="0.3">
      <c r="A245" t="s">
        <v>158</v>
      </c>
      <c r="B245" s="4" t="s">
        <v>32</v>
      </c>
      <c r="C245" s="4">
        <v>1.0620000000000001</v>
      </c>
      <c r="D245" s="4">
        <v>29.12</v>
      </c>
      <c r="E245" s="8">
        <f>C245*D245</f>
        <v>30.925440000000002</v>
      </c>
      <c r="F245" s="26"/>
      <c r="G245" t="s">
        <v>158</v>
      </c>
      <c r="H245" s="4" t="s">
        <v>32</v>
      </c>
      <c r="I245" s="4">
        <v>1.0620000000000001</v>
      </c>
      <c r="J245" s="4">
        <v>30.29</v>
      </c>
      <c r="K245" s="8">
        <f>I245*J245</f>
        <v>32.16798</v>
      </c>
    </row>
    <row r="246" spans="1:11" x14ac:dyDescent="0.3">
      <c r="A246" t="s">
        <v>246</v>
      </c>
      <c r="B246" s="4" t="s">
        <v>33</v>
      </c>
      <c r="C246" s="4">
        <v>0.40899999999999997</v>
      </c>
      <c r="D246" s="4">
        <v>15.25</v>
      </c>
      <c r="E246" s="8">
        <f>C246*D246</f>
        <v>6.2372499999999995</v>
      </c>
      <c r="F246" s="26"/>
      <c r="G246" t="s">
        <v>246</v>
      </c>
      <c r="H246" s="4" t="s">
        <v>33</v>
      </c>
      <c r="I246" s="4">
        <v>0.40899999999999997</v>
      </c>
      <c r="J246" s="4">
        <v>16</v>
      </c>
      <c r="K246" s="8">
        <f>I246*J246</f>
        <v>6.5439999999999996</v>
      </c>
    </row>
    <row r="247" spans="1:11" x14ac:dyDescent="0.3">
      <c r="B247" s="4" t="s">
        <v>137</v>
      </c>
      <c r="C247" s="4">
        <v>0.1</v>
      </c>
      <c r="D247" s="4">
        <v>17.190000000000001</v>
      </c>
      <c r="E247" s="8">
        <f>C247*D247</f>
        <v>1.7190000000000003</v>
      </c>
      <c r="F247" s="26"/>
      <c r="H247" s="4" t="s">
        <v>137</v>
      </c>
      <c r="I247" s="4">
        <v>0.1</v>
      </c>
      <c r="J247" s="4">
        <v>17.190000000000001</v>
      </c>
      <c r="K247" s="8">
        <f>I247*J247</f>
        <v>1.7190000000000003</v>
      </c>
    </row>
    <row r="248" spans="1:11" x14ac:dyDescent="0.3">
      <c r="B248" s="4" t="s">
        <v>35</v>
      </c>
      <c r="C248" s="4">
        <v>4</v>
      </c>
      <c r="D248" s="4">
        <v>2.89</v>
      </c>
      <c r="E248" s="8">
        <f>C248*D248</f>
        <v>11.56</v>
      </c>
      <c r="F248" s="26"/>
      <c r="H248" s="4" t="s">
        <v>35</v>
      </c>
      <c r="I248" s="4">
        <v>4</v>
      </c>
      <c r="J248" s="4">
        <v>2.89</v>
      </c>
      <c r="K248" s="8">
        <f>I248*J248</f>
        <v>11.56</v>
      </c>
    </row>
    <row r="249" spans="1:11" x14ac:dyDescent="0.3">
      <c r="B249" s="4" t="s">
        <v>36</v>
      </c>
      <c r="C249" s="4">
        <v>4</v>
      </c>
      <c r="D249" s="4">
        <v>0.6</v>
      </c>
      <c r="E249" s="8">
        <f>C249*D249</f>
        <v>2.4</v>
      </c>
      <c r="F249" s="26"/>
      <c r="H249" s="4" t="s">
        <v>36</v>
      </c>
      <c r="I249" s="4">
        <v>4</v>
      </c>
      <c r="J249" s="4">
        <v>0.6</v>
      </c>
      <c r="K249" s="8">
        <f>I249*J249</f>
        <v>2.4</v>
      </c>
    </row>
    <row r="250" spans="1:11" x14ac:dyDescent="0.3">
      <c r="B250" s="4" t="s">
        <v>37</v>
      </c>
      <c r="C250" t="s">
        <v>258</v>
      </c>
      <c r="E250" s="8">
        <v>21</v>
      </c>
      <c r="F250" s="26"/>
      <c r="H250" s="4" t="s">
        <v>37</v>
      </c>
      <c r="I250" t="s">
        <v>258</v>
      </c>
      <c r="K250" s="8">
        <v>21</v>
      </c>
    </row>
    <row r="251" spans="1:11" x14ac:dyDescent="0.3">
      <c r="E251" s="8">
        <f>SUM(E245:E250)</f>
        <v>73.84169</v>
      </c>
      <c r="F251" s="26"/>
      <c r="K251" s="8">
        <f>SUM(K245:K250)</f>
        <v>75.390979999999999</v>
      </c>
    </row>
    <row r="252" spans="1:11" x14ac:dyDescent="0.3">
      <c r="F252" s="26"/>
    </row>
    <row r="253" spans="1:11" x14ac:dyDescent="0.3">
      <c r="C253" s="4" t="s">
        <v>28</v>
      </c>
      <c r="D253" s="4" t="s">
        <v>29</v>
      </c>
      <c r="E253" s="4" t="s">
        <v>30</v>
      </c>
      <c r="F253" s="26"/>
      <c r="I253" s="4" t="s">
        <v>28</v>
      </c>
      <c r="J253" s="4" t="s">
        <v>29</v>
      </c>
      <c r="K253" s="4" t="s">
        <v>30</v>
      </c>
    </row>
    <row r="254" spans="1:11" x14ac:dyDescent="0.3">
      <c r="A254" t="s">
        <v>157</v>
      </c>
      <c r="B254" s="4" t="s">
        <v>32</v>
      </c>
      <c r="C254" s="4">
        <v>1.0620000000000001</v>
      </c>
      <c r="D254" s="4">
        <v>29.12</v>
      </c>
      <c r="E254" s="8">
        <f>C254*D254</f>
        <v>30.925440000000002</v>
      </c>
      <c r="F254" s="26"/>
      <c r="G254" t="s">
        <v>157</v>
      </c>
      <c r="H254" s="4" t="s">
        <v>32</v>
      </c>
      <c r="I254" s="4">
        <v>1.0620000000000001</v>
      </c>
      <c r="J254" s="4">
        <v>30.29</v>
      </c>
      <c r="K254" s="8">
        <f>I254*J254</f>
        <v>32.16798</v>
      </c>
    </row>
    <row r="255" spans="1:11" x14ac:dyDescent="0.3">
      <c r="A255" t="s">
        <v>201</v>
      </c>
      <c r="B255" s="4" t="s">
        <v>33</v>
      </c>
      <c r="C255" s="4">
        <v>0.81899999999999995</v>
      </c>
      <c r="D255" s="4">
        <v>15.25</v>
      </c>
      <c r="E255" s="8">
        <f>C255*D255</f>
        <v>12.489749999999999</v>
      </c>
      <c r="F255" s="26"/>
      <c r="G255" t="s">
        <v>201</v>
      </c>
      <c r="H255" s="4" t="s">
        <v>33</v>
      </c>
      <c r="I255" s="4">
        <v>0.81899999999999995</v>
      </c>
      <c r="J255" s="4">
        <v>16</v>
      </c>
      <c r="K255" s="8">
        <f>I255*J255</f>
        <v>13.103999999999999</v>
      </c>
    </row>
    <row r="256" spans="1:11" x14ac:dyDescent="0.3">
      <c r="B256" s="4" t="s">
        <v>137</v>
      </c>
      <c r="C256" s="4">
        <v>0.1</v>
      </c>
      <c r="D256" s="4">
        <v>17.190000000000001</v>
      </c>
      <c r="E256" s="8">
        <f>C256*D256</f>
        <v>1.7190000000000003</v>
      </c>
      <c r="F256" s="26"/>
      <c r="H256" s="4" t="s">
        <v>137</v>
      </c>
      <c r="I256" s="4">
        <v>0.1</v>
      </c>
      <c r="J256" s="4">
        <v>17.190000000000001</v>
      </c>
      <c r="K256" s="8">
        <f>I256*J256</f>
        <v>1.7190000000000003</v>
      </c>
    </row>
    <row r="257" spans="1:11" x14ac:dyDescent="0.3">
      <c r="B257" s="4" t="s">
        <v>35</v>
      </c>
      <c r="C257" s="4">
        <v>4</v>
      </c>
      <c r="D257" s="4">
        <v>2.89</v>
      </c>
      <c r="E257" s="8">
        <f>C257*D257</f>
        <v>11.56</v>
      </c>
      <c r="F257" s="26"/>
      <c r="H257" s="4" t="s">
        <v>35</v>
      </c>
      <c r="I257" s="4">
        <v>4</v>
      </c>
      <c r="J257" s="4">
        <v>2.89</v>
      </c>
      <c r="K257" s="8">
        <f>I257*J257</f>
        <v>11.56</v>
      </c>
    </row>
    <row r="258" spans="1:11" x14ac:dyDescent="0.3">
      <c r="B258" s="4" t="s">
        <v>36</v>
      </c>
      <c r="C258" s="4">
        <v>4</v>
      </c>
      <c r="D258" s="4">
        <v>0.6</v>
      </c>
      <c r="E258" s="8">
        <f>C258*D258</f>
        <v>2.4</v>
      </c>
      <c r="F258" s="26"/>
      <c r="H258" s="4" t="s">
        <v>36</v>
      </c>
      <c r="I258" s="4">
        <v>4</v>
      </c>
      <c r="J258" s="4">
        <v>0.6</v>
      </c>
      <c r="K258" s="8">
        <f>I258*J258</f>
        <v>2.4</v>
      </c>
    </row>
    <row r="259" spans="1:11" x14ac:dyDescent="0.3">
      <c r="B259" s="4" t="s">
        <v>37</v>
      </c>
      <c r="C259" t="s">
        <v>258</v>
      </c>
      <c r="E259" s="8">
        <v>21</v>
      </c>
      <c r="F259" s="26"/>
      <c r="H259" s="4" t="s">
        <v>37</v>
      </c>
      <c r="I259" t="s">
        <v>258</v>
      </c>
      <c r="K259" s="8">
        <v>21</v>
      </c>
    </row>
    <row r="260" spans="1:11" x14ac:dyDescent="0.3">
      <c r="E260" s="8">
        <f>SUM(E254:E259)</f>
        <v>80.094189999999998</v>
      </c>
      <c r="F260" s="26"/>
      <c r="K260" s="8">
        <f>SUM(K254:K259)</f>
        <v>81.950980000000001</v>
      </c>
    </row>
    <row r="261" spans="1:11" x14ac:dyDescent="0.3">
      <c r="F261" s="26"/>
    </row>
    <row r="262" spans="1:11" x14ac:dyDescent="0.3">
      <c r="C262" s="4" t="s">
        <v>28</v>
      </c>
      <c r="D262" s="4" t="s">
        <v>29</v>
      </c>
      <c r="E262" s="4" t="s">
        <v>30</v>
      </c>
      <c r="F262" s="26"/>
      <c r="I262" s="4" t="s">
        <v>28</v>
      </c>
      <c r="J262" s="4" t="s">
        <v>29</v>
      </c>
      <c r="K262" s="4" t="s">
        <v>30</v>
      </c>
    </row>
    <row r="263" spans="1:11" x14ac:dyDescent="0.3">
      <c r="A263" t="s">
        <v>159</v>
      </c>
      <c r="B263" s="4" t="s">
        <v>32</v>
      </c>
      <c r="C263" s="4">
        <v>1.1040000000000001</v>
      </c>
      <c r="D263" s="4">
        <v>29.12</v>
      </c>
      <c r="E263" s="8">
        <f>C263*D263</f>
        <v>32.148480000000006</v>
      </c>
      <c r="F263" s="26"/>
      <c r="G263" t="s">
        <v>159</v>
      </c>
      <c r="H263" s="4" t="s">
        <v>32</v>
      </c>
      <c r="I263" s="4">
        <v>1.1040000000000001</v>
      </c>
      <c r="J263" s="4">
        <v>30.29</v>
      </c>
      <c r="K263" s="8">
        <f>I263*J263</f>
        <v>33.440159999999999</v>
      </c>
    </row>
    <row r="264" spans="1:11" x14ac:dyDescent="0.3">
      <c r="A264" t="s">
        <v>261</v>
      </c>
      <c r="B264" s="4" t="s">
        <v>33</v>
      </c>
      <c r="C264" s="4">
        <v>1.228</v>
      </c>
      <c r="D264" s="4">
        <v>15.25</v>
      </c>
      <c r="E264" s="8">
        <f>C264*D264</f>
        <v>18.727</v>
      </c>
      <c r="F264" s="26"/>
      <c r="G264" t="s">
        <v>261</v>
      </c>
      <c r="H264" s="4" t="s">
        <v>33</v>
      </c>
      <c r="I264" s="4">
        <v>1.228</v>
      </c>
      <c r="J264" s="4">
        <v>16</v>
      </c>
      <c r="K264" s="8">
        <f>I264*J264</f>
        <v>19.648</v>
      </c>
    </row>
    <row r="265" spans="1:11" x14ac:dyDescent="0.3">
      <c r="B265" s="4" t="s">
        <v>137</v>
      </c>
      <c r="C265" s="4">
        <v>0.126</v>
      </c>
      <c r="D265" s="4">
        <v>17.190000000000001</v>
      </c>
      <c r="E265" s="8">
        <f>C265*D265</f>
        <v>2.16594</v>
      </c>
      <c r="F265" s="26"/>
      <c r="H265" s="4" t="s">
        <v>137</v>
      </c>
      <c r="I265" s="4">
        <v>0.126</v>
      </c>
      <c r="J265" s="4">
        <v>17.190000000000001</v>
      </c>
      <c r="K265" s="8">
        <f>I265*J265</f>
        <v>2.16594</v>
      </c>
    </row>
    <row r="266" spans="1:11" x14ac:dyDescent="0.3">
      <c r="B266" s="4" t="s">
        <v>35</v>
      </c>
      <c r="C266" s="4">
        <v>4</v>
      </c>
      <c r="D266" s="4">
        <v>2.89</v>
      </c>
      <c r="E266" s="8">
        <f>C266*D266</f>
        <v>11.56</v>
      </c>
      <c r="F266" s="26"/>
      <c r="H266" s="4" t="s">
        <v>35</v>
      </c>
      <c r="I266" s="4">
        <v>4</v>
      </c>
      <c r="J266" s="4">
        <v>2.89</v>
      </c>
      <c r="K266" s="8">
        <f>I266*J266</f>
        <v>11.56</v>
      </c>
    </row>
    <row r="267" spans="1:11" x14ac:dyDescent="0.3">
      <c r="B267" s="4" t="s">
        <v>36</v>
      </c>
      <c r="C267" s="4">
        <v>4</v>
      </c>
      <c r="D267" s="4">
        <v>0.6</v>
      </c>
      <c r="E267" s="8">
        <f>C267*D267</f>
        <v>2.4</v>
      </c>
      <c r="F267" s="26"/>
      <c r="H267" s="4" t="s">
        <v>36</v>
      </c>
      <c r="I267" s="4">
        <v>4</v>
      </c>
      <c r="J267" s="4">
        <v>0.6</v>
      </c>
      <c r="K267" s="8">
        <f>I267*J267</f>
        <v>2.4</v>
      </c>
    </row>
    <row r="268" spans="1:11" x14ac:dyDescent="0.3">
      <c r="B268" s="4" t="s">
        <v>37</v>
      </c>
      <c r="C268" t="s">
        <v>258</v>
      </c>
      <c r="E268" s="8">
        <v>21</v>
      </c>
      <c r="F268" s="26"/>
      <c r="H268" s="4" t="s">
        <v>37</v>
      </c>
      <c r="I268">
        <v>42.5</v>
      </c>
      <c r="K268" s="8">
        <v>42.5</v>
      </c>
    </row>
    <row r="269" spans="1:11" x14ac:dyDescent="0.3">
      <c r="E269" s="8">
        <f>SUM(E263:E268)</f>
        <v>88.00142000000001</v>
      </c>
      <c r="F269" s="26"/>
      <c r="K269" s="8">
        <f>SUM(K263:K268)</f>
        <v>111.7141</v>
      </c>
    </row>
    <row r="270" spans="1:11" x14ac:dyDescent="0.3">
      <c r="F270" s="26"/>
    </row>
    <row r="271" spans="1:11" x14ac:dyDescent="0.3">
      <c r="C271" s="4" t="s">
        <v>28</v>
      </c>
      <c r="D271" s="4" t="s">
        <v>29</v>
      </c>
      <c r="E271" s="4" t="s">
        <v>30</v>
      </c>
      <c r="F271" s="26"/>
      <c r="I271" s="4" t="s">
        <v>28</v>
      </c>
      <c r="J271" s="4" t="s">
        <v>29</v>
      </c>
      <c r="K271" s="4" t="s">
        <v>30</v>
      </c>
    </row>
    <row r="272" spans="1:11" x14ac:dyDescent="0.3">
      <c r="A272" t="s">
        <v>160</v>
      </c>
      <c r="B272" s="4" t="s">
        <v>32</v>
      </c>
      <c r="C272" s="4">
        <v>1.1359999999999999</v>
      </c>
      <c r="D272" s="4">
        <v>29.12</v>
      </c>
      <c r="E272" s="8">
        <f>C272*D272</f>
        <v>33.08032</v>
      </c>
      <c r="F272" s="26"/>
      <c r="G272" t="s">
        <v>160</v>
      </c>
      <c r="H272" s="4" t="s">
        <v>32</v>
      </c>
      <c r="I272" s="4">
        <v>1.1359999999999999</v>
      </c>
      <c r="J272" s="4">
        <v>30.29</v>
      </c>
      <c r="K272" s="8">
        <f>I272*J272</f>
        <v>34.409439999999996</v>
      </c>
    </row>
    <row r="273" spans="1:11" x14ac:dyDescent="0.3">
      <c r="A273" t="s">
        <v>39</v>
      </c>
      <c r="B273" s="4" t="s">
        <v>33</v>
      </c>
      <c r="C273" s="4">
        <v>1.6379999999999999</v>
      </c>
      <c r="D273" s="4">
        <v>15.25</v>
      </c>
      <c r="E273" s="8">
        <f>C273*D273</f>
        <v>24.979499999999998</v>
      </c>
      <c r="F273" s="26"/>
      <c r="G273" t="s">
        <v>39</v>
      </c>
      <c r="H273" s="4" t="s">
        <v>33</v>
      </c>
      <c r="I273" s="4">
        <v>1.6379999999999999</v>
      </c>
      <c r="J273" s="4">
        <v>16</v>
      </c>
      <c r="K273" s="8">
        <f>I273*J273</f>
        <v>26.207999999999998</v>
      </c>
    </row>
    <row r="274" spans="1:11" x14ac:dyDescent="0.3">
      <c r="B274" s="4" t="s">
        <v>137</v>
      </c>
      <c r="C274" s="4">
        <v>0.157</v>
      </c>
      <c r="D274" s="4">
        <v>17.190000000000001</v>
      </c>
      <c r="E274" s="8">
        <f>C274*D274</f>
        <v>2.6988300000000001</v>
      </c>
      <c r="F274" s="26"/>
      <c r="H274" s="4" t="s">
        <v>137</v>
      </c>
      <c r="I274" s="4">
        <v>0.157</v>
      </c>
      <c r="J274" s="4">
        <v>17.190000000000001</v>
      </c>
      <c r="K274" s="8">
        <f>I274*J274</f>
        <v>2.6988300000000001</v>
      </c>
    </row>
    <row r="275" spans="1:11" x14ac:dyDescent="0.3">
      <c r="B275" s="4" t="s">
        <v>35</v>
      </c>
      <c r="C275" s="4">
        <v>4</v>
      </c>
      <c r="D275" s="4">
        <v>2.89</v>
      </c>
      <c r="E275" s="8">
        <f>C275*D275</f>
        <v>11.56</v>
      </c>
      <c r="F275" s="26"/>
      <c r="H275" s="4" t="s">
        <v>35</v>
      </c>
      <c r="I275" s="4">
        <v>4</v>
      </c>
      <c r="J275" s="4">
        <v>2.89</v>
      </c>
      <c r="K275" s="8">
        <f>I275*J275</f>
        <v>11.56</v>
      </c>
    </row>
    <row r="276" spans="1:11" x14ac:dyDescent="0.3">
      <c r="B276" s="4" t="s">
        <v>36</v>
      </c>
      <c r="C276" s="4">
        <v>4</v>
      </c>
      <c r="D276" s="4">
        <v>0.6</v>
      </c>
      <c r="E276" s="8">
        <f>C276*D276</f>
        <v>2.4</v>
      </c>
      <c r="F276" s="26"/>
      <c r="H276" s="4" t="s">
        <v>36</v>
      </c>
      <c r="I276" s="4">
        <v>4</v>
      </c>
      <c r="J276" s="4">
        <v>0.6</v>
      </c>
      <c r="K276" s="8">
        <f>I276*J276</f>
        <v>2.4</v>
      </c>
    </row>
    <row r="277" spans="1:11" x14ac:dyDescent="0.3">
      <c r="B277" s="4" t="s">
        <v>37</v>
      </c>
      <c r="C277" t="s">
        <v>258</v>
      </c>
      <c r="E277" s="8">
        <v>21</v>
      </c>
      <c r="F277" s="26"/>
      <c r="H277" s="4" t="s">
        <v>37</v>
      </c>
      <c r="I277" t="s">
        <v>258</v>
      </c>
      <c r="K277" s="8">
        <v>21</v>
      </c>
    </row>
    <row r="278" spans="1:11" x14ac:dyDescent="0.3">
      <c r="E278" s="24">
        <f>SUM(E272:E277)</f>
        <v>95.718650000000011</v>
      </c>
      <c r="F278" s="26"/>
      <c r="K278" s="24">
        <f>SUM(K272:K277)</f>
        <v>98.276269999999997</v>
      </c>
    </row>
    <row r="279" spans="1:11" x14ac:dyDescent="0.3">
      <c r="F279" s="26"/>
    </row>
    <row r="280" spans="1:11" x14ac:dyDescent="0.3">
      <c r="C280" s="4" t="s">
        <v>28</v>
      </c>
      <c r="D280" s="4" t="s">
        <v>29</v>
      </c>
      <c r="E280" s="4" t="s">
        <v>30</v>
      </c>
      <c r="F280" s="26"/>
      <c r="I280" s="4" t="s">
        <v>28</v>
      </c>
      <c r="J280" s="4" t="s">
        <v>29</v>
      </c>
      <c r="K280" s="4" t="s">
        <v>30</v>
      </c>
    </row>
    <row r="281" spans="1:11" x14ac:dyDescent="0.3">
      <c r="A281" t="s">
        <v>161</v>
      </c>
      <c r="B281" s="4" t="s">
        <v>32</v>
      </c>
      <c r="C281" s="4">
        <v>1.157</v>
      </c>
      <c r="D281" s="4">
        <v>29.12</v>
      </c>
      <c r="E281" s="8">
        <f>C281*D281</f>
        <v>33.691839999999999</v>
      </c>
      <c r="F281" s="26"/>
      <c r="G281" t="s">
        <v>161</v>
      </c>
      <c r="H281" s="4" t="s">
        <v>32</v>
      </c>
      <c r="I281" s="4">
        <v>1.157</v>
      </c>
      <c r="J281" s="4">
        <v>30.29</v>
      </c>
      <c r="K281" s="8">
        <f>I281*J281</f>
        <v>35.045529999999999</v>
      </c>
    </row>
    <row r="282" spans="1:11" x14ac:dyDescent="0.3">
      <c r="A282" t="s">
        <v>262</v>
      </c>
      <c r="B282" s="4" t="s">
        <v>33</v>
      </c>
      <c r="C282" s="4">
        <v>2.0470000000000002</v>
      </c>
      <c r="D282" s="4">
        <v>15.25</v>
      </c>
      <c r="E282" s="8">
        <f>C282*D282</f>
        <v>31.216750000000001</v>
      </c>
      <c r="F282" s="26"/>
      <c r="G282" t="s">
        <v>262</v>
      </c>
      <c r="H282" s="4" t="s">
        <v>33</v>
      </c>
      <c r="I282" s="4">
        <v>2.0470000000000002</v>
      </c>
      <c r="J282" s="4">
        <v>16</v>
      </c>
      <c r="K282" s="8">
        <f>I282*J282</f>
        <v>32.752000000000002</v>
      </c>
    </row>
    <row r="283" spans="1:11" x14ac:dyDescent="0.3">
      <c r="B283" s="4" t="s">
        <v>137</v>
      </c>
      <c r="C283" s="4">
        <v>0.17799999999999999</v>
      </c>
      <c r="D283" s="4">
        <v>17.190000000000001</v>
      </c>
      <c r="E283" s="8">
        <f>C283*D283</f>
        <v>3.0598200000000002</v>
      </c>
      <c r="F283" s="26"/>
      <c r="H283" s="4" t="s">
        <v>137</v>
      </c>
      <c r="I283" s="4">
        <v>0.17799999999999999</v>
      </c>
      <c r="J283" s="4">
        <v>17.190000000000001</v>
      </c>
      <c r="K283" s="8">
        <f>I283*J283</f>
        <v>3.0598200000000002</v>
      </c>
    </row>
    <row r="284" spans="1:11" x14ac:dyDescent="0.3">
      <c r="B284" s="4" t="s">
        <v>35</v>
      </c>
      <c r="C284" s="4">
        <v>4</v>
      </c>
      <c r="D284" s="4">
        <v>2.89</v>
      </c>
      <c r="E284" s="8">
        <f>C284*D284</f>
        <v>11.56</v>
      </c>
      <c r="F284" s="26"/>
      <c r="H284" s="4" t="s">
        <v>35</v>
      </c>
      <c r="I284" s="4">
        <v>4</v>
      </c>
      <c r="J284" s="4">
        <v>2.89</v>
      </c>
      <c r="K284" s="8">
        <f>I284*J284</f>
        <v>11.56</v>
      </c>
    </row>
    <row r="285" spans="1:11" x14ac:dyDescent="0.3">
      <c r="B285" s="4" t="s">
        <v>36</v>
      </c>
      <c r="C285" s="4">
        <v>4</v>
      </c>
      <c r="D285" s="4">
        <v>0.6</v>
      </c>
      <c r="E285" s="8">
        <f>C285*D285</f>
        <v>2.4</v>
      </c>
      <c r="F285" s="26"/>
      <c r="H285" s="4" t="s">
        <v>36</v>
      </c>
      <c r="I285" s="4">
        <v>4</v>
      </c>
      <c r="J285" s="4">
        <v>0.6</v>
      </c>
      <c r="K285" s="8">
        <f>I285*J285</f>
        <v>2.4</v>
      </c>
    </row>
    <row r="286" spans="1:11" x14ac:dyDescent="0.3">
      <c r="B286" s="4" t="s">
        <v>37</v>
      </c>
      <c r="C286" t="s">
        <v>258</v>
      </c>
      <c r="E286" s="8">
        <v>21</v>
      </c>
      <c r="F286" s="26"/>
      <c r="H286" s="4" t="s">
        <v>37</v>
      </c>
      <c r="I286" t="s">
        <v>258</v>
      </c>
      <c r="K286" s="8">
        <v>21</v>
      </c>
    </row>
    <row r="287" spans="1:11" x14ac:dyDescent="0.3">
      <c r="E287" s="24">
        <f>SUM(E281:E286)</f>
        <v>102.92841000000001</v>
      </c>
      <c r="F287" s="26"/>
      <c r="K287" s="24">
        <f>SUM(K281:K286)</f>
        <v>105.81735</v>
      </c>
    </row>
    <row r="288" spans="1:11" x14ac:dyDescent="0.3">
      <c r="F288" s="26"/>
    </row>
    <row r="289" spans="1:11" x14ac:dyDescent="0.3">
      <c r="C289" s="4" t="s">
        <v>28</v>
      </c>
      <c r="D289" s="4" t="s">
        <v>29</v>
      </c>
      <c r="E289" s="4" t="s">
        <v>30</v>
      </c>
      <c r="F289" s="26"/>
      <c r="I289" s="4" t="s">
        <v>28</v>
      </c>
      <c r="J289" s="4" t="s">
        <v>29</v>
      </c>
      <c r="K289" s="4" t="s">
        <v>30</v>
      </c>
    </row>
    <row r="290" spans="1:11" x14ac:dyDescent="0.3">
      <c r="A290" t="s">
        <v>162</v>
      </c>
      <c r="B290" s="4" t="s">
        <v>32</v>
      </c>
      <c r="C290" s="4">
        <v>1.167</v>
      </c>
      <c r="D290" s="4">
        <v>29.12</v>
      </c>
      <c r="E290" s="8">
        <f>C290*D290</f>
        <v>33.983040000000003</v>
      </c>
      <c r="F290" s="26"/>
      <c r="G290" t="s">
        <v>162</v>
      </c>
      <c r="H290" s="4" t="s">
        <v>32</v>
      </c>
      <c r="I290" s="4">
        <v>1.167</v>
      </c>
      <c r="J290" s="4">
        <v>30.29</v>
      </c>
      <c r="K290" s="8">
        <f>I290*J290</f>
        <v>35.34843</v>
      </c>
    </row>
    <row r="291" spans="1:11" x14ac:dyDescent="0.3">
      <c r="A291" t="s">
        <v>262</v>
      </c>
      <c r="B291" s="4" t="s">
        <v>33</v>
      </c>
      <c r="C291" s="4">
        <v>2.0470000000000002</v>
      </c>
      <c r="D291" s="4">
        <v>15.25</v>
      </c>
      <c r="E291" s="8">
        <f>C291*D291</f>
        <v>31.216750000000001</v>
      </c>
      <c r="F291" s="26"/>
      <c r="G291" t="s">
        <v>262</v>
      </c>
      <c r="H291" s="4" t="s">
        <v>33</v>
      </c>
      <c r="I291" s="4">
        <v>2.0470000000000002</v>
      </c>
      <c r="J291" s="4">
        <v>16</v>
      </c>
      <c r="K291" s="8">
        <f>I291*J291</f>
        <v>32.752000000000002</v>
      </c>
    </row>
    <row r="292" spans="1:11" x14ac:dyDescent="0.3">
      <c r="B292" s="4" t="s">
        <v>137</v>
      </c>
      <c r="C292" s="4">
        <v>0.159</v>
      </c>
      <c r="D292" s="4">
        <v>17.190000000000001</v>
      </c>
      <c r="E292" s="8">
        <f>C292*D292</f>
        <v>2.7332100000000001</v>
      </c>
      <c r="F292" s="26"/>
      <c r="H292" s="4" t="s">
        <v>137</v>
      </c>
      <c r="I292" s="4">
        <v>0.159</v>
      </c>
      <c r="J292" s="4">
        <v>17.190000000000001</v>
      </c>
      <c r="K292" s="8">
        <f>I292*J292</f>
        <v>2.7332100000000001</v>
      </c>
    </row>
    <row r="293" spans="1:11" x14ac:dyDescent="0.3">
      <c r="B293" s="4" t="s">
        <v>35</v>
      </c>
      <c r="C293" s="4">
        <v>4</v>
      </c>
      <c r="D293" s="4">
        <v>2.89</v>
      </c>
      <c r="E293" s="8">
        <f>C293*D293</f>
        <v>11.56</v>
      </c>
      <c r="F293" s="26"/>
      <c r="H293" s="4" t="s">
        <v>35</v>
      </c>
      <c r="I293" s="4">
        <v>4</v>
      </c>
      <c r="J293" s="4">
        <v>2.89</v>
      </c>
      <c r="K293" s="8">
        <f>I293*J293</f>
        <v>11.56</v>
      </c>
    </row>
    <row r="294" spans="1:11" x14ac:dyDescent="0.3">
      <c r="B294" s="4" t="s">
        <v>36</v>
      </c>
      <c r="C294" s="4">
        <v>4</v>
      </c>
      <c r="D294" s="4">
        <v>0.6</v>
      </c>
      <c r="E294" s="8">
        <f>C294*D294</f>
        <v>2.4</v>
      </c>
      <c r="F294" s="26"/>
      <c r="H294" s="4" t="s">
        <v>36</v>
      </c>
      <c r="I294" s="4">
        <v>4</v>
      </c>
      <c r="J294" s="4">
        <v>0.6</v>
      </c>
      <c r="K294" s="8">
        <f>I294*J294</f>
        <v>2.4</v>
      </c>
    </row>
    <row r="295" spans="1:11" x14ac:dyDescent="0.3">
      <c r="B295" s="4" t="s">
        <v>37</v>
      </c>
      <c r="C295" t="s">
        <v>258</v>
      </c>
      <c r="E295" s="8">
        <v>21</v>
      </c>
      <c r="F295" s="26"/>
      <c r="H295" s="4" t="s">
        <v>37</v>
      </c>
      <c r="I295" t="s">
        <v>258</v>
      </c>
      <c r="K295" s="8">
        <v>21</v>
      </c>
    </row>
    <row r="296" spans="1:11" x14ac:dyDescent="0.3">
      <c r="E296" s="8">
        <f>SUM(E290:E295)</f>
        <v>102.89300000000001</v>
      </c>
      <c r="F296" s="26"/>
      <c r="K296" s="8">
        <f>SUM(K290:K295)</f>
        <v>105.79364000000001</v>
      </c>
    </row>
    <row r="297" spans="1:11" x14ac:dyDescent="0.3">
      <c r="F297" s="26"/>
    </row>
    <row r="298" spans="1:11" x14ac:dyDescent="0.3">
      <c r="C298" s="4" t="s">
        <v>28</v>
      </c>
      <c r="D298" s="4" t="s">
        <v>29</v>
      </c>
      <c r="E298" s="4" t="s">
        <v>30</v>
      </c>
      <c r="F298" s="26"/>
      <c r="I298" s="4" t="s">
        <v>28</v>
      </c>
      <c r="J298" s="4" t="s">
        <v>29</v>
      </c>
      <c r="K298" s="4" t="s">
        <v>30</v>
      </c>
    </row>
    <row r="299" spans="1:11" x14ac:dyDescent="0.3">
      <c r="A299" t="s">
        <v>40</v>
      </c>
      <c r="B299" s="4" t="s">
        <v>32</v>
      </c>
      <c r="C299" s="4">
        <v>1.1879999999999999</v>
      </c>
      <c r="D299" s="4">
        <v>29.12</v>
      </c>
      <c r="E299" s="8">
        <f>C299*D299</f>
        <v>34.594560000000001</v>
      </c>
      <c r="F299" s="26"/>
      <c r="G299" t="s">
        <v>40</v>
      </c>
      <c r="H299" s="4" t="s">
        <v>32</v>
      </c>
      <c r="I299" s="4">
        <v>1.246</v>
      </c>
      <c r="J299" s="4">
        <v>30.29</v>
      </c>
      <c r="K299" s="8">
        <f>I299*J299</f>
        <v>37.741340000000001</v>
      </c>
    </row>
    <row r="300" spans="1:11" x14ac:dyDescent="0.3">
      <c r="A300" t="s">
        <v>63</v>
      </c>
      <c r="B300" s="4" t="s">
        <v>33</v>
      </c>
      <c r="C300" s="4">
        <v>2.4569999999999999</v>
      </c>
      <c r="D300" s="4">
        <v>15.25</v>
      </c>
      <c r="E300" s="8">
        <f>C300*D300</f>
        <v>37.469249999999995</v>
      </c>
      <c r="F300" s="26"/>
      <c r="G300" t="s">
        <v>63</v>
      </c>
      <c r="H300" s="4" t="s">
        <v>33</v>
      </c>
      <c r="I300" s="4">
        <v>2.5739999999999998</v>
      </c>
      <c r="J300" s="4">
        <v>16</v>
      </c>
      <c r="K300" s="8">
        <f>I300*J300</f>
        <v>41.183999999999997</v>
      </c>
    </row>
    <row r="301" spans="1:11" x14ac:dyDescent="0.3">
      <c r="B301" s="4" t="s">
        <v>137</v>
      </c>
      <c r="C301" s="4">
        <v>0.21</v>
      </c>
      <c r="D301" s="4">
        <v>17.190000000000001</v>
      </c>
      <c r="E301" s="8">
        <f>C301*D301</f>
        <v>3.6099000000000001</v>
      </c>
      <c r="F301" s="26"/>
      <c r="H301" s="4" t="s">
        <v>137</v>
      </c>
      <c r="I301" s="4">
        <v>0.21</v>
      </c>
      <c r="J301" s="4">
        <v>17.190000000000001</v>
      </c>
      <c r="K301" s="8">
        <f>I301*J301</f>
        <v>3.6099000000000001</v>
      </c>
    </row>
    <row r="302" spans="1:11" x14ac:dyDescent="0.3">
      <c r="B302" s="4" t="s">
        <v>35</v>
      </c>
      <c r="C302" s="4">
        <v>4</v>
      </c>
      <c r="D302" s="4">
        <v>2.89</v>
      </c>
      <c r="E302" s="8">
        <f>C302*D302</f>
        <v>11.56</v>
      </c>
      <c r="F302" s="26"/>
      <c r="H302" s="4" t="s">
        <v>35</v>
      </c>
      <c r="I302" s="4">
        <v>4</v>
      </c>
      <c r="J302" s="4">
        <v>2.89</v>
      </c>
      <c r="K302" s="8">
        <f>I302*J302</f>
        <v>11.56</v>
      </c>
    </row>
    <row r="303" spans="1:11" x14ac:dyDescent="0.3">
      <c r="B303" s="4" t="s">
        <v>36</v>
      </c>
      <c r="C303" s="4">
        <v>4</v>
      </c>
      <c r="D303" s="4">
        <v>0.6</v>
      </c>
      <c r="E303" s="8">
        <f>C303*D303</f>
        <v>2.4</v>
      </c>
      <c r="F303" s="26"/>
      <c r="H303" s="4" t="s">
        <v>36</v>
      </c>
      <c r="I303" s="4">
        <v>4</v>
      </c>
      <c r="J303" s="4">
        <v>0.6</v>
      </c>
      <c r="K303" s="8">
        <f>I303*J303</f>
        <v>2.4</v>
      </c>
    </row>
    <row r="304" spans="1:11" x14ac:dyDescent="0.3">
      <c r="B304" s="4" t="s">
        <v>37</v>
      </c>
      <c r="C304" t="s">
        <v>258</v>
      </c>
      <c r="E304" s="8">
        <v>21</v>
      </c>
      <c r="F304" s="26"/>
      <c r="H304" s="4" t="s">
        <v>37</v>
      </c>
      <c r="I304">
        <v>42.5</v>
      </c>
      <c r="K304" s="8">
        <v>42.5</v>
      </c>
    </row>
    <row r="305" spans="1:11" x14ac:dyDescent="0.3">
      <c r="E305" s="8">
        <f>SUM(E299:E304)</f>
        <v>110.63370999999999</v>
      </c>
      <c r="F305" s="26"/>
      <c r="K305" s="8">
        <f>SUM(K299:K304)</f>
        <v>138.99524000000002</v>
      </c>
    </row>
    <row r="306" spans="1:11" x14ac:dyDescent="0.3">
      <c r="F306" s="26"/>
    </row>
    <row r="307" spans="1:11" x14ac:dyDescent="0.3">
      <c r="C307" s="4" t="s">
        <v>28</v>
      </c>
      <c r="D307" s="4" t="s">
        <v>29</v>
      </c>
      <c r="E307" s="4" t="s">
        <v>30</v>
      </c>
      <c r="F307" s="26"/>
      <c r="I307" s="4" t="s">
        <v>28</v>
      </c>
      <c r="J307" s="4" t="s">
        <v>29</v>
      </c>
      <c r="K307" s="4" t="s">
        <v>30</v>
      </c>
    </row>
    <row r="308" spans="1:11" x14ac:dyDescent="0.3">
      <c r="A308" t="s">
        <v>163</v>
      </c>
      <c r="B308" s="4" t="s">
        <v>32</v>
      </c>
      <c r="C308" s="4">
        <v>1.23</v>
      </c>
      <c r="D308" s="4">
        <v>29.12</v>
      </c>
      <c r="E308" s="8">
        <f>C308*D308</f>
        <v>35.817599999999999</v>
      </c>
      <c r="F308" s="26"/>
      <c r="G308" t="s">
        <v>163</v>
      </c>
      <c r="H308" s="4" t="s">
        <v>32</v>
      </c>
      <c r="I308" s="4">
        <v>1.23</v>
      </c>
      <c r="J308" s="4">
        <v>30.29</v>
      </c>
      <c r="K308" s="8">
        <f>I308*J308</f>
        <v>37.256699999999995</v>
      </c>
    </row>
    <row r="309" spans="1:11" x14ac:dyDescent="0.3">
      <c r="A309" t="s">
        <v>263</v>
      </c>
      <c r="B309" s="4" t="s">
        <v>33</v>
      </c>
      <c r="C309" s="4">
        <v>2.8660000000000001</v>
      </c>
      <c r="D309" s="4">
        <v>15.25</v>
      </c>
      <c r="E309" s="8">
        <f>C309*D309</f>
        <v>43.706499999999998</v>
      </c>
      <c r="F309" s="26"/>
      <c r="G309" t="s">
        <v>263</v>
      </c>
      <c r="H309" s="4" t="s">
        <v>33</v>
      </c>
      <c r="I309" s="4">
        <v>2.8660000000000001</v>
      </c>
      <c r="J309" s="4">
        <v>16</v>
      </c>
      <c r="K309" s="8">
        <f>I309*J309</f>
        <v>45.856000000000002</v>
      </c>
    </row>
    <row r="310" spans="1:11" x14ac:dyDescent="0.3">
      <c r="B310" s="4" t="s">
        <v>137</v>
      </c>
      <c r="C310" s="4">
        <v>0.252</v>
      </c>
      <c r="D310" s="4">
        <v>17.190000000000001</v>
      </c>
      <c r="E310" s="8">
        <f>C310*D310</f>
        <v>4.33188</v>
      </c>
      <c r="F310" s="26"/>
      <c r="H310" s="4" t="s">
        <v>137</v>
      </c>
      <c r="I310" s="4">
        <v>0.252</v>
      </c>
      <c r="J310" s="4">
        <v>17.190000000000001</v>
      </c>
      <c r="K310" s="8">
        <f>I310*J310</f>
        <v>4.33188</v>
      </c>
    </row>
    <row r="311" spans="1:11" x14ac:dyDescent="0.3">
      <c r="B311" s="4" t="s">
        <v>35</v>
      </c>
      <c r="C311" s="4">
        <v>4</v>
      </c>
      <c r="D311" s="4">
        <v>2.89</v>
      </c>
      <c r="E311" s="8">
        <f>C311*D311</f>
        <v>11.56</v>
      </c>
      <c r="F311" s="26"/>
      <c r="H311" s="4" t="s">
        <v>35</v>
      </c>
      <c r="I311" s="4">
        <v>4</v>
      </c>
      <c r="J311" s="4">
        <v>2.89</v>
      </c>
      <c r="K311" s="8">
        <f>I311*J311</f>
        <v>11.56</v>
      </c>
    </row>
    <row r="312" spans="1:11" x14ac:dyDescent="0.3">
      <c r="B312" s="4" t="s">
        <v>36</v>
      </c>
      <c r="C312" s="4">
        <v>4</v>
      </c>
      <c r="D312" s="4">
        <v>0.6</v>
      </c>
      <c r="E312" s="8">
        <f>C312*D312</f>
        <v>2.4</v>
      </c>
      <c r="F312" s="26"/>
      <c r="H312" s="4" t="s">
        <v>36</v>
      </c>
      <c r="I312" s="4">
        <v>4</v>
      </c>
      <c r="J312" s="4">
        <v>0.6</v>
      </c>
      <c r="K312" s="8">
        <f>I312*J312</f>
        <v>2.4</v>
      </c>
    </row>
    <row r="313" spans="1:11" x14ac:dyDescent="0.3">
      <c r="B313" s="4" t="s">
        <v>37</v>
      </c>
      <c r="C313" t="s">
        <v>258</v>
      </c>
      <c r="E313" s="8">
        <v>21</v>
      </c>
      <c r="F313" s="26"/>
      <c r="H313" s="4" t="s">
        <v>37</v>
      </c>
      <c r="I313" t="s">
        <v>258</v>
      </c>
      <c r="K313" s="8">
        <v>21</v>
      </c>
    </row>
    <row r="314" spans="1:11" x14ac:dyDescent="0.3">
      <c r="E314" s="8">
        <f>SUM(E308:E313)</f>
        <v>118.81598000000001</v>
      </c>
      <c r="F314" s="26"/>
      <c r="K314" s="8">
        <f>SUM(K308:K313)</f>
        <v>122.40458</v>
      </c>
    </row>
    <row r="315" spans="1:11" x14ac:dyDescent="0.3">
      <c r="F315" s="26"/>
    </row>
    <row r="316" spans="1:11" x14ac:dyDescent="0.3">
      <c r="C316" s="4" t="s">
        <v>28</v>
      </c>
      <c r="D316" s="4" t="s">
        <v>29</v>
      </c>
      <c r="E316" s="4" t="s">
        <v>30</v>
      </c>
      <c r="F316" s="26"/>
      <c r="I316" s="4" t="s">
        <v>28</v>
      </c>
      <c r="J316" s="4" t="s">
        <v>29</v>
      </c>
      <c r="K316" s="4" t="s">
        <v>30</v>
      </c>
    </row>
    <row r="317" spans="1:11" x14ac:dyDescent="0.3">
      <c r="A317" t="s">
        <v>164</v>
      </c>
      <c r="B317" s="4" t="s">
        <v>32</v>
      </c>
      <c r="C317" s="4">
        <v>1.2509999999999999</v>
      </c>
      <c r="D317" s="4">
        <v>29.12</v>
      </c>
      <c r="E317" s="8">
        <f>C317*D317</f>
        <v>36.429119999999998</v>
      </c>
      <c r="F317" s="26"/>
      <c r="G317" t="s">
        <v>164</v>
      </c>
      <c r="H317" s="4" t="s">
        <v>32</v>
      </c>
      <c r="I317" s="4">
        <v>1.2509999999999999</v>
      </c>
      <c r="J317" s="4">
        <v>30.29</v>
      </c>
      <c r="K317" s="8">
        <f>I317*J317</f>
        <v>37.892789999999998</v>
      </c>
    </row>
    <row r="318" spans="1:11" x14ac:dyDescent="0.3">
      <c r="A318" t="s">
        <v>229</v>
      </c>
      <c r="B318" s="4" t="s">
        <v>33</v>
      </c>
      <c r="C318" s="4">
        <v>3.2759999999999998</v>
      </c>
      <c r="D318" s="4">
        <v>15.25</v>
      </c>
      <c r="E318" s="8">
        <f>C318*D318</f>
        <v>49.958999999999996</v>
      </c>
      <c r="F318" s="26"/>
      <c r="G318" t="s">
        <v>229</v>
      </c>
      <c r="H318" s="4" t="s">
        <v>33</v>
      </c>
      <c r="I318" s="4">
        <v>3.2759999999999998</v>
      </c>
      <c r="J318" s="4">
        <v>16</v>
      </c>
      <c r="K318" s="8">
        <f>I318*J318</f>
        <v>52.415999999999997</v>
      </c>
    </row>
    <row r="319" spans="1:11" x14ac:dyDescent="0.3">
      <c r="B319" s="4" t="s">
        <v>137</v>
      </c>
      <c r="C319" s="4">
        <v>0.27300000000000002</v>
      </c>
      <c r="D319" s="4">
        <v>17.190000000000001</v>
      </c>
      <c r="E319" s="8">
        <f>C319*D319</f>
        <v>4.692870000000001</v>
      </c>
      <c r="F319" s="26"/>
      <c r="H319" s="4" t="s">
        <v>137</v>
      </c>
      <c r="I319" s="4">
        <v>0.27300000000000002</v>
      </c>
      <c r="J319" s="4">
        <v>17.190000000000001</v>
      </c>
      <c r="K319" s="8">
        <f>I319*J319</f>
        <v>4.692870000000001</v>
      </c>
    </row>
    <row r="320" spans="1:11" x14ac:dyDescent="0.3">
      <c r="B320" s="4" t="s">
        <v>35</v>
      </c>
      <c r="C320" s="4">
        <v>4</v>
      </c>
      <c r="D320" s="4">
        <v>2.89</v>
      </c>
      <c r="E320" s="8">
        <f>C320*D320</f>
        <v>11.56</v>
      </c>
      <c r="F320" s="26"/>
      <c r="H320" s="4" t="s">
        <v>35</v>
      </c>
      <c r="I320" s="4">
        <v>4</v>
      </c>
      <c r="J320" s="4">
        <v>2.89</v>
      </c>
      <c r="K320" s="8">
        <f>I320*J320</f>
        <v>11.56</v>
      </c>
    </row>
    <row r="321" spans="1:11" x14ac:dyDescent="0.3">
      <c r="B321" s="4" t="s">
        <v>36</v>
      </c>
      <c r="C321" s="4">
        <v>4</v>
      </c>
      <c r="D321" s="4">
        <v>0.6</v>
      </c>
      <c r="E321" s="8">
        <f>C321*D321</f>
        <v>2.4</v>
      </c>
      <c r="F321" s="26"/>
      <c r="H321" s="4" t="s">
        <v>36</v>
      </c>
      <c r="I321" s="4">
        <v>4</v>
      </c>
      <c r="J321" s="4">
        <v>0.6</v>
      </c>
      <c r="K321" s="8">
        <f>I321*J321</f>
        <v>2.4</v>
      </c>
    </row>
    <row r="322" spans="1:11" x14ac:dyDescent="0.3">
      <c r="B322" s="4" t="s">
        <v>37</v>
      </c>
      <c r="C322" t="s">
        <v>258</v>
      </c>
      <c r="E322" s="8">
        <v>21</v>
      </c>
      <c r="F322" s="26"/>
      <c r="H322" s="4" t="s">
        <v>37</v>
      </c>
      <c r="I322" t="s">
        <v>258</v>
      </c>
      <c r="K322" s="8">
        <v>21</v>
      </c>
    </row>
    <row r="323" spans="1:11" x14ac:dyDescent="0.3">
      <c r="E323" s="8">
        <f>SUM(E317:E322)</f>
        <v>126.04098999999999</v>
      </c>
      <c r="F323" s="26"/>
      <c r="K323" s="8">
        <f>SUM(K317:K322)</f>
        <v>129.96165999999999</v>
      </c>
    </row>
    <row r="324" spans="1:11" x14ac:dyDescent="0.3">
      <c r="F324" s="26"/>
    </row>
    <row r="325" spans="1:11" x14ac:dyDescent="0.3">
      <c r="C325" s="4" t="s">
        <v>28</v>
      </c>
      <c r="D325" s="4" t="s">
        <v>29</v>
      </c>
      <c r="E325" s="4" t="s">
        <v>30</v>
      </c>
      <c r="F325" s="26"/>
      <c r="I325" s="4" t="s">
        <v>28</v>
      </c>
      <c r="J325" s="4" t="s">
        <v>29</v>
      </c>
      <c r="K325" s="4" t="s">
        <v>30</v>
      </c>
    </row>
    <row r="326" spans="1:11" x14ac:dyDescent="0.3">
      <c r="A326" t="s">
        <v>165</v>
      </c>
      <c r="B326" s="4" t="s">
        <v>32</v>
      </c>
      <c r="C326" s="4">
        <v>1.262</v>
      </c>
      <c r="D326" s="4">
        <v>29.12</v>
      </c>
      <c r="E326" s="8">
        <f>C326*D326</f>
        <v>36.74944</v>
      </c>
      <c r="F326" s="26"/>
      <c r="G326" t="s">
        <v>165</v>
      </c>
      <c r="H326" s="4" t="s">
        <v>32</v>
      </c>
      <c r="I326" s="4">
        <v>1.262</v>
      </c>
      <c r="J326" s="4">
        <v>30.29</v>
      </c>
      <c r="K326" s="8">
        <f>I326*J326</f>
        <v>38.22598</v>
      </c>
    </row>
    <row r="327" spans="1:11" x14ac:dyDescent="0.3">
      <c r="A327" t="s">
        <v>52</v>
      </c>
      <c r="B327" s="4" t="s">
        <v>33</v>
      </c>
      <c r="C327" s="4">
        <v>3.6850000000000001</v>
      </c>
      <c r="D327" s="4">
        <v>15.25</v>
      </c>
      <c r="E327" s="8">
        <f>C327*D327</f>
        <v>56.196249999999999</v>
      </c>
      <c r="F327" s="26"/>
      <c r="G327" t="s">
        <v>52</v>
      </c>
      <c r="H327" s="4" t="s">
        <v>33</v>
      </c>
      <c r="I327" s="4">
        <v>3.6850000000000001</v>
      </c>
      <c r="J327" s="4">
        <v>16</v>
      </c>
      <c r="K327" s="8">
        <f>I327*J327</f>
        <v>58.96</v>
      </c>
    </row>
    <row r="328" spans="1:11" x14ac:dyDescent="0.3">
      <c r="B328" s="4" t="s">
        <v>137</v>
      </c>
      <c r="C328" s="4">
        <v>0.28299999999999997</v>
      </c>
      <c r="D328" s="4">
        <v>17.190000000000001</v>
      </c>
      <c r="E328" s="8">
        <f>C328*D328</f>
        <v>4.86477</v>
      </c>
      <c r="F328" s="26"/>
      <c r="H328" s="4" t="s">
        <v>137</v>
      </c>
      <c r="I328" s="4">
        <v>0.28299999999999997</v>
      </c>
      <c r="J328" s="4">
        <v>17.190000000000001</v>
      </c>
      <c r="K328" s="8">
        <f>I328*J328</f>
        <v>4.86477</v>
      </c>
    </row>
    <row r="329" spans="1:11" x14ac:dyDescent="0.3">
      <c r="B329" s="4" t="s">
        <v>35</v>
      </c>
      <c r="C329" s="4">
        <v>4</v>
      </c>
      <c r="D329" s="4">
        <v>2.89</v>
      </c>
      <c r="E329" s="8">
        <f>C329*D329</f>
        <v>11.56</v>
      </c>
      <c r="F329" s="26"/>
      <c r="H329" s="4" t="s">
        <v>35</v>
      </c>
      <c r="I329" s="4">
        <v>4</v>
      </c>
      <c r="J329" s="4">
        <v>2.89</v>
      </c>
      <c r="K329" s="8">
        <f>I329*J329</f>
        <v>11.56</v>
      </c>
    </row>
    <row r="330" spans="1:11" x14ac:dyDescent="0.3">
      <c r="B330" s="4" t="s">
        <v>36</v>
      </c>
      <c r="C330" s="4">
        <v>4</v>
      </c>
      <c r="D330" s="4">
        <v>0.6</v>
      </c>
      <c r="E330" s="8">
        <f>C330*D330</f>
        <v>2.4</v>
      </c>
      <c r="F330" s="26"/>
      <c r="H330" s="4" t="s">
        <v>36</v>
      </c>
      <c r="I330" s="4">
        <v>4</v>
      </c>
      <c r="J330" s="4">
        <v>0.6</v>
      </c>
      <c r="K330" s="8">
        <f>I330*J330</f>
        <v>2.4</v>
      </c>
    </row>
    <row r="331" spans="1:11" x14ac:dyDescent="0.3">
      <c r="B331" s="4" t="s">
        <v>37</v>
      </c>
      <c r="C331" t="s">
        <v>258</v>
      </c>
      <c r="E331" s="8">
        <v>21</v>
      </c>
      <c r="F331" s="26"/>
      <c r="H331" s="4" t="s">
        <v>37</v>
      </c>
      <c r="I331" t="s">
        <v>258</v>
      </c>
      <c r="K331" s="8">
        <v>21</v>
      </c>
    </row>
    <row r="332" spans="1:11" x14ac:dyDescent="0.3">
      <c r="E332" s="8">
        <f>SUM(E326:E331)</f>
        <v>132.77046000000001</v>
      </c>
      <c r="F332" s="26"/>
      <c r="K332" s="8">
        <f>SUM(K326:K331)</f>
        <v>137.01075</v>
      </c>
    </row>
    <row r="333" spans="1:11" x14ac:dyDescent="0.3">
      <c r="F333" s="26"/>
    </row>
    <row r="334" spans="1:11" x14ac:dyDescent="0.3">
      <c r="C334" s="4" t="s">
        <v>28</v>
      </c>
      <c r="D334" s="4" t="s">
        <v>29</v>
      </c>
      <c r="E334" s="4" t="s">
        <v>30</v>
      </c>
      <c r="F334" s="26"/>
      <c r="I334" s="4" t="s">
        <v>28</v>
      </c>
      <c r="J334" s="4" t="s">
        <v>29</v>
      </c>
      <c r="K334" s="4" t="s">
        <v>30</v>
      </c>
    </row>
    <row r="335" spans="1:11" x14ac:dyDescent="0.3">
      <c r="A335" t="s">
        <v>65</v>
      </c>
      <c r="B335" s="4" t="s">
        <v>32</v>
      </c>
      <c r="C335" s="4">
        <v>1.2929999999999999</v>
      </c>
      <c r="D335" s="4">
        <v>29.12</v>
      </c>
      <c r="E335" s="8">
        <f>C335*D335</f>
        <v>37.652160000000002</v>
      </c>
      <c r="F335" s="26"/>
      <c r="G335" t="s">
        <v>65</v>
      </c>
      <c r="H335" s="4" t="s">
        <v>32</v>
      </c>
      <c r="I335" s="4">
        <v>1.2929999999999999</v>
      </c>
      <c r="J335" s="4">
        <v>30.29</v>
      </c>
      <c r="K335" s="8">
        <f>I335*J335</f>
        <v>39.164969999999997</v>
      </c>
    </row>
    <row r="336" spans="1:11" x14ac:dyDescent="0.3">
      <c r="A336" t="s">
        <v>212</v>
      </c>
      <c r="B336" s="4" t="s">
        <v>33</v>
      </c>
      <c r="C336" s="4">
        <v>4.0949999999999998</v>
      </c>
      <c r="D336" s="4">
        <v>15.25</v>
      </c>
      <c r="E336" s="8">
        <f>C336*D336</f>
        <v>62.448749999999997</v>
      </c>
      <c r="F336" s="26"/>
      <c r="G336" t="s">
        <v>212</v>
      </c>
      <c r="H336" s="4" t="s">
        <v>33</v>
      </c>
      <c r="I336" s="4">
        <v>4.0949999999999998</v>
      </c>
      <c r="J336" s="4">
        <v>16</v>
      </c>
      <c r="K336" s="8">
        <f>I336*J336</f>
        <v>65.52</v>
      </c>
    </row>
    <row r="337" spans="1:11" x14ac:dyDescent="0.3">
      <c r="B337" s="4" t="s">
        <v>137</v>
      </c>
      <c r="C337" s="4">
        <v>0.315</v>
      </c>
      <c r="D337" s="4">
        <v>17.190000000000001</v>
      </c>
      <c r="E337" s="8">
        <f>C337*D337</f>
        <v>5.4148500000000004</v>
      </c>
      <c r="F337" s="26"/>
      <c r="H337" s="4" t="s">
        <v>137</v>
      </c>
      <c r="I337" s="4">
        <v>0.315</v>
      </c>
      <c r="J337" s="4">
        <v>17.190000000000001</v>
      </c>
      <c r="K337" s="8">
        <f>I337*J337</f>
        <v>5.4148500000000004</v>
      </c>
    </row>
    <row r="338" spans="1:11" x14ac:dyDescent="0.3">
      <c r="B338" s="4" t="s">
        <v>35</v>
      </c>
      <c r="C338" s="4">
        <v>4</v>
      </c>
      <c r="D338" s="4">
        <v>2.89</v>
      </c>
      <c r="E338" s="8">
        <f>C338*D338</f>
        <v>11.56</v>
      </c>
      <c r="F338" s="26"/>
      <c r="H338" s="4" t="s">
        <v>35</v>
      </c>
      <c r="I338" s="4">
        <v>4</v>
      </c>
      <c r="J338" s="4">
        <v>2.89</v>
      </c>
      <c r="K338" s="8">
        <f>I338*J338</f>
        <v>11.56</v>
      </c>
    </row>
    <row r="339" spans="1:11" x14ac:dyDescent="0.3">
      <c r="B339" s="4" t="s">
        <v>36</v>
      </c>
      <c r="C339" s="4">
        <v>4</v>
      </c>
      <c r="D339" s="4">
        <v>0.6</v>
      </c>
      <c r="E339" s="8">
        <f>C339*D339</f>
        <v>2.4</v>
      </c>
      <c r="F339" s="26"/>
      <c r="H339" s="4" t="s">
        <v>36</v>
      </c>
      <c r="I339" s="4">
        <v>4</v>
      </c>
      <c r="J339" s="4">
        <v>0.6</v>
      </c>
      <c r="K339" s="8">
        <f>I339*J339</f>
        <v>2.4</v>
      </c>
    </row>
    <row r="340" spans="1:11" x14ac:dyDescent="0.3">
      <c r="B340" s="4" t="s">
        <v>37</v>
      </c>
      <c r="C340" t="s">
        <v>215</v>
      </c>
      <c r="E340" s="8">
        <v>28</v>
      </c>
      <c r="F340" s="26"/>
      <c r="H340" s="4" t="s">
        <v>37</v>
      </c>
      <c r="I340">
        <v>85</v>
      </c>
      <c r="K340" s="8">
        <v>85</v>
      </c>
    </row>
    <row r="341" spans="1:11" x14ac:dyDescent="0.3">
      <c r="E341" s="8">
        <f>SUM(E335:E340)</f>
        <v>147.47576000000001</v>
      </c>
      <c r="F341" s="26"/>
      <c r="K341" s="8">
        <f>SUM(K335:K340)</f>
        <v>209.05982</v>
      </c>
    </row>
    <row r="342" spans="1:11" x14ac:dyDescent="0.3">
      <c r="F342" s="26"/>
    </row>
    <row r="343" spans="1:11" x14ac:dyDescent="0.3">
      <c r="C343" s="4" t="s">
        <v>28</v>
      </c>
      <c r="D343" s="4" t="s">
        <v>29</v>
      </c>
      <c r="E343" s="4" t="s">
        <v>30</v>
      </c>
      <c r="F343" s="26"/>
      <c r="I343" s="4" t="s">
        <v>28</v>
      </c>
      <c r="J343" s="4" t="s">
        <v>29</v>
      </c>
      <c r="K343" s="4" t="s">
        <v>30</v>
      </c>
    </row>
    <row r="344" spans="1:11" x14ac:dyDescent="0.3">
      <c r="A344" t="s">
        <v>75</v>
      </c>
      <c r="B344" s="4" t="s">
        <v>32</v>
      </c>
      <c r="C344" s="4">
        <v>1.3979999999999999</v>
      </c>
      <c r="D344" s="4">
        <v>29.12</v>
      </c>
      <c r="E344" s="8">
        <f>C344*D344</f>
        <v>40.709759999999996</v>
      </c>
      <c r="F344" s="26"/>
      <c r="G344" t="s">
        <v>75</v>
      </c>
      <c r="H344" s="4" t="s">
        <v>32</v>
      </c>
      <c r="I344" s="4">
        <v>1.3979999999999999</v>
      </c>
      <c r="J344" s="4">
        <v>30.29</v>
      </c>
      <c r="K344" s="8">
        <f>I344*J344</f>
        <v>42.345419999999997</v>
      </c>
    </row>
    <row r="345" spans="1:11" x14ac:dyDescent="0.3">
      <c r="A345" t="s">
        <v>53</v>
      </c>
      <c r="B345" s="4" t="s">
        <v>33</v>
      </c>
      <c r="C345" s="4">
        <v>5.7329999999999997</v>
      </c>
      <c r="D345" s="4">
        <v>15.25</v>
      </c>
      <c r="E345" s="8">
        <f>C345*D345</f>
        <v>87.428249999999991</v>
      </c>
      <c r="F345" s="26"/>
      <c r="G345" t="s">
        <v>53</v>
      </c>
      <c r="H345" s="4" t="s">
        <v>33</v>
      </c>
      <c r="I345" s="4">
        <v>5.7329999999999997</v>
      </c>
      <c r="J345" s="4">
        <v>16</v>
      </c>
      <c r="K345" s="8">
        <f>I345*J345</f>
        <v>91.727999999999994</v>
      </c>
    </row>
    <row r="346" spans="1:11" x14ac:dyDescent="0.3">
      <c r="B346" s="4" t="s">
        <v>137</v>
      </c>
      <c r="C346" s="4">
        <v>0.52500000000000002</v>
      </c>
      <c r="D346" s="4">
        <v>17.190000000000001</v>
      </c>
      <c r="E346" s="8">
        <f>C346*D346</f>
        <v>9.0247500000000009</v>
      </c>
      <c r="F346" s="26"/>
      <c r="H346" s="4" t="s">
        <v>137</v>
      </c>
      <c r="I346" s="4">
        <v>0.52500000000000002</v>
      </c>
      <c r="J346" s="4">
        <v>17.190000000000001</v>
      </c>
      <c r="K346" s="8">
        <f>I346*J346</f>
        <v>9.0247500000000009</v>
      </c>
    </row>
    <row r="347" spans="1:11" x14ac:dyDescent="0.3">
      <c r="B347" s="4" t="s">
        <v>35</v>
      </c>
      <c r="C347" s="4">
        <v>4</v>
      </c>
      <c r="D347" s="4">
        <v>2.89</v>
      </c>
      <c r="E347" s="8">
        <f>C347*D347</f>
        <v>11.56</v>
      </c>
      <c r="F347" s="26"/>
      <c r="H347" s="4" t="s">
        <v>35</v>
      </c>
      <c r="I347" s="4">
        <v>4</v>
      </c>
      <c r="J347" s="4">
        <v>2.89</v>
      </c>
      <c r="K347" s="8">
        <f>I347*J347</f>
        <v>11.56</v>
      </c>
    </row>
    <row r="348" spans="1:11" x14ac:dyDescent="0.3">
      <c r="B348" s="4" t="s">
        <v>36</v>
      </c>
      <c r="C348" s="4">
        <v>4</v>
      </c>
      <c r="D348" s="4">
        <v>0.6</v>
      </c>
      <c r="E348" s="8">
        <f>C348*D348</f>
        <v>2.4</v>
      </c>
      <c r="F348" s="26"/>
      <c r="H348" s="4" t="s">
        <v>36</v>
      </c>
      <c r="I348" s="4">
        <v>4</v>
      </c>
      <c r="J348" s="4">
        <v>0.6</v>
      </c>
      <c r="K348" s="8">
        <f>I348*J348</f>
        <v>2.4</v>
      </c>
    </row>
    <row r="349" spans="1:11" x14ac:dyDescent="0.3">
      <c r="B349" s="4" t="s">
        <v>37</v>
      </c>
      <c r="C349" t="s">
        <v>215</v>
      </c>
      <c r="E349" s="8">
        <v>28</v>
      </c>
      <c r="F349" s="26"/>
      <c r="H349" s="4" t="s">
        <v>37</v>
      </c>
      <c r="I349" t="s">
        <v>508</v>
      </c>
      <c r="K349" s="8">
        <v>85</v>
      </c>
    </row>
    <row r="350" spans="1:11" x14ac:dyDescent="0.3">
      <c r="E350" s="8">
        <f>SUM(E344:E349)</f>
        <v>179.12276</v>
      </c>
      <c r="F350" s="26"/>
      <c r="K350" s="8">
        <f>SUM(K344:K349)</f>
        <v>242.05817000000002</v>
      </c>
    </row>
    <row r="351" spans="1:11" x14ac:dyDescent="0.3">
      <c r="F351" s="26"/>
    </row>
    <row r="352" spans="1:11" x14ac:dyDescent="0.3">
      <c r="C352" s="4" t="s">
        <v>28</v>
      </c>
      <c r="D352" s="4" t="s">
        <v>29</v>
      </c>
      <c r="E352" s="4" t="s">
        <v>30</v>
      </c>
      <c r="F352" s="26"/>
      <c r="I352" s="4" t="s">
        <v>28</v>
      </c>
      <c r="J352" s="4" t="s">
        <v>29</v>
      </c>
      <c r="K352" s="4" t="s">
        <v>30</v>
      </c>
    </row>
    <row r="353" spans="1:11" x14ac:dyDescent="0.3">
      <c r="A353" t="s">
        <v>166</v>
      </c>
      <c r="B353" s="4" t="s">
        <v>32</v>
      </c>
      <c r="C353" s="4">
        <v>1.5029999999999999</v>
      </c>
      <c r="D353" s="4">
        <v>29.12</v>
      </c>
      <c r="E353" s="8">
        <f>C353*D353</f>
        <v>43.767359999999996</v>
      </c>
      <c r="F353" s="26"/>
      <c r="G353" t="s">
        <v>166</v>
      </c>
      <c r="H353" s="4" t="s">
        <v>32</v>
      </c>
      <c r="I353" s="4">
        <v>1.5029999999999999</v>
      </c>
      <c r="J353" s="4">
        <v>30.29</v>
      </c>
      <c r="K353" s="8">
        <f>I353*J353</f>
        <v>45.525869999999998</v>
      </c>
    </row>
    <row r="354" spans="1:11" x14ac:dyDescent="0.3">
      <c r="A354" t="s">
        <v>53</v>
      </c>
      <c r="B354" s="4" t="s">
        <v>33</v>
      </c>
      <c r="C354" s="4">
        <v>6.9610000000000003</v>
      </c>
      <c r="D354" s="4">
        <v>15.25</v>
      </c>
      <c r="E354" s="8">
        <f>C354*D354</f>
        <v>106.15525000000001</v>
      </c>
      <c r="F354" s="26"/>
      <c r="G354" t="s">
        <v>53</v>
      </c>
      <c r="H354" s="4" t="s">
        <v>33</v>
      </c>
      <c r="I354" s="4">
        <v>6.9610000000000003</v>
      </c>
      <c r="J354" s="4">
        <v>16</v>
      </c>
      <c r="K354" s="8">
        <f>I354*J354</f>
        <v>111.376</v>
      </c>
    </row>
    <row r="355" spans="1:11" x14ac:dyDescent="0.3">
      <c r="B355" s="4" t="s">
        <v>137</v>
      </c>
      <c r="C355" s="4">
        <v>0.52500000000000002</v>
      </c>
      <c r="D355" s="4">
        <v>17.190000000000001</v>
      </c>
      <c r="E355" s="8">
        <f>C355*D355</f>
        <v>9.0247500000000009</v>
      </c>
      <c r="F355" s="26"/>
      <c r="H355" s="4" t="s">
        <v>137</v>
      </c>
      <c r="I355" s="4">
        <v>0.52500000000000002</v>
      </c>
      <c r="J355" s="4">
        <v>17.190000000000001</v>
      </c>
      <c r="K355" s="8">
        <f>I355*J355</f>
        <v>9.0247500000000009</v>
      </c>
    </row>
    <row r="356" spans="1:11" x14ac:dyDescent="0.3">
      <c r="B356" s="4" t="s">
        <v>35</v>
      </c>
      <c r="C356" s="4">
        <v>4</v>
      </c>
      <c r="D356" s="4">
        <v>2.89</v>
      </c>
      <c r="E356" s="8">
        <f>C356*D356</f>
        <v>11.56</v>
      </c>
      <c r="F356" s="26"/>
      <c r="H356" s="4" t="s">
        <v>35</v>
      </c>
      <c r="I356" s="4">
        <v>4</v>
      </c>
      <c r="J356" s="4">
        <v>2.89</v>
      </c>
      <c r="K356" s="8">
        <f>I356*J356</f>
        <v>11.56</v>
      </c>
    </row>
    <row r="357" spans="1:11" x14ac:dyDescent="0.3">
      <c r="B357" s="4" t="s">
        <v>36</v>
      </c>
      <c r="C357" s="4">
        <v>4</v>
      </c>
      <c r="D357" s="4">
        <v>0.6</v>
      </c>
      <c r="E357" s="8">
        <f>C357*D357</f>
        <v>2.4</v>
      </c>
      <c r="F357" s="26"/>
      <c r="H357" s="4" t="s">
        <v>36</v>
      </c>
      <c r="I357" s="4">
        <v>4</v>
      </c>
      <c r="J357" s="4">
        <v>0.6</v>
      </c>
      <c r="K357" s="8">
        <f>I357*J357</f>
        <v>2.4</v>
      </c>
    </row>
    <row r="358" spans="1:11" x14ac:dyDescent="0.3">
      <c r="B358" s="4" t="s">
        <v>37</v>
      </c>
      <c r="C358" t="s">
        <v>215</v>
      </c>
      <c r="E358" s="8">
        <v>28</v>
      </c>
      <c r="F358" s="26"/>
      <c r="H358" s="4" t="s">
        <v>37</v>
      </c>
      <c r="I358" t="s">
        <v>215</v>
      </c>
      <c r="K358" s="8">
        <v>28</v>
      </c>
    </row>
    <row r="359" spans="1:11" x14ac:dyDescent="0.3">
      <c r="E359" s="8">
        <f>SUM(E353:E358)</f>
        <v>200.90736000000004</v>
      </c>
      <c r="F359" s="26"/>
      <c r="K359" s="8">
        <f>SUM(K353:K358)</f>
        <v>207.88662000000002</v>
      </c>
    </row>
    <row r="360" spans="1:11" x14ac:dyDescent="0.3">
      <c r="F360" s="26"/>
    </row>
    <row r="361" spans="1:11" x14ac:dyDescent="0.3">
      <c r="C361" s="4" t="s">
        <v>28</v>
      </c>
      <c r="D361" s="4" t="s">
        <v>29</v>
      </c>
      <c r="E361" s="4" t="s">
        <v>30</v>
      </c>
      <c r="F361" s="26"/>
      <c r="I361" s="4" t="s">
        <v>28</v>
      </c>
      <c r="J361" s="4" t="s">
        <v>29</v>
      </c>
      <c r="K361" s="4" t="s">
        <v>30</v>
      </c>
    </row>
    <row r="362" spans="1:11" x14ac:dyDescent="0.3">
      <c r="A362" t="s">
        <v>103</v>
      </c>
      <c r="B362" s="4" t="s">
        <v>32</v>
      </c>
      <c r="C362" s="4">
        <v>1.6080000000000001</v>
      </c>
      <c r="D362" s="4">
        <v>29.12</v>
      </c>
      <c r="E362" s="8">
        <f>C362*D362</f>
        <v>46.824960000000004</v>
      </c>
      <c r="F362" s="26"/>
      <c r="G362" t="s">
        <v>103</v>
      </c>
      <c r="H362" s="4" t="s">
        <v>32</v>
      </c>
      <c r="I362" s="4">
        <v>1.6080000000000001</v>
      </c>
      <c r="J362" s="4">
        <v>30.29</v>
      </c>
      <c r="K362" s="8">
        <f>I362*J362</f>
        <v>48.706319999999998</v>
      </c>
    </row>
    <row r="363" spans="1:11" x14ac:dyDescent="0.3">
      <c r="A363" t="s">
        <v>167</v>
      </c>
      <c r="B363" s="4" t="s">
        <v>33</v>
      </c>
      <c r="C363" s="4">
        <v>8.5990000000000002</v>
      </c>
      <c r="D363" s="4">
        <v>15.25</v>
      </c>
      <c r="E363" s="8">
        <f>C363*D363</f>
        <v>131.13475</v>
      </c>
      <c r="F363" s="26"/>
      <c r="G363" t="s">
        <v>167</v>
      </c>
      <c r="H363" s="4" t="s">
        <v>33</v>
      </c>
      <c r="I363" s="4">
        <v>8.5990000000000002</v>
      </c>
      <c r="J363" s="4">
        <v>16</v>
      </c>
      <c r="K363" s="8">
        <f>I363*J363</f>
        <v>137.584</v>
      </c>
    </row>
    <row r="364" spans="1:11" x14ac:dyDescent="0.3">
      <c r="B364" s="4" t="s">
        <v>137</v>
      </c>
      <c r="C364" s="4">
        <v>0.63</v>
      </c>
      <c r="D364" s="4">
        <v>17.190000000000001</v>
      </c>
      <c r="E364" s="8">
        <f>C364*D364</f>
        <v>10.829700000000001</v>
      </c>
      <c r="F364" s="26"/>
      <c r="H364" s="4" t="s">
        <v>137</v>
      </c>
      <c r="I364" s="4">
        <v>0.63</v>
      </c>
      <c r="J364" s="4">
        <v>17.190000000000001</v>
      </c>
      <c r="K364" s="8">
        <f>I364*J364</f>
        <v>10.829700000000001</v>
      </c>
    </row>
    <row r="365" spans="1:11" x14ac:dyDescent="0.3">
      <c r="B365" s="4" t="s">
        <v>35</v>
      </c>
      <c r="C365" s="4">
        <v>4</v>
      </c>
      <c r="D365" s="4">
        <v>2.89</v>
      </c>
      <c r="E365" s="8">
        <f>C365*D365</f>
        <v>11.56</v>
      </c>
      <c r="F365" s="26"/>
      <c r="H365" s="4" t="s">
        <v>35</v>
      </c>
      <c r="I365" s="4">
        <v>4</v>
      </c>
      <c r="J365" s="4">
        <v>2.89</v>
      </c>
      <c r="K365" s="8">
        <f>I365*J365</f>
        <v>11.56</v>
      </c>
    </row>
    <row r="366" spans="1:11" x14ac:dyDescent="0.3">
      <c r="B366" s="4" t="s">
        <v>36</v>
      </c>
      <c r="C366" s="4">
        <v>4</v>
      </c>
      <c r="D366" s="4">
        <v>0.6</v>
      </c>
      <c r="E366" s="8">
        <f>C366*D366</f>
        <v>2.4</v>
      </c>
      <c r="F366" s="26"/>
      <c r="H366" s="4" t="s">
        <v>36</v>
      </c>
      <c r="I366" s="4">
        <v>4</v>
      </c>
      <c r="J366" s="4">
        <v>0.6</v>
      </c>
      <c r="K366" s="8">
        <f>I366*J366</f>
        <v>2.4</v>
      </c>
    </row>
    <row r="367" spans="1:11" x14ac:dyDescent="0.3">
      <c r="B367" s="4" t="s">
        <v>37</v>
      </c>
      <c r="C367" t="s">
        <v>215</v>
      </c>
      <c r="E367" s="8">
        <v>28</v>
      </c>
      <c r="F367" s="26"/>
      <c r="H367" s="4" t="s">
        <v>37</v>
      </c>
      <c r="I367">
        <v>45</v>
      </c>
      <c r="J367" t="s">
        <v>481</v>
      </c>
      <c r="K367" s="8">
        <v>63.9</v>
      </c>
    </row>
    <row r="368" spans="1:11" x14ac:dyDescent="0.3">
      <c r="E368" s="8">
        <f>SUM(E362:E367)</f>
        <v>230.74941000000001</v>
      </c>
      <c r="F368" s="26"/>
      <c r="K368" s="8">
        <f>SUM(K362:K367)</f>
        <v>274.98002000000002</v>
      </c>
    </row>
    <row r="369" spans="1:17" x14ac:dyDescent="0.3">
      <c r="F369" s="26"/>
    </row>
    <row r="370" spans="1:17" x14ac:dyDescent="0.3">
      <c r="C370" s="4" t="s">
        <v>28</v>
      </c>
      <c r="D370" s="4" t="s">
        <v>29</v>
      </c>
      <c r="E370" s="4" t="s">
        <v>30</v>
      </c>
      <c r="F370" s="26"/>
      <c r="I370" s="4" t="s">
        <v>28</v>
      </c>
      <c r="J370" s="4" t="s">
        <v>29</v>
      </c>
      <c r="K370" s="4" t="s">
        <v>30</v>
      </c>
    </row>
    <row r="371" spans="1:17" x14ac:dyDescent="0.3">
      <c r="A371" t="s">
        <v>116</v>
      </c>
      <c r="B371" s="4" t="s">
        <v>32</v>
      </c>
      <c r="C371" s="4">
        <v>1.9059999999999999</v>
      </c>
      <c r="D371" s="4">
        <v>29.12</v>
      </c>
      <c r="E371" s="8">
        <f>C371*D371</f>
        <v>55.502719999999997</v>
      </c>
      <c r="F371" s="26"/>
      <c r="G371" t="s">
        <v>116</v>
      </c>
      <c r="H371" s="4" t="s">
        <v>32</v>
      </c>
      <c r="I371" s="4">
        <v>1.9059999999999999</v>
      </c>
      <c r="J371" s="4">
        <v>30.29</v>
      </c>
      <c r="K371" s="8">
        <f>I371*J371</f>
        <v>57.732739999999993</v>
      </c>
    </row>
    <row r="372" spans="1:17" x14ac:dyDescent="0.3">
      <c r="A372" t="s">
        <v>168</v>
      </c>
      <c r="B372" s="4" t="s">
        <v>33</v>
      </c>
      <c r="C372" s="4">
        <v>12.441000000000001</v>
      </c>
      <c r="D372" s="4">
        <v>15.25</v>
      </c>
      <c r="E372" s="8">
        <f>C372*D372</f>
        <v>189.72525000000002</v>
      </c>
      <c r="F372" s="26"/>
      <c r="G372" t="s">
        <v>168</v>
      </c>
      <c r="H372" s="4" t="s">
        <v>33</v>
      </c>
      <c r="I372" s="4">
        <v>12.441000000000001</v>
      </c>
      <c r="J372" s="4">
        <v>16</v>
      </c>
      <c r="K372" s="8">
        <f>I372*J372</f>
        <v>199.05600000000001</v>
      </c>
    </row>
    <row r="373" spans="1:17" x14ac:dyDescent="0.3">
      <c r="B373" s="4" t="s">
        <v>137</v>
      </c>
      <c r="C373" s="4">
        <v>1.64</v>
      </c>
      <c r="D373" s="4">
        <v>17.190000000000001</v>
      </c>
      <c r="E373" s="8">
        <f>C373*D373</f>
        <v>28.191600000000001</v>
      </c>
      <c r="F373" s="26"/>
      <c r="G373">
        <v>0.16</v>
      </c>
      <c r="H373" s="4" t="s">
        <v>137</v>
      </c>
      <c r="I373" s="4">
        <v>1.64</v>
      </c>
      <c r="J373" s="4">
        <v>17.190000000000001</v>
      </c>
      <c r="K373" s="8">
        <f>I373*J373</f>
        <v>28.191600000000001</v>
      </c>
    </row>
    <row r="374" spans="1:17" x14ac:dyDescent="0.3">
      <c r="B374" s="4" t="s">
        <v>35</v>
      </c>
      <c r="C374" s="4">
        <v>4</v>
      </c>
      <c r="D374" s="4">
        <v>2.89</v>
      </c>
      <c r="E374" s="8">
        <f>C374*D374</f>
        <v>11.56</v>
      </c>
      <c r="F374" s="26"/>
      <c r="H374" s="4" t="s">
        <v>35</v>
      </c>
      <c r="I374" s="4">
        <v>4</v>
      </c>
      <c r="J374" s="4">
        <v>2.89</v>
      </c>
      <c r="K374" s="8">
        <f>I374*J374</f>
        <v>11.56</v>
      </c>
    </row>
    <row r="375" spans="1:17" x14ac:dyDescent="0.3">
      <c r="B375" s="4" t="s">
        <v>36</v>
      </c>
      <c r="C375" s="4">
        <v>4</v>
      </c>
      <c r="D375" s="4">
        <v>0.6</v>
      </c>
      <c r="E375" s="8">
        <f>C375*D375</f>
        <v>2.4</v>
      </c>
      <c r="F375" s="26"/>
      <c r="H375" s="4" t="s">
        <v>36</v>
      </c>
      <c r="I375" s="4">
        <v>4</v>
      </c>
      <c r="J375" s="4">
        <v>0.6</v>
      </c>
      <c r="K375" s="8">
        <f>I375*J375</f>
        <v>2.4</v>
      </c>
    </row>
    <row r="376" spans="1:17" x14ac:dyDescent="0.3">
      <c r="B376" s="4" t="s">
        <v>37</v>
      </c>
      <c r="C376">
        <v>63.9</v>
      </c>
      <c r="E376" s="8">
        <v>63.9</v>
      </c>
      <c r="F376" s="26"/>
      <c r="H376" s="4" t="s">
        <v>37</v>
      </c>
      <c r="I376">
        <v>63.9</v>
      </c>
      <c r="K376" s="8">
        <v>63.9</v>
      </c>
    </row>
    <row r="377" spans="1:17" x14ac:dyDescent="0.3">
      <c r="E377" s="8">
        <f>SUM(E371:E376)</f>
        <v>351.27956999999998</v>
      </c>
      <c r="F377" s="26"/>
      <c r="K377" s="8">
        <f>SUM(K371:K376)</f>
        <v>362.84033999999997</v>
      </c>
    </row>
    <row r="378" spans="1:17" x14ac:dyDescent="0.3">
      <c r="F378" s="26"/>
    </row>
    <row r="379" spans="1:17" x14ac:dyDescent="0.3">
      <c r="C379" s="4" t="s">
        <v>28</v>
      </c>
      <c r="D379" s="4" t="s">
        <v>29</v>
      </c>
      <c r="E379" s="4" t="s">
        <v>30</v>
      </c>
      <c r="F379" s="26"/>
      <c r="I379" s="4" t="s">
        <v>28</v>
      </c>
      <c r="J379" s="4" t="s">
        <v>29</v>
      </c>
      <c r="K379" s="4" t="s">
        <v>30</v>
      </c>
      <c r="O379" s="4" t="s">
        <v>28</v>
      </c>
      <c r="P379" s="4" t="s">
        <v>29</v>
      </c>
      <c r="Q379" s="4" t="s">
        <v>30</v>
      </c>
    </row>
    <row r="380" spans="1:17" x14ac:dyDescent="0.3">
      <c r="A380" t="s">
        <v>169</v>
      </c>
      <c r="B380" s="4" t="s">
        <v>32</v>
      </c>
      <c r="C380" s="4">
        <v>1.272</v>
      </c>
      <c r="D380" s="4">
        <v>29.12</v>
      </c>
      <c r="E380" s="8">
        <f>C380*D380</f>
        <v>37.040640000000003</v>
      </c>
      <c r="F380" s="26"/>
      <c r="G380" t="s">
        <v>169</v>
      </c>
      <c r="H380" s="4" t="s">
        <v>32</v>
      </c>
      <c r="I380" s="4">
        <v>1.3340000000000001</v>
      </c>
      <c r="J380" s="4">
        <v>30.29</v>
      </c>
      <c r="K380" s="8">
        <f>I380*J380</f>
        <v>40.406860000000002</v>
      </c>
      <c r="M380" t="s">
        <v>566</v>
      </c>
      <c r="N380" s="4" t="s">
        <v>32</v>
      </c>
      <c r="O380" s="4">
        <v>1.4430000000000001</v>
      </c>
      <c r="P380" s="4">
        <v>30.29</v>
      </c>
      <c r="Q380" s="8">
        <f>O380*P380</f>
        <v>43.708469999999998</v>
      </c>
    </row>
    <row r="381" spans="1:17" x14ac:dyDescent="0.3">
      <c r="A381" t="s">
        <v>246</v>
      </c>
      <c r="B381" s="4" t="s">
        <v>33</v>
      </c>
      <c r="C381" s="4">
        <v>0.51400000000000001</v>
      </c>
      <c r="D381" s="4">
        <v>15.25</v>
      </c>
      <c r="E381" s="8">
        <f>C381*D381</f>
        <v>7.8384999999999998</v>
      </c>
      <c r="F381" s="26"/>
      <c r="G381" t="s">
        <v>246</v>
      </c>
      <c r="H381" s="4" t="s">
        <v>33</v>
      </c>
      <c r="I381" s="4">
        <v>0.51400000000000001</v>
      </c>
      <c r="J381" s="4">
        <v>16</v>
      </c>
      <c r="K381" s="8">
        <f>I381*J381</f>
        <v>8.2240000000000002</v>
      </c>
      <c r="M381" t="s">
        <v>201</v>
      </c>
      <c r="N381" s="4" t="s">
        <v>33</v>
      </c>
      <c r="O381" s="4">
        <v>1.0780000000000001</v>
      </c>
      <c r="P381" s="4">
        <v>16</v>
      </c>
      <c r="Q381" s="8">
        <f>O381*P381</f>
        <v>17.248000000000001</v>
      </c>
    </row>
    <row r="382" spans="1:17" x14ac:dyDescent="0.3">
      <c r="B382" s="4" t="s">
        <v>137</v>
      </c>
      <c r="C382" s="4">
        <v>8.4000000000000005E-2</v>
      </c>
      <c r="D382" s="4">
        <v>17.190000000000001</v>
      </c>
      <c r="E382" s="8">
        <f>C382*D382</f>
        <v>1.4439600000000001</v>
      </c>
      <c r="F382" s="26"/>
      <c r="H382" s="4" t="s">
        <v>137</v>
      </c>
      <c r="I382" s="4">
        <v>8.4000000000000005E-2</v>
      </c>
      <c r="J382" s="4">
        <v>17.190000000000001</v>
      </c>
      <c r="K382" s="8">
        <f>I382*J382</f>
        <v>1.4439600000000001</v>
      </c>
      <c r="N382" s="4" t="s">
        <v>137</v>
      </c>
      <c r="O382" s="4">
        <v>8.4000000000000005E-2</v>
      </c>
      <c r="P382" s="4">
        <v>17.190000000000001</v>
      </c>
      <c r="Q382" s="8">
        <f>O382*P382</f>
        <v>1.4439600000000001</v>
      </c>
    </row>
    <row r="383" spans="1:17" x14ac:dyDescent="0.3">
      <c r="B383" s="4" t="s">
        <v>35</v>
      </c>
      <c r="C383" s="4">
        <v>4</v>
      </c>
      <c r="D383" s="4">
        <v>2.89</v>
      </c>
      <c r="E383" s="8">
        <f>C383*D383</f>
        <v>11.56</v>
      </c>
      <c r="F383" s="26"/>
      <c r="H383" s="4" t="s">
        <v>35</v>
      </c>
      <c r="I383" s="4">
        <v>4</v>
      </c>
      <c r="J383" s="4">
        <v>2.89</v>
      </c>
      <c r="K383" s="8">
        <f>I383*J383</f>
        <v>11.56</v>
      </c>
      <c r="N383" s="4" t="s">
        <v>35</v>
      </c>
      <c r="O383" s="4">
        <v>4</v>
      </c>
      <c r="P383" s="4">
        <v>2.89</v>
      </c>
      <c r="Q383" s="8">
        <f>O383*P383</f>
        <v>11.56</v>
      </c>
    </row>
    <row r="384" spans="1:17" x14ac:dyDescent="0.3">
      <c r="B384" s="4" t="s">
        <v>36</v>
      </c>
      <c r="C384" s="4">
        <v>4</v>
      </c>
      <c r="D384" s="4">
        <v>0.6</v>
      </c>
      <c r="E384" s="8">
        <f>C384*D384</f>
        <v>2.4</v>
      </c>
      <c r="F384" s="26"/>
      <c r="H384" s="4" t="s">
        <v>36</v>
      </c>
      <c r="I384" s="4">
        <v>4</v>
      </c>
      <c r="J384" s="4">
        <v>0.6</v>
      </c>
      <c r="K384" s="8">
        <f>I384*J384</f>
        <v>2.4</v>
      </c>
      <c r="N384" s="4" t="s">
        <v>36</v>
      </c>
      <c r="O384" s="4">
        <v>4</v>
      </c>
      <c r="P384" s="4">
        <v>0.6</v>
      </c>
      <c r="Q384" s="8">
        <f>O384*P384</f>
        <v>2.4</v>
      </c>
    </row>
    <row r="385" spans="1:17" x14ac:dyDescent="0.3">
      <c r="B385" s="4" t="s">
        <v>37</v>
      </c>
      <c r="C385" t="s">
        <v>258</v>
      </c>
      <c r="E385" s="8">
        <v>21</v>
      </c>
      <c r="F385" s="26"/>
      <c r="H385" s="4" t="s">
        <v>37</v>
      </c>
      <c r="I385">
        <v>42.5</v>
      </c>
      <c r="K385" s="8">
        <v>42.5</v>
      </c>
      <c r="N385" s="4" t="s">
        <v>37</v>
      </c>
      <c r="O385">
        <v>42.5</v>
      </c>
      <c r="Q385" s="8">
        <v>42.5</v>
      </c>
    </row>
    <row r="386" spans="1:17" x14ac:dyDescent="0.3">
      <c r="E386" s="8">
        <f>SUM(E380:E385)</f>
        <v>81.283100000000005</v>
      </c>
      <c r="F386" s="26"/>
      <c r="K386" s="8">
        <f>SUM(K380:K385)</f>
        <v>106.53482</v>
      </c>
      <c r="Q386" s="8">
        <f>SUM(Q381:Q385)</f>
        <v>75.151960000000003</v>
      </c>
    </row>
    <row r="387" spans="1:17" x14ac:dyDescent="0.3">
      <c r="F387" s="26"/>
    </row>
    <row r="388" spans="1:17" x14ac:dyDescent="0.3">
      <c r="C388" s="4" t="s">
        <v>28</v>
      </c>
      <c r="D388" s="4" t="s">
        <v>29</v>
      </c>
      <c r="E388" s="4" t="s">
        <v>30</v>
      </c>
      <c r="F388" s="26"/>
      <c r="I388" s="4" t="s">
        <v>28</v>
      </c>
      <c r="J388" s="4" t="s">
        <v>29</v>
      </c>
      <c r="K388" s="4" t="s">
        <v>30</v>
      </c>
    </row>
    <row r="389" spans="1:17" x14ac:dyDescent="0.3">
      <c r="A389" t="s">
        <v>170</v>
      </c>
      <c r="B389" s="4" t="s">
        <v>32</v>
      </c>
      <c r="C389" s="4">
        <v>1.2929999999999999</v>
      </c>
      <c r="D389" s="4">
        <v>29.12</v>
      </c>
      <c r="E389" s="8">
        <f>C389*D389</f>
        <v>37.652160000000002</v>
      </c>
      <c r="F389" s="26"/>
      <c r="G389" t="s">
        <v>170</v>
      </c>
      <c r="H389" s="4" t="s">
        <v>32</v>
      </c>
      <c r="I389" s="4">
        <v>1.2929999999999999</v>
      </c>
      <c r="J389" s="4">
        <v>30.29</v>
      </c>
      <c r="K389" s="8">
        <f>I389*J389</f>
        <v>39.164969999999997</v>
      </c>
    </row>
    <row r="390" spans="1:17" x14ac:dyDescent="0.3">
      <c r="A390" t="s">
        <v>201</v>
      </c>
      <c r="B390" s="4" t="s">
        <v>33</v>
      </c>
      <c r="C390" s="4">
        <v>1.0289999999999999</v>
      </c>
      <c r="D390" s="4">
        <v>15.25</v>
      </c>
      <c r="E390" s="8">
        <f>C390*D390</f>
        <v>15.692249999999998</v>
      </c>
      <c r="F390" s="26"/>
      <c r="G390" t="s">
        <v>201</v>
      </c>
      <c r="H390" s="4" t="s">
        <v>33</v>
      </c>
      <c r="I390" s="4">
        <v>1.0289999999999999</v>
      </c>
      <c r="J390" s="4">
        <v>16</v>
      </c>
      <c r="K390" s="8">
        <f>I390*J390</f>
        <v>16.463999999999999</v>
      </c>
    </row>
    <row r="391" spans="1:17" x14ac:dyDescent="0.3">
      <c r="B391" s="4" t="s">
        <v>137</v>
      </c>
      <c r="C391" s="4">
        <v>0.105</v>
      </c>
      <c r="D391" s="4">
        <v>17.190000000000001</v>
      </c>
      <c r="E391" s="8">
        <f>C391*D391</f>
        <v>1.8049500000000001</v>
      </c>
      <c r="F391" s="26"/>
      <c r="H391" s="4" t="s">
        <v>137</v>
      </c>
      <c r="I391" s="4">
        <v>0.105</v>
      </c>
      <c r="J391" s="4">
        <v>17.190000000000001</v>
      </c>
      <c r="K391" s="8">
        <f>I391*J391</f>
        <v>1.8049500000000001</v>
      </c>
    </row>
    <row r="392" spans="1:17" x14ac:dyDescent="0.3">
      <c r="B392" s="4" t="s">
        <v>35</v>
      </c>
      <c r="C392" s="4">
        <v>4</v>
      </c>
      <c r="D392" s="4">
        <v>2.89</v>
      </c>
      <c r="E392" s="8">
        <f>C392*D392</f>
        <v>11.56</v>
      </c>
      <c r="F392" s="26"/>
      <c r="H392" s="4" t="s">
        <v>35</v>
      </c>
      <c r="I392" s="4">
        <v>4</v>
      </c>
      <c r="J392" s="4">
        <v>2.89</v>
      </c>
      <c r="K392" s="8">
        <f>I392*J392</f>
        <v>11.56</v>
      </c>
    </row>
    <row r="393" spans="1:17" x14ac:dyDescent="0.3">
      <c r="B393" s="4" t="s">
        <v>36</v>
      </c>
      <c r="C393" s="4">
        <v>4</v>
      </c>
      <c r="D393" s="4">
        <v>0.6</v>
      </c>
      <c r="E393" s="8">
        <f>C393*D393</f>
        <v>2.4</v>
      </c>
      <c r="F393" s="26"/>
      <c r="H393" s="4" t="s">
        <v>36</v>
      </c>
      <c r="I393" s="4">
        <v>4</v>
      </c>
      <c r="J393" s="4">
        <v>0.6</v>
      </c>
      <c r="K393" s="8">
        <f>I393*J393</f>
        <v>2.4</v>
      </c>
    </row>
    <row r="394" spans="1:17" x14ac:dyDescent="0.3">
      <c r="B394" s="4" t="s">
        <v>37</v>
      </c>
      <c r="C394" t="s">
        <v>258</v>
      </c>
      <c r="E394" s="8">
        <v>21</v>
      </c>
      <c r="F394" s="26"/>
      <c r="H394" s="4" t="s">
        <v>37</v>
      </c>
      <c r="I394">
        <v>42</v>
      </c>
      <c r="K394" s="8">
        <v>42.5</v>
      </c>
    </row>
    <row r="395" spans="1:17" x14ac:dyDescent="0.3">
      <c r="E395" s="8">
        <f>SUM(E389:E394)</f>
        <v>90.109359999999995</v>
      </c>
      <c r="F395" s="26"/>
      <c r="K395" s="8">
        <f>SUM(K389:K394)</f>
        <v>113.89391999999999</v>
      </c>
    </row>
    <row r="396" spans="1:17" x14ac:dyDescent="0.3">
      <c r="F396" s="26"/>
    </row>
    <row r="397" spans="1:17" x14ac:dyDescent="0.3">
      <c r="C397" s="4" t="s">
        <v>28</v>
      </c>
      <c r="D397" s="4" t="s">
        <v>29</v>
      </c>
      <c r="E397" s="4" t="s">
        <v>30</v>
      </c>
      <c r="F397" s="26"/>
      <c r="I397" s="4" t="s">
        <v>28</v>
      </c>
      <c r="J397" s="4" t="s">
        <v>29</v>
      </c>
      <c r="K397" s="4" t="s">
        <v>30</v>
      </c>
    </row>
    <row r="398" spans="1:17" x14ac:dyDescent="0.3">
      <c r="A398" t="s">
        <v>211</v>
      </c>
      <c r="B398" s="4" t="s">
        <v>32</v>
      </c>
      <c r="C398" s="4">
        <v>1.3140000000000001</v>
      </c>
      <c r="D398" s="4">
        <v>29.12</v>
      </c>
      <c r="E398" s="8">
        <f>C398*D398</f>
        <v>38.263680000000001</v>
      </c>
      <c r="F398" s="26"/>
      <c r="G398" t="s">
        <v>211</v>
      </c>
      <c r="H398" s="4" t="s">
        <v>32</v>
      </c>
      <c r="I398" s="4">
        <v>1.3140000000000001</v>
      </c>
      <c r="J398" s="4">
        <v>30.29</v>
      </c>
      <c r="K398" s="8">
        <f>I398*J398</f>
        <v>39.80106</v>
      </c>
    </row>
    <row r="399" spans="1:17" x14ac:dyDescent="0.3">
      <c r="A399" t="s">
        <v>261</v>
      </c>
      <c r="B399" s="4" t="s">
        <v>33</v>
      </c>
      <c r="C399" s="4">
        <v>1.5429999999999999</v>
      </c>
      <c r="D399" s="4">
        <v>15.25</v>
      </c>
      <c r="E399" s="8">
        <f>C399*D399</f>
        <v>23.530749999999998</v>
      </c>
      <c r="F399" s="26"/>
      <c r="G399" t="s">
        <v>261</v>
      </c>
      <c r="H399" s="4" t="s">
        <v>33</v>
      </c>
      <c r="I399" s="4">
        <v>1.5429999999999999</v>
      </c>
      <c r="J399" s="4">
        <v>16</v>
      </c>
      <c r="K399" s="8">
        <f>I399*J399</f>
        <v>24.687999999999999</v>
      </c>
    </row>
    <row r="400" spans="1:17" x14ac:dyDescent="0.3">
      <c r="B400" s="4" t="s">
        <v>137</v>
      </c>
      <c r="C400" s="4">
        <v>0.126</v>
      </c>
      <c r="D400" s="4">
        <v>17.190000000000001</v>
      </c>
      <c r="E400" s="8">
        <f>C400*D400</f>
        <v>2.16594</v>
      </c>
      <c r="F400" s="26"/>
      <c r="H400" s="4" t="s">
        <v>137</v>
      </c>
      <c r="I400" s="4">
        <v>0.12</v>
      </c>
      <c r="J400" s="4">
        <v>17.190000000000001</v>
      </c>
      <c r="K400" s="8">
        <f>I400*J400</f>
        <v>2.0628000000000002</v>
      </c>
    </row>
    <row r="401" spans="1:11" x14ac:dyDescent="0.3">
      <c r="B401" s="4" t="s">
        <v>35</v>
      </c>
      <c r="C401" s="4">
        <v>4</v>
      </c>
      <c r="D401" s="4">
        <v>2.89</v>
      </c>
      <c r="E401" s="8">
        <f>C401*D401</f>
        <v>11.56</v>
      </c>
      <c r="F401" s="26"/>
      <c r="H401" s="4" t="s">
        <v>35</v>
      </c>
      <c r="I401" s="4">
        <v>4</v>
      </c>
      <c r="J401" s="4">
        <v>2.89</v>
      </c>
      <c r="K401" s="8">
        <f>I401*J401</f>
        <v>11.56</v>
      </c>
    </row>
    <row r="402" spans="1:11" x14ac:dyDescent="0.3">
      <c r="B402" s="4" t="s">
        <v>36</v>
      </c>
      <c r="C402" s="4">
        <v>4</v>
      </c>
      <c r="D402" s="4">
        <v>0.6</v>
      </c>
      <c r="E402" s="8">
        <f>C402*D402</f>
        <v>2.4</v>
      </c>
      <c r="F402" s="26"/>
      <c r="H402" s="4" t="s">
        <v>36</v>
      </c>
      <c r="I402" s="4">
        <v>4</v>
      </c>
      <c r="J402" s="4">
        <v>0.6</v>
      </c>
      <c r="K402" s="8">
        <f>I402*J402</f>
        <v>2.4</v>
      </c>
    </row>
    <row r="403" spans="1:11" x14ac:dyDescent="0.3">
      <c r="B403" s="4" t="s">
        <v>37</v>
      </c>
      <c r="C403" t="s">
        <v>258</v>
      </c>
      <c r="E403" s="8">
        <v>21</v>
      </c>
      <c r="F403" s="26"/>
      <c r="H403" s="4" t="s">
        <v>37</v>
      </c>
      <c r="I403">
        <v>42.5</v>
      </c>
      <c r="K403" s="8">
        <v>42.5</v>
      </c>
    </row>
    <row r="404" spans="1:11" x14ac:dyDescent="0.3">
      <c r="E404" s="8">
        <f>SUM(E398:E403)</f>
        <v>98.920370000000005</v>
      </c>
      <c r="F404" s="26"/>
      <c r="K404" s="8">
        <f>SUM(K398:K403)</f>
        <v>123.01186</v>
      </c>
    </row>
    <row r="405" spans="1:11" x14ac:dyDescent="0.3">
      <c r="F405" s="26"/>
    </row>
    <row r="406" spans="1:11" x14ac:dyDescent="0.3">
      <c r="C406" s="4" t="s">
        <v>28</v>
      </c>
      <c r="D406" s="4" t="s">
        <v>29</v>
      </c>
      <c r="E406" s="4" t="s">
        <v>30</v>
      </c>
      <c r="F406" s="26"/>
      <c r="I406" s="4" t="s">
        <v>28</v>
      </c>
      <c r="J406" s="4" t="s">
        <v>29</v>
      </c>
      <c r="K406" s="4" t="s">
        <v>30</v>
      </c>
    </row>
    <row r="407" spans="1:11" x14ac:dyDescent="0.3">
      <c r="A407" t="s">
        <v>172</v>
      </c>
      <c r="B407" s="4" t="s">
        <v>32</v>
      </c>
      <c r="C407" s="4">
        <v>1.3460000000000001</v>
      </c>
      <c r="D407" s="4">
        <v>29.12</v>
      </c>
      <c r="E407" s="8">
        <f>C407*D407</f>
        <v>39.195520000000002</v>
      </c>
      <c r="F407" s="26"/>
      <c r="G407" t="s">
        <v>172</v>
      </c>
      <c r="H407" s="4" t="s">
        <v>32</v>
      </c>
      <c r="I407" s="4">
        <v>1.3460000000000001</v>
      </c>
      <c r="J407" s="4">
        <v>30.29</v>
      </c>
      <c r="K407" s="8">
        <f>I407*J407</f>
        <v>40.770340000000004</v>
      </c>
    </row>
    <row r="408" spans="1:11" x14ac:dyDescent="0.3">
      <c r="A408" t="s">
        <v>39</v>
      </c>
      <c r="B408" s="4" t="s">
        <v>33</v>
      </c>
      <c r="C408" s="4">
        <v>2.0579999999999998</v>
      </c>
      <c r="D408" s="4">
        <v>15.25</v>
      </c>
      <c r="E408" s="8">
        <f>C408*D408</f>
        <v>31.384499999999996</v>
      </c>
      <c r="F408" s="26"/>
      <c r="G408" t="s">
        <v>39</v>
      </c>
      <c r="H408" s="4" t="s">
        <v>33</v>
      </c>
      <c r="I408" s="4">
        <v>2.0579999999999998</v>
      </c>
      <c r="J408" s="4">
        <v>16</v>
      </c>
      <c r="K408" s="8">
        <f>I408*J408</f>
        <v>32.927999999999997</v>
      </c>
    </row>
    <row r="409" spans="1:11" x14ac:dyDescent="0.3">
      <c r="B409" s="4" t="s">
        <v>137</v>
      </c>
      <c r="C409" s="4">
        <v>0.157</v>
      </c>
      <c r="D409" s="4">
        <v>17.190000000000001</v>
      </c>
      <c r="E409" s="8">
        <f>C409*D409</f>
        <v>2.6988300000000001</v>
      </c>
      <c r="F409" s="26"/>
      <c r="H409" s="4" t="s">
        <v>137</v>
      </c>
      <c r="I409" s="4">
        <v>0.157</v>
      </c>
      <c r="J409" s="4">
        <v>17.190000000000001</v>
      </c>
      <c r="K409" s="8">
        <f>I409*J409</f>
        <v>2.6988300000000001</v>
      </c>
    </row>
    <row r="410" spans="1:11" x14ac:dyDescent="0.3">
      <c r="B410" s="4" t="s">
        <v>35</v>
      </c>
      <c r="C410" s="4">
        <v>4</v>
      </c>
      <c r="D410" s="4">
        <v>2.89</v>
      </c>
      <c r="E410" s="8">
        <f>C410*D410</f>
        <v>11.56</v>
      </c>
      <c r="F410" s="26"/>
      <c r="H410" s="4" t="s">
        <v>35</v>
      </c>
      <c r="I410" s="4">
        <v>4</v>
      </c>
      <c r="J410" s="4">
        <v>2.89</v>
      </c>
      <c r="K410" s="8">
        <f>I410*J410</f>
        <v>11.56</v>
      </c>
    </row>
    <row r="411" spans="1:11" x14ac:dyDescent="0.3">
      <c r="B411" s="4" t="s">
        <v>36</v>
      </c>
      <c r="C411" s="4">
        <v>4</v>
      </c>
      <c r="D411" s="4">
        <v>0.6</v>
      </c>
      <c r="E411" s="8">
        <f>C411*D411</f>
        <v>2.4</v>
      </c>
      <c r="F411" s="26"/>
      <c r="H411" s="4" t="s">
        <v>36</v>
      </c>
      <c r="I411" s="4">
        <v>4</v>
      </c>
      <c r="J411" s="4">
        <v>0.6</v>
      </c>
      <c r="K411" s="8">
        <f>I411*J411</f>
        <v>2.4</v>
      </c>
    </row>
    <row r="412" spans="1:11" x14ac:dyDescent="0.3">
      <c r="B412" s="4" t="s">
        <v>37</v>
      </c>
      <c r="C412" t="s">
        <v>258</v>
      </c>
      <c r="E412" s="8">
        <v>21</v>
      </c>
      <c r="F412" s="26"/>
      <c r="H412" s="4" t="s">
        <v>37</v>
      </c>
      <c r="I412">
        <v>42.5</v>
      </c>
      <c r="K412" s="8">
        <v>42.5</v>
      </c>
    </row>
    <row r="413" spans="1:11" x14ac:dyDescent="0.3">
      <c r="E413" s="8">
        <f>SUM(E407:E412)</f>
        <v>108.23885</v>
      </c>
      <c r="F413" s="26"/>
      <c r="K413" s="8">
        <f>SUM(K407:K412)</f>
        <v>132.85717</v>
      </c>
    </row>
    <row r="414" spans="1:11" x14ac:dyDescent="0.3">
      <c r="F414" s="26"/>
    </row>
    <row r="415" spans="1:11" x14ac:dyDescent="0.3">
      <c r="C415" s="4" t="s">
        <v>28</v>
      </c>
      <c r="D415" s="4" t="s">
        <v>29</v>
      </c>
      <c r="E415" s="4" t="s">
        <v>30</v>
      </c>
      <c r="F415" s="26"/>
      <c r="I415" s="4" t="s">
        <v>28</v>
      </c>
      <c r="J415" s="4" t="s">
        <v>29</v>
      </c>
      <c r="K415" s="4" t="s">
        <v>30</v>
      </c>
    </row>
    <row r="416" spans="1:11" x14ac:dyDescent="0.3">
      <c r="A416" t="s">
        <v>173</v>
      </c>
      <c r="B416" s="4" t="s">
        <v>32</v>
      </c>
      <c r="C416" s="4">
        <v>1.367</v>
      </c>
      <c r="D416" s="4">
        <v>29.12</v>
      </c>
      <c r="E416" s="8">
        <f>C416*D416</f>
        <v>39.807040000000001</v>
      </c>
      <c r="F416" s="26"/>
      <c r="G416" t="s">
        <v>173</v>
      </c>
      <c r="H416" s="4" t="s">
        <v>32</v>
      </c>
      <c r="I416" s="4">
        <v>1.367</v>
      </c>
      <c r="J416" s="4">
        <v>30.29</v>
      </c>
      <c r="K416" s="8">
        <f>I416*J416</f>
        <v>41.40643</v>
      </c>
    </row>
    <row r="417" spans="1:11" x14ac:dyDescent="0.3">
      <c r="A417" t="s">
        <v>262</v>
      </c>
      <c r="B417" s="4" t="s">
        <v>33</v>
      </c>
      <c r="C417" s="4">
        <v>2.5720000000000001</v>
      </c>
      <c r="D417" s="4">
        <v>15.25</v>
      </c>
      <c r="E417" s="8">
        <f>C417*D417</f>
        <v>39.222999999999999</v>
      </c>
      <c r="F417" s="26"/>
      <c r="G417" t="s">
        <v>262</v>
      </c>
      <c r="H417" s="4" t="s">
        <v>33</v>
      </c>
      <c r="I417" s="4">
        <v>2.5720000000000001</v>
      </c>
      <c r="J417" s="4">
        <v>16</v>
      </c>
      <c r="K417" s="8">
        <f>I417*J417</f>
        <v>41.152000000000001</v>
      </c>
    </row>
    <row r="418" spans="1:11" x14ac:dyDescent="0.3">
      <c r="B418" s="4" t="s">
        <v>137</v>
      </c>
      <c r="C418" s="4">
        <v>0.17799999999999999</v>
      </c>
      <c r="D418" s="4">
        <v>17.190000000000001</v>
      </c>
      <c r="E418" s="8">
        <f>C418*D418</f>
        <v>3.0598200000000002</v>
      </c>
      <c r="F418" s="26"/>
      <c r="H418" s="4" t="s">
        <v>137</v>
      </c>
      <c r="I418" s="4">
        <v>0.17799999999999999</v>
      </c>
      <c r="J418" s="4">
        <v>17.190000000000001</v>
      </c>
      <c r="K418" s="8">
        <f>I418*J418</f>
        <v>3.0598200000000002</v>
      </c>
    </row>
    <row r="419" spans="1:11" x14ac:dyDescent="0.3">
      <c r="B419" s="4" t="s">
        <v>35</v>
      </c>
      <c r="C419" s="4">
        <v>4</v>
      </c>
      <c r="D419" s="4">
        <v>2.89</v>
      </c>
      <c r="E419" s="8">
        <f>C419*D419</f>
        <v>11.56</v>
      </c>
      <c r="F419" s="26"/>
      <c r="H419" s="4" t="s">
        <v>35</v>
      </c>
      <c r="I419" s="4">
        <v>4</v>
      </c>
      <c r="J419" s="4">
        <v>2.89</v>
      </c>
      <c r="K419" s="8">
        <f>I419*J419</f>
        <v>11.56</v>
      </c>
    </row>
    <row r="420" spans="1:11" x14ac:dyDescent="0.3">
      <c r="B420" s="4" t="s">
        <v>36</v>
      </c>
      <c r="C420" s="4">
        <v>4</v>
      </c>
      <c r="D420" s="4">
        <v>0.6</v>
      </c>
      <c r="E420" s="8">
        <f>C420*D420</f>
        <v>2.4</v>
      </c>
      <c r="F420" s="26"/>
      <c r="H420" s="4" t="s">
        <v>36</v>
      </c>
      <c r="I420" s="4">
        <v>4</v>
      </c>
      <c r="J420" s="4">
        <v>0.6</v>
      </c>
      <c r="K420" s="8">
        <f>I420*J420</f>
        <v>2.4</v>
      </c>
    </row>
    <row r="421" spans="1:11" x14ac:dyDescent="0.3">
      <c r="B421" s="4" t="s">
        <v>37</v>
      </c>
      <c r="C421" t="s">
        <v>258</v>
      </c>
      <c r="E421" s="8">
        <v>21</v>
      </c>
      <c r="F421" s="26"/>
      <c r="H421" s="4" t="s">
        <v>37</v>
      </c>
      <c r="I421" t="s">
        <v>258</v>
      </c>
      <c r="K421" s="8">
        <v>21</v>
      </c>
    </row>
    <row r="422" spans="1:11" x14ac:dyDescent="0.3">
      <c r="E422" s="8">
        <f>SUM(E416:E421)</f>
        <v>117.04986000000001</v>
      </c>
      <c r="F422" s="26"/>
      <c r="K422" s="8">
        <f>SUM(K416:K421)</f>
        <v>120.57825000000001</v>
      </c>
    </row>
    <row r="423" spans="1:11" x14ac:dyDescent="0.3">
      <c r="F423" s="26"/>
    </row>
    <row r="424" spans="1:11" x14ac:dyDescent="0.3">
      <c r="C424" s="4" t="s">
        <v>28</v>
      </c>
      <c r="D424" s="4" t="s">
        <v>29</v>
      </c>
      <c r="E424" s="4" t="s">
        <v>30</v>
      </c>
      <c r="F424" s="26"/>
      <c r="I424" s="4" t="s">
        <v>28</v>
      </c>
      <c r="J424" s="4" t="s">
        <v>29</v>
      </c>
      <c r="K424" s="4" t="s">
        <v>30</v>
      </c>
    </row>
    <row r="425" spans="1:11" x14ac:dyDescent="0.3">
      <c r="A425" t="s">
        <v>174</v>
      </c>
      <c r="B425" s="4" t="s">
        <v>32</v>
      </c>
      <c r="C425" s="4">
        <v>1.377</v>
      </c>
      <c r="D425" s="4">
        <v>29.12</v>
      </c>
      <c r="E425" s="8">
        <f>C425*D425</f>
        <v>40.098240000000004</v>
      </c>
      <c r="F425" s="26"/>
      <c r="G425" t="s">
        <v>174</v>
      </c>
      <c r="H425" s="4" t="s">
        <v>32</v>
      </c>
      <c r="I425" s="4">
        <v>1.3979999999999999</v>
      </c>
      <c r="J425" s="4">
        <v>30.29</v>
      </c>
      <c r="K425" s="8">
        <f>I425*J425</f>
        <v>42.345419999999997</v>
      </c>
    </row>
    <row r="426" spans="1:11" x14ac:dyDescent="0.3">
      <c r="A426" t="s">
        <v>262</v>
      </c>
      <c r="B426" s="4" t="s">
        <v>33</v>
      </c>
      <c r="C426" s="4">
        <v>2.5720000000000001</v>
      </c>
      <c r="D426" s="4">
        <v>15.25</v>
      </c>
      <c r="E426" s="8">
        <f>C426*D426</f>
        <v>39.222999999999999</v>
      </c>
      <c r="F426" s="26"/>
      <c r="G426" t="s">
        <v>262</v>
      </c>
      <c r="H426" s="4" t="s">
        <v>33</v>
      </c>
      <c r="I426" s="4">
        <v>3.0870000000000002</v>
      </c>
      <c r="J426" s="4">
        <v>16</v>
      </c>
      <c r="K426" s="8">
        <f>I426*J426</f>
        <v>49.392000000000003</v>
      </c>
    </row>
    <row r="427" spans="1:11" x14ac:dyDescent="0.3">
      <c r="B427" s="4" t="s">
        <v>137</v>
      </c>
      <c r="C427" s="4">
        <v>0.189</v>
      </c>
      <c r="D427" s="4">
        <v>17.190000000000001</v>
      </c>
      <c r="E427" s="8">
        <f>C427*D427</f>
        <v>3.2489100000000004</v>
      </c>
      <c r="F427" s="26"/>
      <c r="H427" s="4" t="s">
        <v>137</v>
      </c>
      <c r="I427" s="4">
        <v>0.189</v>
      </c>
      <c r="J427" s="4">
        <v>17.190000000000001</v>
      </c>
      <c r="K427" s="8">
        <f>I427*J427</f>
        <v>3.2489100000000004</v>
      </c>
    </row>
    <row r="428" spans="1:11" x14ac:dyDescent="0.3">
      <c r="B428" s="4" t="s">
        <v>35</v>
      </c>
      <c r="C428" s="4">
        <v>4</v>
      </c>
      <c r="D428" s="4">
        <v>2.89</v>
      </c>
      <c r="E428" s="8">
        <f>C428*D428</f>
        <v>11.56</v>
      </c>
      <c r="F428" s="26"/>
      <c r="H428" s="4" t="s">
        <v>35</v>
      </c>
      <c r="I428" s="4">
        <v>4</v>
      </c>
      <c r="J428" s="4">
        <v>2.89</v>
      </c>
      <c r="K428" s="8">
        <f>I428*J428</f>
        <v>11.56</v>
      </c>
    </row>
    <row r="429" spans="1:11" x14ac:dyDescent="0.3">
      <c r="B429" s="4" t="s">
        <v>36</v>
      </c>
      <c r="C429" s="4">
        <v>4</v>
      </c>
      <c r="D429" s="4">
        <v>0.6</v>
      </c>
      <c r="E429" s="8">
        <f>C429*D429</f>
        <v>2.4</v>
      </c>
      <c r="F429" s="26"/>
      <c r="H429" s="4" t="s">
        <v>36</v>
      </c>
      <c r="I429" s="4">
        <v>4</v>
      </c>
      <c r="J429" s="4">
        <v>0.6</v>
      </c>
      <c r="K429" s="8">
        <f>I429*J429</f>
        <v>2.4</v>
      </c>
    </row>
    <row r="430" spans="1:11" x14ac:dyDescent="0.3">
      <c r="B430" s="4" t="s">
        <v>37</v>
      </c>
      <c r="C430" t="s">
        <v>258</v>
      </c>
      <c r="E430" s="8">
        <v>21</v>
      </c>
      <c r="F430" s="26"/>
      <c r="H430" s="4" t="s">
        <v>37</v>
      </c>
      <c r="I430" t="s">
        <v>258</v>
      </c>
      <c r="K430" s="8">
        <v>21</v>
      </c>
    </row>
    <row r="431" spans="1:11" x14ac:dyDescent="0.3">
      <c r="E431" s="8">
        <f>SUM(E425:E430)</f>
        <v>117.53015000000001</v>
      </c>
      <c r="F431" s="26"/>
      <c r="K431" s="8">
        <f>SUM(K425:K430)</f>
        <v>129.94632999999999</v>
      </c>
    </row>
    <row r="432" spans="1:11" x14ac:dyDescent="0.3">
      <c r="F432" s="26"/>
    </row>
    <row r="433" spans="1:11" x14ac:dyDescent="0.3">
      <c r="C433" s="4" t="s">
        <v>28</v>
      </c>
      <c r="D433" s="4" t="s">
        <v>29</v>
      </c>
      <c r="E433" s="4" t="s">
        <v>30</v>
      </c>
      <c r="F433" s="26"/>
      <c r="I433" s="4" t="s">
        <v>28</v>
      </c>
      <c r="J433" s="4" t="s">
        <v>29</v>
      </c>
      <c r="K433" s="4" t="s">
        <v>30</v>
      </c>
    </row>
    <row r="434" spans="1:11" x14ac:dyDescent="0.3">
      <c r="A434" t="s">
        <v>41</v>
      </c>
      <c r="B434" s="4" t="s">
        <v>32</v>
      </c>
      <c r="C434" s="4">
        <v>1.3979999999999999</v>
      </c>
      <c r="D434" s="4">
        <v>29.12</v>
      </c>
      <c r="E434" s="8">
        <f>C434*D434</f>
        <v>40.709759999999996</v>
      </c>
      <c r="F434" s="26"/>
      <c r="G434" t="s">
        <v>41</v>
      </c>
      <c r="H434" s="4" t="s">
        <v>32</v>
      </c>
      <c r="I434" s="4">
        <v>1.466</v>
      </c>
      <c r="J434" s="4">
        <v>30.29</v>
      </c>
      <c r="K434" s="8">
        <f>I434*J434</f>
        <v>44.405139999999996</v>
      </c>
    </row>
    <row r="435" spans="1:11" x14ac:dyDescent="0.3">
      <c r="A435" t="s">
        <v>63</v>
      </c>
      <c r="B435" s="4" t="s">
        <v>33</v>
      </c>
      <c r="C435" s="4">
        <v>3.0870000000000002</v>
      </c>
      <c r="D435" s="4">
        <v>15.25</v>
      </c>
      <c r="E435" s="8">
        <f>C435*D435</f>
        <v>47.076750000000004</v>
      </c>
      <c r="F435" s="26"/>
      <c r="G435" t="s">
        <v>63</v>
      </c>
      <c r="H435" s="4" t="s">
        <v>33</v>
      </c>
      <c r="I435" s="4">
        <v>3.234</v>
      </c>
      <c r="J435" s="4">
        <v>16</v>
      </c>
      <c r="K435" s="8">
        <f>I435*J435</f>
        <v>51.744</v>
      </c>
    </row>
    <row r="436" spans="1:11" x14ac:dyDescent="0.3">
      <c r="B436" s="4" t="s">
        <v>137</v>
      </c>
      <c r="C436" s="4">
        <v>0.3</v>
      </c>
      <c r="D436" s="4">
        <v>17.190000000000001</v>
      </c>
      <c r="E436" s="8">
        <f>C436*D436</f>
        <v>5.157</v>
      </c>
      <c r="F436" s="26"/>
      <c r="H436" s="4" t="s">
        <v>137</v>
      </c>
      <c r="I436" s="4">
        <v>0.3</v>
      </c>
      <c r="J436" s="4">
        <v>17.190000000000001</v>
      </c>
      <c r="K436" s="8">
        <f>I436*J436</f>
        <v>5.157</v>
      </c>
    </row>
    <row r="437" spans="1:11" x14ac:dyDescent="0.3">
      <c r="B437" s="4" t="s">
        <v>35</v>
      </c>
      <c r="C437" s="4">
        <v>4</v>
      </c>
      <c r="D437" s="4">
        <v>2.89</v>
      </c>
      <c r="E437" s="8">
        <f>C437*D437</f>
        <v>11.56</v>
      </c>
      <c r="F437" s="26"/>
      <c r="H437" s="4" t="s">
        <v>35</v>
      </c>
      <c r="I437" s="4">
        <v>4</v>
      </c>
      <c r="J437" s="4">
        <v>2.89</v>
      </c>
      <c r="K437" s="8">
        <f>I437*J437</f>
        <v>11.56</v>
      </c>
    </row>
    <row r="438" spans="1:11" x14ac:dyDescent="0.3">
      <c r="B438" s="4" t="s">
        <v>36</v>
      </c>
      <c r="C438" s="4">
        <v>4</v>
      </c>
      <c r="D438" s="4">
        <v>0.6</v>
      </c>
      <c r="E438" s="8">
        <f>C438*D438</f>
        <v>2.4</v>
      </c>
      <c r="F438" s="26"/>
      <c r="H438" s="4" t="s">
        <v>36</v>
      </c>
      <c r="I438" s="4">
        <v>4</v>
      </c>
      <c r="J438" s="4">
        <v>0.6</v>
      </c>
      <c r="K438" s="8">
        <f>I438*J438</f>
        <v>2.4</v>
      </c>
    </row>
    <row r="439" spans="1:11" x14ac:dyDescent="0.3">
      <c r="B439" s="4" t="s">
        <v>37</v>
      </c>
      <c r="C439" t="s">
        <v>215</v>
      </c>
      <c r="E439" s="8">
        <v>28</v>
      </c>
      <c r="F439" s="26"/>
      <c r="H439" s="4" t="s">
        <v>37</v>
      </c>
      <c r="I439">
        <v>42.5</v>
      </c>
      <c r="K439" s="8">
        <v>42.5</v>
      </c>
    </row>
    <row r="440" spans="1:11" x14ac:dyDescent="0.3">
      <c r="E440" s="8">
        <f>SUM(E434:E439)</f>
        <v>134.90350999999998</v>
      </c>
      <c r="F440" s="26"/>
      <c r="K440" s="8">
        <f>SUM(K434:K439)</f>
        <v>157.76614000000001</v>
      </c>
    </row>
    <row r="441" spans="1:11" x14ac:dyDescent="0.3">
      <c r="F441" s="26"/>
    </row>
    <row r="442" spans="1:11" x14ac:dyDescent="0.3">
      <c r="C442" s="4" t="s">
        <v>28</v>
      </c>
      <c r="D442" s="4" t="s">
        <v>29</v>
      </c>
      <c r="E442" s="4" t="s">
        <v>30</v>
      </c>
      <c r="F442" s="26"/>
      <c r="I442" s="4" t="s">
        <v>28</v>
      </c>
      <c r="J442" s="4" t="s">
        <v>29</v>
      </c>
      <c r="K442" s="4" t="s">
        <v>30</v>
      </c>
    </row>
    <row r="443" spans="1:11" x14ac:dyDescent="0.3">
      <c r="A443" t="s">
        <v>175</v>
      </c>
      <c r="B443" s="4" t="s">
        <v>32</v>
      </c>
      <c r="C443" s="4">
        <v>1.44</v>
      </c>
      <c r="D443" s="4">
        <v>29.12</v>
      </c>
      <c r="E443" s="8">
        <f>C443*D443</f>
        <v>41.9328</v>
      </c>
      <c r="F443" s="26"/>
      <c r="G443" t="s">
        <v>175</v>
      </c>
      <c r="H443" s="4" t="s">
        <v>32</v>
      </c>
      <c r="I443" s="4">
        <v>1.44</v>
      </c>
      <c r="J443" s="4">
        <v>30.29</v>
      </c>
      <c r="K443" s="8">
        <f>I443*J443</f>
        <v>43.617599999999996</v>
      </c>
    </row>
    <row r="444" spans="1:11" x14ac:dyDescent="0.3">
      <c r="A444" t="s">
        <v>263</v>
      </c>
      <c r="B444" s="4" t="s">
        <v>33</v>
      </c>
      <c r="C444" s="4">
        <v>3.601</v>
      </c>
      <c r="D444" s="4">
        <v>15.25</v>
      </c>
      <c r="E444" s="8">
        <f>C444*D444</f>
        <v>54.91525</v>
      </c>
      <c r="F444" s="26"/>
      <c r="G444" t="s">
        <v>263</v>
      </c>
      <c r="H444" s="4" t="s">
        <v>33</v>
      </c>
      <c r="I444" s="4">
        <v>3.601</v>
      </c>
      <c r="J444" s="4">
        <v>16</v>
      </c>
      <c r="K444" s="8">
        <f>I444*J444</f>
        <v>57.616</v>
      </c>
    </row>
    <row r="445" spans="1:11" x14ac:dyDescent="0.3">
      <c r="B445" s="4" t="s">
        <v>137</v>
      </c>
      <c r="C445" s="4">
        <v>0.252</v>
      </c>
      <c r="D445" s="4">
        <v>17.190000000000001</v>
      </c>
      <c r="E445" s="8">
        <f>C445*D445</f>
        <v>4.33188</v>
      </c>
      <c r="F445" s="26"/>
      <c r="H445" s="4" t="s">
        <v>137</v>
      </c>
      <c r="I445" s="4">
        <v>0.252</v>
      </c>
      <c r="J445" s="4">
        <v>17.190000000000001</v>
      </c>
      <c r="K445" s="8">
        <f>I445*J445</f>
        <v>4.33188</v>
      </c>
    </row>
    <row r="446" spans="1:11" x14ac:dyDescent="0.3">
      <c r="B446" s="4" t="s">
        <v>35</v>
      </c>
      <c r="C446" s="4">
        <v>4</v>
      </c>
      <c r="D446" s="4">
        <v>2.89</v>
      </c>
      <c r="E446" s="8">
        <f>C446*D446</f>
        <v>11.56</v>
      </c>
      <c r="F446" s="26"/>
      <c r="H446" s="4" t="s">
        <v>35</v>
      </c>
      <c r="I446" s="4">
        <v>4</v>
      </c>
      <c r="J446" s="4">
        <v>2.89</v>
      </c>
      <c r="K446" s="8">
        <f>I446*J446</f>
        <v>11.56</v>
      </c>
    </row>
    <row r="447" spans="1:11" x14ac:dyDescent="0.3">
      <c r="B447" s="4" t="s">
        <v>36</v>
      </c>
      <c r="C447" s="4">
        <v>4</v>
      </c>
      <c r="D447" s="4">
        <v>0.6</v>
      </c>
      <c r="E447" s="8">
        <f>C447*D447</f>
        <v>2.4</v>
      </c>
      <c r="F447" s="26"/>
      <c r="H447" s="4" t="s">
        <v>36</v>
      </c>
      <c r="I447" s="4">
        <v>4</v>
      </c>
      <c r="J447" s="4">
        <v>0.6</v>
      </c>
      <c r="K447" s="8">
        <f>I447*J447</f>
        <v>2.4</v>
      </c>
    </row>
    <row r="448" spans="1:11" x14ac:dyDescent="0.3">
      <c r="B448" s="4" t="s">
        <v>37</v>
      </c>
      <c r="C448" t="s">
        <v>215</v>
      </c>
      <c r="E448" s="8">
        <v>28</v>
      </c>
      <c r="F448" s="26"/>
      <c r="H448" s="4" t="s">
        <v>37</v>
      </c>
      <c r="I448" t="s">
        <v>215</v>
      </c>
      <c r="K448" s="8">
        <v>28</v>
      </c>
    </row>
    <row r="449" spans="1:11" x14ac:dyDescent="0.3">
      <c r="E449" s="8">
        <f>SUM(E443:E448)</f>
        <v>143.13992999999999</v>
      </c>
      <c r="F449" s="26"/>
      <c r="K449" s="8">
        <f>SUM(K443:K448)</f>
        <v>147.52548000000002</v>
      </c>
    </row>
    <row r="450" spans="1:11" x14ac:dyDescent="0.3">
      <c r="F450" s="26"/>
    </row>
    <row r="451" spans="1:11" x14ac:dyDescent="0.3">
      <c r="C451" s="4" t="s">
        <v>28</v>
      </c>
      <c r="D451" s="4" t="s">
        <v>29</v>
      </c>
      <c r="E451" s="4" t="s">
        <v>30</v>
      </c>
      <c r="F451" s="26"/>
      <c r="I451" s="4" t="s">
        <v>28</v>
      </c>
      <c r="J451" s="4" t="s">
        <v>29</v>
      </c>
      <c r="K451" s="4" t="s">
        <v>30</v>
      </c>
    </row>
    <row r="452" spans="1:11" x14ac:dyDescent="0.3">
      <c r="A452" t="s">
        <v>176</v>
      </c>
      <c r="B452" s="4" t="s">
        <v>32</v>
      </c>
      <c r="C452" s="4">
        <v>1.4610000000000001</v>
      </c>
      <c r="D452" s="4">
        <v>29.12</v>
      </c>
      <c r="E452" s="8">
        <f>C452*D452</f>
        <v>42.544320000000006</v>
      </c>
      <c r="F452" s="26"/>
      <c r="G452" t="s">
        <v>176</v>
      </c>
      <c r="H452" s="4" t="s">
        <v>32</v>
      </c>
      <c r="I452" s="4">
        <v>1.4610000000000001</v>
      </c>
      <c r="J452" s="4">
        <v>30.29</v>
      </c>
      <c r="K452" s="8">
        <f>I452*J452</f>
        <v>44.253689999999999</v>
      </c>
    </row>
    <row r="453" spans="1:11" x14ac:dyDescent="0.3">
      <c r="A453" t="s">
        <v>229</v>
      </c>
      <c r="B453" s="4" t="s">
        <v>33</v>
      </c>
      <c r="C453" s="4">
        <v>4.1159999999999997</v>
      </c>
      <c r="D453" s="4">
        <v>15.25</v>
      </c>
      <c r="E453" s="8">
        <f>C453*D453</f>
        <v>62.768999999999991</v>
      </c>
      <c r="F453" s="26"/>
      <c r="G453" t="s">
        <v>229</v>
      </c>
      <c r="H453" s="4" t="s">
        <v>33</v>
      </c>
      <c r="I453" s="4">
        <v>4.1159999999999997</v>
      </c>
      <c r="J453" s="4">
        <v>16</v>
      </c>
      <c r="K453" s="8">
        <f>I453*J453</f>
        <v>65.855999999999995</v>
      </c>
    </row>
    <row r="454" spans="1:11" x14ac:dyDescent="0.3">
      <c r="B454" s="4" t="s">
        <v>137</v>
      </c>
      <c r="C454" s="4">
        <v>0.27300000000000002</v>
      </c>
      <c r="D454" s="4">
        <v>17.190000000000001</v>
      </c>
      <c r="E454" s="8">
        <f>C454*D454</f>
        <v>4.692870000000001</v>
      </c>
      <c r="F454" s="26"/>
      <c r="H454" s="4" t="s">
        <v>137</v>
      </c>
      <c r="I454" s="4">
        <v>0.27300000000000002</v>
      </c>
      <c r="J454" s="4">
        <v>17.190000000000001</v>
      </c>
      <c r="K454" s="8">
        <f>I454*J454</f>
        <v>4.692870000000001</v>
      </c>
    </row>
    <row r="455" spans="1:11" x14ac:dyDescent="0.3">
      <c r="B455" s="4" t="s">
        <v>35</v>
      </c>
      <c r="C455" s="4">
        <v>4</v>
      </c>
      <c r="D455" s="4">
        <v>2.89</v>
      </c>
      <c r="E455" s="8">
        <f>C455*D455</f>
        <v>11.56</v>
      </c>
      <c r="F455" s="26"/>
      <c r="H455" s="4" t="s">
        <v>35</v>
      </c>
      <c r="I455" s="4">
        <v>4</v>
      </c>
      <c r="J455" s="4">
        <v>2.89</v>
      </c>
      <c r="K455" s="8">
        <f>I455*J455</f>
        <v>11.56</v>
      </c>
    </row>
    <row r="456" spans="1:11" x14ac:dyDescent="0.3">
      <c r="B456" s="4" t="s">
        <v>36</v>
      </c>
      <c r="C456" s="4">
        <v>4</v>
      </c>
      <c r="D456" s="4">
        <v>0.6</v>
      </c>
      <c r="E456" s="8">
        <f>C456*D456</f>
        <v>2.4</v>
      </c>
      <c r="F456" s="26"/>
      <c r="H456" s="4" t="s">
        <v>36</v>
      </c>
      <c r="I456" s="4">
        <v>4</v>
      </c>
      <c r="J456" s="4">
        <v>0.6</v>
      </c>
      <c r="K456" s="8">
        <f>I456*J456</f>
        <v>2.4</v>
      </c>
    </row>
    <row r="457" spans="1:11" x14ac:dyDescent="0.3">
      <c r="B457" s="4" t="s">
        <v>37</v>
      </c>
      <c r="C457" t="s">
        <v>215</v>
      </c>
      <c r="E457" s="8">
        <v>28</v>
      </c>
      <c r="F457" s="26"/>
      <c r="H457" s="4" t="s">
        <v>37</v>
      </c>
      <c r="I457" t="s">
        <v>215</v>
      </c>
      <c r="K457" s="8">
        <v>28</v>
      </c>
    </row>
    <row r="458" spans="1:11" x14ac:dyDescent="0.3">
      <c r="E458" s="8">
        <f>SUM(E452:E457)</f>
        <v>151.96619000000001</v>
      </c>
      <c r="F458" s="26"/>
      <c r="K458" s="8">
        <f>SUM(K452:K457)</f>
        <v>156.76256000000001</v>
      </c>
    </row>
    <row r="459" spans="1:11" x14ac:dyDescent="0.3">
      <c r="F459" s="26"/>
    </row>
    <row r="460" spans="1:11" x14ac:dyDescent="0.3">
      <c r="C460" s="4" t="s">
        <v>28</v>
      </c>
      <c r="D460" s="4" t="s">
        <v>29</v>
      </c>
      <c r="E460" s="4" t="s">
        <v>30</v>
      </c>
      <c r="F460" s="26"/>
      <c r="I460" s="4" t="s">
        <v>28</v>
      </c>
      <c r="J460" s="4" t="s">
        <v>29</v>
      </c>
      <c r="K460" s="4" t="s">
        <v>30</v>
      </c>
    </row>
    <row r="461" spans="1:11" x14ac:dyDescent="0.3">
      <c r="A461" t="s">
        <v>177</v>
      </c>
      <c r="B461" s="4" t="s">
        <v>32</v>
      </c>
      <c r="C461" s="4">
        <v>1.472</v>
      </c>
      <c r="D461" s="4">
        <v>29.12</v>
      </c>
      <c r="E461" s="8">
        <f>C461*D461</f>
        <v>42.864640000000001</v>
      </c>
      <c r="F461" s="26"/>
      <c r="G461" t="s">
        <v>177</v>
      </c>
      <c r="H461" s="4" t="s">
        <v>32</v>
      </c>
      <c r="I461" s="4">
        <v>1.472</v>
      </c>
      <c r="J461" s="4">
        <v>30.29</v>
      </c>
      <c r="K461" s="8">
        <f>I461*J461</f>
        <v>44.586880000000001</v>
      </c>
    </row>
    <row r="462" spans="1:11" x14ac:dyDescent="0.3">
      <c r="A462" t="s">
        <v>52</v>
      </c>
      <c r="B462" s="4" t="s">
        <v>33</v>
      </c>
      <c r="C462" s="4">
        <v>4.63</v>
      </c>
      <c r="D462" s="4">
        <v>15.25</v>
      </c>
      <c r="E462" s="8">
        <f>C462*D462</f>
        <v>70.607500000000002</v>
      </c>
      <c r="F462" s="26"/>
      <c r="G462" t="s">
        <v>52</v>
      </c>
      <c r="H462" s="4" t="s">
        <v>33</v>
      </c>
      <c r="I462" s="4">
        <v>4.63</v>
      </c>
      <c r="J462" s="4">
        <v>16</v>
      </c>
      <c r="K462" s="8">
        <f>I462*J462</f>
        <v>74.08</v>
      </c>
    </row>
    <row r="463" spans="1:11" x14ac:dyDescent="0.3">
      <c r="B463" s="4" t="s">
        <v>137</v>
      </c>
      <c r="C463" s="4">
        <v>0.28299999999999997</v>
      </c>
      <c r="D463" s="4">
        <v>17.190000000000001</v>
      </c>
      <c r="E463" s="8">
        <f>C463*D463</f>
        <v>4.86477</v>
      </c>
      <c r="F463" s="26"/>
      <c r="H463" s="4" t="s">
        <v>137</v>
      </c>
      <c r="I463" s="4">
        <v>0.28299999999999997</v>
      </c>
      <c r="J463" s="4">
        <v>17.190000000000001</v>
      </c>
      <c r="K463" s="8">
        <f>I463*J463</f>
        <v>4.86477</v>
      </c>
    </row>
    <row r="464" spans="1:11" x14ac:dyDescent="0.3">
      <c r="B464" s="4" t="s">
        <v>35</v>
      </c>
      <c r="C464" s="4">
        <v>4</v>
      </c>
      <c r="D464" s="4">
        <v>2.89</v>
      </c>
      <c r="E464" s="8">
        <f>C464*D464</f>
        <v>11.56</v>
      </c>
      <c r="F464" s="26"/>
      <c r="H464" s="4" t="s">
        <v>35</v>
      </c>
      <c r="I464" s="4">
        <v>4</v>
      </c>
      <c r="J464" s="4">
        <v>2.89</v>
      </c>
      <c r="K464" s="8">
        <f>I464*J464</f>
        <v>11.56</v>
      </c>
    </row>
    <row r="465" spans="1:11" x14ac:dyDescent="0.3">
      <c r="B465" s="4" t="s">
        <v>36</v>
      </c>
      <c r="C465" s="4">
        <v>4</v>
      </c>
      <c r="D465" s="4">
        <v>0.6</v>
      </c>
      <c r="E465" s="8">
        <f>C465*D465</f>
        <v>2.4</v>
      </c>
      <c r="F465" s="26"/>
      <c r="H465" s="4" t="s">
        <v>36</v>
      </c>
      <c r="I465" s="4">
        <v>4</v>
      </c>
      <c r="J465" s="4">
        <v>0.6</v>
      </c>
      <c r="K465" s="8">
        <f>I465*J465</f>
        <v>2.4</v>
      </c>
    </row>
    <row r="466" spans="1:11" x14ac:dyDescent="0.3">
      <c r="B466" s="4" t="s">
        <v>37</v>
      </c>
      <c r="C466" t="s">
        <v>215</v>
      </c>
      <c r="E466" s="8">
        <v>28</v>
      </c>
      <c r="F466" s="26"/>
      <c r="H466" s="4" t="s">
        <v>37</v>
      </c>
      <c r="I466" t="s">
        <v>215</v>
      </c>
      <c r="K466" s="8">
        <v>28</v>
      </c>
    </row>
    <row r="467" spans="1:11" x14ac:dyDescent="0.3">
      <c r="E467" s="8">
        <f>SUM(E461:E466)</f>
        <v>160.29691</v>
      </c>
      <c r="F467" s="26"/>
      <c r="K467" s="8">
        <f>SUM(K461:K466)</f>
        <v>165.49164999999999</v>
      </c>
    </row>
    <row r="468" spans="1:11" x14ac:dyDescent="0.3">
      <c r="F468" s="26"/>
    </row>
    <row r="469" spans="1:11" x14ac:dyDescent="0.3">
      <c r="C469" s="4" t="s">
        <v>28</v>
      </c>
      <c r="D469" s="4" t="s">
        <v>29</v>
      </c>
      <c r="E469" s="4" t="s">
        <v>30</v>
      </c>
      <c r="F469" s="26"/>
      <c r="I469" s="4" t="s">
        <v>28</v>
      </c>
      <c r="J469" s="4" t="s">
        <v>29</v>
      </c>
      <c r="K469" s="4" t="s">
        <v>30</v>
      </c>
    </row>
    <row r="470" spans="1:11" x14ac:dyDescent="0.3">
      <c r="A470" t="s">
        <v>66</v>
      </c>
      <c r="B470" s="4" t="s">
        <v>32</v>
      </c>
      <c r="C470" s="4">
        <v>1.5029999999999999</v>
      </c>
      <c r="D470" s="4">
        <v>29.12</v>
      </c>
      <c r="E470" s="8">
        <f>C470*D470</f>
        <v>43.767359999999996</v>
      </c>
      <c r="F470" s="26"/>
      <c r="G470" t="s">
        <v>66</v>
      </c>
      <c r="H470" s="4" t="s">
        <v>32</v>
      </c>
      <c r="I470" s="4">
        <v>1.5029999999999999</v>
      </c>
      <c r="J470" s="4">
        <v>30.29</v>
      </c>
      <c r="K470" s="8">
        <f>I470*J470</f>
        <v>45.525869999999998</v>
      </c>
    </row>
    <row r="471" spans="1:11" x14ac:dyDescent="0.3">
      <c r="A471" t="s">
        <v>212</v>
      </c>
      <c r="B471" s="4" t="s">
        <v>33</v>
      </c>
      <c r="C471" s="4">
        <v>5.1449999999999996</v>
      </c>
      <c r="D471" s="4">
        <v>15.25</v>
      </c>
      <c r="E471" s="8">
        <f>C471*D471</f>
        <v>78.461249999999993</v>
      </c>
      <c r="F471" s="26"/>
      <c r="G471" t="s">
        <v>212</v>
      </c>
      <c r="H471" s="4" t="s">
        <v>33</v>
      </c>
      <c r="I471" s="4">
        <v>5.1449999999999996</v>
      </c>
      <c r="J471" s="4">
        <v>16</v>
      </c>
      <c r="K471" s="8">
        <f>I471*J471</f>
        <v>82.32</v>
      </c>
    </row>
    <row r="472" spans="1:11" x14ac:dyDescent="0.3">
      <c r="B472" s="4" t="s">
        <v>137</v>
      </c>
      <c r="C472" s="4">
        <v>0.315</v>
      </c>
      <c r="D472" s="4">
        <v>17.190000000000001</v>
      </c>
      <c r="E472" s="8">
        <f>C472*D472</f>
        <v>5.4148500000000004</v>
      </c>
      <c r="F472" s="26"/>
      <c r="H472" s="4" t="s">
        <v>137</v>
      </c>
      <c r="I472" s="4">
        <v>0.315</v>
      </c>
      <c r="J472" s="4">
        <v>17.190000000000001</v>
      </c>
      <c r="K472" s="8">
        <f>I472*J472</f>
        <v>5.4148500000000004</v>
      </c>
    </row>
    <row r="473" spans="1:11" x14ac:dyDescent="0.3">
      <c r="B473" s="4" t="s">
        <v>35</v>
      </c>
      <c r="C473" s="4">
        <v>4</v>
      </c>
      <c r="D473" s="4">
        <v>2.89</v>
      </c>
      <c r="E473" s="8">
        <f>C473*D473</f>
        <v>11.56</v>
      </c>
      <c r="F473" s="26"/>
      <c r="H473" s="4" t="s">
        <v>35</v>
      </c>
      <c r="I473" s="4">
        <v>4</v>
      </c>
      <c r="J473" s="4">
        <v>2.89</v>
      </c>
      <c r="K473" s="8">
        <f>I473*J473</f>
        <v>11.56</v>
      </c>
    </row>
    <row r="474" spans="1:11" x14ac:dyDescent="0.3">
      <c r="B474" s="4" t="s">
        <v>36</v>
      </c>
      <c r="C474" s="4">
        <v>4</v>
      </c>
      <c r="D474" s="4">
        <v>0.6</v>
      </c>
      <c r="E474" s="8">
        <f>C474*D474</f>
        <v>2.4</v>
      </c>
      <c r="F474" s="26"/>
      <c r="H474" s="4" t="s">
        <v>36</v>
      </c>
      <c r="I474" s="4">
        <v>4</v>
      </c>
      <c r="J474" s="4">
        <v>0.6</v>
      </c>
      <c r="K474" s="8">
        <f>I474*J474</f>
        <v>2.4</v>
      </c>
    </row>
    <row r="475" spans="1:11" x14ac:dyDescent="0.3">
      <c r="B475" s="4" t="s">
        <v>37</v>
      </c>
      <c r="C475" t="s">
        <v>215</v>
      </c>
      <c r="E475" s="8">
        <v>28</v>
      </c>
      <c r="F475" s="26"/>
      <c r="H475" s="4" t="s">
        <v>37</v>
      </c>
      <c r="I475" t="s">
        <v>215</v>
      </c>
      <c r="K475" s="8">
        <v>28</v>
      </c>
    </row>
    <row r="476" spans="1:11" x14ac:dyDescent="0.3">
      <c r="E476" s="8">
        <f>SUM(E470:E475)</f>
        <v>169.60345999999998</v>
      </c>
      <c r="F476" s="26"/>
      <c r="K476" s="8">
        <f>SUM(K470:K475)</f>
        <v>175.22072</v>
      </c>
    </row>
    <row r="477" spans="1:11" x14ac:dyDescent="0.3">
      <c r="F477" s="26"/>
    </row>
    <row r="478" spans="1:11" x14ac:dyDescent="0.3">
      <c r="C478" s="4" t="s">
        <v>28</v>
      </c>
      <c r="D478" s="4" t="s">
        <v>29</v>
      </c>
      <c r="E478" s="4" t="s">
        <v>30</v>
      </c>
      <c r="F478" s="26"/>
      <c r="I478" s="4" t="s">
        <v>28</v>
      </c>
      <c r="J478" s="4" t="s">
        <v>29</v>
      </c>
      <c r="K478" s="4" t="s">
        <v>30</v>
      </c>
    </row>
    <row r="479" spans="1:11" x14ac:dyDescent="0.3">
      <c r="A479" t="s">
        <v>76</v>
      </c>
      <c r="B479" s="4" t="s">
        <v>32</v>
      </c>
      <c r="C479" s="4">
        <v>1.6080000000000001</v>
      </c>
      <c r="D479" s="4">
        <v>29.12</v>
      </c>
      <c r="E479" s="8">
        <f>C479*D479</f>
        <v>46.824960000000004</v>
      </c>
      <c r="F479" s="26"/>
      <c r="G479" t="s">
        <v>76</v>
      </c>
      <c r="H479" s="4" t="s">
        <v>32</v>
      </c>
      <c r="I479" s="4">
        <v>1.6080000000000001</v>
      </c>
      <c r="J479" s="4">
        <v>30.29</v>
      </c>
      <c r="K479" s="8">
        <f>I479*J479</f>
        <v>48.706319999999998</v>
      </c>
    </row>
    <row r="480" spans="1:11" x14ac:dyDescent="0.3">
      <c r="A480" t="s">
        <v>53</v>
      </c>
      <c r="B480" s="4" t="s">
        <v>33</v>
      </c>
      <c r="C480" s="4">
        <v>7.2030000000000003</v>
      </c>
      <c r="D480" s="4">
        <v>15.25</v>
      </c>
      <c r="E480" s="8">
        <f>C480*D480</f>
        <v>109.84575000000001</v>
      </c>
      <c r="F480" s="26"/>
      <c r="G480" t="s">
        <v>53</v>
      </c>
      <c r="H480" s="4" t="s">
        <v>33</v>
      </c>
      <c r="I480" s="4">
        <v>7.2030000000000003</v>
      </c>
      <c r="J480" s="4">
        <v>16</v>
      </c>
      <c r="K480" s="8">
        <f>I480*J480</f>
        <v>115.248</v>
      </c>
    </row>
    <row r="481" spans="1:11" x14ac:dyDescent="0.3">
      <c r="B481" s="4" t="s">
        <v>137</v>
      </c>
      <c r="C481" s="4">
        <v>0.42</v>
      </c>
      <c r="D481" s="4">
        <v>17.190000000000001</v>
      </c>
      <c r="E481" s="8">
        <f>C481*D481</f>
        <v>7.2198000000000002</v>
      </c>
      <c r="F481" s="26"/>
      <c r="H481" s="4" t="s">
        <v>137</v>
      </c>
      <c r="I481" s="4">
        <v>0.42</v>
      </c>
      <c r="J481" s="4">
        <v>17.190000000000001</v>
      </c>
      <c r="K481" s="8">
        <f>I481*J481</f>
        <v>7.2198000000000002</v>
      </c>
    </row>
    <row r="482" spans="1:11" x14ac:dyDescent="0.3">
      <c r="B482" s="4" t="s">
        <v>35</v>
      </c>
      <c r="C482" s="4">
        <v>4</v>
      </c>
      <c r="D482" s="4">
        <v>2.89</v>
      </c>
      <c r="E482" s="8">
        <f>C482*D482</f>
        <v>11.56</v>
      </c>
      <c r="F482" s="26"/>
      <c r="H482" s="4" t="s">
        <v>35</v>
      </c>
      <c r="I482" s="4">
        <v>4</v>
      </c>
      <c r="J482" s="4">
        <v>2.89</v>
      </c>
      <c r="K482" s="8">
        <f>I482*J482</f>
        <v>11.56</v>
      </c>
    </row>
    <row r="483" spans="1:11" x14ac:dyDescent="0.3">
      <c r="B483" s="4" t="s">
        <v>36</v>
      </c>
      <c r="C483" s="4">
        <v>4</v>
      </c>
      <c r="D483" s="4">
        <v>0.6</v>
      </c>
      <c r="E483" s="8">
        <f>C483*D483</f>
        <v>2.4</v>
      </c>
      <c r="F483" s="26"/>
      <c r="H483" s="4" t="s">
        <v>36</v>
      </c>
      <c r="I483" s="4">
        <v>4</v>
      </c>
      <c r="J483" s="4">
        <v>0.6</v>
      </c>
      <c r="K483" s="8">
        <f>I483*J483</f>
        <v>2.4</v>
      </c>
    </row>
    <row r="484" spans="1:11" x14ac:dyDescent="0.3">
      <c r="B484" s="4" t="s">
        <v>37</v>
      </c>
      <c r="C484" t="s">
        <v>215</v>
      </c>
      <c r="E484" s="8">
        <v>28</v>
      </c>
      <c r="F484" s="26"/>
      <c r="H484" s="4" t="s">
        <v>37</v>
      </c>
      <c r="I484" t="s">
        <v>215</v>
      </c>
      <c r="K484" s="8">
        <v>28</v>
      </c>
    </row>
    <row r="485" spans="1:11" x14ac:dyDescent="0.3">
      <c r="E485" s="8">
        <f>SUM(E479:E484)</f>
        <v>205.85051000000001</v>
      </c>
      <c r="F485" s="26"/>
      <c r="K485" s="8">
        <f>SUM(K479:K484)</f>
        <v>213.13412</v>
      </c>
    </row>
    <row r="486" spans="1:11" x14ac:dyDescent="0.3">
      <c r="F486" s="26"/>
    </row>
    <row r="487" spans="1:11" x14ac:dyDescent="0.3">
      <c r="C487" s="4" t="s">
        <v>28</v>
      </c>
      <c r="D487" s="4" t="s">
        <v>29</v>
      </c>
      <c r="E487" s="4" t="s">
        <v>30</v>
      </c>
      <c r="F487" s="26"/>
      <c r="I487" s="4" t="s">
        <v>28</v>
      </c>
      <c r="J487" s="4" t="s">
        <v>29</v>
      </c>
      <c r="K487" s="4" t="s">
        <v>30</v>
      </c>
    </row>
    <row r="488" spans="1:11" x14ac:dyDescent="0.3">
      <c r="A488" t="s">
        <v>179</v>
      </c>
      <c r="B488" s="4" t="s">
        <v>32</v>
      </c>
      <c r="C488" s="4">
        <v>1.7130000000000001</v>
      </c>
      <c r="D488" s="4">
        <v>29.12</v>
      </c>
      <c r="E488" s="8">
        <f>C488*D488</f>
        <v>49.882560000000005</v>
      </c>
      <c r="F488" s="26"/>
      <c r="G488" t="s">
        <v>179</v>
      </c>
      <c r="H488" s="4" t="s">
        <v>32</v>
      </c>
      <c r="I488" s="4">
        <v>1.7130000000000001</v>
      </c>
      <c r="J488" s="4">
        <v>30.29</v>
      </c>
      <c r="K488" s="8">
        <f>I488*J488</f>
        <v>51.886769999999999</v>
      </c>
    </row>
    <row r="489" spans="1:11" x14ac:dyDescent="0.3">
      <c r="A489" t="s">
        <v>218</v>
      </c>
      <c r="B489" s="4" t="s">
        <v>33</v>
      </c>
      <c r="C489" s="4">
        <v>8.7460000000000004</v>
      </c>
      <c r="D489" s="4">
        <v>15.25</v>
      </c>
      <c r="E489" s="8">
        <f>C489*D489</f>
        <v>133.37649999999999</v>
      </c>
      <c r="F489" s="26"/>
      <c r="G489" t="s">
        <v>218</v>
      </c>
      <c r="H489" s="4" t="s">
        <v>33</v>
      </c>
      <c r="I489" s="4">
        <v>8.7460000000000004</v>
      </c>
      <c r="J489" s="4">
        <v>16</v>
      </c>
      <c r="K489" s="8">
        <f>I489*J489</f>
        <v>139.93600000000001</v>
      </c>
    </row>
    <row r="490" spans="1:11" x14ac:dyDescent="0.3">
      <c r="B490" s="4" t="s">
        <v>137</v>
      </c>
      <c r="C490" s="4">
        <v>0.52500000000000002</v>
      </c>
      <c r="D490" s="4">
        <v>17.190000000000001</v>
      </c>
      <c r="E490" s="8">
        <f>C490*D490</f>
        <v>9.0247500000000009</v>
      </c>
      <c r="F490" s="26"/>
      <c r="H490" s="4" t="s">
        <v>137</v>
      </c>
      <c r="I490" s="4">
        <v>0.52500000000000002</v>
      </c>
      <c r="J490" s="4">
        <v>17.190000000000001</v>
      </c>
      <c r="K490" s="8">
        <f>I490*J490</f>
        <v>9.0247500000000009</v>
      </c>
    </row>
    <row r="491" spans="1:11" x14ac:dyDescent="0.3">
      <c r="B491" s="4" t="s">
        <v>35</v>
      </c>
      <c r="C491" s="4">
        <v>4</v>
      </c>
      <c r="D491" s="4">
        <v>2.89</v>
      </c>
      <c r="E491" s="8">
        <f>C491*D491</f>
        <v>11.56</v>
      </c>
      <c r="F491" s="26"/>
      <c r="H491" s="4" t="s">
        <v>35</v>
      </c>
      <c r="I491" s="4">
        <v>4</v>
      </c>
      <c r="J491" s="4">
        <v>2.89</v>
      </c>
      <c r="K491" s="8">
        <f>I491*J491</f>
        <v>11.56</v>
      </c>
    </row>
    <row r="492" spans="1:11" x14ac:dyDescent="0.3">
      <c r="B492" s="4" t="s">
        <v>36</v>
      </c>
      <c r="C492" s="4">
        <v>4</v>
      </c>
      <c r="D492" s="4">
        <v>0.6</v>
      </c>
      <c r="E492" s="8">
        <f>C492*D492</f>
        <v>2.4</v>
      </c>
      <c r="F492" s="26"/>
      <c r="H492" s="4" t="s">
        <v>36</v>
      </c>
      <c r="I492" s="4">
        <v>4</v>
      </c>
      <c r="J492" s="4">
        <v>0.6</v>
      </c>
      <c r="K492" s="8">
        <f>I492*J492</f>
        <v>2.4</v>
      </c>
    </row>
    <row r="493" spans="1:11" x14ac:dyDescent="0.3">
      <c r="B493" s="4" t="s">
        <v>37</v>
      </c>
      <c r="C493" t="s">
        <v>264</v>
      </c>
      <c r="E493" s="8">
        <v>35</v>
      </c>
      <c r="F493" s="26"/>
      <c r="H493" s="4" t="s">
        <v>37</v>
      </c>
      <c r="I493" t="s">
        <v>264</v>
      </c>
      <c r="K493" s="8">
        <v>35</v>
      </c>
    </row>
    <row r="494" spans="1:11" x14ac:dyDescent="0.3">
      <c r="E494" s="8">
        <f>SUM(E488:E493)</f>
        <v>241.24381000000002</v>
      </c>
      <c r="F494" s="26"/>
      <c r="K494" s="8">
        <f>SUM(K488:K493)</f>
        <v>249.80752000000001</v>
      </c>
    </row>
    <row r="495" spans="1:11" x14ac:dyDescent="0.3">
      <c r="F495" s="26"/>
    </row>
    <row r="496" spans="1:11" x14ac:dyDescent="0.3">
      <c r="C496" s="4" t="s">
        <v>28</v>
      </c>
      <c r="D496" s="4" t="s">
        <v>29</v>
      </c>
      <c r="E496" s="4" t="s">
        <v>30</v>
      </c>
      <c r="F496" s="26"/>
      <c r="I496" s="4" t="s">
        <v>28</v>
      </c>
      <c r="J496" s="4" t="s">
        <v>29</v>
      </c>
      <c r="K496" s="4" t="s">
        <v>30</v>
      </c>
    </row>
    <row r="497" spans="1:11" x14ac:dyDescent="0.3">
      <c r="A497" t="s">
        <v>104</v>
      </c>
      <c r="B497" s="4" t="s">
        <v>32</v>
      </c>
      <c r="C497" s="4">
        <v>1.8180000000000001</v>
      </c>
      <c r="D497" s="4">
        <v>29.12</v>
      </c>
      <c r="E497" s="8">
        <f>C497*D497</f>
        <v>52.940160000000006</v>
      </c>
      <c r="F497" s="26"/>
      <c r="G497" t="s">
        <v>104</v>
      </c>
      <c r="H497" s="4" t="s">
        <v>32</v>
      </c>
      <c r="I497" s="4">
        <v>1.8180000000000001</v>
      </c>
      <c r="J497" s="4">
        <v>30.29</v>
      </c>
      <c r="K497" s="8">
        <f>I497*J497</f>
        <v>55.067219999999999</v>
      </c>
    </row>
    <row r="498" spans="1:11" x14ac:dyDescent="0.3">
      <c r="A498" t="s">
        <v>213</v>
      </c>
      <c r="B498" s="4" t="s">
        <v>33</v>
      </c>
      <c r="C498" s="4">
        <v>10.804</v>
      </c>
      <c r="D498" s="4">
        <v>15.25</v>
      </c>
      <c r="E498" s="8">
        <f>C498*D498</f>
        <v>164.761</v>
      </c>
      <c r="F498" s="26"/>
      <c r="G498" t="s">
        <v>213</v>
      </c>
      <c r="H498" s="4" t="s">
        <v>33</v>
      </c>
      <c r="I498" s="4">
        <v>10.804</v>
      </c>
      <c r="J498" s="4">
        <v>16</v>
      </c>
      <c r="K498" s="8">
        <f>I498*J498</f>
        <v>172.864</v>
      </c>
    </row>
    <row r="499" spans="1:11" x14ac:dyDescent="0.3">
      <c r="B499" s="4" t="s">
        <v>137</v>
      </c>
      <c r="C499" s="4">
        <v>0.63</v>
      </c>
      <c r="D499" s="4">
        <v>17.190000000000001</v>
      </c>
      <c r="E499" s="8">
        <f>C499*D499</f>
        <v>10.829700000000001</v>
      </c>
      <c r="F499" s="26"/>
      <c r="H499" s="4" t="s">
        <v>137</v>
      </c>
      <c r="I499" s="4">
        <v>0.63</v>
      </c>
      <c r="J499" s="4">
        <v>17.190000000000001</v>
      </c>
      <c r="K499" s="8">
        <f>I499*J499</f>
        <v>10.829700000000001</v>
      </c>
    </row>
    <row r="500" spans="1:11" x14ac:dyDescent="0.3">
      <c r="B500" s="4" t="s">
        <v>35</v>
      </c>
      <c r="C500" s="4">
        <v>4</v>
      </c>
      <c r="D500" s="4">
        <v>2.89</v>
      </c>
      <c r="E500" s="8">
        <f>C500*D500</f>
        <v>11.56</v>
      </c>
      <c r="F500" s="26"/>
      <c r="H500" s="4" t="s">
        <v>35</v>
      </c>
      <c r="I500" s="4">
        <v>4</v>
      </c>
      <c r="J500" s="4">
        <v>2.89</v>
      </c>
      <c r="K500" s="8">
        <f>I500*J500</f>
        <v>11.56</v>
      </c>
    </row>
    <row r="501" spans="1:11" x14ac:dyDescent="0.3">
      <c r="B501" s="4" t="s">
        <v>36</v>
      </c>
      <c r="C501" s="4">
        <v>4</v>
      </c>
      <c r="D501" s="4">
        <v>0.6</v>
      </c>
      <c r="E501" s="8">
        <f>C501*D501</f>
        <v>2.4</v>
      </c>
      <c r="F501" s="26"/>
      <c r="H501" s="4" t="s">
        <v>36</v>
      </c>
      <c r="I501" s="4">
        <v>4</v>
      </c>
      <c r="J501" s="4">
        <v>0.6</v>
      </c>
      <c r="K501" s="8">
        <f>I501*J501</f>
        <v>2.4</v>
      </c>
    </row>
    <row r="502" spans="1:11" x14ac:dyDescent="0.3">
      <c r="B502" s="4" t="s">
        <v>37</v>
      </c>
      <c r="C502" t="s">
        <v>264</v>
      </c>
      <c r="E502" s="8">
        <v>35</v>
      </c>
      <c r="F502" s="26"/>
      <c r="H502" s="4" t="s">
        <v>37</v>
      </c>
      <c r="I502" t="s">
        <v>264</v>
      </c>
      <c r="K502" s="8">
        <v>35</v>
      </c>
    </row>
    <row r="503" spans="1:11" x14ac:dyDescent="0.3">
      <c r="E503" s="8">
        <f>SUM(E497:E502)</f>
        <v>277.49086</v>
      </c>
      <c r="F503" s="26"/>
      <c r="K503" s="8">
        <f>SUM(K497:K502)</f>
        <v>287.72091999999998</v>
      </c>
    </row>
    <row r="504" spans="1:11" x14ac:dyDescent="0.3">
      <c r="F504" s="26"/>
    </row>
    <row r="505" spans="1:11" x14ac:dyDescent="0.3">
      <c r="C505" s="4" t="s">
        <v>28</v>
      </c>
      <c r="D505" s="4" t="s">
        <v>29</v>
      </c>
      <c r="E505" s="4" t="s">
        <v>30</v>
      </c>
      <c r="F505" s="26"/>
      <c r="I505" s="4" t="s">
        <v>28</v>
      </c>
      <c r="J505" s="4" t="s">
        <v>29</v>
      </c>
      <c r="K505" s="4" t="s">
        <v>30</v>
      </c>
    </row>
    <row r="506" spans="1:11" x14ac:dyDescent="0.3">
      <c r="A506" t="s">
        <v>118</v>
      </c>
      <c r="B506" s="4" t="s">
        <v>32</v>
      </c>
      <c r="C506" s="4">
        <v>2.028</v>
      </c>
      <c r="D506" s="4">
        <v>29.12</v>
      </c>
      <c r="E506" s="8">
        <f>C506*D506</f>
        <v>59.05536</v>
      </c>
      <c r="F506" s="26"/>
      <c r="G506" t="s">
        <v>118</v>
      </c>
      <c r="H506" s="4" t="s">
        <v>32</v>
      </c>
      <c r="I506" s="4">
        <v>2.028</v>
      </c>
      <c r="J506" s="4">
        <v>30.29</v>
      </c>
      <c r="K506" s="8">
        <f>I506*J506</f>
        <v>61.42812</v>
      </c>
    </row>
    <row r="507" spans="1:11" x14ac:dyDescent="0.3">
      <c r="A507" t="s">
        <v>168</v>
      </c>
      <c r="B507" s="4" t="s">
        <v>33</v>
      </c>
      <c r="C507" s="4">
        <v>14.92</v>
      </c>
      <c r="D507" s="4">
        <v>15.25</v>
      </c>
      <c r="E507" s="8">
        <f>C507*D507</f>
        <v>227.53</v>
      </c>
      <c r="F507" s="26"/>
      <c r="G507" t="s">
        <v>168</v>
      </c>
      <c r="H507" s="4" t="s">
        <v>33</v>
      </c>
      <c r="I507" s="4">
        <v>14.92</v>
      </c>
      <c r="J507" s="4">
        <v>16</v>
      </c>
      <c r="K507" s="8">
        <f>I507*J507</f>
        <v>238.72</v>
      </c>
    </row>
    <row r="508" spans="1:11" x14ac:dyDescent="0.3">
      <c r="B508" s="4" t="s">
        <v>137</v>
      </c>
      <c r="C508" s="4">
        <v>0.84</v>
      </c>
      <c r="D508" s="4">
        <v>17.190000000000001</v>
      </c>
      <c r="E508" s="8">
        <f>C508*D508</f>
        <v>14.4396</v>
      </c>
      <c r="F508" s="26"/>
      <c r="H508" s="4" t="s">
        <v>137</v>
      </c>
      <c r="I508" s="4">
        <v>0.84</v>
      </c>
      <c r="J508" s="4">
        <v>17.190000000000001</v>
      </c>
      <c r="K508" s="8">
        <f>I508*J508</f>
        <v>14.4396</v>
      </c>
    </row>
    <row r="509" spans="1:11" x14ac:dyDescent="0.3">
      <c r="B509" s="4" t="s">
        <v>35</v>
      </c>
      <c r="C509" s="4">
        <v>4</v>
      </c>
      <c r="D509" s="4">
        <v>2.89</v>
      </c>
      <c r="E509" s="8">
        <f>C509*D509</f>
        <v>11.56</v>
      </c>
      <c r="F509" s="26"/>
      <c r="H509" s="4" t="s">
        <v>35</v>
      </c>
      <c r="I509" s="4">
        <v>4</v>
      </c>
      <c r="J509" s="4">
        <v>2.89</v>
      </c>
      <c r="K509" s="8">
        <f>I509*J509</f>
        <v>11.56</v>
      </c>
    </row>
    <row r="510" spans="1:11" x14ac:dyDescent="0.3">
      <c r="B510" s="4" t="s">
        <v>36</v>
      </c>
      <c r="C510" s="4">
        <v>4</v>
      </c>
      <c r="D510" s="4">
        <v>0.6</v>
      </c>
      <c r="E510" s="8">
        <f>C510*D510</f>
        <v>2.4</v>
      </c>
      <c r="F510" s="26"/>
      <c r="H510" s="4" t="s">
        <v>36</v>
      </c>
      <c r="I510" s="4">
        <v>4</v>
      </c>
      <c r="J510" s="4">
        <v>0.6</v>
      </c>
      <c r="K510" s="8">
        <f>I510*J510</f>
        <v>2.4</v>
      </c>
    </row>
    <row r="511" spans="1:11" x14ac:dyDescent="0.3">
      <c r="B511" s="4" t="s">
        <v>37</v>
      </c>
      <c r="C511" t="s">
        <v>264</v>
      </c>
      <c r="E511" s="8">
        <v>35</v>
      </c>
      <c r="F511" s="26"/>
      <c r="H511" s="4" t="s">
        <v>37</v>
      </c>
      <c r="I511">
        <v>85</v>
      </c>
      <c r="K511" s="8">
        <v>85</v>
      </c>
    </row>
    <row r="512" spans="1:11" x14ac:dyDescent="0.3">
      <c r="E512" s="8">
        <f>SUM(E506:E511)</f>
        <v>349.98495999999994</v>
      </c>
      <c r="F512" s="26"/>
      <c r="K512" s="8">
        <f>SUM(K506:K511)</f>
        <v>413.54771999999997</v>
      </c>
    </row>
    <row r="513" spans="1:11" x14ac:dyDescent="0.3">
      <c r="F513" s="26"/>
    </row>
    <row r="514" spans="1:11" x14ac:dyDescent="0.3">
      <c r="C514" s="4" t="s">
        <v>28</v>
      </c>
      <c r="D514" s="4" t="s">
        <v>29</v>
      </c>
      <c r="E514" s="4" t="s">
        <v>30</v>
      </c>
      <c r="F514" s="26"/>
      <c r="I514" s="4" t="s">
        <v>28</v>
      </c>
      <c r="J514" s="4" t="s">
        <v>29</v>
      </c>
      <c r="K514" s="4" t="s">
        <v>30</v>
      </c>
    </row>
    <row r="515" spans="1:11" x14ac:dyDescent="0.3">
      <c r="A515" t="s">
        <v>181</v>
      </c>
      <c r="B515" s="4" t="s">
        <v>32</v>
      </c>
      <c r="C515" s="4">
        <v>1.482</v>
      </c>
      <c r="D515" s="4">
        <v>29.12</v>
      </c>
      <c r="E515" s="8">
        <f>C515*D515</f>
        <v>43.155839999999998</v>
      </c>
      <c r="F515" s="26"/>
      <c r="G515" t="s">
        <v>181</v>
      </c>
      <c r="H515" s="4" t="s">
        <v>32</v>
      </c>
      <c r="I515" s="4">
        <v>1.482</v>
      </c>
      <c r="J515" s="4">
        <v>30.29</v>
      </c>
      <c r="K515" s="8">
        <f>I515*J515</f>
        <v>44.889780000000002</v>
      </c>
    </row>
    <row r="516" spans="1:11" x14ac:dyDescent="0.3">
      <c r="A516" t="s">
        <v>246</v>
      </c>
      <c r="B516" s="4" t="s">
        <v>33</v>
      </c>
      <c r="C516" s="4">
        <v>0.61899999999999999</v>
      </c>
      <c r="D516" s="4">
        <v>15.25</v>
      </c>
      <c r="E516" s="8">
        <f>C516*D516</f>
        <v>9.4397500000000001</v>
      </c>
      <c r="F516" s="26"/>
      <c r="G516" t="s">
        <v>246</v>
      </c>
      <c r="H516" s="4" t="s">
        <v>33</v>
      </c>
      <c r="I516" s="4">
        <v>0.61899999999999999</v>
      </c>
      <c r="J516" s="4">
        <v>16</v>
      </c>
      <c r="K516" s="8">
        <f>I516*J516</f>
        <v>9.9039999999999999</v>
      </c>
    </row>
    <row r="517" spans="1:11" x14ac:dyDescent="0.3">
      <c r="B517" s="4" t="s">
        <v>137</v>
      </c>
      <c r="C517" s="4">
        <v>8.4000000000000005E-2</v>
      </c>
      <c r="D517" s="4">
        <v>17.190000000000001</v>
      </c>
      <c r="E517" s="8">
        <f>C517*D517</f>
        <v>1.4439600000000001</v>
      </c>
      <c r="F517" s="26"/>
      <c r="H517" s="4" t="s">
        <v>137</v>
      </c>
      <c r="I517" s="4">
        <v>8.4000000000000005E-2</v>
      </c>
      <c r="J517" s="4">
        <v>17.190000000000001</v>
      </c>
      <c r="K517" s="8">
        <f>I517*J517</f>
        <v>1.4439600000000001</v>
      </c>
    </row>
    <row r="518" spans="1:11" x14ac:dyDescent="0.3">
      <c r="B518" s="4" t="s">
        <v>35</v>
      </c>
      <c r="C518" s="4">
        <v>4</v>
      </c>
      <c r="D518" s="4">
        <v>2.89</v>
      </c>
      <c r="E518" s="8">
        <f>C518*D518</f>
        <v>11.56</v>
      </c>
      <c r="F518" s="26"/>
      <c r="H518" s="4" t="s">
        <v>35</v>
      </c>
      <c r="I518" s="4">
        <v>4</v>
      </c>
      <c r="J518" s="4">
        <v>2.89</v>
      </c>
      <c r="K518" s="8">
        <f>I518*J518</f>
        <v>11.56</v>
      </c>
    </row>
    <row r="519" spans="1:11" x14ac:dyDescent="0.3">
      <c r="B519" s="4" t="s">
        <v>36</v>
      </c>
      <c r="C519" s="4">
        <v>4</v>
      </c>
      <c r="D519" s="4">
        <v>0.6</v>
      </c>
      <c r="E519" s="8">
        <f>C519*D519</f>
        <v>2.4</v>
      </c>
      <c r="F519" s="26"/>
      <c r="H519" s="4" t="s">
        <v>36</v>
      </c>
      <c r="I519" s="4">
        <v>4</v>
      </c>
      <c r="J519" s="4">
        <v>0.6</v>
      </c>
      <c r="K519" s="8">
        <f>I519*J519</f>
        <v>2.4</v>
      </c>
    </row>
    <row r="520" spans="1:11" x14ac:dyDescent="0.3">
      <c r="B520" s="4" t="s">
        <v>37</v>
      </c>
      <c r="C520" t="s">
        <v>258</v>
      </c>
      <c r="E520" s="8">
        <v>21</v>
      </c>
      <c r="F520" s="26"/>
      <c r="H520" s="4" t="s">
        <v>37</v>
      </c>
      <c r="I520" t="s">
        <v>258</v>
      </c>
      <c r="K520" s="8">
        <v>21</v>
      </c>
    </row>
    <row r="521" spans="1:11" x14ac:dyDescent="0.3">
      <c r="E521" s="8">
        <f>SUM(E515:E520)</f>
        <v>88.999549999999999</v>
      </c>
      <c r="F521" s="26"/>
      <c r="K521" s="8">
        <f>SUM(K515:K520)</f>
        <v>91.197739999999996</v>
      </c>
    </row>
    <row r="522" spans="1:11" x14ac:dyDescent="0.3">
      <c r="F522" s="26"/>
    </row>
    <row r="523" spans="1:11" x14ac:dyDescent="0.3">
      <c r="C523" s="4" t="s">
        <v>28</v>
      </c>
      <c r="D523" s="4" t="s">
        <v>29</v>
      </c>
      <c r="E523" s="4" t="s">
        <v>30</v>
      </c>
      <c r="F523" s="26"/>
      <c r="I523" s="4" t="s">
        <v>28</v>
      </c>
      <c r="J523" s="4" t="s">
        <v>29</v>
      </c>
      <c r="K523" s="4" t="s">
        <v>30</v>
      </c>
    </row>
    <row r="524" spans="1:11" x14ac:dyDescent="0.3">
      <c r="A524" t="s">
        <v>182</v>
      </c>
      <c r="B524" s="4" t="s">
        <v>32</v>
      </c>
      <c r="C524" s="4">
        <v>1.5029999999999999</v>
      </c>
      <c r="D524" s="4">
        <v>29.12</v>
      </c>
      <c r="E524" s="8">
        <f>C524*D524</f>
        <v>43.767359999999996</v>
      </c>
      <c r="F524" s="26"/>
      <c r="G524" t="s">
        <v>182</v>
      </c>
      <c r="H524" s="4" t="s">
        <v>32</v>
      </c>
      <c r="I524" s="4">
        <v>1.5029999999999999</v>
      </c>
      <c r="J524" s="4">
        <v>30.29</v>
      </c>
      <c r="K524" s="8">
        <f>I524*J524</f>
        <v>45.525869999999998</v>
      </c>
    </row>
    <row r="525" spans="1:11" x14ac:dyDescent="0.3">
      <c r="A525" t="s">
        <v>201</v>
      </c>
      <c r="B525" s="4" t="s">
        <v>33</v>
      </c>
      <c r="C525" s="4">
        <v>1.2390000000000001</v>
      </c>
      <c r="D525" s="4">
        <v>15.25</v>
      </c>
      <c r="E525" s="8">
        <f>C525*D525</f>
        <v>18.894750000000002</v>
      </c>
      <c r="F525" s="26"/>
      <c r="G525" t="s">
        <v>201</v>
      </c>
      <c r="H525" s="4" t="s">
        <v>33</v>
      </c>
      <c r="I525" s="4">
        <v>1.2390000000000001</v>
      </c>
      <c r="J525" s="4">
        <v>16</v>
      </c>
      <c r="K525" s="8">
        <f>I525*J525</f>
        <v>19.824000000000002</v>
      </c>
    </row>
    <row r="526" spans="1:11" x14ac:dyDescent="0.3">
      <c r="B526" s="4" t="s">
        <v>137</v>
      </c>
      <c r="C526" s="4">
        <v>0.105</v>
      </c>
      <c r="D526" s="4">
        <v>17.190000000000001</v>
      </c>
      <c r="E526" s="8">
        <f>C526*D526</f>
        <v>1.8049500000000001</v>
      </c>
      <c r="F526" s="26"/>
      <c r="H526" s="4" t="s">
        <v>137</v>
      </c>
      <c r="I526" s="4">
        <v>0.105</v>
      </c>
      <c r="J526" s="4">
        <v>17.190000000000001</v>
      </c>
      <c r="K526" s="8">
        <f>I526*J526</f>
        <v>1.8049500000000001</v>
      </c>
    </row>
    <row r="527" spans="1:11" x14ac:dyDescent="0.3">
      <c r="B527" s="4" t="s">
        <v>35</v>
      </c>
      <c r="C527" s="4">
        <v>4</v>
      </c>
      <c r="D527" s="4">
        <v>2.89</v>
      </c>
      <c r="E527" s="8">
        <f>C527*D527</f>
        <v>11.56</v>
      </c>
      <c r="F527" s="26"/>
      <c r="H527" s="4" t="s">
        <v>35</v>
      </c>
      <c r="I527" s="4">
        <v>4</v>
      </c>
      <c r="J527" s="4">
        <v>2.89</v>
      </c>
      <c r="K527" s="8">
        <f>I527*J527</f>
        <v>11.56</v>
      </c>
    </row>
    <row r="528" spans="1:11" x14ac:dyDescent="0.3">
      <c r="B528" s="4" t="s">
        <v>36</v>
      </c>
      <c r="C528" s="4">
        <v>4</v>
      </c>
      <c r="D528" s="4">
        <v>0.6</v>
      </c>
      <c r="E528" s="8">
        <f>C528*D528</f>
        <v>2.4</v>
      </c>
      <c r="F528" s="26"/>
      <c r="H528" s="4" t="s">
        <v>36</v>
      </c>
      <c r="I528" s="4">
        <v>4</v>
      </c>
      <c r="J528" s="4">
        <v>0.6</v>
      </c>
      <c r="K528" s="8">
        <f>I528*J528</f>
        <v>2.4</v>
      </c>
    </row>
    <row r="529" spans="1:11" x14ac:dyDescent="0.3">
      <c r="B529" s="4" t="s">
        <v>37</v>
      </c>
      <c r="C529" t="s">
        <v>258</v>
      </c>
      <c r="E529" s="8">
        <v>21</v>
      </c>
      <c r="F529" s="26"/>
      <c r="H529" s="4" t="s">
        <v>37</v>
      </c>
      <c r="I529" t="s">
        <v>258</v>
      </c>
      <c r="K529" s="8">
        <v>21</v>
      </c>
    </row>
    <row r="530" spans="1:11" x14ac:dyDescent="0.3">
      <c r="E530" s="8">
        <f>SUM(E524:E529)</f>
        <v>99.427060000000012</v>
      </c>
      <c r="F530" s="26"/>
      <c r="K530" s="8">
        <f>SUM(K524:K529)</f>
        <v>102.11482000000001</v>
      </c>
    </row>
    <row r="531" spans="1:11" x14ac:dyDescent="0.3">
      <c r="F531" s="26"/>
    </row>
    <row r="532" spans="1:11" x14ac:dyDescent="0.3">
      <c r="C532" s="4" t="s">
        <v>28</v>
      </c>
      <c r="D532" s="4" t="s">
        <v>29</v>
      </c>
      <c r="E532" s="4" t="s">
        <v>30</v>
      </c>
      <c r="F532" s="26"/>
      <c r="I532" s="4" t="s">
        <v>28</v>
      </c>
      <c r="J532" s="4" t="s">
        <v>29</v>
      </c>
      <c r="K532" s="4" t="s">
        <v>30</v>
      </c>
    </row>
    <row r="533" spans="1:11" x14ac:dyDescent="0.3">
      <c r="A533" t="s">
        <v>180</v>
      </c>
      <c r="B533" s="4" t="s">
        <v>32</v>
      </c>
      <c r="C533" s="4">
        <v>1.452</v>
      </c>
      <c r="D533" s="4">
        <v>29.12</v>
      </c>
      <c r="E533" s="8">
        <f>C533*D533</f>
        <v>42.282240000000002</v>
      </c>
      <c r="F533" s="26"/>
      <c r="G533" t="s">
        <v>180</v>
      </c>
      <c r="H533" s="4" t="s">
        <v>32</v>
      </c>
      <c r="I533" s="4">
        <v>1.5980000000000001</v>
      </c>
      <c r="J533" s="4">
        <v>30.29</v>
      </c>
      <c r="K533" s="8">
        <f>I533*J533</f>
        <v>48.403420000000004</v>
      </c>
    </row>
    <row r="534" spans="1:11" x14ac:dyDescent="0.3">
      <c r="A534" t="s">
        <v>214</v>
      </c>
      <c r="B534" s="4" t="s">
        <v>33</v>
      </c>
      <c r="C534" s="4">
        <v>1.8580000000000001</v>
      </c>
      <c r="D534" s="4">
        <v>15.25</v>
      </c>
      <c r="E534" s="8">
        <f>C534*D534</f>
        <v>28.334500000000002</v>
      </c>
      <c r="F534" s="26"/>
      <c r="G534" t="s">
        <v>214</v>
      </c>
      <c r="H534" s="4" t="s">
        <v>33</v>
      </c>
      <c r="I534" s="4">
        <v>1.9470000000000001</v>
      </c>
      <c r="J534" s="4">
        <v>16</v>
      </c>
      <c r="K534" s="8">
        <f>I534*J534</f>
        <v>31.152000000000001</v>
      </c>
    </row>
    <row r="535" spans="1:11" x14ac:dyDescent="0.3">
      <c r="B535" s="4" t="s">
        <v>137</v>
      </c>
      <c r="C535" s="4">
        <v>0.126</v>
      </c>
      <c r="D535" s="4">
        <v>17.190000000000001</v>
      </c>
      <c r="E535" s="8">
        <f>C535*D535</f>
        <v>2.16594</v>
      </c>
      <c r="F535" s="26"/>
      <c r="H535" s="4" t="s">
        <v>137</v>
      </c>
      <c r="I535" s="4">
        <v>0.2</v>
      </c>
      <c r="J535" s="4">
        <v>17.190000000000001</v>
      </c>
      <c r="K535" s="8">
        <f>I535*J535</f>
        <v>3.4380000000000006</v>
      </c>
    </row>
    <row r="536" spans="1:11" x14ac:dyDescent="0.3">
      <c r="B536" s="4" t="s">
        <v>35</v>
      </c>
      <c r="C536" s="4">
        <v>4</v>
      </c>
      <c r="D536" s="4">
        <v>2.89</v>
      </c>
      <c r="E536" s="8">
        <f>C536*D536</f>
        <v>11.56</v>
      </c>
      <c r="F536" s="26"/>
      <c r="H536" s="4" t="s">
        <v>35</v>
      </c>
      <c r="I536" s="4">
        <v>4</v>
      </c>
      <c r="J536" s="4">
        <v>2.89</v>
      </c>
      <c r="K536" s="8">
        <f>I536*J536</f>
        <v>11.56</v>
      </c>
    </row>
    <row r="537" spans="1:11" x14ac:dyDescent="0.3">
      <c r="B537" s="4" t="s">
        <v>36</v>
      </c>
      <c r="C537" s="4">
        <v>4</v>
      </c>
      <c r="D537" s="4">
        <v>0.6</v>
      </c>
      <c r="E537" s="8">
        <f>C537*D537</f>
        <v>2.4</v>
      </c>
      <c r="F537" s="26"/>
      <c r="H537" s="4" t="s">
        <v>36</v>
      </c>
      <c r="I537" s="4">
        <v>4</v>
      </c>
      <c r="J537" s="4">
        <v>0.6</v>
      </c>
      <c r="K537" s="8">
        <f>I537*J537</f>
        <v>2.4</v>
      </c>
    </row>
    <row r="538" spans="1:11" x14ac:dyDescent="0.3">
      <c r="B538" s="4" t="s">
        <v>37</v>
      </c>
      <c r="C538" t="s">
        <v>215</v>
      </c>
      <c r="E538" s="8">
        <v>28</v>
      </c>
      <c r="F538" s="26"/>
      <c r="H538" s="4" t="s">
        <v>37</v>
      </c>
      <c r="I538" t="s">
        <v>215</v>
      </c>
      <c r="J538" s="61">
        <v>1.69</v>
      </c>
      <c r="K538" s="8">
        <v>33.799999999999997</v>
      </c>
    </row>
    <row r="539" spans="1:11" x14ac:dyDescent="0.3">
      <c r="E539" s="8">
        <f>SUM(E533:E538)</f>
        <v>114.74268000000002</v>
      </c>
      <c r="F539" s="26"/>
      <c r="K539" s="8">
        <f>SUM(K533:K538)</f>
        <v>130.75342000000001</v>
      </c>
    </row>
    <row r="540" spans="1:11" x14ac:dyDescent="0.3">
      <c r="E540" s="9"/>
      <c r="F540" s="26"/>
      <c r="K540" s="9"/>
    </row>
    <row r="541" spans="1:11" x14ac:dyDescent="0.3">
      <c r="F541" s="26"/>
    </row>
    <row r="542" spans="1:11" x14ac:dyDescent="0.3">
      <c r="C542" s="4" t="s">
        <v>28</v>
      </c>
      <c r="D542" s="4" t="s">
        <v>29</v>
      </c>
      <c r="E542" s="4" t="s">
        <v>30</v>
      </c>
      <c r="F542" s="26"/>
      <c r="I542" s="4" t="s">
        <v>28</v>
      </c>
      <c r="J542" s="4" t="s">
        <v>29</v>
      </c>
      <c r="K542" s="4" t="s">
        <v>30</v>
      </c>
    </row>
    <row r="543" spans="1:11" x14ac:dyDescent="0.3">
      <c r="A543" t="s">
        <v>183</v>
      </c>
      <c r="B543" s="4" t="s">
        <v>32</v>
      </c>
      <c r="C543" s="4">
        <v>1.556</v>
      </c>
      <c r="D543" s="4">
        <v>29.12</v>
      </c>
      <c r="E543" s="8">
        <f>C543*D543</f>
        <v>45.310720000000003</v>
      </c>
      <c r="F543" s="26"/>
      <c r="G543" t="s">
        <v>183</v>
      </c>
      <c r="H543" s="4" t="s">
        <v>32</v>
      </c>
      <c r="I543" s="4">
        <v>1.556</v>
      </c>
      <c r="J543" s="4">
        <v>30.29</v>
      </c>
      <c r="K543" s="8">
        <f>I543*J543</f>
        <v>47.131239999999998</v>
      </c>
    </row>
    <row r="544" spans="1:11" x14ac:dyDescent="0.3">
      <c r="A544" t="s">
        <v>39</v>
      </c>
      <c r="B544" s="4" t="s">
        <v>33</v>
      </c>
      <c r="C544" s="4">
        <v>2.4780000000000002</v>
      </c>
      <c r="D544" s="4">
        <v>15.25</v>
      </c>
      <c r="E544" s="8">
        <f>C544*D544</f>
        <v>37.789500000000004</v>
      </c>
      <c r="F544" s="26"/>
      <c r="G544" t="s">
        <v>39</v>
      </c>
      <c r="H544" s="4" t="s">
        <v>33</v>
      </c>
      <c r="I544" s="4">
        <v>2.4780000000000002</v>
      </c>
      <c r="J544" s="4">
        <v>16</v>
      </c>
      <c r="K544" s="8">
        <f>I544*J544</f>
        <v>39.648000000000003</v>
      </c>
    </row>
    <row r="545" spans="1:11" x14ac:dyDescent="0.3">
      <c r="B545" s="4" t="s">
        <v>137</v>
      </c>
      <c r="C545" s="4">
        <v>0.157</v>
      </c>
      <c r="D545" s="4">
        <v>17.190000000000001</v>
      </c>
      <c r="E545" s="8">
        <f>C545*D545</f>
        <v>2.6988300000000001</v>
      </c>
      <c r="F545" s="26"/>
      <c r="H545" s="4" t="s">
        <v>137</v>
      </c>
      <c r="I545" s="4">
        <v>0.157</v>
      </c>
      <c r="J545" s="4">
        <v>17.190000000000001</v>
      </c>
      <c r="K545" s="8">
        <f>I545*J545</f>
        <v>2.6988300000000001</v>
      </c>
    </row>
    <row r="546" spans="1:11" x14ac:dyDescent="0.3">
      <c r="B546" s="4" t="s">
        <v>35</v>
      </c>
      <c r="C546" s="4">
        <v>4</v>
      </c>
      <c r="D546" s="4">
        <v>2.89</v>
      </c>
      <c r="E546" s="8">
        <f>C546*D546</f>
        <v>11.56</v>
      </c>
      <c r="F546" s="26"/>
      <c r="H546" s="4" t="s">
        <v>35</v>
      </c>
      <c r="I546" s="4">
        <v>4</v>
      </c>
      <c r="J546" s="4">
        <v>2.89</v>
      </c>
      <c r="K546" s="8">
        <f>I546*J546</f>
        <v>11.56</v>
      </c>
    </row>
    <row r="547" spans="1:11" x14ac:dyDescent="0.3">
      <c r="B547" s="4" t="s">
        <v>36</v>
      </c>
      <c r="C547" s="4">
        <v>4</v>
      </c>
      <c r="D547" s="4">
        <v>0.6</v>
      </c>
      <c r="E547" s="8">
        <f>C547*D547</f>
        <v>2.4</v>
      </c>
      <c r="F547" s="26"/>
      <c r="H547" s="4" t="s">
        <v>36</v>
      </c>
      <c r="I547" s="4">
        <v>4</v>
      </c>
      <c r="J547" s="4">
        <v>0.6</v>
      </c>
      <c r="K547" s="8">
        <f>I547*J547</f>
        <v>2.4</v>
      </c>
    </row>
    <row r="548" spans="1:11" x14ac:dyDescent="0.3">
      <c r="B548" s="4" t="s">
        <v>37</v>
      </c>
      <c r="C548" t="s">
        <v>215</v>
      </c>
      <c r="E548" s="8">
        <v>28</v>
      </c>
      <c r="F548" s="26"/>
      <c r="H548" s="4" t="s">
        <v>37</v>
      </c>
      <c r="I548">
        <v>42</v>
      </c>
      <c r="K548" s="8">
        <v>42</v>
      </c>
    </row>
    <row r="549" spans="1:11" x14ac:dyDescent="0.3">
      <c r="E549" s="8">
        <f>SUM(E543:E548)</f>
        <v>127.75905000000002</v>
      </c>
      <c r="F549" s="26"/>
      <c r="K549" s="8">
        <f>SUM(K543:K548)</f>
        <v>145.43807000000001</v>
      </c>
    </row>
    <row r="550" spans="1:11" x14ac:dyDescent="0.3">
      <c r="F550" s="26"/>
    </row>
    <row r="551" spans="1:11" x14ac:dyDescent="0.3">
      <c r="C551" s="4" t="s">
        <v>28</v>
      </c>
      <c r="D551" s="4" t="s">
        <v>29</v>
      </c>
      <c r="E551" s="4" t="s">
        <v>30</v>
      </c>
      <c r="F551" s="26"/>
      <c r="I551" s="4" t="s">
        <v>28</v>
      </c>
      <c r="J551" s="4" t="s">
        <v>29</v>
      </c>
      <c r="K551" s="4" t="s">
        <v>30</v>
      </c>
    </row>
    <row r="552" spans="1:11" x14ac:dyDescent="0.3">
      <c r="A552" t="s">
        <v>184</v>
      </c>
      <c r="B552" s="4" t="s">
        <v>32</v>
      </c>
      <c r="C552" s="4">
        <v>1.577</v>
      </c>
      <c r="D552" s="4">
        <v>19.38</v>
      </c>
      <c r="E552" s="8">
        <f>C552*D552</f>
        <v>30.562259999999998</v>
      </c>
      <c r="F552" s="26"/>
      <c r="G552" t="s">
        <v>184</v>
      </c>
      <c r="H552" s="4" t="s">
        <v>32</v>
      </c>
      <c r="I552" s="4">
        <v>1.577</v>
      </c>
      <c r="J552" s="4">
        <v>30.29</v>
      </c>
      <c r="K552" s="8">
        <f>I552*J552</f>
        <v>47.767329999999994</v>
      </c>
    </row>
    <row r="553" spans="1:11" x14ac:dyDescent="0.3">
      <c r="A553" t="s">
        <v>262</v>
      </c>
      <c r="B553" s="4" t="s">
        <v>33</v>
      </c>
      <c r="C553" s="4">
        <v>3.097</v>
      </c>
      <c r="D553" s="4">
        <v>10.11</v>
      </c>
      <c r="E553" s="8">
        <f>C553*D553</f>
        <v>31.310669999999998</v>
      </c>
      <c r="F553" s="26"/>
      <c r="G553" t="s">
        <v>262</v>
      </c>
      <c r="H553" s="4" t="s">
        <v>33</v>
      </c>
      <c r="I553" s="4">
        <v>3.097</v>
      </c>
      <c r="J553" s="4">
        <v>16</v>
      </c>
      <c r="K553" s="8">
        <f>I553*J553</f>
        <v>49.552</v>
      </c>
    </row>
    <row r="554" spans="1:11" x14ac:dyDescent="0.3">
      <c r="B554" s="4" t="s">
        <v>137</v>
      </c>
      <c r="C554" s="4">
        <v>0.17799999999999999</v>
      </c>
      <c r="D554" s="4">
        <v>12.92</v>
      </c>
      <c r="E554" s="8">
        <f>C554*D554</f>
        <v>2.29976</v>
      </c>
      <c r="F554" s="26"/>
      <c r="H554" s="4" t="s">
        <v>137</v>
      </c>
      <c r="I554" s="4">
        <v>0.17799999999999999</v>
      </c>
      <c r="J554" s="4">
        <v>17.190000000000001</v>
      </c>
      <c r="K554" s="8">
        <f>I554*J554</f>
        <v>3.0598200000000002</v>
      </c>
    </row>
    <row r="555" spans="1:11" x14ac:dyDescent="0.3">
      <c r="B555" s="4" t="s">
        <v>35</v>
      </c>
      <c r="C555" s="4">
        <v>4</v>
      </c>
      <c r="D555" s="4">
        <v>1.89</v>
      </c>
      <c r="E555" s="8">
        <f>C555*D555</f>
        <v>7.56</v>
      </c>
      <c r="F555" s="26"/>
      <c r="H555" s="4" t="s">
        <v>35</v>
      </c>
      <c r="I555" s="4">
        <v>4</v>
      </c>
      <c r="J555" s="4">
        <v>2.89</v>
      </c>
      <c r="K555" s="8">
        <f>I555*J555</f>
        <v>11.56</v>
      </c>
    </row>
    <row r="556" spans="1:11" x14ac:dyDescent="0.3">
      <c r="B556" s="4" t="s">
        <v>36</v>
      </c>
      <c r="C556" s="4">
        <v>4</v>
      </c>
      <c r="D556" s="4">
        <v>0.24</v>
      </c>
      <c r="E556" s="8">
        <f>C556*D556</f>
        <v>0.96</v>
      </c>
      <c r="F556" s="26"/>
      <c r="H556" s="4" t="s">
        <v>36</v>
      </c>
      <c r="I556" s="4">
        <v>4</v>
      </c>
      <c r="J556" s="4">
        <v>0.6</v>
      </c>
      <c r="K556" s="8">
        <f>I556*J556</f>
        <v>2.4</v>
      </c>
    </row>
    <row r="557" spans="1:11" x14ac:dyDescent="0.3">
      <c r="B557" s="4" t="s">
        <v>37</v>
      </c>
      <c r="C557" t="s">
        <v>215</v>
      </c>
      <c r="E557" s="8">
        <v>28</v>
      </c>
      <c r="F557" s="26"/>
      <c r="H557" s="4" t="s">
        <v>37</v>
      </c>
      <c r="I557" t="s">
        <v>215</v>
      </c>
      <c r="K557" s="8">
        <v>28</v>
      </c>
    </row>
    <row r="558" spans="1:11" x14ac:dyDescent="0.3">
      <c r="E558" s="8">
        <f>SUM(E552:E557)</f>
        <v>100.69269</v>
      </c>
      <c r="F558" s="26"/>
      <c r="K558" s="8">
        <f>SUM(K552:K557)</f>
        <v>142.33915000000002</v>
      </c>
    </row>
    <row r="559" spans="1:11" x14ac:dyDescent="0.3">
      <c r="F559" s="26"/>
    </row>
    <row r="560" spans="1:11" x14ac:dyDescent="0.3">
      <c r="C560" s="4" t="s">
        <v>28</v>
      </c>
      <c r="D560" s="4" t="s">
        <v>29</v>
      </c>
      <c r="E560" s="4" t="s">
        <v>30</v>
      </c>
      <c r="F560" s="26"/>
      <c r="I560" s="4" t="s">
        <v>28</v>
      </c>
      <c r="J560" s="4" t="s">
        <v>29</v>
      </c>
      <c r="K560" s="4" t="s">
        <v>30</v>
      </c>
    </row>
    <row r="561" spans="1:11" x14ac:dyDescent="0.3">
      <c r="A561" t="s">
        <v>185</v>
      </c>
      <c r="B561" s="4" t="s">
        <v>32</v>
      </c>
      <c r="C561" s="4">
        <v>1.587</v>
      </c>
      <c r="D561" s="4">
        <v>19.38</v>
      </c>
      <c r="E561" s="8">
        <f>C561*D561</f>
        <v>30.756059999999998</v>
      </c>
      <c r="F561" s="26"/>
      <c r="G561" t="s">
        <v>185</v>
      </c>
      <c r="H561" s="4" t="s">
        <v>32</v>
      </c>
      <c r="I561" s="4">
        <v>1.587</v>
      </c>
      <c r="J561" s="4">
        <v>30.29</v>
      </c>
      <c r="K561" s="8">
        <f>I561*J561</f>
        <v>48.070229999999995</v>
      </c>
    </row>
    <row r="562" spans="1:11" x14ac:dyDescent="0.3">
      <c r="A562" t="s">
        <v>259</v>
      </c>
      <c r="B562" s="4" t="s">
        <v>33</v>
      </c>
      <c r="C562" s="4">
        <v>3.097</v>
      </c>
      <c r="D562" s="4">
        <v>10.11</v>
      </c>
      <c r="E562" s="8">
        <f>C562*D562</f>
        <v>31.310669999999998</v>
      </c>
      <c r="F562" s="26"/>
      <c r="G562" t="s">
        <v>259</v>
      </c>
      <c r="H562" s="4" t="s">
        <v>33</v>
      </c>
      <c r="I562" s="4">
        <v>3.097</v>
      </c>
      <c r="J562" s="4">
        <v>16</v>
      </c>
      <c r="K562" s="8">
        <f>I562*J562</f>
        <v>49.552</v>
      </c>
    </row>
    <row r="563" spans="1:11" x14ac:dyDescent="0.3">
      <c r="B563" s="4" t="s">
        <v>137</v>
      </c>
      <c r="C563" s="4">
        <v>0.189</v>
      </c>
      <c r="D563" s="4">
        <v>12.92</v>
      </c>
      <c r="E563" s="8">
        <f>C563*D563</f>
        <v>2.4418799999999998</v>
      </c>
      <c r="F563" s="26"/>
      <c r="H563" s="4" t="s">
        <v>137</v>
      </c>
      <c r="I563" s="4">
        <v>0.189</v>
      </c>
      <c r="J563" s="4">
        <v>17.190000000000001</v>
      </c>
      <c r="K563" s="8">
        <f>I563*J563</f>
        <v>3.2489100000000004</v>
      </c>
    </row>
    <row r="564" spans="1:11" x14ac:dyDescent="0.3">
      <c r="B564" s="4" t="s">
        <v>35</v>
      </c>
      <c r="C564" s="4">
        <v>4</v>
      </c>
      <c r="D564" s="4">
        <v>1.89</v>
      </c>
      <c r="E564" s="8">
        <f>C564*D564</f>
        <v>7.56</v>
      </c>
      <c r="F564" s="26"/>
      <c r="H564" s="4" t="s">
        <v>35</v>
      </c>
      <c r="I564" s="4">
        <v>4</v>
      </c>
      <c r="J564" s="4">
        <v>2.89</v>
      </c>
      <c r="K564" s="8">
        <f>I564*J564</f>
        <v>11.56</v>
      </c>
    </row>
    <row r="565" spans="1:11" x14ac:dyDescent="0.3">
      <c r="B565" s="4" t="s">
        <v>36</v>
      </c>
      <c r="C565" s="4">
        <v>4</v>
      </c>
      <c r="D565" s="4">
        <v>0.24</v>
      </c>
      <c r="E565" s="8">
        <f>C565*D565</f>
        <v>0.96</v>
      </c>
      <c r="F565" s="26"/>
      <c r="H565" s="4" t="s">
        <v>36</v>
      </c>
      <c r="I565" s="4">
        <v>4</v>
      </c>
      <c r="J565" s="4">
        <v>0.6</v>
      </c>
      <c r="K565" s="8">
        <f>I565*J565</f>
        <v>2.4</v>
      </c>
    </row>
    <row r="566" spans="1:11" x14ac:dyDescent="0.3">
      <c r="B566" s="4" t="s">
        <v>37</v>
      </c>
      <c r="C566" t="s">
        <v>215</v>
      </c>
      <c r="E566" s="8">
        <v>28</v>
      </c>
      <c r="F566" s="26"/>
      <c r="H566" s="4" t="s">
        <v>37</v>
      </c>
      <c r="I566" t="s">
        <v>215</v>
      </c>
      <c r="K566" s="8">
        <v>28</v>
      </c>
    </row>
    <row r="567" spans="1:11" x14ac:dyDescent="0.3">
      <c r="E567" s="8">
        <f>SUM(E561:E566)</f>
        <v>101.02860999999999</v>
      </c>
      <c r="F567" s="26"/>
      <c r="K567" s="8">
        <f>SUM(K561:K566)</f>
        <v>142.83114</v>
      </c>
    </row>
    <row r="568" spans="1:11" x14ac:dyDescent="0.3">
      <c r="F568" s="26"/>
    </row>
    <row r="569" spans="1:11" x14ac:dyDescent="0.3">
      <c r="C569" s="4" t="s">
        <v>28</v>
      </c>
      <c r="D569" s="4" t="s">
        <v>29</v>
      </c>
      <c r="E569" s="4" t="s">
        <v>30</v>
      </c>
      <c r="F569" s="26"/>
      <c r="I569" s="4" t="s">
        <v>28</v>
      </c>
      <c r="J569" s="4" t="s">
        <v>29</v>
      </c>
      <c r="K569" s="4" t="s">
        <v>30</v>
      </c>
    </row>
    <row r="570" spans="1:11" x14ac:dyDescent="0.3">
      <c r="A570" t="s">
        <v>44</v>
      </c>
      <c r="B570" s="4" t="s">
        <v>32</v>
      </c>
      <c r="C570" s="4">
        <v>1.6080000000000001</v>
      </c>
      <c r="D570" s="4">
        <v>19.38</v>
      </c>
      <c r="E570" s="8">
        <f>C570*D570</f>
        <v>31.163039999999999</v>
      </c>
      <c r="F570" s="26"/>
      <c r="G570" t="s">
        <v>44</v>
      </c>
      <c r="H570" s="4" t="s">
        <v>32</v>
      </c>
      <c r="I570" s="4">
        <v>1.6850000000000001</v>
      </c>
      <c r="J570" s="4">
        <v>30.29</v>
      </c>
      <c r="K570" s="8">
        <f>I570*J570</f>
        <v>51.038649999999997</v>
      </c>
    </row>
    <row r="571" spans="1:11" x14ac:dyDescent="0.3">
      <c r="A571" t="s">
        <v>143</v>
      </c>
      <c r="B571" s="4" t="s">
        <v>33</v>
      </c>
      <c r="C571" s="4">
        <v>3.7170000000000001</v>
      </c>
      <c r="D571" s="4">
        <v>10.11</v>
      </c>
      <c r="E571" s="8">
        <f>C571*D571</f>
        <v>37.578870000000002</v>
      </c>
      <c r="F571" s="26"/>
      <c r="G571" t="s">
        <v>143</v>
      </c>
      <c r="H571" s="4" t="s">
        <v>33</v>
      </c>
      <c r="I571" s="4">
        <v>3.8940000000000001</v>
      </c>
      <c r="J571" s="4">
        <v>16</v>
      </c>
      <c r="K571" s="8">
        <f>I571*J571</f>
        <v>62.304000000000002</v>
      </c>
    </row>
    <row r="572" spans="1:11" x14ac:dyDescent="0.3">
      <c r="B572" s="4" t="s">
        <v>137</v>
      </c>
      <c r="C572" s="4">
        <v>0.21</v>
      </c>
      <c r="D572" s="4">
        <v>12.92</v>
      </c>
      <c r="E572" s="8">
        <f>C572*D572</f>
        <v>2.7132000000000001</v>
      </c>
      <c r="F572" s="26"/>
      <c r="H572" s="4" t="s">
        <v>137</v>
      </c>
      <c r="I572" s="4">
        <v>0.3</v>
      </c>
      <c r="J572" s="4">
        <v>17.190000000000001</v>
      </c>
      <c r="K572" s="8">
        <f>I572*J572</f>
        <v>5.157</v>
      </c>
    </row>
    <row r="573" spans="1:11" x14ac:dyDescent="0.3">
      <c r="B573" s="4" t="s">
        <v>35</v>
      </c>
      <c r="C573" s="4">
        <v>4</v>
      </c>
      <c r="D573" s="4">
        <v>1.89</v>
      </c>
      <c r="E573" s="8">
        <f>C573*D573</f>
        <v>7.56</v>
      </c>
      <c r="F573" s="26"/>
      <c r="H573" s="4" t="s">
        <v>35</v>
      </c>
      <c r="I573" s="4">
        <v>4</v>
      </c>
      <c r="J573" s="4">
        <v>2.89</v>
      </c>
      <c r="K573" s="8">
        <f>I573*J573</f>
        <v>11.56</v>
      </c>
    </row>
    <row r="574" spans="1:11" x14ac:dyDescent="0.3">
      <c r="B574" s="4" t="s">
        <v>36</v>
      </c>
      <c r="C574" s="4">
        <v>4</v>
      </c>
      <c r="D574" s="4">
        <v>0.24</v>
      </c>
      <c r="E574" s="8">
        <f>C574*D574</f>
        <v>0.96</v>
      </c>
      <c r="F574" s="26"/>
      <c r="H574" s="4" t="s">
        <v>36</v>
      </c>
      <c r="I574" s="4">
        <v>4</v>
      </c>
      <c r="J574" s="4">
        <v>0.6</v>
      </c>
      <c r="K574" s="8">
        <f>I574*J574</f>
        <v>2.4</v>
      </c>
    </row>
    <row r="575" spans="1:11" x14ac:dyDescent="0.3">
      <c r="B575" s="4" t="s">
        <v>37</v>
      </c>
      <c r="C575" t="s">
        <v>215</v>
      </c>
      <c r="E575" s="8">
        <v>28</v>
      </c>
      <c r="F575" s="26"/>
      <c r="H575" s="4" t="s">
        <v>37</v>
      </c>
      <c r="I575" t="s">
        <v>399</v>
      </c>
      <c r="K575" s="8">
        <v>42.5</v>
      </c>
    </row>
    <row r="576" spans="1:11" x14ac:dyDescent="0.3">
      <c r="E576" s="8">
        <f>SUM(E570:E575)</f>
        <v>107.97511</v>
      </c>
      <c r="F576" s="26"/>
      <c r="K576" s="8">
        <f>SUM(K570:K575)</f>
        <v>174.95964999999998</v>
      </c>
    </row>
    <row r="577" spans="1:11" x14ac:dyDescent="0.3">
      <c r="F577" s="26"/>
    </row>
    <row r="578" spans="1:11" x14ac:dyDescent="0.3">
      <c r="C578" s="4" t="s">
        <v>28</v>
      </c>
      <c r="D578" s="4" t="s">
        <v>29</v>
      </c>
      <c r="E578" s="4" t="s">
        <v>30</v>
      </c>
      <c r="F578" s="26"/>
      <c r="I578" s="4" t="s">
        <v>28</v>
      </c>
      <c r="J578" s="4" t="s">
        <v>29</v>
      </c>
      <c r="K578" s="4" t="s">
        <v>30</v>
      </c>
    </row>
    <row r="579" spans="1:11" x14ac:dyDescent="0.3">
      <c r="A579" t="s">
        <v>186</v>
      </c>
      <c r="B579" s="4" t="s">
        <v>32</v>
      </c>
      <c r="C579" s="4">
        <v>1.65</v>
      </c>
      <c r="D579" s="4">
        <v>19.38</v>
      </c>
      <c r="E579" s="8">
        <f>C579*D579</f>
        <v>31.976999999999997</v>
      </c>
      <c r="F579" s="26"/>
      <c r="G579" t="s">
        <v>186</v>
      </c>
      <c r="H579" s="4" t="s">
        <v>32</v>
      </c>
      <c r="I579" s="4">
        <v>1.7030000000000001</v>
      </c>
      <c r="J579" s="4">
        <v>30.29</v>
      </c>
      <c r="K579" s="8">
        <f>I579*J579</f>
        <v>51.583869999999997</v>
      </c>
    </row>
    <row r="580" spans="1:11" x14ac:dyDescent="0.3">
      <c r="A580" t="s">
        <v>263</v>
      </c>
      <c r="B580" s="4" t="s">
        <v>33</v>
      </c>
      <c r="C580" s="4">
        <v>4.3360000000000003</v>
      </c>
      <c r="D580" s="4">
        <v>10.11</v>
      </c>
      <c r="E580" s="8">
        <f>C580*D580</f>
        <v>43.836959999999998</v>
      </c>
      <c r="F580" s="26"/>
      <c r="G580" t="s">
        <v>263</v>
      </c>
      <c r="H580" s="4" t="s">
        <v>33</v>
      </c>
      <c r="I580" s="4">
        <v>5.1660000000000004</v>
      </c>
      <c r="J580" s="4">
        <v>16</v>
      </c>
      <c r="K580" s="8">
        <f>I580*J580</f>
        <v>82.656000000000006</v>
      </c>
    </row>
    <row r="581" spans="1:11" x14ac:dyDescent="0.3">
      <c r="B581" s="4" t="s">
        <v>137</v>
      </c>
      <c r="C581" s="4">
        <v>0.252</v>
      </c>
      <c r="D581" s="4">
        <v>12.92</v>
      </c>
      <c r="E581" s="8">
        <f>C581*D581</f>
        <v>3.2558400000000001</v>
      </c>
      <c r="F581" s="26"/>
      <c r="H581" s="4" t="s">
        <v>137</v>
      </c>
      <c r="I581" s="4">
        <v>0.252</v>
      </c>
      <c r="J581" s="4">
        <v>17.190000000000001</v>
      </c>
      <c r="K581" s="8">
        <f>I581*J581</f>
        <v>4.33188</v>
      </c>
    </row>
    <row r="582" spans="1:11" x14ac:dyDescent="0.3">
      <c r="B582" s="4" t="s">
        <v>35</v>
      </c>
      <c r="C582" s="4">
        <v>4</v>
      </c>
      <c r="D582" s="4">
        <v>1.89</v>
      </c>
      <c r="E582" s="8">
        <f>C582*D582</f>
        <v>7.56</v>
      </c>
      <c r="F582" s="26"/>
      <c r="H582" s="4" t="s">
        <v>35</v>
      </c>
      <c r="I582" s="4">
        <v>4</v>
      </c>
      <c r="J582" s="4">
        <v>2.89</v>
      </c>
      <c r="K582" s="8">
        <f>I582*J582</f>
        <v>11.56</v>
      </c>
    </row>
    <row r="583" spans="1:11" x14ac:dyDescent="0.3">
      <c r="B583" s="4" t="s">
        <v>36</v>
      </c>
      <c r="C583" s="4">
        <v>4</v>
      </c>
      <c r="D583" s="4">
        <v>0.24</v>
      </c>
      <c r="E583" s="8">
        <f>C583*D583</f>
        <v>0.96</v>
      </c>
      <c r="F583" s="26"/>
      <c r="H583" s="4" t="s">
        <v>36</v>
      </c>
      <c r="I583" s="4">
        <v>4</v>
      </c>
      <c r="J583" s="4">
        <v>0.6</v>
      </c>
      <c r="K583" s="8">
        <f>I583*J583</f>
        <v>2.4</v>
      </c>
    </row>
    <row r="584" spans="1:11" x14ac:dyDescent="0.3">
      <c r="B584" s="4" t="s">
        <v>37</v>
      </c>
      <c r="C584" t="s">
        <v>215</v>
      </c>
      <c r="E584" s="8">
        <v>28</v>
      </c>
      <c r="F584" s="26"/>
      <c r="H584" s="4" t="s">
        <v>37</v>
      </c>
      <c r="I584" t="s">
        <v>215</v>
      </c>
      <c r="K584" s="8">
        <v>28</v>
      </c>
    </row>
    <row r="585" spans="1:11" x14ac:dyDescent="0.3">
      <c r="E585" s="8">
        <f>SUM(E579:E584)</f>
        <v>115.5898</v>
      </c>
      <c r="F585" s="26"/>
      <c r="K585" s="8">
        <f>SUM(K579:K584)</f>
        <v>180.53175000000002</v>
      </c>
    </row>
    <row r="586" spans="1:11" x14ac:dyDescent="0.3">
      <c r="F586" s="26"/>
    </row>
    <row r="587" spans="1:11" x14ac:dyDescent="0.3">
      <c r="C587" s="4" t="s">
        <v>28</v>
      </c>
      <c r="D587" s="4" t="s">
        <v>29</v>
      </c>
      <c r="E587" s="4" t="s">
        <v>30</v>
      </c>
      <c r="F587" s="26"/>
      <c r="I587" s="4" t="s">
        <v>28</v>
      </c>
      <c r="J587" s="4" t="s">
        <v>29</v>
      </c>
      <c r="K587" s="4" t="s">
        <v>30</v>
      </c>
    </row>
    <row r="588" spans="1:11" x14ac:dyDescent="0.3">
      <c r="A588" t="s">
        <v>187</v>
      </c>
      <c r="B588" s="4" t="s">
        <v>32</v>
      </c>
      <c r="C588" s="4">
        <v>1.671</v>
      </c>
      <c r="D588" s="4">
        <v>19.38</v>
      </c>
      <c r="E588" s="8">
        <f>C588*D588</f>
        <v>32.383980000000001</v>
      </c>
      <c r="F588" s="26"/>
      <c r="G588" t="s">
        <v>187</v>
      </c>
      <c r="H588" s="4" t="s">
        <v>32</v>
      </c>
      <c r="I588" s="4">
        <v>1.671</v>
      </c>
      <c r="J588" s="4">
        <v>30.29</v>
      </c>
      <c r="K588" s="8">
        <f>I588*J588</f>
        <v>50.61459</v>
      </c>
    </row>
    <row r="589" spans="1:11" x14ac:dyDescent="0.3">
      <c r="A589" t="s">
        <v>220</v>
      </c>
      <c r="B589" s="4" t="s">
        <v>33</v>
      </c>
      <c r="C589" s="4">
        <v>4.9560000000000004</v>
      </c>
      <c r="D589" s="4">
        <v>10.11</v>
      </c>
      <c r="E589" s="8">
        <f>C589*D589</f>
        <v>50.105159999999998</v>
      </c>
      <c r="F589" s="26"/>
      <c r="G589" t="s">
        <v>220</v>
      </c>
      <c r="H589" s="4" t="s">
        <v>33</v>
      </c>
      <c r="I589" s="4">
        <v>4.9560000000000004</v>
      </c>
      <c r="J589" s="4">
        <v>16</v>
      </c>
      <c r="K589" s="8">
        <f>I589*J589</f>
        <v>79.296000000000006</v>
      </c>
    </row>
    <row r="590" spans="1:11" x14ac:dyDescent="0.3">
      <c r="B590" s="4" t="s">
        <v>137</v>
      </c>
      <c r="C590" s="4">
        <v>0.27300000000000002</v>
      </c>
      <c r="D590" s="4">
        <v>12.92</v>
      </c>
      <c r="E590" s="8">
        <f>C590*D590</f>
        <v>3.5271600000000003</v>
      </c>
      <c r="F590" s="26"/>
      <c r="H590" s="4" t="s">
        <v>137</v>
      </c>
      <c r="I590" s="4">
        <v>0.27300000000000002</v>
      </c>
      <c r="J590" s="4">
        <v>17.190000000000001</v>
      </c>
      <c r="K590" s="8">
        <f>I590*J590</f>
        <v>4.692870000000001</v>
      </c>
    </row>
    <row r="591" spans="1:11" x14ac:dyDescent="0.3">
      <c r="B591" s="4" t="s">
        <v>35</v>
      </c>
      <c r="C591" s="4">
        <v>4</v>
      </c>
      <c r="D591" s="4">
        <v>1.89</v>
      </c>
      <c r="E591" s="8">
        <f>C591*D591</f>
        <v>7.56</v>
      </c>
      <c r="F591" s="26"/>
      <c r="H591" s="4" t="s">
        <v>35</v>
      </c>
      <c r="I591" s="4">
        <v>4</v>
      </c>
      <c r="J591" s="4">
        <v>2.89</v>
      </c>
      <c r="K591" s="8">
        <f>I591*J591</f>
        <v>11.56</v>
      </c>
    </row>
    <row r="592" spans="1:11" x14ac:dyDescent="0.3">
      <c r="B592" s="4" t="s">
        <v>36</v>
      </c>
      <c r="C592" s="4">
        <v>4</v>
      </c>
      <c r="D592" s="4">
        <v>0.24</v>
      </c>
      <c r="E592" s="8">
        <f>C592*D592</f>
        <v>0.96</v>
      </c>
      <c r="F592" s="26"/>
      <c r="H592" s="4" t="s">
        <v>36</v>
      </c>
      <c r="I592" s="4">
        <v>4</v>
      </c>
      <c r="J592" s="4">
        <v>0.6</v>
      </c>
      <c r="K592" s="8">
        <f>I592*J592</f>
        <v>2.4</v>
      </c>
    </row>
    <row r="593" spans="1:17" x14ac:dyDescent="0.3">
      <c r="B593" s="4" t="s">
        <v>37</v>
      </c>
      <c r="C593" t="s">
        <v>264</v>
      </c>
      <c r="E593" s="8">
        <v>35</v>
      </c>
      <c r="F593" s="26"/>
      <c r="H593" s="4" t="s">
        <v>37</v>
      </c>
      <c r="I593" t="s">
        <v>264</v>
      </c>
      <c r="K593" s="8">
        <v>35</v>
      </c>
    </row>
    <row r="594" spans="1:17" x14ac:dyDescent="0.3">
      <c r="E594" s="8">
        <f>SUM(E588:E593)</f>
        <v>129.53629999999998</v>
      </c>
      <c r="F594" s="26"/>
      <c r="K594" s="8">
        <f>SUM(K588:K593)</f>
        <v>183.56346000000002</v>
      </c>
    </row>
    <row r="595" spans="1:17" x14ac:dyDescent="0.3">
      <c r="F595" s="26"/>
    </row>
    <row r="596" spans="1:17" x14ac:dyDescent="0.3">
      <c r="C596" s="4" t="s">
        <v>28</v>
      </c>
      <c r="D596" s="4" t="s">
        <v>29</v>
      </c>
      <c r="E596" s="4" t="s">
        <v>30</v>
      </c>
      <c r="F596" s="26"/>
      <c r="I596" s="4" t="s">
        <v>28</v>
      </c>
      <c r="J596" s="4" t="s">
        <v>29</v>
      </c>
      <c r="K596" s="4" t="s">
        <v>30</v>
      </c>
    </row>
    <row r="597" spans="1:17" x14ac:dyDescent="0.3">
      <c r="A597" t="s">
        <v>188</v>
      </c>
      <c r="B597" s="4" t="s">
        <v>32</v>
      </c>
      <c r="C597" s="4">
        <v>1.6830000000000001</v>
      </c>
      <c r="D597" s="4">
        <v>19.38</v>
      </c>
      <c r="E597" s="8">
        <f>C597*D597</f>
        <v>32.616540000000001</v>
      </c>
      <c r="F597" s="26"/>
      <c r="G597" t="s">
        <v>188</v>
      </c>
      <c r="H597" s="4" t="s">
        <v>32</v>
      </c>
      <c r="I597" s="4">
        <v>1.6830000000000001</v>
      </c>
      <c r="J597" s="4">
        <v>30.29</v>
      </c>
      <c r="K597" s="8">
        <f>I597*J597</f>
        <v>50.978070000000002</v>
      </c>
    </row>
    <row r="598" spans="1:17" x14ac:dyDescent="0.3">
      <c r="A598" t="s">
        <v>178</v>
      </c>
      <c r="B598" s="4" t="s">
        <v>33</v>
      </c>
      <c r="C598" s="4">
        <v>5.5759999999999996</v>
      </c>
      <c r="D598" s="4">
        <v>10.11</v>
      </c>
      <c r="E598" s="8">
        <f>C598*D598</f>
        <v>56.373359999999991</v>
      </c>
      <c r="F598" s="26"/>
      <c r="G598" t="s">
        <v>178</v>
      </c>
      <c r="H598" s="4" t="s">
        <v>33</v>
      </c>
      <c r="I598" s="4">
        <v>5.5759999999999996</v>
      </c>
      <c r="J598" s="4">
        <v>16</v>
      </c>
      <c r="K598" s="8">
        <f>I598*J598</f>
        <v>89.215999999999994</v>
      </c>
    </row>
    <row r="599" spans="1:17" x14ac:dyDescent="0.3">
      <c r="B599" s="4" t="s">
        <v>137</v>
      </c>
      <c r="C599" s="4">
        <v>0.28299999999999997</v>
      </c>
      <c r="D599" s="4">
        <v>12.92</v>
      </c>
      <c r="E599" s="8">
        <f>C599*D599</f>
        <v>3.6563599999999998</v>
      </c>
      <c r="F599" s="26"/>
      <c r="H599" s="4" t="s">
        <v>137</v>
      </c>
      <c r="I599" s="4">
        <v>0.28299999999999997</v>
      </c>
      <c r="J599" s="4">
        <v>17.190000000000001</v>
      </c>
      <c r="K599" s="8">
        <f>I599*J599</f>
        <v>4.86477</v>
      </c>
    </row>
    <row r="600" spans="1:17" x14ac:dyDescent="0.3">
      <c r="B600" s="4" t="s">
        <v>35</v>
      </c>
      <c r="C600" s="4">
        <v>4</v>
      </c>
      <c r="D600" s="4">
        <v>1.89</v>
      </c>
      <c r="E600" s="8">
        <f>C600*D600</f>
        <v>7.56</v>
      </c>
      <c r="F600" s="26"/>
      <c r="H600" s="4" t="s">
        <v>35</v>
      </c>
      <c r="I600" s="4">
        <v>4</v>
      </c>
      <c r="J600" s="4">
        <v>2.89</v>
      </c>
      <c r="K600" s="8">
        <f>I600*J600</f>
        <v>11.56</v>
      </c>
    </row>
    <row r="601" spans="1:17" x14ac:dyDescent="0.3">
      <c r="B601" s="4" t="s">
        <v>36</v>
      </c>
      <c r="C601" s="4">
        <v>4</v>
      </c>
      <c r="D601" s="4">
        <v>0.24</v>
      </c>
      <c r="E601" s="8">
        <f>C601*D601</f>
        <v>0.96</v>
      </c>
      <c r="F601" s="26"/>
      <c r="H601" s="4" t="s">
        <v>36</v>
      </c>
      <c r="I601" s="4">
        <v>4</v>
      </c>
      <c r="J601" s="4">
        <v>0.6</v>
      </c>
      <c r="K601" s="8">
        <f>I601*J601</f>
        <v>2.4</v>
      </c>
    </row>
    <row r="602" spans="1:17" x14ac:dyDescent="0.3">
      <c r="B602" s="4" t="s">
        <v>37</v>
      </c>
      <c r="C602" t="s">
        <v>264</v>
      </c>
      <c r="E602" s="8">
        <v>35</v>
      </c>
      <c r="F602" s="26"/>
      <c r="H602" s="4" t="s">
        <v>37</v>
      </c>
      <c r="I602" t="s">
        <v>264</v>
      </c>
      <c r="K602" s="8">
        <v>35</v>
      </c>
    </row>
    <row r="603" spans="1:17" x14ac:dyDescent="0.3">
      <c r="E603" s="8">
        <f>SUM(E597:E602)</f>
        <v>136.16625999999999</v>
      </c>
      <c r="F603" s="26"/>
      <c r="K603" s="8">
        <f>SUM(K597:K602)</f>
        <v>194.01884000000001</v>
      </c>
      <c r="O603" t="s">
        <v>498</v>
      </c>
    </row>
    <row r="604" spans="1:17" x14ac:dyDescent="0.3">
      <c r="F604" s="26"/>
    </row>
    <row r="605" spans="1:17" x14ac:dyDescent="0.3">
      <c r="C605" s="4" t="s">
        <v>28</v>
      </c>
      <c r="D605" s="4" t="s">
        <v>29</v>
      </c>
      <c r="E605" s="4" t="s">
        <v>30</v>
      </c>
      <c r="F605" s="26"/>
      <c r="I605" s="4" t="s">
        <v>28</v>
      </c>
      <c r="J605" s="4" t="s">
        <v>29</v>
      </c>
      <c r="K605" s="4" t="s">
        <v>30</v>
      </c>
      <c r="O605" s="4" t="s">
        <v>28</v>
      </c>
      <c r="P605" s="4" t="s">
        <v>29</v>
      </c>
      <c r="Q605" s="4" t="s">
        <v>30</v>
      </c>
    </row>
    <row r="606" spans="1:17" x14ac:dyDescent="0.3">
      <c r="A606" t="s">
        <v>67</v>
      </c>
      <c r="B606" s="4" t="s">
        <v>32</v>
      </c>
      <c r="C606" s="4">
        <v>1.7130000000000001</v>
      </c>
      <c r="D606" s="4">
        <v>19.38</v>
      </c>
      <c r="E606" s="8">
        <f>C606*D606</f>
        <v>33.197940000000003</v>
      </c>
      <c r="F606" s="26"/>
      <c r="G606" t="s">
        <v>67</v>
      </c>
      <c r="H606" s="4" t="s">
        <v>32</v>
      </c>
      <c r="I606" s="4">
        <v>1.796</v>
      </c>
      <c r="J606" s="4">
        <v>30.29</v>
      </c>
      <c r="K606" s="8">
        <f>I606*J606</f>
        <v>54.400840000000002</v>
      </c>
      <c r="M606" t="s">
        <v>496</v>
      </c>
      <c r="N606" s="4" t="s">
        <v>32</v>
      </c>
      <c r="O606" s="4">
        <v>1.9059999999999999</v>
      </c>
      <c r="P606" s="4">
        <v>30.29</v>
      </c>
      <c r="Q606" s="8">
        <f>O606*P606</f>
        <v>57.732739999999993</v>
      </c>
    </row>
    <row r="607" spans="1:17" x14ac:dyDescent="0.3">
      <c r="A607" t="s">
        <v>212</v>
      </c>
      <c r="B607" s="4" t="s">
        <v>33</v>
      </c>
      <c r="C607" s="4">
        <v>6.1950000000000003</v>
      </c>
      <c r="D607" s="4">
        <v>10.11</v>
      </c>
      <c r="E607" s="8">
        <f>C607*D607</f>
        <v>62.631450000000001</v>
      </c>
      <c r="F607" s="26"/>
      <c r="G607" t="s">
        <v>212</v>
      </c>
      <c r="H607" s="4" t="s">
        <v>33</v>
      </c>
      <c r="I607" s="4">
        <v>6.49</v>
      </c>
      <c r="J607" s="4">
        <v>16</v>
      </c>
      <c r="K607" s="8">
        <f>I607*J607</f>
        <v>103.84</v>
      </c>
      <c r="M607" t="s">
        <v>212</v>
      </c>
      <c r="N607" s="4" t="s">
        <v>33</v>
      </c>
      <c r="O607" s="4">
        <v>7.04</v>
      </c>
      <c r="P607" s="4">
        <v>16</v>
      </c>
      <c r="Q607" s="8">
        <f>O607*P607</f>
        <v>112.64</v>
      </c>
    </row>
    <row r="608" spans="1:17" x14ac:dyDescent="0.3">
      <c r="B608" s="4" t="s">
        <v>137</v>
      </c>
      <c r="C608" s="4">
        <v>0.315</v>
      </c>
      <c r="D608" s="4">
        <v>12.92</v>
      </c>
      <c r="E608" s="8">
        <f>C608*D608</f>
        <v>4.0697999999999999</v>
      </c>
      <c r="F608" s="26"/>
      <c r="H608" s="4" t="s">
        <v>137</v>
      </c>
      <c r="I608" s="4">
        <v>0.315</v>
      </c>
      <c r="J608" s="4">
        <v>17.190000000000001</v>
      </c>
      <c r="K608" s="8">
        <f>I608*J608</f>
        <v>5.4148500000000004</v>
      </c>
      <c r="N608" s="4" t="s">
        <v>137</v>
      </c>
      <c r="O608" s="4">
        <v>0.315</v>
      </c>
      <c r="P608" s="4">
        <v>17.190000000000001</v>
      </c>
      <c r="Q608" s="8">
        <f>O608*P608</f>
        <v>5.4148500000000004</v>
      </c>
    </row>
    <row r="609" spans="1:17" x14ac:dyDescent="0.3">
      <c r="B609" s="4" t="s">
        <v>216</v>
      </c>
      <c r="C609" s="4">
        <v>4</v>
      </c>
      <c r="D609" s="4">
        <v>1.89</v>
      </c>
      <c r="E609" s="8">
        <f>C609*D609</f>
        <v>7.56</v>
      </c>
      <c r="F609" s="26"/>
      <c r="H609" s="4" t="s">
        <v>216</v>
      </c>
      <c r="I609" s="4">
        <v>4</v>
      </c>
      <c r="J609" s="4">
        <v>2.89</v>
      </c>
      <c r="K609" s="8">
        <f>I609*J609</f>
        <v>11.56</v>
      </c>
      <c r="N609" s="4" t="s">
        <v>216</v>
      </c>
      <c r="O609" s="4">
        <v>4</v>
      </c>
      <c r="P609" s="4">
        <v>2.89</v>
      </c>
      <c r="Q609" s="8">
        <f>O609*P609</f>
        <v>11.56</v>
      </c>
    </row>
    <row r="610" spans="1:17" x14ac:dyDescent="0.3">
      <c r="B610" s="4" t="s">
        <v>36</v>
      </c>
      <c r="C610" s="4">
        <v>4</v>
      </c>
      <c r="D610" s="4">
        <v>0.24</v>
      </c>
      <c r="E610" s="8">
        <f>C610*D610</f>
        <v>0.96</v>
      </c>
      <c r="F610" s="26"/>
      <c r="H610" s="4" t="s">
        <v>36</v>
      </c>
      <c r="I610" s="4">
        <v>4</v>
      </c>
      <c r="J610" s="4">
        <v>0.6</v>
      </c>
      <c r="K610" s="8">
        <f>I610*J610</f>
        <v>2.4</v>
      </c>
      <c r="N610" s="4" t="s">
        <v>36</v>
      </c>
      <c r="O610" s="4">
        <v>4</v>
      </c>
      <c r="P610" s="4">
        <v>0.6</v>
      </c>
      <c r="Q610" s="8">
        <f>O610*P610</f>
        <v>2.4</v>
      </c>
    </row>
    <row r="611" spans="1:17" x14ac:dyDescent="0.3">
      <c r="B611" s="4" t="s">
        <v>37</v>
      </c>
      <c r="E611" s="8">
        <v>63.9</v>
      </c>
      <c r="F611" s="26"/>
      <c r="H611" s="4" t="s">
        <v>37</v>
      </c>
      <c r="K611" s="8">
        <v>63.9</v>
      </c>
      <c r="N611" s="4" t="s">
        <v>37</v>
      </c>
      <c r="Q611" s="8">
        <v>63.9</v>
      </c>
    </row>
    <row r="612" spans="1:17" x14ac:dyDescent="0.3">
      <c r="E612" s="8">
        <f>SUM(E606:E611)</f>
        <v>172.31918999999999</v>
      </c>
      <c r="F612" s="26"/>
      <c r="K612" s="8">
        <f>SUM(K606:K611)</f>
        <v>241.51569000000001</v>
      </c>
      <c r="Q612" s="8">
        <f>SUM(Q606:Q611)</f>
        <v>253.64759000000001</v>
      </c>
    </row>
    <row r="613" spans="1:17" x14ac:dyDescent="0.3">
      <c r="F613" s="26"/>
    </row>
    <row r="614" spans="1:17" x14ac:dyDescent="0.3">
      <c r="C614" s="4" t="s">
        <v>28</v>
      </c>
      <c r="D614" s="4" t="s">
        <v>29</v>
      </c>
      <c r="E614" s="4" t="s">
        <v>30</v>
      </c>
      <c r="F614" s="26"/>
      <c r="I614" s="4" t="s">
        <v>28</v>
      </c>
      <c r="J614" s="4" t="s">
        <v>29</v>
      </c>
      <c r="K614" s="4" t="s">
        <v>30</v>
      </c>
    </row>
    <row r="615" spans="1:17" x14ac:dyDescent="0.3">
      <c r="A615" t="s">
        <v>77</v>
      </c>
      <c r="B615" s="4" t="s">
        <v>32</v>
      </c>
      <c r="C615" s="4">
        <v>1.8180000000000001</v>
      </c>
      <c r="D615" s="4">
        <v>19.38</v>
      </c>
      <c r="E615" s="8">
        <f>C615*D615</f>
        <v>35.232839999999996</v>
      </c>
      <c r="F615" s="26"/>
      <c r="G615" t="s">
        <v>77</v>
      </c>
      <c r="H615" s="4" t="s">
        <v>32</v>
      </c>
      <c r="I615" s="4">
        <v>1.8180000000000001</v>
      </c>
      <c r="J615" s="4">
        <v>30.29</v>
      </c>
      <c r="K615" s="8">
        <f>I615*J615</f>
        <v>55.067219999999999</v>
      </c>
      <c r="O615" s="4" t="s">
        <v>28</v>
      </c>
      <c r="P615" s="4" t="s">
        <v>29</v>
      </c>
      <c r="Q615" s="4" t="s">
        <v>30</v>
      </c>
    </row>
    <row r="616" spans="1:17" x14ac:dyDescent="0.3">
      <c r="A616" t="s">
        <v>217</v>
      </c>
      <c r="B616" s="4" t="s">
        <v>33</v>
      </c>
      <c r="C616" s="4">
        <v>8.673</v>
      </c>
      <c r="D616" s="4">
        <v>10.11</v>
      </c>
      <c r="E616" s="8">
        <f>C616*D616</f>
        <v>87.684029999999993</v>
      </c>
      <c r="F616" s="26"/>
      <c r="G616" t="s">
        <v>217</v>
      </c>
      <c r="H616" s="4" t="s">
        <v>33</v>
      </c>
      <c r="I616" s="4">
        <v>8.673</v>
      </c>
      <c r="J616" s="4">
        <v>16</v>
      </c>
      <c r="K616" s="8">
        <f>I616*J616</f>
        <v>138.768</v>
      </c>
      <c r="M616" t="s">
        <v>497</v>
      </c>
      <c r="N616" s="4" t="s">
        <v>32</v>
      </c>
      <c r="O616" s="4">
        <v>2.4119999999999999</v>
      </c>
      <c r="P616" s="4">
        <v>30.29</v>
      </c>
      <c r="Q616" s="8">
        <f>O616*P616</f>
        <v>73.059479999999994</v>
      </c>
    </row>
    <row r="617" spans="1:17" x14ac:dyDescent="0.3">
      <c r="A617" t="s">
        <v>270</v>
      </c>
      <c r="B617" s="4" t="s">
        <v>137</v>
      </c>
      <c r="C617" s="4">
        <v>0.63</v>
      </c>
      <c r="D617" s="4">
        <v>12.92</v>
      </c>
      <c r="E617" s="8">
        <f>C617*D617</f>
        <v>8.1395999999999997</v>
      </c>
      <c r="F617" s="26"/>
      <c r="H617" s="4" t="s">
        <v>137</v>
      </c>
      <c r="I617" s="4">
        <v>0.63</v>
      </c>
      <c r="J617" s="4">
        <v>17.190000000000001</v>
      </c>
      <c r="K617" s="8">
        <f>I617*J617</f>
        <v>10.829700000000001</v>
      </c>
      <c r="M617" t="s">
        <v>212</v>
      </c>
      <c r="N617" s="4" t="s">
        <v>33</v>
      </c>
      <c r="O617" s="4">
        <v>9.57</v>
      </c>
      <c r="P617" s="4">
        <v>16</v>
      </c>
      <c r="Q617" s="8">
        <f>O617*P617</f>
        <v>153.12</v>
      </c>
    </row>
    <row r="618" spans="1:17" x14ac:dyDescent="0.3">
      <c r="B618" s="4" t="s">
        <v>216</v>
      </c>
      <c r="C618" s="4">
        <v>4</v>
      </c>
      <c r="D618" s="4">
        <v>1.89</v>
      </c>
      <c r="E618" s="8">
        <f>C618*D618</f>
        <v>7.56</v>
      </c>
      <c r="F618" s="26"/>
      <c r="H618" s="4" t="s">
        <v>216</v>
      </c>
      <c r="I618" s="4">
        <v>4</v>
      </c>
      <c r="J618" s="4">
        <v>2.89</v>
      </c>
      <c r="K618" s="8">
        <f>I618*J618</f>
        <v>11.56</v>
      </c>
      <c r="N618" s="4" t="s">
        <v>137</v>
      </c>
      <c r="O618" s="4">
        <v>0.315</v>
      </c>
      <c r="P618" s="4">
        <v>17.190000000000001</v>
      </c>
      <c r="Q618" s="8">
        <f>O618*P618</f>
        <v>5.4148500000000004</v>
      </c>
    </row>
    <row r="619" spans="1:17" x14ac:dyDescent="0.3">
      <c r="B619" s="4" t="s">
        <v>36</v>
      </c>
      <c r="C619" s="4">
        <v>4</v>
      </c>
      <c r="D619" s="4">
        <v>0.24</v>
      </c>
      <c r="E619" s="8">
        <f>C619*D619</f>
        <v>0.96</v>
      </c>
      <c r="F619" s="26"/>
      <c r="H619" s="4" t="s">
        <v>36</v>
      </c>
      <c r="I619" s="4">
        <v>4</v>
      </c>
      <c r="J619" s="4">
        <v>0.6</v>
      </c>
      <c r="K619" s="8">
        <f>I619*J619</f>
        <v>2.4</v>
      </c>
      <c r="N619" s="4" t="s">
        <v>216</v>
      </c>
      <c r="O619" s="4">
        <v>4</v>
      </c>
      <c r="P619" s="4">
        <v>2.89</v>
      </c>
      <c r="Q619" s="8">
        <f>O619*P619</f>
        <v>11.56</v>
      </c>
    </row>
    <row r="620" spans="1:17" x14ac:dyDescent="0.3">
      <c r="B620" s="4" t="s">
        <v>37</v>
      </c>
      <c r="C620" t="s">
        <v>264</v>
      </c>
      <c r="E620" s="8">
        <v>35</v>
      </c>
      <c r="F620" s="26"/>
      <c r="H620" s="4" t="s">
        <v>37</v>
      </c>
      <c r="I620" t="s">
        <v>266</v>
      </c>
      <c r="K620" s="8">
        <v>63.9</v>
      </c>
      <c r="N620" s="4" t="s">
        <v>36</v>
      </c>
      <c r="O620" s="4">
        <v>4</v>
      </c>
      <c r="P620" s="4">
        <v>0.6</v>
      </c>
      <c r="Q620" s="8">
        <f>O620*P620</f>
        <v>2.4</v>
      </c>
    </row>
    <row r="621" spans="1:17" x14ac:dyDescent="0.3">
      <c r="E621" s="8">
        <f>SUM(E615:E620)</f>
        <v>174.57647</v>
      </c>
      <c r="F621" s="26"/>
      <c r="K621" s="8">
        <f>SUM(K615:K620)</f>
        <v>282.52492000000001</v>
      </c>
      <c r="N621" s="4" t="s">
        <v>37</v>
      </c>
      <c r="Q621" s="8">
        <v>63.9</v>
      </c>
    </row>
    <row r="622" spans="1:17" x14ac:dyDescent="0.3">
      <c r="F622" s="26"/>
      <c r="Q622" s="8">
        <f>SUM(Q616:Q621)</f>
        <v>309.45433000000003</v>
      </c>
    </row>
    <row r="623" spans="1:17" x14ac:dyDescent="0.3">
      <c r="C623" s="4" t="s">
        <v>28</v>
      </c>
      <c r="D623" s="4" t="s">
        <v>29</v>
      </c>
      <c r="E623" s="4" t="s">
        <v>30</v>
      </c>
      <c r="F623" s="26"/>
      <c r="I623" s="4" t="s">
        <v>28</v>
      </c>
      <c r="J623" s="4" t="s">
        <v>29</v>
      </c>
      <c r="K623" s="4" t="s">
        <v>30</v>
      </c>
    </row>
    <row r="624" spans="1:17" x14ac:dyDescent="0.3">
      <c r="A624" t="s">
        <v>189</v>
      </c>
      <c r="B624" s="4" t="s">
        <v>32</v>
      </c>
      <c r="C624" s="4">
        <v>1.9239999999999999</v>
      </c>
      <c r="D624" s="4">
        <v>19.38</v>
      </c>
      <c r="E624" s="8">
        <f>C624*D624</f>
        <v>37.287119999999994</v>
      </c>
      <c r="F624" s="26"/>
      <c r="G624" t="s">
        <v>189</v>
      </c>
      <c r="H624" s="4" t="s">
        <v>32</v>
      </c>
      <c r="I624" s="4">
        <v>1.9239999999999999</v>
      </c>
      <c r="J624" s="4">
        <v>30.29</v>
      </c>
      <c r="K624" s="8">
        <f>I624*J624</f>
        <v>58.277959999999993</v>
      </c>
    </row>
    <row r="625" spans="1:18" x14ac:dyDescent="0.3">
      <c r="A625" t="s">
        <v>218</v>
      </c>
      <c r="B625" s="4" t="s">
        <v>33</v>
      </c>
      <c r="C625" s="4">
        <v>10.54</v>
      </c>
      <c r="D625" s="4">
        <v>10.11</v>
      </c>
      <c r="E625" s="8">
        <f>C625*D625</f>
        <v>106.55939999999998</v>
      </c>
      <c r="F625" s="26"/>
      <c r="G625" t="s">
        <v>218</v>
      </c>
      <c r="H625" s="4" t="s">
        <v>33</v>
      </c>
      <c r="I625" s="4">
        <v>10.54</v>
      </c>
      <c r="J625" s="4">
        <v>16</v>
      </c>
      <c r="K625" s="8">
        <f>I625*J625</f>
        <v>168.64</v>
      </c>
    </row>
    <row r="626" spans="1:18" x14ac:dyDescent="0.3">
      <c r="A626" t="s">
        <v>270</v>
      </c>
      <c r="B626" s="4" t="s">
        <v>137</v>
      </c>
      <c r="C626" s="4">
        <v>0.78700000000000003</v>
      </c>
      <c r="D626" s="4">
        <v>12.92</v>
      </c>
      <c r="E626" s="8">
        <f>C626*D626</f>
        <v>10.16804</v>
      </c>
      <c r="F626" s="26"/>
      <c r="H626" s="4" t="s">
        <v>137</v>
      </c>
      <c r="I626" s="4">
        <v>0.78700000000000003</v>
      </c>
      <c r="J626" s="4">
        <v>17.190000000000001</v>
      </c>
      <c r="K626" s="8">
        <f>I626*J626</f>
        <v>13.528530000000002</v>
      </c>
    </row>
    <row r="627" spans="1:18" x14ac:dyDescent="0.3">
      <c r="B627" s="4" t="s">
        <v>35</v>
      </c>
      <c r="C627" s="4">
        <v>4</v>
      </c>
      <c r="D627" s="4">
        <v>1.89</v>
      </c>
      <c r="E627" s="8">
        <f>C627*D627</f>
        <v>7.56</v>
      </c>
      <c r="F627" s="26"/>
      <c r="H627" s="4" t="s">
        <v>35</v>
      </c>
      <c r="I627" s="4">
        <v>4</v>
      </c>
      <c r="J627" s="4">
        <v>2.89</v>
      </c>
      <c r="K627" s="8">
        <f>I627*J627</f>
        <v>11.56</v>
      </c>
    </row>
    <row r="628" spans="1:18" x14ac:dyDescent="0.3">
      <c r="B628" s="4" t="s">
        <v>36</v>
      </c>
      <c r="C628" s="4">
        <v>4</v>
      </c>
      <c r="D628" s="4">
        <v>0.24</v>
      </c>
      <c r="E628" s="8">
        <f>C628*D628</f>
        <v>0.96</v>
      </c>
      <c r="F628" s="26"/>
      <c r="H628" s="4" t="s">
        <v>36</v>
      </c>
      <c r="I628" s="4">
        <v>4</v>
      </c>
      <c r="J628" s="4">
        <v>0.6</v>
      </c>
      <c r="K628" s="8">
        <f>I628*J628</f>
        <v>2.4</v>
      </c>
    </row>
    <row r="629" spans="1:18" x14ac:dyDescent="0.3">
      <c r="B629" s="4" t="s">
        <v>37</v>
      </c>
      <c r="C629" t="s">
        <v>264</v>
      </c>
      <c r="E629" s="8">
        <v>35</v>
      </c>
      <c r="F629" s="26"/>
      <c r="H629" s="4" t="s">
        <v>37</v>
      </c>
      <c r="I629" t="s">
        <v>264</v>
      </c>
      <c r="K629" s="8">
        <v>35</v>
      </c>
    </row>
    <row r="630" spans="1:18" x14ac:dyDescent="0.3">
      <c r="E630" s="8">
        <f>SUM(E624:E629)</f>
        <v>197.53455999999997</v>
      </c>
      <c r="F630" s="26"/>
      <c r="K630" s="8">
        <f>SUM(K624:K629)</f>
        <v>289.40648999999996</v>
      </c>
    </row>
    <row r="631" spans="1:18" x14ac:dyDescent="0.3">
      <c r="F631" s="26"/>
      <c r="P631" s="4" t="s">
        <v>28</v>
      </c>
      <c r="Q631" s="4" t="s">
        <v>29</v>
      </c>
      <c r="R631" s="4" t="s">
        <v>30</v>
      </c>
    </row>
    <row r="632" spans="1:18" x14ac:dyDescent="0.3">
      <c r="C632" s="4" t="s">
        <v>28</v>
      </c>
      <c r="D632" s="4" t="s">
        <v>29</v>
      </c>
      <c r="E632" s="4" t="s">
        <v>30</v>
      </c>
      <c r="F632" s="26"/>
      <c r="I632" s="4" t="s">
        <v>28</v>
      </c>
      <c r="J632" s="4" t="s">
        <v>29</v>
      </c>
      <c r="K632" s="4" t="s">
        <v>30</v>
      </c>
      <c r="N632" t="s">
        <v>347</v>
      </c>
      <c r="O632" s="4" t="s">
        <v>32</v>
      </c>
      <c r="P632" s="4">
        <v>2.2360000000000002</v>
      </c>
      <c r="Q632" s="4">
        <v>30.29</v>
      </c>
      <c r="R632" s="8">
        <f>P632*Q632</f>
        <v>67.728440000000006</v>
      </c>
    </row>
    <row r="633" spans="1:18" x14ac:dyDescent="0.3">
      <c r="A633" t="s">
        <v>105</v>
      </c>
      <c r="B633" s="4" t="s">
        <v>32</v>
      </c>
      <c r="C633" s="4">
        <v>2.028</v>
      </c>
      <c r="D633" s="4">
        <v>19.38</v>
      </c>
      <c r="E633" s="8">
        <f>C633*D633</f>
        <v>39.302639999999997</v>
      </c>
      <c r="F633" s="26"/>
      <c r="G633" t="s">
        <v>105</v>
      </c>
      <c r="H633" s="4" t="s">
        <v>32</v>
      </c>
      <c r="I633" s="4">
        <v>2.125</v>
      </c>
      <c r="J633" s="4">
        <v>30.29</v>
      </c>
      <c r="K633" s="8">
        <f>I633*J633</f>
        <v>64.366249999999994</v>
      </c>
      <c r="N633" t="s">
        <v>167</v>
      </c>
      <c r="O633" s="4" t="s">
        <v>33</v>
      </c>
      <c r="P633" s="4">
        <v>14.84</v>
      </c>
      <c r="Q633" s="4">
        <v>16</v>
      </c>
      <c r="R633" s="8">
        <f>P633*Q633</f>
        <v>237.44</v>
      </c>
    </row>
    <row r="634" spans="1:18" x14ac:dyDescent="0.3">
      <c r="A634" t="s">
        <v>167</v>
      </c>
      <c r="B634" s="4" t="s">
        <v>33</v>
      </c>
      <c r="C634" s="4">
        <v>13.009</v>
      </c>
      <c r="D634" s="4">
        <v>10.11</v>
      </c>
      <c r="E634" s="8">
        <f>C634*D634</f>
        <v>131.52098999999998</v>
      </c>
      <c r="F634" s="26"/>
      <c r="G634" t="s">
        <v>167</v>
      </c>
      <c r="H634" s="4" t="s">
        <v>33</v>
      </c>
      <c r="I634" s="4">
        <v>13.629</v>
      </c>
      <c r="J634" s="4">
        <v>16</v>
      </c>
      <c r="K634" s="8">
        <f>I634*J634</f>
        <v>218.06399999999999</v>
      </c>
      <c r="O634" s="4" t="s">
        <v>137</v>
      </c>
      <c r="P634" s="4">
        <v>0.94499999999999995</v>
      </c>
      <c r="Q634" s="4">
        <v>17.190000000000001</v>
      </c>
      <c r="R634" s="8">
        <f>P634*Q634</f>
        <v>16.24455</v>
      </c>
    </row>
    <row r="635" spans="1:18" x14ac:dyDescent="0.3">
      <c r="A635" t="s">
        <v>270</v>
      </c>
      <c r="B635" s="4" t="s">
        <v>137</v>
      </c>
      <c r="C635" s="4">
        <v>0.94499999999999995</v>
      </c>
      <c r="D635" s="4">
        <v>12.92</v>
      </c>
      <c r="E635" s="8">
        <f>C635*D635</f>
        <v>12.209399999999999</v>
      </c>
      <c r="F635" s="26"/>
      <c r="H635" s="4" t="s">
        <v>137</v>
      </c>
      <c r="I635" s="4">
        <v>0.94499999999999995</v>
      </c>
      <c r="J635" s="4">
        <v>17.190000000000001</v>
      </c>
      <c r="K635" s="8">
        <f>I635*J635</f>
        <v>16.24455</v>
      </c>
      <c r="O635" s="4" t="s">
        <v>35</v>
      </c>
      <c r="P635" s="4">
        <v>4</v>
      </c>
      <c r="Q635" s="4">
        <v>2.89</v>
      </c>
      <c r="R635" s="8">
        <f>P635*Q635</f>
        <v>11.56</v>
      </c>
    </row>
    <row r="636" spans="1:18" x14ac:dyDescent="0.3">
      <c r="B636" s="4" t="s">
        <v>35</v>
      </c>
      <c r="C636" s="4">
        <v>4</v>
      </c>
      <c r="D636" s="4">
        <v>1.89</v>
      </c>
      <c r="E636" s="8">
        <f>C636*D636</f>
        <v>7.56</v>
      </c>
      <c r="F636" s="26"/>
      <c r="H636" s="4" t="s">
        <v>35</v>
      </c>
      <c r="I636" s="4">
        <v>4</v>
      </c>
      <c r="J636" s="4">
        <v>2.89</v>
      </c>
      <c r="K636" s="8">
        <f>I636*J636</f>
        <v>11.56</v>
      </c>
      <c r="O636" s="4" t="s">
        <v>36</v>
      </c>
      <c r="P636" s="4">
        <v>4</v>
      </c>
      <c r="Q636" s="4">
        <v>0.6</v>
      </c>
      <c r="R636" s="8">
        <f>P636*Q636</f>
        <v>2.4</v>
      </c>
    </row>
    <row r="637" spans="1:18" x14ac:dyDescent="0.3">
      <c r="B637" s="4" t="s">
        <v>36</v>
      </c>
      <c r="C637" s="4">
        <v>4</v>
      </c>
      <c r="D637" s="4">
        <v>0.24</v>
      </c>
      <c r="E637" s="8">
        <f>C637*D637</f>
        <v>0.96</v>
      </c>
      <c r="F637" s="26"/>
      <c r="H637" s="4" t="s">
        <v>36</v>
      </c>
      <c r="I637" s="4">
        <v>4</v>
      </c>
      <c r="J637" s="4">
        <v>0.6</v>
      </c>
      <c r="K637" s="8">
        <f>I637*J637</f>
        <v>2.4</v>
      </c>
      <c r="O637" s="4" t="s">
        <v>37</v>
      </c>
      <c r="P637" t="s">
        <v>265</v>
      </c>
      <c r="R637" s="8">
        <v>42</v>
      </c>
    </row>
    <row r="638" spans="1:18" x14ac:dyDescent="0.3">
      <c r="B638" s="4" t="s">
        <v>37</v>
      </c>
      <c r="C638" t="s">
        <v>265</v>
      </c>
      <c r="E638" s="8">
        <v>42</v>
      </c>
      <c r="F638" s="26"/>
      <c r="H638" s="4" t="s">
        <v>37</v>
      </c>
      <c r="I638">
        <v>85</v>
      </c>
      <c r="K638" s="8">
        <v>85</v>
      </c>
      <c r="R638" s="8">
        <f>SUM(R632:R637)</f>
        <v>377.37299000000002</v>
      </c>
    </row>
    <row r="639" spans="1:18" x14ac:dyDescent="0.3">
      <c r="E639" s="8">
        <f>SUM(E633:E638)</f>
        <v>233.55302999999998</v>
      </c>
      <c r="F639" s="26"/>
      <c r="K639" s="8">
        <f>SUM(K633:K638)</f>
        <v>397.63479999999998</v>
      </c>
    </row>
    <row r="640" spans="1:18" x14ac:dyDescent="0.3">
      <c r="F640" s="26"/>
    </row>
    <row r="641" spans="1:18" x14ac:dyDescent="0.3">
      <c r="F641" s="26"/>
    </row>
    <row r="642" spans="1:18" ht="23.4" x14ac:dyDescent="0.45">
      <c r="C642" s="4" t="s">
        <v>28</v>
      </c>
      <c r="D642" s="4" t="s">
        <v>29</v>
      </c>
      <c r="E642" s="4" t="s">
        <v>30</v>
      </c>
      <c r="F642" s="26"/>
      <c r="I642" s="4" t="s">
        <v>28</v>
      </c>
      <c r="J642" s="4" t="s">
        <v>29</v>
      </c>
      <c r="K642" s="4" t="s">
        <v>30</v>
      </c>
      <c r="N642" s="36"/>
      <c r="O642" s="36"/>
      <c r="P642" s="37" t="s">
        <v>28</v>
      </c>
      <c r="Q642" s="37" t="s">
        <v>29</v>
      </c>
      <c r="R642" s="37" t="s">
        <v>30</v>
      </c>
    </row>
    <row r="643" spans="1:18" ht="23.4" x14ac:dyDescent="0.45">
      <c r="A643" t="s">
        <v>119</v>
      </c>
      <c r="B643" s="4" t="s">
        <v>32</v>
      </c>
      <c r="C643" s="4">
        <v>2.3460000000000001</v>
      </c>
      <c r="D643" s="4">
        <v>19.38</v>
      </c>
      <c r="E643" s="8">
        <f>C643*D643</f>
        <v>45.465479999999999</v>
      </c>
      <c r="F643" s="26"/>
      <c r="G643" t="s">
        <v>119</v>
      </c>
      <c r="H643" s="4" t="s">
        <v>32</v>
      </c>
      <c r="I643" s="4">
        <v>2.3460000000000001</v>
      </c>
      <c r="J643" s="4">
        <v>30.29</v>
      </c>
      <c r="K643" s="8">
        <f>I643*J643</f>
        <v>71.060339999999997</v>
      </c>
      <c r="N643" s="36" t="s">
        <v>119</v>
      </c>
      <c r="O643" s="37" t="s">
        <v>32</v>
      </c>
      <c r="P643" s="37">
        <v>2.238</v>
      </c>
      <c r="Q643" s="4">
        <v>30.29</v>
      </c>
      <c r="R643" s="38">
        <f>P643*Q643</f>
        <v>67.789019999999994</v>
      </c>
    </row>
    <row r="644" spans="1:18" ht="23.4" x14ac:dyDescent="0.45">
      <c r="A644" t="s">
        <v>168</v>
      </c>
      <c r="B644" s="4" t="s">
        <v>33</v>
      </c>
      <c r="C644" s="4">
        <v>18.821000000000002</v>
      </c>
      <c r="D644" s="4">
        <v>10.11</v>
      </c>
      <c r="E644" s="8">
        <f>C644*D644</f>
        <v>190.28031000000001</v>
      </c>
      <c r="F644" s="26"/>
      <c r="G644" t="s">
        <v>168</v>
      </c>
      <c r="H644" s="4" t="s">
        <v>33</v>
      </c>
      <c r="I644" s="4">
        <v>18.821000000000002</v>
      </c>
      <c r="J644" s="4">
        <v>16</v>
      </c>
      <c r="K644" s="8">
        <f>I644*J644</f>
        <v>301.13600000000002</v>
      </c>
      <c r="N644" s="36" t="s">
        <v>168</v>
      </c>
      <c r="O644" s="37" t="s">
        <v>33</v>
      </c>
      <c r="P644" s="37">
        <v>17.965</v>
      </c>
      <c r="Q644" s="4">
        <v>16</v>
      </c>
      <c r="R644" s="38">
        <f>P644*Q644</f>
        <v>287.44</v>
      </c>
    </row>
    <row r="645" spans="1:18" ht="23.4" x14ac:dyDescent="0.45">
      <c r="A645" t="s">
        <v>270</v>
      </c>
      <c r="B645" s="4" t="s">
        <v>137</v>
      </c>
      <c r="C645" s="4">
        <v>1.26</v>
      </c>
      <c r="D645" s="4">
        <v>12.92</v>
      </c>
      <c r="E645" s="8">
        <f>C645*D645</f>
        <v>16.279199999999999</v>
      </c>
      <c r="F645" s="26"/>
      <c r="H645" s="4" t="s">
        <v>137</v>
      </c>
      <c r="I645" s="4">
        <v>1.26</v>
      </c>
      <c r="J645" s="4">
        <v>17.190000000000001</v>
      </c>
      <c r="K645" s="8">
        <f>I645*J645</f>
        <v>21.659400000000002</v>
      </c>
      <c r="N645" s="36"/>
      <c r="O645" s="37" t="s">
        <v>137</v>
      </c>
      <c r="P645" s="37">
        <v>1.26</v>
      </c>
      <c r="Q645" s="4">
        <v>17.190000000000001</v>
      </c>
      <c r="R645" s="38">
        <f>P645*Q645</f>
        <v>21.659400000000002</v>
      </c>
    </row>
    <row r="646" spans="1:18" ht="23.4" x14ac:dyDescent="0.45">
      <c r="B646" s="4" t="s">
        <v>35</v>
      </c>
      <c r="C646" s="4">
        <v>4</v>
      </c>
      <c r="D646" s="4">
        <v>1.89</v>
      </c>
      <c r="E646" s="8">
        <f>C646*D646</f>
        <v>7.56</v>
      </c>
      <c r="F646" s="26"/>
      <c r="H646" s="4" t="s">
        <v>35</v>
      </c>
      <c r="I646" s="4">
        <v>4</v>
      </c>
      <c r="J646" s="4">
        <v>2.89</v>
      </c>
      <c r="K646" s="8">
        <f>I646*J646</f>
        <v>11.56</v>
      </c>
      <c r="N646" s="36"/>
      <c r="O646" s="37" t="s">
        <v>35</v>
      </c>
      <c r="P646" s="37">
        <v>4</v>
      </c>
      <c r="Q646" s="4">
        <v>2.89</v>
      </c>
      <c r="R646" s="38">
        <f>P646*Q646</f>
        <v>11.56</v>
      </c>
    </row>
    <row r="647" spans="1:18" ht="23.4" x14ac:dyDescent="0.45">
      <c r="B647" s="4" t="s">
        <v>36</v>
      </c>
      <c r="C647" s="4">
        <v>4</v>
      </c>
      <c r="D647" s="4">
        <v>0.24</v>
      </c>
      <c r="E647" s="8">
        <f>C647*D647</f>
        <v>0.96</v>
      </c>
      <c r="F647" s="26"/>
      <c r="H647" s="4" t="s">
        <v>36</v>
      </c>
      <c r="I647" s="4">
        <v>4</v>
      </c>
      <c r="J647" s="4">
        <v>0.6</v>
      </c>
      <c r="K647" s="8">
        <f>I647*J647</f>
        <v>2.4</v>
      </c>
      <c r="N647" s="36"/>
      <c r="O647" s="37" t="s">
        <v>36</v>
      </c>
      <c r="P647" s="37">
        <v>4</v>
      </c>
      <c r="Q647" s="4">
        <v>0.6</v>
      </c>
      <c r="R647" s="38">
        <f>P647*Q647</f>
        <v>2.4</v>
      </c>
    </row>
    <row r="648" spans="1:18" ht="23.4" x14ac:dyDescent="0.45">
      <c r="B648" s="4" t="s">
        <v>37</v>
      </c>
      <c r="C648">
        <v>85</v>
      </c>
      <c r="E648" s="8">
        <v>85</v>
      </c>
      <c r="F648" s="26"/>
      <c r="K648" s="9">
        <f>SUM(K643:K647)</f>
        <v>407.81574000000001</v>
      </c>
      <c r="N648" s="36"/>
      <c r="O648" s="36"/>
      <c r="P648" s="36"/>
      <c r="Q648" s="36"/>
      <c r="R648" s="39">
        <f>SUM(R643:R647)</f>
        <v>390.84841999999998</v>
      </c>
    </row>
    <row r="649" spans="1:18" ht="23.4" x14ac:dyDescent="0.45">
      <c r="E649" s="8">
        <f>SUM(E643:E648)</f>
        <v>345.54498999999998</v>
      </c>
      <c r="F649" s="26"/>
      <c r="H649" s="4" t="s">
        <v>37</v>
      </c>
      <c r="I649">
        <v>85</v>
      </c>
      <c r="K649" s="8">
        <v>85</v>
      </c>
      <c r="N649" s="36"/>
      <c r="O649" s="37" t="s">
        <v>37</v>
      </c>
      <c r="P649" s="36" t="s">
        <v>319</v>
      </c>
      <c r="Q649" s="36"/>
      <c r="R649" s="38">
        <v>85</v>
      </c>
    </row>
    <row r="650" spans="1:18" ht="23.4" x14ac:dyDescent="0.45">
      <c r="F650" s="26"/>
      <c r="K650" s="8">
        <f>SUM(K648:K649)</f>
        <v>492.81574000000001</v>
      </c>
      <c r="N650" s="36"/>
      <c r="O650" s="36"/>
      <c r="P650" s="36"/>
      <c r="Q650" s="36"/>
      <c r="R650" s="38">
        <f>SUM(R648:R649)</f>
        <v>475.84841999999998</v>
      </c>
    </row>
    <row r="651" spans="1:18" x14ac:dyDescent="0.3">
      <c r="F651" s="26"/>
    </row>
    <row r="652" spans="1:18" x14ac:dyDescent="0.3">
      <c r="C652" s="4" t="s">
        <v>28</v>
      </c>
      <c r="D652" s="4" t="s">
        <v>29</v>
      </c>
      <c r="E652" s="4" t="s">
        <v>30</v>
      </c>
      <c r="F652" s="26"/>
      <c r="I652" s="4" t="s">
        <v>28</v>
      </c>
      <c r="J652" s="4" t="s">
        <v>29</v>
      </c>
      <c r="K652" s="4" t="s">
        <v>30</v>
      </c>
    </row>
    <row r="653" spans="1:18" x14ac:dyDescent="0.3">
      <c r="A653" t="s">
        <v>191</v>
      </c>
      <c r="B653" s="4" t="s">
        <v>32</v>
      </c>
      <c r="C653" s="4">
        <v>1.6919999999999999</v>
      </c>
      <c r="D653" s="4">
        <v>19.38</v>
      </c>
      <c r="E653" s="8">
        <f>C653*D653</f>
        <v>32.790959999999998</v>
      </c>
      <c r="F653" s="26"/>
      <c r="G653" t="s">
        <v>191</v>
      </c>
      <c r="H653" s="4" t="s">
        <v>32</v>
      </c>
      <c r="I653" s="4">
        <v>1.6919999999999999</v>
      </c>
      <c r="J653" s="4">
        <v>30.29</v>
      </c>
      <c r="K653" s="8">
        <f>I653*J653</f>
        <v>51.250679999999996</v>
      </c>
      <c r="P653" s="4" t="s">
        <v>28</v>
      </c>
      <c r="Q653" s="4" t="s">
        <v>29</v>
      </c>
      <c r="R653" s="4" t="s">
        <v>30</v>
      </c>
    </row>
    <row r="654" spans="1:18" x14ac:dyDescent="0.3">
      <c r="A654" t="s">
        <v>219</v>
      </c>
      <c r="B654" s="4" t="s">
        <v>33</v>
      </c>
      <c r="C654" s="4">
        <v>0.72399999999999998</v>
      </c>
      <c r="D654" s="4">
        <v>10.11</v>
      </c>
      <c r="E654" s="8">
        <f>C654*D654</f>
        <v>7.3196399999999997</v>
      </c>
      <c r="F654" s="26"/>
      <c r="G654" t="s">
        <v>219</v>
      </c>
      <c r="H654" s="4" t="s">
        <v>33</v>
      </c>
      <c r="I654" s="4">
        <v>0.72399999999999998</v>
      </c>
      <c r="J654" s="4">
        <v>16</v>
      </c>
      <c r="K654" s="8">
        <f>I654*J654</f>
        <v>11.584</v>
      </c>
      <c r="N654" t="s">
        <v>119</v>
      </c>
      <c r="O654" s="4" t="s">
        <v>32</v>
      </c>
      <c r="P654" s="4">
        <v>2.456</v>
      </c>
      <c r="Q654" s="4">
        <v>30.29</v>
      </c>
      <c r="R654" s="8">
        <f>P654*Q654</f>
        <v>74.392240000000001</v>
      </c>
    </row>
    <row r="655" spans="1:18" x14ac:dyDescent="0.3">
      <c r="A655" t="s">
        <v>270</v>
      </c>
      <c r="B655" s="4" t="s">
        <v>137</v>
      </c>
      <c r="C655" s="4">
        <v>0.126</v>
      </c>
      <c r="D655" s="4">
        <v>12.92</v>
      </c>
      <c r="E655" s="8">
        <f>C655*D655</f>
        <v>1.62792</v>
      </c>
      <c r="F655" s="26"/>
      <c r="H655" s="4" t="s">
        <v>137</v>
      </c>
      <c r="I655" s="4">
        <v>0.126</v>
      </c>
      <c r="J655" s="4">
        <v>17.190000000000001</v>
      </c>
      <c r="K655" s="8">
        <f>I655*J655</f>
        <v>2.16594</v>
      </c>
      <c r="N655" t="s">
        <v>168</v>
      </c>
      <c r="O655" s="4" t="s">
        <v>33</v>
      </c>
      <c r="P655" s="4">
        <v>20.416</v>
      </c>
      <c r="Q655" s="4">
        <v>16</v>
      </c>
      <c r="R655" s="8">
        <f>P655*Q655</f>
        <v>326.65600000000001</v>
      </c>
    </row>
    <row r="656" spans="1:18" x14ac:dyDescent="0.3">
      <c r="B656" s="4" t="s">
        <v>35</v>
      </c>
      <c r="C656" s="4">
        <v>4</v>
      </c>
      <c r="D656" s="4">
        <v>1.89</v>
      </c>
      <c r="E656" s="8">
        <f>C656*D656</f>
        <v>7.56</v>
      </c>
      <c r="F656" s="26"/>
      <c r="H656" s="4" t="s">
        <v>35</v>
      </c>
      <c r="I656" s="4">
        <v>4</v>
      </c>
      <c r="J656" s="4">
        <v>2.89</v>
      </c>
      <c r="K656" s="8">
        <f>I656*J656</f>
        <v>11.56</v>
      </c>
      <c r="O656" s="4" t="s">
        <v>137</v>
      </c>
      <c r="P656" s="4">
        <v>1.26</v>
      </c>
      <c r="Q656" s="4">
        <v>17.190000000000001</v>
      </c>
      <c r="R656" s="8">
        <f>P656*Q656</f>
        <v>21.659400000000002</v>
      </c>
    </row>
    <row r="657" spans="1:18" x14ac:dyDescent="0.3">
      <c r="B657" s="4" t="s">
        <v>36</v>
      </c>
      <c r="C657" s="4">
        <v>4</v>
      </c>
      <c r="D657" s="4">
        <v>0.24</v>
      </c>
      <c r="E657" s="8">
        <f>C657*D657</f>
        <v>0.96</v>
      </c>
      <c r="F657" s="26"/>
      <c r="H657" s="4" t="s">
        <v>36</v>
      </c>
      <c r="I657" s="4">
        <v>4</v>
      </c>
      <c r="J657" s="4">
        <v>0.6</v>
      </c>
      <c r="K657" s="8">
        <f>I657*J657</f>
        <v>2.4</v>
      </c>
      <c r="O657" s="4" t="s">
        <v>35</v>
      </c>
      <c r="P657" s="4">
        <v>4</v>
      </c>
      <c r="Q657" s="4">
        <v>2.89</v>
      </c>
      <c r="R657" s="8">
        <f>P657*Q657</f>
        <v>11.56</v>
      </c>
    </row>
    <row r="658" spans="1:18" x14ac:dyDescent="0.3">
      <c r="B658" s="4" t="s">
        <v>37</v>
      </c>
      <c r="C658" t="s">
        <v>215</v>
      </c>
      <c r="E658" s="8">
        <v>28</v>
      </c>
      <c r="F658" s="26"/>
      <c r="H658" s="4" t="s">
        <v>37</v>
      </c>
      <c r="I658">
        <v>42.5</v>
      </c>
      <c r="K658" s="8">
        <v>42.5</v>
      </c>
      <c r="O658" s="4" t="s">
        <v>36</v>
      </c>
      <c r="P658" s="4">
        <v>4</v>
      </c>
      <c r="Q658" s="4">
        <v>0.6</v>
      </c>
      <c r="R658" s="8">
        <f>P658*Q658</f>
        <v>2.4</v>
      </c>
    </row>
    <row r="659" spans="1:18" x14ac:dyDescent="0.3">
      <c r="E659" s="8">
        <f>SUM(E653:E658)</f>
        <v>78.258520000000004</v>
      </c>
      <c r="F659" s="26"/>
      <c r="K659" s="8">
        <f>SUM(K653:K658)</f>
        <v>121.46062000000001</v>
      </c>
      <c r="R659" s="9">
        <f>SUM(R654:R658)</f>
        <v>436.66764000000001</v>
      </c>
    </row>
    <row r="660" spans="1:18" x14ac:dyDescent="0.3">
      <c r="F660" s="26"/>
      <c r="O660" s="4" t="s">
        <v>37</v>
      </c>
      <c r="P660">
        <v>85</v>
      </c>
      <c r="R660" s="8">
        <v>85</v>
      </c>
    </row>
    <row r="661" spans="1:18" x14ac:dyDescent="0.3">
      <c r="F661" s="26"/>
      <c r="R661" s="8">
        <f>SUM(R659:R660)</f>
        <v>521.66764000000001</v>
      </c>
    </row>
    <row r="662" spans="1:18" x14ac:dyDescent="0.3">
      <c r="C662" s="4" t="s">
        <v>28</v>
      </c>
      <c r="D662" s="4" t="s">
        <v>29</v>
      </c>
      <c r="E662" s="4" t="s">
        <v>30</v>
      </c>
      <c r="F662" s="26"/>
      <c r="I662" s="4" t="s">
        <v>28</v>
      </c>
      <c r="J662" s="4" t="s">
        <v>29</v>
      </c>
      <c r="K662" s="4" t="s">
        <v>30</v>
      </c>
    </row>
    <row r="663" spans="1:18" x14ac:dyDescent="0.3">
      <c r="A663" t="s">
        <v>192</v>
      </c>
      <c r="B663" s="4" t="s">
        <v>32</v>
      </c>
      <c r="C663" s="4">
        <v>1.7130000000000001</v>
      </c>
      <c r="D663" s="4">
        <v>19.38</v>
      </c>
      <c r="E663" s="8">
        <f>C663*D663</f>
        <v>33.197940000000003</v>
      </c>
      <c r="F663" s="26"/>
      <c r="G663" t="s">
        <v>192</v>
      </c>
      <c r="H663" s="4" t="s">
        <v>32</v>
      </c>
      <c r="I663" s="4">
        <v>1.7130000000000001</v>
      </c>
      <c r="J663" s="4">
        <v>30.29</v>
      </c>
      <c r="K663" s="8">
        <f>I663*J663</f>
        <v>51.886769999999999</v>
      </c>
    </row>
    <row r="664" spans="1:18" x14ac:dyDescent="0.3">
      <c r="A664" t="s">
        <v>201</v>
      </c>
      <c r="B664" s="4" t="s">
        <v>33</v>
      </c>
      <c r="C664" s="4">
        <v>1.4490000000000001</v>
      </c>
      <c r="D664" s="4">
        <v>10.11</v>
      </c>
      <c r="E664" s="8">
        <f>C664*D664</f>
        <v>14.64939</v>
      </c>
      <c r="F664" s="26"/>
      <c r="G664" t="s">
        <v>201</v>
      </c>
      <c r="H664" s="4" t="s">
        <v>33</v>
      </c>
      <c r="I664" s="4">
        <v>1.4490000000000001</v>
      </c>
      <c r="J664" s="4">
        <v>16</v>
      </c>
      <c r="K664" s="8">
        <f>I664*J664</f>
        <v>23.184000000000001</v>
      </c>
    </row>
    <row r="665" spans="1:18" x14ac:dyDescent="0.3">
      <c r="A665" t="s">
        <v>270</v>
      </c>
      <c r="B665" s="4" t="s">
        <v>137</v>
      </c>
      <c r="C665" s="4">
        <v>0.157</v>
      </c>
      <c r="D665" s="4">
        <v>12.92</v>
      </c>
      <c r="E665" s="8">
        <f>C665*D665</f>
        <v>2.0284399999999998</v>
      </c>
      <c r="F665" s="26"/>
      <c r="H665" s="4" t="s">
        <v>137</v>
      </c>
      <c r="I665" s="4">
        <v>0.157</v>
      </c>
      <c r="J665" s="4">
        <v>17.190000000000001</v>
      </c>
      <c r="K665" s="8">
        <f>I665*J665</f>
        <v>2.6988300000000001</v>
      </c>
    </row>
    <row r="666" spans="1:18" x14ac:dyDescent="0.3">
      <c r="B666" s="4" t="s">
        <v>35</v>
      </c>
      <c r="C666" s="4">
        <v>4</v>
      </c>
      <c r="D666" s="4">
        <v>1.89</v>
      </c>
      <c r="E666" s="8">
        <f>C666*D666</f>
        <v>7.56</v>
      </c>
      <c r="F666" s="26"/>
      <c r="H666" s="4" t="s">
        <v>35</v>
      </c>
      <c r="I666" s="4">
        <v>4</v>
      </c>
      <c r="J666" s="4">
        <v>2.89</v>
      </c>
      <c r="K666" s="8">
        <f>I666*J666</f>
        <v>11.56</v>
      </c>
    </row>
    <row r="667" spans="1:18" x14ac:dyDescent="0.3">
      <c r="B667" s="4" t="s">
        <v>36</v>
      </c>
      <c r="C667" s="4">
        <v>4</v>
      </c>
      <c r="D667" s="4">
        <v>0.24</v>
      </c>
      <c r="E667" s="8">
        <f>C667*D667</f>
        <v>0.96</v>
      </c>
      <c r="F667" s="26"/>
      <c r="H667" s="4" t="s">
        <v>36</v>
      </c>
      <c r="I667" s="4">
        <v>4</v>
      </c>
      <c r="J667" s="4">
        <v>0.6</v>
      </c>
      <c r="K667" s="8">
        <f>I667*J667</f>
        <v>2.4</v>
      </c>
    </row>
    <row r="668" spans="1:18" x14ac:dyDescent="0.3">
      <c r="B668" s="4" t="s">
        <v>37</v>
      </c>
      <c r="C668" t="s">
        <v>215</v>
      </c>
      <c r="E668" s="8">
        <v>28</v>
      </c>
      <c r="F668" s="26"/>
      <c r="H668" s="4" t="s">
        <v>37</v>
      </c>
      <c r="I668" t="s">
        <v>215</v>
      </c>
      <c r="K668" s="8">
        <v>28</v>
      </c>
    </row>
    <row r="669" spans="1:18" x14ac:dyDescent="0.3">
      <c r="E669" s="8">
        <f>SUM(E663:E668)</f>
        <v>86.395769999999999</v>
      </c>
      <c r="F669" s="26"/>
      <c r="K669" s="8">
        <f>SUM(K663:K668)</f>
        <v>119.7296</v>
      </c>
    </row>
    <row r="670" spans="1:18" x14ac:dyDescent="0.3">
      <c r="E670" s="9"/>
      <c r="F670" s="26"/>
      <c r="K670" s="9"/>
    </row>
    <row r="671" spans="1:18" x14ac:dyDescent="0.3">
      <c r="C671" s="4" t="s">
        <v>28</v>
      </c>
      <c r="D671" s="4" t="s">
        <v>29</v>
      </c>
      <c r="E671" s="4" t="s">
        <v>30</v>
      </c>
      <c r="F671" s="26"/>
      <c r="I671" s="4" t="s">
        <v>28</v>
      </c>
      <c r="J671" s="4" t="s">
        <v>29</v>
      </c>
      <c r="K671" s="4" t="s">
        <v>30</v>
      </c>
    </row>
    <row r="672" spans="1:18" x14ac:dyDescent="0.3">
      <c r="A672" t="s">
        <v>190</v>
      </c>
      <c r="B672" s="4" t="s">
        <v>32</v>
      </c>
      <c r="C672" s="4">
        <v>1.734</v>
      </c>
      <c r="D672" s="4">
        <v>19.38</v>
      </c>
      <c r="E672" s="8">
        <f>C672*D672</f>
        <v>33.60492</v>
      </c>
      <c r="F672" s="26"/>
      <c r="G672" t="s">
        <v>190</v>
      </c>
      <c r="H672" s="4" t="s">
        <v>32</v>
      </c>
      <c r="I672" s="4">
        <v>1.734</v>
      </c>
      <c r="J672" s="4">
        <v>30.29</v>
      </c>
      <c r="K672" s="8">
        <f>I672*J672</f>
        <v>52.522860000000001</v>
      </c>
    </row>
    <row r="673" spans="1:11" x14ac:dyDescent="0.3">
      <c r="A673" t="s">
        <v>261</v>
      </c>
      <c r="B673" s="4" t="s">
        <v>33</v>
      </c>
      <c r="C673" s="4">
        <v>2.173</v>
      </c>
      <c r="D673" s="4">
        <v>10.11</v>
      </c>
      <c r="E673" s="8">
        <f>C673*D673</f>
        <v>21.96903</v>
      </c>
      <c r="F673" s="26"/>
      <c r="G673" t="s">
        <v>261</v>
      </c>
      <c r="H673" s="4" t="s">
        <v>33</v>
      </c>
      <c r="I673" s="4">
        <v>2.173</v>
      </c>
      <c r="J673" s="4">
        <v>16</v>
      </c>
      <c r="K673" s="8">
        <f>I673*J673</f>
        <v>34.768000000000001</v>
      </c>
    </row>
    <row r="674" spans="1:11" x14ac:dyDescent="0.3">
      <c r="A674" t="s">
        <v>270</v>
      </c>
      <c r="B674" s="4" t="s">
        <v>137</v>
      </c>
      <c r="C674" s="4">
        <v>0.189</v>
      </c>
      <c r="D674" s="4">
        <v>12.92</v>
      </c>
      <c r="E674" s="8">
        <f>C674*D674</f>
        <v>2.4418799999999998</v>
      </c>
      <c r="F674" s="26"/>
      <c r="H674" s="4" t="s">
        <v>137</v>
      </c>
      <c r="I674" s="4">
        <v>0.189</v>
      </c>
      <c r="J674" s="4">
        <v>17.190000000000001</v>
      </c>
      <c r="K674" s="8">
        <f>I674*J674</f>
        <v>3.2489100000000004</v>
      </c>
    </row>
    <row r="675" spans="1:11" x14ac:dyDescent="0.3">
      <c r="B675" s="4" t="s">
        <v>35</v>
      </c>
      <c r="C675" s="4">
        <v>4</v>
      </c>
      <c r="D675" s="4">
        <v>1.89</v>
      </c>
      <c r="E675" s="8">
        <f>C675*D675</f>
        <v>7.56</v>
      </c>
      <c r="F675" s="26"/>
      <c r="H675" s="4" t="s">
        <v>35</v>
      </c>
      <c r="I675" s="4">
        <v>4</v>
      </c>
      <c r="J675" s="4">
        <v>2.89</v>
      </c>
      <c r="K675" s="8">
        <f>I675*J675</f>
        <v>11.56</v>
      </c>
    </row>
    <row r="676" spans="1:11" x14ac:dyDescent="0.3">
      <c r="B676" s="4" t="s">
        <v>36</v>
      </c>
      <c r="C676" s="4">
        <v>4</v>
      </c>
      <c r="D676" s="4">
        <v>0.24</v>
      </c>
      <c r="E676" s="8">
        <f>C676*D676</f>
        <v>0.96</v>
      </c>
      <c r="F676" s="26"/>
      <c r="H676" s="4" t="s">
        <v>36</v>
      </c>
      <c r="I676" s="4">
        <v>4</v>
      </c>
      <c r="J676" s="4">
        <v>0.6</v>
      </c>
      <c r="K676" s="8">
        <f>I676*J676</f>
        <v>2.4</v>
      </c>
    </row>
    <row r="677" spans="1:11" x14ac:dyDescent="0.3">
      <c r="B677" s="4" t="s">
        <v>37</v>
      </c>
      <c r="C677" t="s">
        <v>215</v>
      </c>
      <c r="E677" s="8">
        <v>28</v>
      </c>
      <c r="F677" s="26"/>
      <c r="H677" s="4" t="s">
        <v>37</v>
      </c>
      <c r="I677">
        <v>42.5</v>
      </c>
      <c r="K677" s="8">
        <v>42.5</v>
      </c>
    </row>
    <row r="678" spans="1:11" x14ac:dyDescent="0.3">
      <c r="E678" s="8">
        <f>SUM(E672:E677)</f>
        <v>94.53582999999999</v>
      </c>
      <c r="F678" s="26"/>
      <c r="K678" s="8">
        <f>SUM(K672:K677)</f>
        <v>146.99977000000001</v>
      </c>
    </row>
    <row r="679" spans="1:11" x14ac:dyDescent="0.3">
      <c r="E679" s="9"/>
      <c r="F679" s="26"/>
      <c r="K679" s="9"/>
    </row>
    <row r="680" spans="1:11" x14ac:dyDescent="0.3">
      <c r="C680" s="4" t="s">
        <v>28</v>
      </c>
      <c r="D680" s="4" t="s">
        <v>29</v>
      </c>
      <c r="E680" s="4" t="s">
        <v>30</v>
      </c>
      <c r="F680" s="26"/>
      <c r="I680" s="4" t="s">
        <v>28</v>
      </c>
      <c r="J680" s="4" t="s">
        <v>29</v>
      </c>
      <c r="K680" s="4" t="s">
        <v>30</v>
      </c>
    </row>
    <row r="681" spans="1:11" x14ac:dyDescent="0.3">
      <c r="A681" t="s">
        <v>193</v>
      </c>
      <c r="B681" s="4" t="s">
        <v>32</v>
      </c>
      <c r="C681" s="4">
        <v>1.766</v>
      </c>
      <c r="D681" s="4">
        <v>19.38</v>
      </c>
      <c r="E681" s="8">
        <f>C681*D681</f>
        <v>34.225079999999998</v>
      </c>
      <c r="F681" s="26"/>
      <c r="G681" t="s">
        <v>193</v>
      </c>
      <c r="H681" s="4" t="s">
        <v>32</v>
      </c>
      <c r="I681" s="4">
        <v>1.766</v>
      </c>
      <c r="J681" s="4">
        <v>30.29</v>
      </c>
      <c r="K681" s="8">
        <f>I681*J681</f>
        <v>53.492139999999999</v>
      </c>
    </row>
    <row r="682" spans="1:11" x14ac:dyDescent="0.3">
      <c r="A682" t="s">
        <v>39</v>
      </c>
      <c r="B682" s="4" t="s">
        <v>33</v>
      </c>
      <c r="C682" s="4">
        <v>2.8980000000000001</v>
      </c>
      <c r="D682" s="4">
        <v>10.11</v>
      </c>
      <c r="E682" s="8">
        <f>C682*D682</f>
        <v>29.298780000000001</v>
      </c>
      <c r="F682" s="26"/>
      <c r="G682" t="s">
        <v>39</v>
      </c>
      <c r="H682" s="4" t="s">
        <v>33</v>
      </c>
      <c r="I682" s="4">
        <v>2.8980000000000001</v>
      </c>
      <c r="J682" s="4">
        <v>16</v>
      </c>
      <c r="K682" s="8">
        <f>I682*J682</f>
        <v>46.368000000000002</v>
      </c>
    </row>
    <row r="683" spans="1:11" x14ac:dyDescent="0.3">
      <c r="A683" t="s">
        <v>270</v>
      </c>
      <c r="B683" s="4" t="s">
        <v>137</v>
      </c>
      <c r="C683" s="4">
        <v>0.23599999999999999</v>
      </c>
      <c r="D683" s="4">
        <v>12.92</v>
      </c>
      <c r="E683" s="8">
        <f>C683*D683</f>
        <v>3.0491199999999998</v>
      </c>
      <c r="F683" s="26"/>
      <c r="H683" s="4" t="s">
        <v>137</v>
      </c>
      <c r="I683" s="4">
        <v>0.23599999999999999</v>
      </c>
      <c r="J683" s="4">
        <v>17.190000000000001</v>
      </c>
      <c r="K683" s="8">
        <f>I683*J683</f>
        <v>4.0568400000000002</v>
      </c>
    </row>
    <row r="684" spans="1:11" x14ac:dyDescent="0.3">
      <c r="B684" s="4" t="s">
        <v>35</v>
      </c>
      <c r="C684" s="4">
        <v>4</v>
      </c>
      <c r="D684" s="4">
        <v>1.89</v>
      </c>
      <c r="E684" s="8">
        <f>C684*D684</f>
        <v>7.56</v>
      </c>
      <c r="F684" s="26"/>
      <c r="H684" s="4" t="s">
        <v>35</v>
      </c>
      <c r="I684" s="4">
        <v>4</v>
      </c>
      <c r="J684" s="4">
        <v>2.89</v>
      </c>
      <c r="K684" s="8">
        <f>I684*J684</f>
        <v>11.56</v>
      </c>
    </row>
    <row r="685" spans="1:11" x14ac:dyDescent="0.3">
      <c r="B685" s="4" t="s">
        <v>36</v>
      </c>
      <c r="C685" s="4">
        <v>4</v>
      </c>
      <c r="D685" s="4">
        <v>0.24</v>
      </c>
      <c r="E685" s="8">
        <f>C685*D685</f>
        <v>0.96</v>
      </c>
      <c r="F685" s="26"/>
      <c r="H685" s="4" t="s">
        <v>36</v>
      </c>
      <c r="I685" s="4">
        <v>4</v>
      </c>
      <c r="J685" s="4">
        <v>0.6</v>
      </c>
      <c r="K685" s="8">
        <f>I685*J685</f>
        <v>2.4</v>
      </c>
    </row>
    <row r="686" spans="1:11" x14ac:dyDescent="0.3">
      <c r="B686" s="4" t="s">
        <v>37</v>
      </c>
      <c r="C686" t="s">
        <v>215</v>
      </c>
      <c r="E686" s="8">
        <v>28</v>
      </c>
      <c r="F686" s="26"/>
      <c r="H686" s="4" t="s">
        <v>37</v>
      </c>
      <c r="I686" t="s">
        <v>215</v>
      </c>
      <c r="K686" s="8">
        <v>28</v>
      </c>
    </row>
    <row r="687" spans="1:11" x14ac:dyDescent="0.3">
      <c r="E687" s="8">
        <f>SUM(E681:E686)</f>
        <v>103.09298</v>
      </c>
      <c r="F687" s="26"/>
      <c r="K687" s="8">
        <f>SUM(K681:K686)</f>
        <v>145.87698</v>
      </c>
    </row>
    <row r="688" spans="1:11" x14ac:dyDescent="0.3">
      <c r="F688" s="26"/>
    </row>
    <row r="689" spans="1:11" x14ac:dyDescent="0.3">
      <c r="C689" s="4" t="s">
        <v>28</v>
      </c>
      <c r="D689" s="4" t="s">
        <v>29</v>
      </c>
      <c r="E689" s="4" t="s">
        <v>30</v>
      </c>
      <c r="F689" s="26"/>
      <c r="I689" s="4" t="s">
        <v>28</v>
      </c>
      <c r="J689" s="4" t="s">
        <v>29</v>
      </c>
      <c r="K689" s="4" t="s">
        <v>30</v>
      </c>
    </row>
    <row r="690" spans="1:11" x14ac:dyDescent="0.3">
      <c r="A690" t="s">
        <v>194</v>
      </c>
      <c r="B690" s="4" t="s">
        <v>32</v>
      </c>
      <c r="C690" s="4">
        <v>1.7869999999999999</v>
      </c>
      <c r="D690" s="4">
        <v>19.38</v>
      </c>
      <c r="E690" s="8">
        <f>C690*D690</f>
        <v>34.632059999999996</v>
      </c>
      <c r="F690" s="26"/>
      <c r="G690" t="s">
        <v>194</v>
      </c>
      <c r="H690" s="4" t="s">
        <v>32</v>
      </c>
      <c r="I690" s="4">
        <v>1.7869999999999999</v>
      </c>
      <c r="J690" s="4">
        <v>30.29</v>
      </c>
      <c r="K690" s="8">
        <f>I690*J690</f>
        <v>54.128229999999995</v>
      </c>
    </row>
    <row r="691" spans="1:11" x14ac:dyDescent="0.3">
      <c r="A691" t="s">
        <v>262</v>
      </c>
      <c r="B691" s="4" t="s">
        <v>33</v>
      </c>
      <c r="C691" s="4">
        <v>3.6219999999999999</v>
      </c>
      <c r="D691" s="4">
        <v>10.11</v>
      </c>
      <c r="E691" s="8">
        <f>C691*D691</f>
        <v>36.618419999999993</v>
      </c>
      <c r="F691" s="26"/>
      <c r="G691" t="s">
        <v>262</v>
      </c>
      <c r="H691" s="4" t="s">
        <v>33</v>
      </c>
      <c r="I691" s="4">
        <v>3.6219999999999999</v>
      </c>
      <c r="J691" s="4">
        <v>16</v>
      </c>
      <c r="K691" s="8">
        <f>I691*J691</f>
        <v>57.951999999999998</v>
      </c>
    </row>
    <row r="692" spans="1:11" x14ac:dyDescent="0.3">
      <c r="A692" t="s">
        <v>270</v>
      </c>
      <c r="B692" s="4" t="s">
        <v>137</v>
      </c>
      <c r="C692" s="4">
        <v>0.26700000000000002</v>
      </c>
      <c r="D692" s="4">
        <v>12.92</v>
      </c>
      <c r="E692" s="8">
        <f>C692*D692</f>
        <v>3.44964</v>
      </c>
      <c r="F692" s="26"/>
      <c r="H692" s="4" t="s">
        <v>137</v>
      </c>
      <c r="I692" s="4">
        <v>0.26700000000000002</v>
      </c>
      <c r="J692" s="4">
        <v>17.190000000000001</v>
      </c>
      <c r="K692" s="8">
        <f>I692*J692</f>
        <v>4.5897300000000003</v>
      </c>
    </row>
    <row r="693" spans="1:11" x14ac:dyDescent="0.3">
      <c r="B693" s="4" t="s">
        <v>35</v>
      </c>
      <c r="C693" s="4">
        <v>4</v>
      </c>
      <c r="D693" s="4">
        <v>1.89</v>
      </c>
      <c r="E693" s="8">
        <f>C693*D693</f>
        <v>7.56</v>
      </c>
      <c r="F693" s="26"/>
      <c r="H693" s="4" t="s">
        <v>35</v>
      </c>
      <c r="I693" s="4">
        <v>4</v>
      </c>
      <c r="J693" s="4">
        <v>2.89</v>
      </c>
      <c r="K693" s="8">
        <f>I693*J693</f>
        <v>11.56</v>
      </c>
    </row>
    <row r="694" spans="1:11" x14ac:dyDescent="0.3">
      <c r="B694" s="4" t="s">
        <v>36</v>
      </c>
      <c r="C694" s="4">
        <v>4</v>
      </c>
      <c r="D694" s="4">
        <v>0.24</v>
      </c>
      <c r="E694" s="8">
        <f>C694*D694</f>
        <v>0.96</v>
      </c>
      <c r="F694" s="26"/>
      <c r="H694" s="4" t="s">
        <v>36</v>
      </c>
      <c r="I694" s="4">
        <v>4</v>
      </c>
      <c r="J694" s="4">
        <v>0.6</v>
      </c>
      <c r="K694" s="8">
        <f>I694*J694</f>
        <v>2.4</v>
      </c>
    </row>
    <row r="695" spans="1:11" x14ac:dyDescent="0.3">
      <c r="B695" s="4" t="s">
        <v>37</v>
      </c>
      <c r="C695" t="s">
        <v>215</v>
      </c>
      <c r="E695" s="8">
        <v>28</v>
      </c>
      <c r="F695" s="26"/>
      <c r="H695" s="4" t="s">
        <v>37</v>
      </c>
      <c r="I695" t="s">
        <v>215</v>
      </c>
      <c r="K695" s="8">
        <v>28</v>
      </c>
    </row>
    <row r="696" spans="1:11" x14ac:dyDescent="0.3">
      <c r="E696" s="8">
        <f>SUM(E690:E695)</f>
        <v>111.22011999999998</v>
      </c>
      <c r="F696" s="26"/>
      <c r="K696" s="8">
        <f>SUM(K690:K695)</f>
        <v>158.62996000000001</v>
      </c>
    </row>
    <row r="697" spans="1:11" x14ac:dyDescent="0.3">
      <c r="F697" s="26"/>
    </row>
    <row r="698" spans="1:11" x14ac:dyDescent="0.3">
      <c r="C698" s="4" t="s">
        <v>28</v>
      </c>
      <c r="D698" s="4" t="s">
        <v>29</v>
      </c>
      <c r="E698" s="4" t="s">
        <v>30</v>
      </c>
      <c r="F698" s="26"/>
      <c r="I698" s="4" t="s">
        <v>28</v>
      </c>
      <c r="J698" s="4" t="s">
        <v>29</v>
      </c>
      <c r="K698" s="4" t="s">
        <v>30</v>
      </c>
    </row>
    <row r="699" spans="1:11" x14ac:dyDescent="0.3">
      <c r="A699" t="s">
        <v>195</v>
      </c>
      <c r="B699" s="4" t="s">
        <v>32</v>
      </c>
      <c r="C699" s="4">
        <v>1.7969999999999999</v>
      </c>
      <c r="D699" s="4">
        <v>19.38</v>
      </c>
      <c r="E699" s="8">
        <f>C699*D699</f>
        <v>34.825859999999999</v>
      </c>
      <c r="F699" s="26"/>
      <c r="G699" t="s">
        <v>195</v>
      </c>
      <c r="H699" s="4" t="s">
        <v>32</v>
      </c>
      <c r="I699" s="4">
        <v>1.7969999999999999</v>
      </c>
      <c r="J699" s="4">
        <v>30.29</v>
      </c>
      <c r="K699" s="8">
        <f>I699*J699</f>
        <v>54.431129999999996</v>
      </c>
    </row>
    <row r="700" spans="1:11" x14ac:dyDescent="0.3">
      <c r="A700" t="s">
        <v>262</v>
      </c>
      <c r="B700" s="4" t="s">
        <v>33</v>
      </c>
      <c r="C700" s="4">
        <v>3.6219999999999999</v>
      </c>
      <c r="D700" s="4">
        <v>10.11</v>
      </c>
      <c r="E700" s="8">
        <f>C700*D700</f>
        <v>36.618419999999993</v>
      </c>
      <c r="F700" s="26"/>
      <c r="G700" t="s">
        <v>262</v>
      </c>
      <c r="H700" s="4" t="s">
        <v>33</v>
      </c>
      <c r="I700" s="4">
        <v>3.6219999999999999</v>
      </c>
      <c r="J700" s="4">
        <v>16</v>
      </c>
      <c r="K700" s="8">
        <f>I700*J700</f>
        <v>57.951999999999998</v>
      </c>
    </row>
    <row r="701" spans="1:11" x14ac:dyDescent="0.3">
      <c r="A701" t="s">
        <v>270</v>
      </c>
      <c r="B701" s="4" t="s">
        <v>137</v>
      </c>
      <c r="C701" s="4">
        <v>0.28299999999999997</v>
      </c>
      <c r="D701" s="4">
        <v>12.92</v>
      </c>
      <c r="E701" s="8">
        <f>C701*D701</f>
        <v>3.6563599999999998</v>
      </c>
      <c r="F701" s="26"/>
      <c r="H701" s="4" t="s">
        <v>137</v>
      </c>
      <c r="I701" s="4">
        <v>0.28299999999999997</v>
      </c>
      <c r="J701" s="4">
        <v>17.190000000000001</v>
      </c>
      <c r="K701" s="8">
        <f>I701*J701</f>
        <v>4.86477</v>
      </c>
    </row>
    <row r="702" spans="1:11" x14ac:dyDescent="0.3">
      <c r="B702" s="4" t="s">
        <v>35</v>
      </c>
      <c r="C702" s="4">
        <v>4</v>
      </c>
      <c r="D702" s="4">
        <v>1.89</v>
      </c>
      <c r="E702" s="8">
        <f>C702*D702</f>
        <v>7.56</v>
      </c>
      <c r="F702" s="26"/>
      <c r="H702" s="4" t="s">
        <v>35</v>
      </c>
      <c r="I702" s="4">
        <v>4</v>
      </c>
      <c r="J702" s="4">
        <v>2.89</v>
      </c>
      <c r="K702" s="8">
        <f>I702*J702</f>
        <v>11.56</v>
      </c>
    </row>
    <row r="703" spans="1:11" x14ac:dyDescent="0.3">
      <c r="B703" s="4" t="s">
        <v>36</v>
      </c>
      <c r="C703" s="4">
        <v>4</v>
      </c>
      <c r="D703" s="4">
        <v>0.24</v>
      </c>
      <c r="E703" s="8">
        <f>C703*D703</f>
        <v>0.96</v>
      </c>
      <c r="F703" s="26"/>
      <c r="H703" s="4" t="s">
        <v>36</v>
      </c>
      <c r="I703" s="4">
        <v>4</v>
      </c>
      <c r="J703" s="4">
        <v>0.6</v>
      </c>
      <c r="K703" s="8">
        <f>I703*J703</f>
        <v>2.4</v>
      </c>
    </row>
    <row r="704" spans="1:11" x14ac:dyDescent="0.3">
      <c r="B704" s="4" t="s">
        <v>37</v>
      </c>
      <c r="C704" t="s">
        <v>215</v>
      </c>
      <c r="E704" s="8">
        <v>28</v>
      </c>
      <c r="F704" s="26"/>
      <c r="H704" s="4" t="s">
        <v>37</v>
      </c>
      <c r="I704" t="s">
        <v>215</v>
      </c>
      <c r="K704" s="8">
        <v>28</v>
      </c>
    </row>
    <row r="705" spans="1:11" x14ac:dyDescent="0.3">
      <c r="E705" s="8">
        <f>SUM(E699:E704)</f>
        <v>111.62063999999999</v>
      </c>
      <c r="F705" s="26"/>
      <c r="K705" s="8">
        <f>SUM(K699:K704)</f>
        <v>159.2079</v>
      </c>
    </row>
    <row r="706" spans="1:11" x14ac:dyDescent="0.3">
      <c r="F706" s="26"/>
    </row>
    <row r="707" spans="1:11" x14ac:dyDescent="0.3">
      <c r="C707" s="4" t="s">
        <v>28</v>
      </c>
      <c r="D707" s="4" t="s">
        <v>29</v>
      </c>
      <c r="E707" s="4" t="s">
        <v>30</v>
      </c>
      <c r="F707" s="26"/>
      <c r="I707" s="4" t="s">
        <v>28</v>
      </c>
      <c r="J707" s="4" t="s">
        <v>29</v>
      </c>
      <c r="K707" s="4" t="s">
        <v>30</v>
      </c>
    </row>
    <row r="708" spans="1:11" x14ac:dyDescent="0.3">
      <c r="A708" t="s">
        <v>45</v>
      </c>
      <c r="B708" s="4" t="s">
        <v>32</v>
      </c>
      <c r="C708" s="4">
        <v>1.8180000000000001</v>
      </c>
      <c r="D708" s="4">
        <v>19.38</v>
      </c>
      <c r="E708" s="8">
        <f>C708*D708</f>
        <v>35.232839999999996</v>
      </c>
      <c r="F708" s="26"/>
      <c r="G708" t="s">
        <v>45</v>
      </c>
      <c r="H708" s="4" t="s">
        <v>32</v>
      </c>
      <c r="I708" s="4">
        <v>1.8180000000000001</v>
      </c>
      <c r="J708" s="4">
        <v>30.29</v>
      </c>
      <c r="K708" s="8">
        <f>I708*J708</f>
        <v>55.067219999999999</v>
      </c>
    </row>
    <row r="709" spans="1:11" x14ac:dyDescent="0.3">
      <c r="A709" t="s">
        <v>63</v>
      </c>
      <c r="B709" s="4" t="s">
        <v>33</v>
      </c>
      <c r="C709" s="4">
        <v>4.3470000000000004</v>
      </c>
      <c r="D709" s="4">
        <v>10.11</v>
      </c>
      <c r="E709" s="8">
        <f>C709*D709</f>
        <v>43.948170000000005</v>
      </c>
      <c r="F709" s="26"/>
      <c r="G709" t="s">
        <v>63</v>
      </c>
      <c r="H709" s="4" t="s">
        <v>33</v>
      </c>
      <c r="I709" s="4">
        <v>4.3470000000000004</v>
      </c>
      <c r="J709" s="4">
        <v>16</v>
      </c>
      <c r="K709" s="8">
        <f>I709*J709</f>
        <v>69.552000000000007</v>
      </c>
    </row>
    <row r="710" spans="1:11" x14ac:dyDescent="0.3">
      <c r="A710" t="s">
        <v>270</v>
      </c>
      <c r="B710" s="4" t="s">
        <v>137</v>
      </c>
      <c r="C710" s="4">
        <v>0.315</v>
      </c>
      <c r="D710" s="4">
        <v>12.92</v>
      </c>
      <c r="E710" s="8">
        <f>C710*D710</f>
        <v>4.0697999999999999</v>
      </c>
      <c r="F710" s="26"/>
      <c r="H710" s="4" t="s">
        <v>137</v>
      </c>
      <c r="I710" s="4">
        <v>0.315</v>
      </c>
      <c r="J710" s="4">
        <v>17.190000000000001</v>
      </c>
      <c r="K710" s="8">
        <f>I710*J710</f>
        <v>5.4148500000000004</v>
      </c>
    </row>
    <row r="711" spans="1:11" x14ac:dyDescent="0.3">
      <c r="B711" s="4" t="s">
        <v>35</v>
      </c>
      <c r="C711" s="4">
        <v>4</v>
      </c>
      <c r="D711" s="4">
        <v>1.89</v>
      </c>
      <c r="E711" s="8">
        <f>C711*D711</f>
        <v>7.56</v>
      </c>
      <c r="F711" s="26"/>
      <c r="H711" s="4" t="s">
        <v>35</v>
      </c>
      <c r="I711" s="4">
        <v>4</v>
      </c>
      <c r="J711" s="4">
        <v>2.89</v>
      </c>
      <c r="K711" s="8">
        <f>I711*J711</f>
        <v>11.56</v>
      </c>
    </row>
    <row r="712" spans="1:11" x14ac:dyDescent="0.3">
      <c r="B712" s="4" t="s">
        <v>36</v>
      </c>
      <c r="C712" s="4">
        <v>4</v>
      </c>
      <c r="D712" s="4">
        <v>0.24</v>
      </c>
      <c r="E712" s="8">
        <f>C712*D712</f>
        <v>0.96</v>
      </c>
      <c r="F712" s="26"/>
      <c r="H712" s="4" t="s">
        <v>36</v>
      </c>
      <c r="I712" s="4">
        <v>4</v>
      </c>
      <c r="J712" s="4">
        <v>0.6</v>
      </c>
      <c r="K712" s="8">
        <f>I712*J712</f>
        <v>2.4</v>
      </c>
    </row>
    <row r="713" spans="1:11" x14ac:dyDescent="0.3">
      <c r="B713" s="4" t="s">
        <v>37</v>
      </c>
      <c r="C713" t="s">
        <v>264</v>
      </c>
      <c r="E713" s="8">
        <v>35</v>
      </c>
      <c r="F713" s="26"/>
      <c r="H713" s="4" t="s">
        <v>37</v>
      </c>
      <c r="I713" t="s">
        <v>264</v>
      </c>
      <c r="K713" s="8">
        <v>35</v>
      </c>
    </row>
    <row r="714" spans="1:11" x14ac:dyDescent="0.3">
      <c r="E714" s="8">
        <f>SUM(E708:E713)</f>
        <v>126.77081</v>
      </c>
      <c r="F714" s="26"/>
      <c r="K714" s="8">
        <f>SUM(K708:K713)</f>
        <v>178.99407000000002</v>
      </c>
    </row>
    <row r="715" spans="1:11" x14ac:dyDescent="0.3">
      <c r="F715" s="26"/>
    </row>
    <row r="716" spans="1:11" x14ac:dyDescent="0.3">
      <c r="C716" s="4" t="s">
        <v>28</v>
      </c>
      <c r="D716" s="4" t="s">
        <v>29</v>
      </c>
      <c r="E716" s="4" t="s">
        <v>30</v>
      </c>
      <c r="F716" s="26"/>
      <c r="I716" s="4" t="s">
        <v>28</v>
      </c>
      <c r="J716" s="4" t="s">
        <v>29</v>
      </c>
      <c r="K716" s="4" t="s">
        <v>30</v>
      </c>
    </row>
    <row r="717" spans="1:11" x14ac:dyDescent="0.3">
      <c r="A717" t="s">
        <v>196</v>
      </c>
      <c r="B717" s="4" t="s">
        <v>32</v>
      </c>
      <c r="C717" s="4">
        <v>1.86</v>
      </c>
      <c r="D717" s="4">
        <v>19.38</v>
      </c>
      <c r="E717" s="8">
        <f>C717*D717</f>
        <v>36.046799999999998</v>
      </c>
      <c r="F717" s="26"/>
      <c r="G717" t="s">
        <v>196</v>
      </c>
      <c r="H717" s="4" t="s">
        <v>32</v>
      </c>
      <c r="I717" s="4">
        <v>1.86</v>
      </c>
      <c r="J717" s="4">
        <v>30.29</v>
      </c>
      <c r="K717" s="8">
        <f>I717*J717</f>
        <v>56.339400000000005</v>
      </c>
    </row>
    <row r="718" spans="1:11" x14ac:dyDescent="0.3">
      <c r="A718" t="s">
        <v>220</v>
      </c>
      <c r="B718" s="4" t="s">
        <v>33</v>
      </c>
      <c r="C718" s="4">
        <v>5.7960000000000003</v>
      </c>
      <c r="D718" s="4">
        <v>10.11</v>
      </c>
      <c r="E718" s="8">
        <f>C718*D718</f>
        <v>58.597560000000001</v>
      </c>
      <c r="F718" s="26"/>
      <c r="G718" t="s">
        <v>220</v>
      </c>
      <c r="H718" s="4" t="s">
        <v>33</v>
      </c>
      <c r="I718" s="4">
        <v>5.7960000000000003</v>
      </c>
      <c r="J718" s="4">
        <v>16</v>
      </c>
      <c r="K718" s="8">
        <f>I718*J718</f>
        <v>92.736000000000004</v>
      </c>
    </row>
    <row r="719" spans="1:11" x14ac:dyDescent="0.3">
      <c r="A719" t="s">
        <v>270</v>
      </c>
      <c r="B719" s="4" t="s">
        <v>137</v>
      </c>
      <c r="C719" s="4">
        <v>0.378</v>
      </c>
      <c r="D719" s="4">
        <v>12.92</v>
      </c>
      <c r="E719" s="8">
        <f>C719*D719</f>
        <v>4.8837599999999997</v>
      </c>
      <c r="F719" s="26"/>
      <c r="H719" s="4" t="s">
        <v>137</v>
      </c>
      <c r="I719" s="4">
        <v>0.378</v>
      </c>
      <c r="J719" s="4">
        <v>17.190000000000001</v>
      </c>
      <c r="K719" s="8">
        <f>I719*J719</f>
        <v>6.4978200000000008</v>
      </c>
    </row>
    <row r="720" spans="1:11" x14ac:dyDescent="0.3">
      <c r="B720" s="4" t="s">
        <v>35</v>
      </c>
      <c r="C720" s="4">
        <v>4</v>
      </c>
      <c r="D720" s="4">
        <v>1.89</v>
      </c>
      <c r="E720" s="8">
        <f>C720*D720</f>
        <v>7.56</v>
      </c>
      <c r="F720" s="26"/>
      <c r="H720" s="4" t="s">
        <v>35</v>
      </c>
      <c r="I720" s="4">
        <v>4</v>
      </c>
      <c r="J720" s="4">
        <v>2.89</v>
      </c>
      <c r="K720" s="8">
        <f>I720*J720</f>
        <v>11.56</v>
      </c>
    </row>
    <row r="721" spans="1:11" x14ac:dyDescent="0.3">
      <c r="B721" s="4" t="s">
        <v>36</v>
      </c>
      <c r="C721" s="4">
        <v>4</v>
      </c>
      <c r="D721" s="4">
        <v>0.24</v>
      </c>
      <c r="E721" s="8">
        <f>C721*D721</f>
        <v>0.96</v>
      </c>
      <c r="F721" s="26"/>
      <c r="H721" s="4" t="s">
        <v>36</v>
      </c>
      <c r="I721" s="4">
        <v>4</v>
      </c>
      <c r="J721" s="4">
        <v>0.6</v>
      </c>
      <c r="K721" s="8">
        <f>I721*J721</f>
        <v>2.4</v>
      </c>
    </row>
    <row r="722" spans="1:11" x14ac:dyDescent="0.3">
      <c r="B722" s="4" t="s">
        <v>37</v>
      </c>
      <c r="C722" t="s">
        <v>264</v>
      </c>
      <c r="E722" s="8">
        <v>35</v>
      </c>
      <c r="F722" s="26"/>
      <c r="H722" s="4" t="s">
        <v>37</v>
      </c>
      <c r="I722" t="s">
        <v>264</v>
      </c>
      <c r="K722" s="8">
        <v>35</v>
      </c>
    </row>
    <row r="723" spans="1:11" x14ac:dyDescent="0.3">
      <c r="E723" s="8">
        <f>SUM(E717:E722)</f>
        <v>143.04811999999998</v>
      </c>
      <c r="F723" s="26"/>
      <c r="K723" s="8">
        <f>SUM(K717:K722)</f>
        <v>204.53322</v>
      </c>
    </row>
    <row r="724" spans="1:11" x14ac:dyDescent="0.3">
      <c r="F724" s="26"/>
    </row>
    <row r="725" spans="1:11" x14ac:dyDescent="0.3">
      <c r="C725" s="4" t="s">
        <v>28</v>
      </c>
      <c r="D725" s="4" t="s">
        <v>29</v>
      </c>
      <c r="E725" s="4" t="s">
        <v>30</v>
      </c>
      <c r="F725" s="26"/>
      <c r="I725" s="4" t="s">
        <v>28</v>
      </c>
      <c r="J725" s="4" t="s">
        <v>29</v>
      </c>
      <c r="K725" s="4" t="s">
        <v>30</v>
      </c>
    </row>
    <row r="726" spans="1:11" x14ac:dyDescent="0.3">
      <c r="A726" t="s">
        <v>197</v>
      </c>
      <c r="B726" s="4" t="s">
        <v>32</v>
      </c>
      <c r="C726" s="4">
        <v>1.881</v>
      </c>
      <c r="D726" s="4">
        <v>19.38</v>
      </c>
      <c r="E726" s="8">
        <f>C726*D726</f>
        <v>36.453779999999995</v>
      </c>
      <c r="F726" s="26"/>
      <c r="G726" t="s">
        <v>197</v>
      </c>
      <c r="H726" s="4" t="s">
        <v>32</v>
      </c>
      <c r="I726" s="4">
        <v>1.881</v>
      </c>
      <c r="J726" s="4">
        <v>30.29</v>
      </c>
      <c r="K726" s="8">
        <f>I726*J726</f>
        <v>56.975490000000001</v>
      </c>
    </row>
    <row r="727" spans="1:11" x14ac:dyDescent="0.3">
      <c r="A727" t="s">
        <v>229</v>
      </c>
      <c r="B727" s="4" t="s">
        <v>33</v>
      </c>
      <c r="C727" s="4">
        <v>5.7960000000000003</v>
      </c>
      <c r="D727" s="4">
        <v>10.11</v>
      </c>
      <c r="E727" s="8">
        <f>C727*D727</f>
        <v>58.597560000000001</v>
      </c>
      <c r="F727" s="26"/>
      <c r="G727" t="s">
        <v>229</v>
      </c>
      <c r="H727" s="4" t="s">
        <v>33</v>
      </c>
      <c r="I727" s="4">
        <v>5.7960000000000003</v>
      </c>
      <c r="J727" s="4">
        <v>16</v>
      </c>
      <c r="K727" s="8">
        <f>I727*J727</f>
        <v>92.736000000000004</v>
      </c>
    </row>
    <row r="728" spans="1:11" x14ac:dyDescent="0.3">
      <c r="A728" t="s">
        <v>270</v>
      </c>
      <c r="B728" s="4" t="s">
        <v>137</v>
      </c>
      <c r="C728" s="4">
        <v>0.40899999999999997</v>
      </c>
      <c r="D728" s="4">
        <v>12.92</v>
      </c>
      <c r="E728" s="8">
        <f>C728*D728</f>
        <v>5.2842799999999999</v>
      </c>
      <c r="F728" s="26"/>
      <c r="H728" s="4" t="s">
        <v>137</v>
      </c>
      <c r="I728" s="4">
        <v>0.40899999999999997</v>
      </c>
      <c r="J728" s="4">
        <v>17.190000000000001</v>
      </c>
      <c r="K728" s="8">
        <f>I728*J728</f>
        <v>7.03071</v>
      </c>
    </row>
    <row r="729" spans="1:11" x14ac:dyDescent="0.3">
      <c r="B729" s="4" t="s">
        <v>216</v>
      </c>
      <c r="C729" s="4">
        <v>4</v>
      </c>
      <c r="D729" s="4">
        <v>1.89</v>
      </c>
      <c r="E729" s="8">
        <f>C729*D729</f>
        <v>7.56</v>
      </c>
      <c r="F729" s="26"/>
      <c r="H729" s="4" t="s">
        <v>216</v>
      </c>
      <c r="I729" s="4">
        <v>4</v>
      </c>
      <c r="J729" s="4">
        <v>2.89</v>
      </c>
      <c r="K729" s="8">
        <f>I729*J729</f>
        <v>11.56</v>
      </c>
    </row>
    <row r="730" spans="1:11" x14ac:dyDescent="0.3">
      <c r="B730" s="4" t="s">
        <v>36</v>
      </c>
      <c r="C730" s="4">
        <v>4</v>
      </c>
      <c r="D730" s="4">
        <v>0.24</v>
      </c>
      <c r="E730" s="8">
        <f>C730*D730</f>
        <v>0.96</v>
      </c>
      <c r="F730" s="26"/>
      <c r="H730" s="4" t="s">
        <v>36</v>
      </c>
      <c r="I730" s="4">
        <v>4</v>
      </c>
      <c r="J730" s="4">
        <v>0.6</v>
      </c>
      <c r="K730" s="8">
        <f>I730*J730</f>
        <v>2.4</v>
      </c>
    </row>
    <row r="731" spans="1:11" x14ac:dyDescent="0.3">
      <c r="B731" s="4" t="s">
        <v>37</v>
      </c>
      <c r="C731" t="s">
        <v>264</v>
      </c>
      <c r="E731" s="8">
        <v>35</v>
      </c>
      <c r="F731" s="26"/>
      <c r="H731" s="4" t="s">
        <v>37</v>
      </c>
      <c r="I731" t="s">
        <v>264</v>
      </c>
      <c r="K731" s="8">
        <v>35</v>
      </c>
    </row>
    <row r="732" spans="1:11" x14ac:dyDescent="0.3">
      <c r="E732" s="8">
        <f>SUM(E726:E731)</f>
        <v>143.85561999999999</v>
      </c>
      <c r="F732" s="26"/>
      <c r="K732" s="8">
        <f>SUM(K726:K731)</f>
        <v>205.7022</v>
      </c>
    </row>
    <row r="733" spans="1:11" x14ac:dyDescent="0.3">
      <c r="F733" s="26"/>
    </row>
    <row r="734" spans="1:11" x14ac:dyDescent="0.3">
      <c r="C734" s="4" t="s">
        <v>28</v>
      </c>
      <c r="D734" s="4" t="s">
        <v>29</v>
      </c>
      <c r="E734" s="4" t="s">
        <v>30</v>
      </c>
      <c r="F734" s="26"/>
      <c r="I734" s="4" t="s">
        <v>28</v>
      </c>
      <c r="J734" s="4" t="s">
        <v>29</v>
      </c>
      <c r="K734" s="4" t="s">
        <v>30</v>
      </c>
    </row>
    <row r="735" spans="1:11" x14ac:dyDescent="0.3">
      <c r="A735" t="s">
        <v>198</v>
      </c>
      <c r="B735" s="4" t="s">
        <v>32</v>
      </c>
      <c r="C735" s="4">
        <v>1.8919999999999999</v>
      </c>
      <c r="D735" s="4">
        <v>19.38</v>
      </c>
      <c r="E735" s="8">
        <f>C735*D735</f>
        <v>36.666959999999996</v>
      </c>
      <c r="F735" s="26"/>
      <c r="G735" t="s">
        <v>198</v>
      </c>
      <c r="H735" s="4" t="s">
        <v>32</v>
      </c>
      <c r="I735" s="4">
        <v>1.8919999999999999</v>
      </c>
      <c r="J735" s="4">
        <v>30.29</v>
      </c>
      <c r="K735" s="8">
        <f>I735*J735</f>
        <v>57.308679999999995</v>
      </c>
    </row>
    <row r="736" spans="1:11" x14ac:dyDescent="0.3">
      <c r="A736" t="s">
        <v>52</v>
      </c>
      <c r="B736" s="4" t="s">
        <v>33</v>
      </c>
      <c r="C736" s="4">
        <v>6.52</v>
      </c>
      <c r="D736" s="4">
        <v>10.11</v>
      </c>
      <c r="E736" s="8">
        <f>C736*D736</f>
        <v>65.917199999999994</v>
      </c>
      <c r="F736" s="26"/>
      <c r="G736" t="s">
        <v>52</v>
      </c>
      <c r="H736" s="4" t="s">
        <v>33</v>
      </c>
      <c r="I736" s="4">
        <v>6.52</v>
      </c>
      <c r="J736" s="4">
        <v>16</v>
      </c>
      <c r="K736" s="8">
        <f>I736*J736</f>
        <v>104.32</v>
      </c>
    </row>
    <row r="737" spans="1:11" x14ac:dyDescent="0.3">
      <c r="A737" t="s">
        <v>270</v>
      </c>
      <c r="B737" s="4" t="s">
        <v>137</v>
      </c>
      <c r="C737" s="4">
        <v>0.42499999999999999</v>
      </c>
      <c r="D737" s="4">
        <v>12.92</v>
      </c>
      <c r="E737" s="8">
        <f>C737*D737</f>
        <v>5.4909999999999997</v>
      </c>
      <c r="F737" s="26"/>
      <c r="H737" s="4" t="s">
        <v>137</v>
      </c>
      <c r="I737" s="4">
        <v>0.42499999999999999</v>
      </c>
      <c r="J737" s="4">
        <v>17.190000000000001</v>
      </c>
      <c r="K737" s="8">
        <f>I737*J737</f>
        <v>7.3057500000000006</v>
      </c>
    </row>
    <row r="738" spans="1:11" x14ac:dyDescent="0.3">
      <c r="B738" s="4" t="s">
        <v>216</v>
      </c>
      <c r="C738" s="4">
        <v>4</v>
      </c>
      <c r="D738" s="4">
        <v>1.89</v>
      </c>
      <c r="E738" s="8">
        <f>C738*D738</f>
        <v>7.56</v>
      </c>
      <c r="F738" s="26"/>
      <c r="H738" s="4" t="s">
        <v>216</v>
      </c>
      <c r="I738" s="4">
        <v>4</v>
      </c>
      <c r="J738" s="4">
        <v>2.89</v>
      </c>
      <c r="K738" s="8">
        <f>I738*J738</f>
        <v>11.56</v>
      </c>
    </row>
    <row r="739" spans="1:11" x14ac:dyDescent="0.3">
      <c r="B739" s="4" t="s">
        <v>36</v>
      </c>
      <c r="C739" s="4">
        <v>4</v>
      </c>
      <c r="D739" s="4">
        <v>0.24</v>
      </c>
      <c r="E739" s="8">
        <f>C739*D739</f>
        <v>0.96</v>
      </c>
      <c r="F739" s="26"/>
      <c r="H739" s="4" t="s">
        <v>36</v>
      </c>
      <c r="I739" s="4">
        <v>4</v>
      </c>
      <c r="J739" s="4">
        <v>0.6</v>
      </c>
      <c r="K739" s="8">
        <f>I739*J739</f>
        <v>2.4</v>
      </c>
    </row>
    <row r="740" spans="1:11" x14ac:dyDescent="0.3">
      <c r="B740" s="4" t="s">
        <v>37</v>
      </c>
      <c r="C740" t="s">
        <v>265</v>
      </c>
      <c r="E740" s="8">
        <v>42</v>
      </c>
      <c r="F740" s="26"/>
      <c r="H740" s="4" t="s">
        <v>37</v>
      </c>
      <c r="I740" t="s">
        <v>265</v>
      </c>
      <c r="K740" s="8">
        <v>42</v>
      </c>
    </row>
    <row r="741" spans="1:11" x14ac:dyDescent="0.3">
      <c r="E741" s="8">
        <f>SUM(E735:E740)</f>
        <v>158.59515999999999</v>
      </c>
      <c r="F741" s="26"/>
      <c r="K741" s="8">
        <f>SUM(K735:K740)</f>
        <v>224.89442999999997</v>
      </c>
    </row>
    <row r="742" spans="1:11" x14ac:dyDescent="0.3">
      <c r="F742" s="26"/>
    </row>
    <row r="743" spans="1:11" x14ac:dyDescent="0.3">
      <c r="C743" s="4" t="s">
        <v>28</v>
      </c>
      <c r="D743" s="4" t="s">
        <v>29</v>
      </c>
      <c r="E743" s="4" t="s">
        <v>30</v>
      </c>
      <c r="F743" s="26"/>
      <c r="I743" s="4" t="s">
        <v>28</v>
      </c>
      <c r="J743" s="4" t="s">
        <v>29</v>
      </c>
      <c r="K743" s="4" t="s">
        <v>30</v>
      </c>
    </row>
    <row r="744" spans="1:11" x14ac:dyDescent="0.3">
      <c r="A744" t="s">
        <v>68</v>
      </c>
      <c r="B744" s="4" t="s">
        <v>32</v>
      </c>
      <c r="C744" s="4">
        <v>1.923</v>
      </c>
      <c r="D744" s="4">
        <v>19.38</v>
      </c>
      <c r="E744" s="8">
        <f>C744*D744</f>
        <v>37.267739999999996</v>
      </c>
      <c r="F744" s="26"/>
      <c r="G744" t="s">
        <v>68</v>
      </c>
      <c r="H744" s="4" t="s">
        <v>32</v>
      </c>
      <c r="I744" s="4">
        <v>1.923</v>
      </c>
      <c r="J744" s="4">
        <v>30.29</v>
      </c>
      <c r="K744" s="8">
        <f>I744*J744</f>
        <v>58.247669999999999</v>
      </c>
    </row>
    <row r="745" spans="1:11" x14ac:dyDescent="0.3">
      <c r="A745" t="s">
        <v>212</v>
      </c>
      <c r="B745" s="4" t="s">
        <v>33</v>
      </c>
      <c r="C745" s="4">
        <v>7.2450000000000001</v>
      </c>
      <c r="D745" s="4">
        <v>10.11</v>
      </c>
      <c r="E745" s="8">
        <f>C745*D745</f>
        <v>73.246949999999998</v>
      </c>
      <c r="F745" s="26"/>
      <c r="G745" t="s">
        <v>212</v>
      </c>
      <c r="H745" s="4" t="s">
        <v>33</v>
      </c>
      <c r="I745" s="4">
        <v>7.2450000000000001</v>
      </c>
      <c r="J745" s="4">
        <v>16</v>
      </c>
      <c r="K745" s="8">
        <f>I745*J745</f>
        <v>115.92</v>
      </c>
    </row>
    <row r="746" spans="1:11" x14ac:dyDescent="0.3">
      <c r="A746" t="s">
        <v>270</v>
      </c>
      <c r="B746" s="4" t="s">
        <v>137</v>
      </c>
      <c r="C746" s="4">
        <v>0.47199999999999998</v>
      </c>
      <c r="D746" s="4">
        <v>12.92</v>
      </c>
      <c r="E746" s="8">
        <f>C746*D746</f>
        <v>6.0982399999999997</v>
      </c>
      <c r="F746" s="26"/>
      <c r="H746" s="4" t="s">
        <v>137</v>
      </c>
      <c r="I746" s="4">
        <v>0.47199999999999998</v>
      </c>
      <c r="J746" s="4">
        <v>17.190000000000001</v>
      </c>
      <c r="K746" s="8">
        <f>I746*J746</f>
        <v>8.1136800000000004</v>
      </c>
    </row>
    <row r="747" spans="1:11" x14ac:dyDescent="0.3">
      <c r="B747" s="4" t="s">
        <v>216</v>
      </c>
      <c r="C747" s="4">
        <v>4</v>
      </c>
      <c r="D747" s="4">
        <v>1.89</v>
      </c>
      <c r="E747" s="8">
        <f>C747*D747</f>
        <v>7.56</v>
      </c>
      <c r="F747" s="26"/>
      <c r="H747" s="4" t="s">
        <v>216</v>
      </c>
      <c r="I747" s="4">
        <v>4</v>
      </c>
      <c r="J747" s="4">
        <v>2.89</v>
      </c>
      <c r="K747" s="8">
        <f>I747*J747</f>
        <v>11.56</v>
      </c>
    </row>
    <row r="748" spans="1:11" x14ac:dyDescent="0.3">
      <c r="B748" s="4" t="s">
        <v>36</v>
      </c>
      <c r="C748" s="4">
        <v>4</v>
      </c>
      <c r="D748" s="4">
        <v>0.24</v>
      </c>
      <c r="E748" s="8">
        <f>C748*D748</f>
        <v>0.96</v>
      </c>
      <c r="F748" s="26"/>
      <c r="H748" s="4" t="s">
        <v>36</v>
      </c>
      <c r="I748" s="4">
        <v>4</v>
      </c>
      <c r="J748" s="4">
        <v>0.6</v>
      </c>
      <c r="K748" s="8">
        <f>I748*J748</f>
        <v>2.4</v>
      </c>
    </row>
    <row r="749" spans="1:11" x14ac:dyDescent="0.3">
      <c r="B749" s="4" t="s">
        <v>37</v>
      </c>
      <c r="C749" t="s">
        <v>265</v>
      </c>
      <c r="E749" s="8">
        <v>42</v>
      </c>
      <c r="F749" s="26"/>
      <c r="H749" s="4" t="s">
        <v>37</v>
      </c>
      <c r="I749" t="s">
        <v>265</v>
      </c>
      <c r="K749" s="8">
        <v>42</v>
      </c>
    </row>
    <row r="750" spans="1:11" x14ac:dyDescent="0.3">
      <c r="E750" s="8">
        <f>SUM(E744:E749)</f>
        <v>167.13292999999999</v>
      </c>
      <c r="F750" s="26"/>
      <c r="K750" s="8">
        <f>SUM(K744:K749)</f>
        <v>238.24134999999998</v>
      </c>
    </row>
    <row r="751" spans="1:11" x14ac:dyDescent="0.3">
      <c r="F751" s="26"/>
    </row>
    <row r="752" spans="1:11" x14ac:dyDescent="0.3">
      <c r="C752" s="4" t="s">
        <v>28</v>
      </c>
      <c r="D752" s="4" t="s">
        <v>29</v>
      </c>
      <c r="E752" s="4" t="s">
        <v>30</v>
      </c>
      <c r="F752" s="26"/>
      <c r="I752" s="4" t="s">
        <v>28</v>
      </c>
      <c r="J752" s="4" t="s">
        <v>29</v>
      </c>
      <c r="K752" s="4" t="s">
        <v>30</v>
      </c>
    </row>
    <row r="753" spans="1:11" x14ac:dyDescent="0.3">
      <c r="A753" t="s">
        <v>78</v>
      </c>
      <c r="B753" s="4" t="s">
        <v>32</v>
      </c>
      <c r="C753" s="4">
        <v>2.028</v>
      </c>
      <c r="D753" s="4">
        <v>19.38</v>
      </c>
      <c r="E753" s="8">
        <f>C753*D753</f>
        <v>39.302639999999997</v>
      </c>
      <c r="F753" s="26"/>
      <c r="G753" t="s">
        <v>78</v>
      </c>
      <c r="H753" s="4" t="s">
        <v>32</v>
      </c>
      <c r="I753" s="4">
        <v>2.028</v>
      </c>
      <c r="J753" s="4">
        <v>30.29</v>
      </c>
      <c r="K753" s="8">
        <f>I753*J753</f>
        <v>61.42812</v>
      </c>
    </row>
    <row r="754" spans="1:11" x14ac:dyDescent="0.3">
      <c r="A754" t="s">
        <v>53</v>
      </c>
      <c r="B754" s="4" t="s">
        <v>33</v>
      </c>
      <c r="C754" s="4">
        <v>10.143000000000001</v>
      </c>
      <c r="D754" s="4">
        <v>10.11</v>
      </c>
      <c r="E754" s="8">
        <f>C754*D754</f>
        <v>102.54573000000001</v>
      </c>
      <c r="F754" s="26"/>
      <c r="G754" t="s">
        <v>53</v>
      </c>
      <c r="H754" s="4" t="s">
        <v>33</v>
      </c>
      <c r="I754" s="4">
        <v>10.143000000000001</v>
      </c>
      <c r="J754" s="4">
        <v>16</v>
      </c>
      <c r="K754" s="8">
        <f>I754*J754</f>
        <v>162.28800000000001</v>
      </c>
    </row>
    <row r="755" spans="1:11" x14ac:dyDescent="0.3">
      <c r="A755" t="s">
        <v>270</v>
      </c>
      <c r="B755" s="4" t="s">
        <v>137</v>
      </c>
      <c r="C755" s="4">
        <v>0.63</v>
      </c>
      <c r="D755" s="4">
        <v>12.92</v>
      </c>
      <c r="E755" s="8">
        <f>C755*D755</f>
        <v>8.1395999999999997</v>
      </c>
      <c r="F755" s="26"/>
      <c r="H755" s="4" t="s">
        <v>137</v>
      </c>
      <c r="I755" s="4">
        <v>0.63</v>
      </c>
      <c r="J755" s="4">
        <v>17.190000000000001</v>
      </c>
      <c r="K755" s="8">
        <f>I755*J755</f>
        <v>10.829700000000001</v>
      </c>
    </row>
    <row r="756" spans="1:11" x14ac:dyDescent="0.3">
      <c r="B756" s="4" t="s">
        <v>216</v>
      </c>
      <c r="C756" s="4">
        <v>4</v>
      </c>
      <c r="D756" s="4">
        <v>1.89</v>
      </c>
      <c r="E756" s="8">
        <f>C756*D756</f>
        <v>7.56</v>
      </c>
      <c r="F756" s="26"/>
      <c r="H756" s="4" t="s">
        <v>216</v>
      </c>
      <c r="I756" s="4">
        <v>4</v>
      </c>
      <c r="J756" s="4">
        <v>2.89</v>
      </c>
      <c r="K756" s="8">
        <f>I756*J756</f>
        <v>11.56</v>
      </c>
    </row>
    <row r="757" spans="1:11" x14ac:dyDescent="0.3">
      <c r="B757" s="4" t="s">
        <v>36</v>
      </c>
      <c r="C757" s="4">
        <v>4</v>
      </c>
      <c r="D757" s="4">
        <v>0.24</v>
      </c>
      <c r="E757" s="8">
        <f>C757*D757</f>
        <v>0.96</v>
      </c>
      <c r="F757" s="26"/>
      <c r="H757" s="4" t="s">
        <v>36</v>
      </c>
      <c r="I757" s="4">
        <v>4</v>
      </c>
      <c r="J757" s="4">
        <v>0.6</v>
      </c>
      <c r="K757" s="8">
        <f>I757*J757</f>
        <v>2.4</v>
      </c>
    </row>
    <row r="758" spans="1:11" x14ac:dyDescent="0.3">
      <c r="B758" s="4" t="s">
        <v>37</v>
      </c>
      <c r="C758" t="s">
        <v>265</v>
      </c>
      <c r="E758" s="8">
        <v>42</v>
      </c>
      <c r="F758" s="26"/>
      <c r="H758" s="4" t="s">
        <v>37</v>
      </c>
      <c r="I758" t="s">
        <v>265</v>
      </c>
      <c r="K758" s="8">
        <v>42</v>
      </c>
    </row>
    <row r="759" spans="1:11" x14ac:dyDescent="0.3">
      <c r="E759" s="8">
        <f>SUM(E753:E758)</f>
        <v>200.50797</v>
      </c>
      <c r="F759" s="26"/>
      <c r="K759" s="8">
        <f>SUM(K753:K758)</f>
        <v>290.50582000000003</v>
      </c>
    </row>
    <row r="760" spans="1:11" x14ac:dyDescent="0.3">
      <c r="F760" s="26"/>
    </row>
    <row r="761" spans="1:11" x14ac:dyDescent="0.3">
      <c r="C761" s="4" t="s">
        <v>28</v>
      </c>
      <c r="D761" s="4" t="s">
        <v>29</v>
      </c>
      <c r="E761" s="4" t="s">
        <v>30</v>
      </c>
      <c r="F761" s="26"/>
      <c r="I761" s="4" t="s">
        <v>28</v>
      </c>
      <c r="J761" s="4" t="s">
        <v>29</v>
      </c>
      <c r="K761" s="4" t="s">
        <v>30</v>
      </c>
    </row>
    <row r="762" spans="1:11" x14ac:dyDescent="0.3">
      <c r="A762" t="s">
        <v>199</v>
      </c>
      <c r="B762" s="4" t="s">
        <v>32</v>
      </c>
      <c r="C762" s="4">
        <v>2.1339999999999999</v>
      </c>
      <c r="D762" s="4">
        <v>19.38</v>
      </c>
      <c r="E762" s="8">
        <f>C762*D762</f>
        <v>41.356919999999995</v>
      </c>
      <c r="F762" s="26"/>
      <c r="G762" t="s">
        <v>199</v>
      </c>
      <c r="H762" s="4" t="s">
        <v>32</v>
      </c>
      <c r="I762" s="4">
        <v>2.1339999999999999</v>
      </c>
      <c r="J762" s="4">
        <v>30.29</v>
      </c>
      <c r="K762" s="8">
        <f>I762*J762</f>
        <v>64.638859999999994</v>
      </c>
    </row>
    <row r="763" spans="1:11" x14ac:dyDescent="0.3">
      <c r="A763" t="s">
        <v>221</v>
      </c>
      <c r="B763" s="4" t="s">
        <v>33</v>
      </c>
      <c r="C763" s="4">
        <v>12.317</v>
      </c>
      <c r="D763" s="4">
        <v>10.11</v>
      </c>
      <c r="E763" s="8">
        <f>C763*D763</f>
        <v>124.52486999999999</v>
      </c>
      <c r="F763" s="26"/>
      <c r="G763" t="s">
        <v>221</v>
      </c>
      <c r="H763" s="4" t="s">
        <v>33</v>
      </c>
      <c r="I763" s="4">
        <v>12.317</v>
      </c>
      <c r="J763" s="4">
        <v>16</v>
      </c>
      <c r="K763" s="8">
        <f>I763*J763</f>
        <v>197.072</v>
      </c>
    </row>
    <row r="764" spans="1:11" x14ac:dyDescent="0.3">
      <c r="A764" t="s">
        <v>270</v>
      </c>
      <c r="B764" s="4" t="s">
        <v>137</v>
      </c>
      <c r="C764" s="4">
        <v>0.78800000000000003</v>
      </c>
      <c r="D764" s="4">
        <v>12.92</v>
      </c>
      <c r="E764" s="8">
        <f>C764*D764</f>
        <v>10.180960000000001</v>
      </c>
      <c r="F764" s="26"/>
      <c r="H764" s="4" t="s">
        <v>137</v>
      </c>
      <c r="I764" s="4">
        <v>0.78800000000000003</v>
      </c>
      <c r="J764" s="4">
        <v>17.190000000000001</v>
      </c>
      <c r="K764" s="8">
        <f>I764*J764</f>
        <v>13.545720000000001</v>
      </c>
    </row>
    <row r="765" spans="1:11" x14ac:dyDescent="0.3">
      <c r="B765" s="4" t="s">
        <v>35</v>
      </c>
      <c r="C765" s="4">
        <v>4</v>
      </c>
      <c r="D765" s="4">
        <v>1.89</v>
      </c>
      <c r="E765" s="8">
        <f>C765*D765</f>
        <v>7.56</v>
      </c>
      <c r="F765" s="26"/>
      <c r="H765" s="4" t="s">
        <v>35</v>
      </c>
      <c r="I765" s="4">
        <v>4</v>
      </c>
      <c r="J765" s="4">
        <v>2.89</v>
      </c>
      <c r="K765" s="8">
        <f>I765*J765</f>
        <v>11.56</v>
      </c>
    </row>
    <row r="766" spans="1:11" x14ac:dyDescent="0.3">
      <c r="B766" s="4" t="s">
        <v>36</v>
      </c>
      <c r="C766" s="4">
        <v>4</v>
      </c>
      <c r="D766" s="4">
        <v>0.24</v>
      </c>
      <c r="E766" s="8">
        <f>C766*D766</f>
        <v>0.96</v>
      </c>
      <c r="F766" s="26"/>
      <c r="H766" s="4" t="s">
        <v>36</v>
      </c>
      <c r="I766" s="4">
        <v>4</v>
      </c>
      <c r="J766" s="4">
        <v>0.6</v>
      </c>
      <c r="K766" s="8">
        <f>I766*J766</f>
        <v>2.4</v>
      </c>
    </row>
    <row r="767" spans="1:11" x14ac:dyDescent="0.3">
      <c r="B767" s="4" t="s">
        <v>37</v>
      </c>
      <c r="C767" t="s">
        <v>266</v>
      </c>
      <c r="E767" s="8">
        <v>63</v>
      </c>
      <c r="F767" s="26"/>
      <c r="H767" s="4" t="s">
        <v>37</v>
      </c>
      <c r="I767" t="s">
        <v>266</v>
      </c>
      <c r="K767" s="8">
        <v>63</v>
      </c>
    </row>
    <row r="768" spans="1:11" x14ac:dyDescent="0.3">
      <c r="E768" s="8">
        <f>SUM(E762:E767)</f>
        <v>247.58275</v>
      </c>
      <c r="F768" s="26"/>
      <c r="K768" s="8">
        <f>SUM(K762:K767)</f>
        <v>352.21658000000002</v>
      </c>
    </row>
    <row r="769" spans="1:11" x14ac:dyDescent="0.3">
      <c r="F769" s="26"/>
    </row>
    <row r="770" spans="1:11" x14ac:dyDescent="0.3">
      <c r="C770" s="4" t="s">
        <v>28</v>
      </c>
      <c r="D770" s="4" t="s">
        <v>29</v>
      </c>
      <c r="E770" s="4" t="s">
        <v>30</v>
      </c>
      <c r="F770" s="26"/>
      <c r="I770" s="4" t="s">
        <v>28</v>
      </c>
      <c r="J770" s="4" t="s">
        <v>29</v>
      </c>
      <c r="K770" s="4" t="s">
        <v>30</v>
      </c>
    </row>
    <row r="771" spans="1:11" x14ac:dyDescent="0.3">
      <c r="A771" t="s">
        <v>106</v>
      </c>
      <c r="B771" s="4" t="s">
        <v>32</v>
      </c>
      <c r="C771" s="4">
        <v>2.238</v>
      </c>
      <c r="D771" s="4">
        <v>19.38</v>
      </c>
      <c r="E771" s="8">
        <f>C771*D771</f>
        <v>43.372439999999997</v>
      </c>
      <c r="F771" s="26"/>
      <c r="G771" t="s">
        <v>106</v>
      </c>
      <c r="H771" s="4" t="s">
        <v>32</v>
      </c>
      <c r="I771" s="4">
        <v>2.238</v>
      </c>
      <c r="J771" s="4">
        <v>30.29</v>
      </c>
      <c r="K771" s="8">
        <f>I771*J771</f>
        <v>67.789019999999994</v>
      </c>
    </row>
    <row r="772" spans="1:11" x14ac:dyDescent="0.3">
      <c r="A772" t="s">
        <v>167</v>
      </c>
      <c r="B772" s="4" t="s">
        <v>33</v>
      </c>
      <c r="C772" s="4">
        <v>15.214</v>
      </c>
      <c r="D772" s="4">
        <v>10.11</v>
      </c>
      <c r="E772" s="8">
        <f>C772*D772</f>
        <v>153.81353999999999</v>
      </c>
      <c r="F772" s="26"/>
      <c r="G772" t="s">
        <v>167</v>
      </c>
      <c r="H772" s="4" t="s">
        <v>33</v>
      </c>
      <c r="I772" s="4">
        <v>15.214</v>
      </c>
      <c r="J772" s="4">
        <v>16</v>
      </c>
      <c r="K772" s="8">
        <f>I772*J772</f>
        <v>243.42400000000001</v>
      </c>
    </row>
    <row r="773" spans="1:11" x14ac:dyDescent="0.3">
      <c r="A773" t="s">
        <v>270</v>
      </c>
      <c r="B773" s="4" t="s">
        <v>137</v>
      </c>
      <c r="C773" s="4">
        <v>0.94499999999999995</v>
      </c>
      <c r="D773" s="4">
        <v>12.92</v>
      </c>
      <c r="E773" s="8">
        <f>C773*D773</f>
        <v>12.209399999999999</v>
      </c>
      <c r="F773" s="26"/>
      <c r="H773" s="4" t="s">
        <v>137</v>
      </c>
      <c r="I773" s="4">
        <v>0.94499999999999995</v>
      </c>
      <c r="J773" s="4">
        <v>17.190000000000001</v>
      </c>
      <c r="K773" s="8">
        <f>I773*J773</f>
        <v>16.24455</v>
      </c>
    </row>
    <row r="774" spans="1:11" x14ac:dyDescent="0.3">
      <c r="B774" s="4" t="s">
        <v>35</v>
      </c>
      <c r="C774" s="4">
        <v>4</v>
      </c>
      <c r="D774" s="4">
        <v>1.89</v>
      </c>
      <c r="E774" s="8">
        <f>C774*D774</f>
        <v>7.56</v>
      </c>
      <c r="F774" s="26"/>
      <c r="H774" s="4" t="s">
        <v>35</v>
      </c>
      <c r="I774" s="4">
        <v>4</v>
      </c>
      <c r="J774" s="4">
        <v>2.89</v>
      </c>
      <c r="K774" s="8">
        <f>I774*J774</f>
        <v>11.56</v>
      </c>
    </row>
    <row r="775" spans="1:11" x14ac:dyDescent="0.3">
      <c r="B775" s="4" t="s">
        <v>36</v>
      </c>
      <c r="C775" s="4">
        <v>4</v>
      </c>
      <c r="D775" s="4">
        <v>0.24</v>
      </c>
      <c r="E775" s="8">
        <f>C775*D775</f>
        <v>0.96</v>
      </c>
      <c r="F775" s="26"/>
      <c r="H775" s="4" t="s">
        <v>36</v>
      </c>
      <c r="I775" s="4">
        <v>4</v>
      </c>
      <c r="J775" s="4">
        <v>0.6</v>
      </c>
      <c r="K775" s="8">
        <f>I775*J775</f>
        <v>2.4</v>
      </c>
    </row>
    <row r="776" spans="1:11" x14ac:dyDescent="0.3">
      <c r="B776" s="4" t="s">
        <v>37</v>
      </c>
      <c r="C776" t="s">
        <v>266</v>
      </c>
      <c r="E776" s="8">
        <v>63</v>
      </c>
      <c r="F776" s="26"/>
      <c r="H776" s="4" t="s">
        <v>37</v>
      </c>
      <c r="I776" t="s">
        <v>266</v>
      </c>
      <c r="K776" s="8">
        <v>63</v>
      </c>
    </row>
    <row r="777" spans="1:11" x14ac:dyDescent="0.3">
      <c r="E777" s="8">
        <f>SUM(E771:E776)</f>
        <v>280.91537999999997</v>
      </c>
      <c r="F777" s="26"/>
      <c r="K777" s="8">
        <f>SUM(K771:K776)</f>
        <v>404.41757000000001</v>
      </c>
    </row>
    <row r="778" spans="1:11" x14ac:dyDescent="0.3">
      <c r="F778" s="26"/>
    </row>
    <row r="779" spans="1:11" x14ac:dyDescent="0.3">
      <c r="C779" s="4" t="s">
        <v>28</v>
      </c>
      <c r="D779" s="4" t="s">
        <v>29</v>
      </c>
      <c r="E779" s="4" t="s">
        <v>30</v>
      </c>
      <c r="F779" s="26"/>
      <c r="I779" s="4" t="s">
        <v>28</v>
      </c>
      <c r="J779" s="4" t="s">
        <v>29</v>
      </c>
      <c r="K779" s="4" t="s">
        <v>30</v>
      </c>
    </row>
    <row r="780" spans="1:11" x14ac:dyDescent="0.3">
      <c r="A780" t="s">
        <v>120</v>
      </c>
      <c r="B780" s="4" t="s">
        <v>32</v>
      </c>
      <c r="C780" s="4">
        <v>2.448</v>
      </c>
      <c r="D780" s="4">
        <v>19.38</v>
      </c>
      <c r="E780" s="8">
        <f>C780*D780</f>
        <v>47.442239999999998</v>
      </c>
      <c r="F780" s="26"/>
      <c r="G780" t="s">
        <v>120</v>
      </c>
      <c r="H780" s="4" t="s">
        <v>32</v>
      </c>
      <c r="I780" s="4">
        <v>2.5659999999999998</v>
      </c>
      <c r="J780" s="4">
        <v>30.29</v>
      </c>
      <c r="K780" s="8">
        <f>I780*J780</f>
        <v>77.724139999999991</v>
      </c>
    </row>
    <row r="781" spans="1:11" x14ac:dyDescent="0.3">
      <c r="A781" t="s">
        <v>168</v>
      </c>
      <c r="B781" s="4" t="s">
        <v>33</v>
      </c>
      <c r="C781" s="4">
        <v>21.01</v>
      </c>
      <c r="D781" s="4">
        <v>10.11</v>
      </c>
      <c r="E781" s="8">
        <f>C781*D781</f>
        <v>212.4111</v>
      </c>
      <c r="F781" s="26"/>
      <c r="G781" t="s">
        <v>168</v>
      </c>
      <c r="H781" s="4" t="s">
        <v>33</v>
      </c>
      <c r="I781" s="4">
        <v>22.010999999999999</v>
      </c>
      <c r="J781" s="4">
        <v>16</v>
      </c>
      <c r="K781" s="8">
        <f>I781*J781</f>
        <v>352.17599999999999</v>
      </c>
    </row>
    <row r="782" spans="1:11" x14ac:dyDescent="0.3">
      <c r="A782" t="s">
        <v>270</v>
      </c>
      <c r="B782" s="4" t="s">
        <v>137</v>
      </c>
      <c r="C782" s="4">
        <v>1.26</v>
      </c>
      <c r="D782" s="4">
        <v>12.92</v>
      </c>
      <c r="E782" s="8">
        <f>C782*D782</f>
        <v>16.279199999999999</v>
      </c>
      <c r="F782" s="26"/>
      <c r="H782" s="4" t="s">
        <v>137</v>
      </c>
      <c r="I782" s="4">
        <v>1.26</v>
      </c>
      <c r="J782" s="4">
        <v>17.190000000000001</v>
      </c>
      <c r="K782" s="8">
        <f>I782*J782</f>
        <v>21.659400000000002</v>
      </c>
    </row>
    <row r="783" spans="1:11" x14ac:dyDescent="0.3">
      <c r="B783" s="4" t="s">
        <v>35</v>
      </c>
      <c r="C783" s="4">
        <v>4</v>
      </c>
      <c r="D783" s="4">
        <v>1.89</v>
      </c>
      <c r="E783" s="8">
        <f>C783*D783</f>
        <v>7.56</v>
      </c>
      <c r="F783" s="26"/>
      <c r="H783" s="4" t="s">
        <v>35</v>
      </c>
      <c r="I783" s="4">
        <v>4</v>
      </c>
      <c r="J783" s="4">
        <v>2.89</v>
      </c>
      <c r="K783" s="8">
        <f>I783*J783</f>
        <v>11.56</v>
      </c>
    </row>
    <row r="784" spans="1:11" x14ac:dyDescent="0.3">
      <c r="B784" s="4" t="s">
        <v>36</v>
      </c>
      <c r="C784" s="4">
        <v>4</v>
      </c>
      <c r="D784" s="4">
        <v>0.24</v>
      </c>
      <c r="E784" s="8">
        <f>C784*D784</f>
        <v>0.96</v>
      </c>
      <c r="F784" s="26"/>
      <c r="H784" s="4" t="s">
        <v>36</v>
      </c>
      <c r="I784" s="4">
        <v>4</v>
      </c>
      <c r="J784" s="4">
        <v>0.6</v>
      </c>
      <c r="K784" s="8">
        <f>I784*J784</f>
        <v>2.4</v>
      </c>
    </row>
    <row r="785" spans="1:11" x14ac:dyDescent="0.3">
      <c r="B785" s="4" t="s">
        <v>37</v>
      </c>
      <c r="C785" t="s">
        <v>266</v>
      </c>
      <c r="E785" s="8">
        <v>63</v>
      </c>
      <c r="F785" s="26"/>
      <c r="H785" s="4" t="s">
        <v>37</v>
      </c>
      <c r="I785">
        <v>1.5</v>
      </c>
      <c r="K785" s="8">
        <v>127.5</v>
      </c>
    </row>
    <row r="786" spans="1:11" x14ac:dyDescent="0.3">
      <c r="E786" s="8">
        <f>SUM(E780:E785)</f>
        <v>347.65253999999999</v>
      </c>
      <c r="F786" s="26"/>
      <c r="K786" s="8">
        <f>SUM(K780:K785)</f>
        <v>593.01954000000001</v>
      </c>
    </row>
    <row r="787" spans="1:11" x14ac:dyDescent="0.3">
      <c r="F787" s="26"/>
    </row>
    <row r="788" spans="1:11" x14ac:dyDescent="0.3">
      <c r="C788" s="4" t="s">
        <v>28</v>
      </c>
      <c r="D788" s="4" t="s">
        <v>29</v>
      </c>
      <c r="E788" s="4" t="s">
        <v>30</v>
      </c>
      <c r="F788" s="26"/>
      <c r="I788" s="4" t="s">
        <v>28</v>
      </c>
      <c r="J788" s="4" t="s">
        <v>29</v>
      </c>
      <c r="K788" s="4" t="s">
        <v>30</v>
      </c>
    </row>
    <row r="789" spans="1:11" x14ac:dyDescent="0.3">
      <c r="A789" t="s">
        <v>202</v>
      </c>
      <c r="B789" s="4" t="s">
        <v>32</v>
      </c>
      <c r="C789" s="4">
        <v>1.903</v>
      </c>
      <c r="D789" s="4">
        <v>19.38</v>
      </c>
      <c r="E789" s="8">
        <f>C789*D789</f>
        <v>36.880139999999997</v>
      </c>
      <c r="F789" s="26"/>
      <c r="G789" t="s">
        <v>202</v>
      </c>
      <c r="H789" s="4" t="s">
        <v>32</v>
      </c>
      <c r="I789" s="4">
        <v>1.903</v>
      </c>
      <c r="J789" s="4">
        <v>30.29</v>
      </c>
      <c r="K789" s="8">
        <f>I789*J789</f>
        <v>57.641869999999997</v>
      </c>
    </row>
    <row r="790" spans="1:11" x14ac:dyDescent="0.3">
      <c r="A790" t="s">
        <v>219</v>
      </c>
      <c r="B790" s="4" t="s">
        <v>33</v>
      </c>
      <c r="C790" s="4">
        <v>0.83</v>
      </c>
      <c r="D790" s="4">
        <v>10.11</v>
      </c>
      <c r="E790" s="8">
        <f>C790*D790</f>
        <v>8.3912999999999993</v>
      </c>
      <c r="F790" s="26"/>
      <c r="G790" t="s">
        <v>219</v>
      </c>
      <c r="H790" s="4" t="s">
        <v>33</v>
      </c>
      <c r="I790" s="4">
        <v>0.83</v>
      </c>
      <c r="J790" s="4">
        <v>16</v>
      </c>
      <c r="K790" s="8">
        <f>I790*J790</f>
        <v>13.28</v>
      </c>
    </row>
    <row r="791" spans="1:11" x14ac:dyDescent="0.3">
      <c r="A791" t="s">
        <v>270</v>
      </c>
      <c r="B791" s="4" t="s">
        <v>137</v>
      </c>
      <c r="C791" s="4">
        <v>0.126</v>
      </c>
      <c r="D791" s="4">
        <v>12.92</v>
      </c>
      <c r="E791" s="8">
        <f>C791*D791</f>
        <v>1.62792</v>
      </c>
      <c r="F791" s="26"/>
      <c r="H791" s="4" t="s">
        <v>137</v>
      </c>
      <c r="I791" s="4">
        <v>0.126</v>
      </c>
      <c r="J791" s="4">
        <v>17.190000000000001</v>
      </c>
      <c r="K791" s="8">
        <f>I791*J791</f>
        <v>2.16594</v>
      </c>
    </row>
    <row r="792" spans="1:11" x14ac:dyDescent="0.3">
      <c r="B792" s="4" t="s">
        <v>35</v>
      </c>
      <c r="C792" s="4">
        <v>4</v>
      </c>
      <c r="D792" s="4">
        <v>1.89</v>
      </c>
      <c r="E792" s="8">
        <f>C792*D792</f>
        <v>7.56</v>
      </c>
      <c r="F792" s="26"/>
      <c r="H792" s="4" t="s">
        <v>35</v>
      </c>
      <c r="I792" s="4">
        <v>4</v>
      </c>
      <c r="J792" s="4">
        <v>2.89</v>
      </c>
      <c r="K792" s="8">
        <f>I792*J792</f>
        <v>11.56</v>
      </c>
    </row>
    <row r="793" spans="1:11" x14ac:dyDescent="0.3">
      <c r="B793" s="4" t="s">
        <v>36</v>
      </c>
      <c r="C793" s="4">
        <v>4</v>
      </c>
      <c r="D793" s="4">
        <v>0.24</v>
      </c>
      <c r="E793" s="8">
        <f>C793*D793</f>
        <v>0.96</v>
      </c>
      <c r="F793" s="26"/>
      <c r="H793" s="4" t="s">
        <v>36</v>
      </c>
      <c r="I793" s="4">
        <v>4</v>
      </c>
      <c r="J793" s="4">
        <v>0.6</v>
      </c>
      <c r="K793" s="8">
        <f>I793*J793</f>
        <v>2.4</v>
      </c>
    </row>
    <row r="794" spans="1:11" x14ac:dyDescent="0.3">
      <c r="B794" s="4" t="s">
        <v>37</v>
      </c>
      <c r="C794" t="s">
        <v>264</v>
      </c>
      <c r="E794" s="8">
        <v>35</v>
      </c>
      <c r="F794" s="26"/>
      <c r="H794" s="4" t="s">
        <v>37</v>
      </c>
      <c r="I794" t="s">
        <v>264</v>
      </c>
      <c r="K794" s="8">
        <v>35</v>
      </c>
    </row>
    <row r="795" spans="1:11" x14ac:dyDescent="0.3">
      <c r="E795" s="8">
        <f>SUM(E789:E794)</f>
        <v>90.419360000000012</v>
      </c>
      <c r="F795" s="26"/>
      <c r="K795" s="8">
        <f>SUM(K789:K794)</f>
        <v>122.04781000000001</v>
      </c>
    </row>
    <row r="796" spans="1:11" x14ac:dyDescent="0.3">
      <c r="F796" s="26"/>
    </row>
    <row r="797" spans="1:11" x14ac:dyDescent="0.3">
      <c r="C797" s="4" t="s">
        <v>28</v>
      </c>
      <c r="D797" s="4" t="s">
        <v>29</v>
      </c>
      <c r="E797" s="4" t="s">
        <v>30</v>
      </c>
      <c r="F797" s="26"/>
      <c r="I797" s="4" t="s">
        <v>28</v>
      </c>
      <c r="J797" s="4" t="s">
        <v>29</v>
      </c>
      <c r="K797" s="4" t="s">
        <v>30</v>
      </c>
    </row>
    <row r="798" spans="1:11" x14ac:dyDescent="0.3">
      <c r="A798" t="s">
        <v>203</v>
      </c>
      <c r="B798" s="4" t="s">
        <v>32</v>
      </c>
      <c r="C798" s="4">
        <v>1.9239999999999999</v>
      </c>
      <c r="D798" s="4">
        <v>19.38</v>
      </c>
      <c r="E798" s="8">
        <f>C798*D798</f>
        <v>37.287119999999994</v>
      </c>
      <c r="F798" s="26"/>
      <c r="G798" t="s">
        <v>203</v>
      </c>
      <c r="H798" s="4" t="s">
        <v>32</v>
      </c>
      <c r="I798" s="4">
        <v>1.9239999999999999</v>
      </c>
      <c r="J798" s="4">
        <v>30.29</v>
      </c>
      <c r="K798" s="8">
        <f>I798*J798</f>
        <v>58.277959999999993</v>
      </c>
    </row>
    <row r="799" spans="1:11" x14ac:dyDescent="0.3">
      <c r="A799" t="s">
        <v>171</v>
      </c>
      <c r="B799" s="4" t="s">
        <v>33</v>
      </c>
      <c r="C799" s="4">
        <v>1.659</v>
      </c>
      <c r="D799" s="4">
        <v>10.11</v>
      </c>
      <c r="E799" s="8">
        <f>C799*D799</f>
        <v>16.772489999999998</v>
      </c>
      <c r="F799" s="26"/>
      <c r="G799" t="s">
        <v>171</v>
      </c>
      <c r="H799" s="4" t="s">
        <v>33</v>
      </c>
      <c r="I799" s="4">
        <v>1.659</v>
      </c>
      <c r="J799" s="4">
        <v>16</v>
      </c>
      <c r="K799" s="8">
        <f>I799*J799</f>
        <v>26.544</v>
      </c>
    </row>
    <row r="800" spans="1:11" x14ac:dyDescent="0.3">
      <c r="A800" t="s">
        <v>270</v>
      </c>
      <c r="B800" s="4" t="s">
        <v>137</v>
      </c>
      <c r="C800" s="4">
        <v>0.157</v>
      </c>
      <c r="D800" s="4">
        <v>12.92</v>
      </c>
      <c r="E800" s="8">
        <f>C800*D800</f>
        <v>2.0284399999999998</v>
      </c>
      <c r="F800" s="26"/>
      <c r="H800" s="4" t="s">
        <v>137</v>
      </c>
      <c r="I800" s="4">
        <v>0.157</v>
      </c>
      <c r="J800" s="4">
        <v>17.190000000000001</v>
      </c>
      <c r="K800" s="8">
        <f>I800*J800</f>
        <v>2.6988300000000001</v>
      </c>
    </row>
    <row r="801" spans="1:11" x14ac:dyDescent="0.3">
      <c r="B801" s="4" t="s">
        <v>35</v>
      </c>
      <c r="C801" s="4">
        <v>4</v>
      </c>
      <c r="D801" s="4">
        <v>1.89</v>
      </c>
      <c r="E801" s="8">
        <f>C801*D801</f>
        <v>7.56</v>
      </c>
      <c r="F801" s="26"/>
      <c r="H801" s="4" t="s">
        <v>35</v>
      </c>
      <c r="I801" s="4">
        <v>4</v>
      </c>
      <c r="J801" s="4">
        <v>2.89</v>
      </c>
      <c r="K801" s="8">
        <f>I801*J801</f>
        <v>11.56</v>
      </c>
    </row>
    <row r="802" spans="1:11" x14ac:dyDescent="0.3">
      <c r="B802" s="4" t="s">
        <v>36</v>
      </c>
      <c r="C802" s="4">
        <v>4</v>
      </c>
      <c r="D802" s="4">
        <v>0.24</v>
      </c>
      <c r="E802" s="8">
        <f>C802*D802</f>
        <v>0.96</v>
      </c>
      <c r="F802" s="26"/>
      <c r="H802" s="4" t="s">
        <v>36</v>
      </c>
      <c r="I802" s="4">
        <v>4</v>
      </c>
      <c r="J802" s="4">
        <v>0.6</v>
      </c>
      <c r="K802" s="8">
        <f>I802*J802</f>
        <v>2.4</v>
      </c>
    </row>
    <row r="803" spans="1:11" x14ac:dyDescent="0.3">
      <c r="B803" s="4" t="s">
        <v>37</v>
      </c>
      <c r="C803" t="s">
        <v>264</v>
      </c>
      <c r="E803" s="8">
        <v>35</v>
      </c>
      <c r="F803" s="26"/>
      <c r="H803" s="4" t="s">
        <v>37</v>
      </c>
      <c r="I803" t="s">
        <v>264</v>
      </c>
      <c r="K803" s="8">
        <v>35</v>
      </c>
    </row>
    <row r="804" spans="1:11" x14ac:dyDescent="0.3">
      <c r="E804" s="8">
        <f>SUM(E798:E803)</f>
        <v>99.608049999999992</v>
      </c>
      <c r="F804" s="26"/>
      <c r="K804" s="8">
        <f>SUM(K798:K803)</f>
        <v>136.48079000000001</v>
      </c>
    </row>
    <row r="805" spans="1:11" x14ac:dyDescent="0.3">
      <c r="F805" s="26"/>
    </row>
    <row r="806" spans="1:11" x14ac:dyDescent="0.3">
      <c r="C806" s="4" t="s">
        <v>28</v>
      </c>
      <c r="D806" s="4" t="s">
        <v>29</v>
      </c>
      <c r="E806" s="4" t="s">
        <v>30</v>
      </c>
      <c r="F806" s="26"/>
      <c r="I806" s="4" t="s">
        <v>28</v>
      </c>
      <c r="J806" s="4" t="s">
        <v>29</v>
      </c>
      <c r="K806" s="4" t="s">
        <v>30</v>
      </c>
    </row>
    <row r="807" spans="1:11" x14ac:dyDescent="0.3">
      <c r="A807" t="s">
        <v>200</v>
      </c>
      <c r="B807" s="4" t="s">
        <v>32</v>
      </c>
      <c r="C807" s="4">
        <v>1.944</v>
      </c>
      <c r="D807" s="4">
        <v>19.38</v>
      </c>
      <c r="E807" s="8">
        <v>35</v>
      </c>
      <c r="F807" s="26"/>
      <c r="G807" t="s">
        <v>200</v>
      </c>
      <c r="H807" s="4" t="s">
        <v>32</v>
      </c>
      <c r="I807" s="4">
        <v>1.944</v>
      </c>
      <c r="J807" s="4">
        <v>30.29</v>
      </c>
      <c r="K807" s="8">
        <f>I807*J807</f>
        <v>58.883759999999995</v>
      </c>
    </row>
    <row r="808" spans="1:11" x14ac:dyDescent="0.3">
      <c r="A808" t="s">
        <v>261</v>
      </c>
      <c r="B808" s="4" t="s">
        <v>33</v>
      </c>
      <c r="C808" s="4">
        <v>2.488</v>
      </c>
      <c r="D808" s="4">
        <v>10.11</v>
      </c>
      <c r="E808" s="8">
        <v>35</v>
      </c>
      <c r="F808" s="26"/>
      <c r="G808" t="s">
        <v>261</v>
      </c>
      <c r="H808" s="4" t="s">
        <v>33</v>
      </c>
      <c r="I808" s="4">
        <v>2.488</v>
      </c>
      <c r="J808" s="4">
        <v>16</v>
      </c>
      <c r="K808" s="8">
        <f>I808*J808</f>
        <v>39.808</v>
      </c>
    </row>
    <row r="809" spans="1:11" x14ac:dyDescent="0.3">
      <c r="A809" t="s">
        <v>270</v>
      </c>
      <c r="B809" s="4" t="s">
        <v>137</v>
      </c>
      <c r="C809" s="4">
        <v>0.189</v>
      </c>
      <c r="D809" s="4">
        <v>12.92</v>
      </c>
      <c r="E809" s="8">
        <v>35</v>
      </c>
      <c r="F809" s="26"/>
      <c r="H809" s="4" t="s">
        <v>137</v>
      </c>
      <c r="I809" s="4">
        <v>0.189</v>
      </c>
      <c r="J809" s="4">
        <v>17.190000000000001</v>
      </c>
      <c r="K809" s="8">
        <f>I809*J809</f>
        <v>3.2489100000000004</v>
      </c>
    </row>
    <row r="810" spans="1:11" x14ac:dyDescent="0.3">
      <c r="B810" s="4" t="s">
        <v>35</v>
      </c>
      <c r="C810" s="4">
        <v>4</v>
      </c>
      <c r="D810" s="4">
        <v>1.89</v>
      </c>
      <c r="E810" s="8">
        <f>C810*D810</f>
        <v>7.56</v>
      </c>
      <c r="F810" s="26"/>
      <c r="H810" s="4" t="s">
        <v>35</v>
      </c>
      <c r="I810" s="4">
        <v>4</v>
      </c>
      <c r="J810" s="4">
        <v>2.89</v>
      </c>
      <c r="K810" s="8">
        <f>I810*J810</f>
        <v>11.56</v>
      </c>
    </row>
    <row r="811" spans="1:11" x14ac:dyDescent="0.3">
      <c r="B811" s="4" t="s">
        <v>36</v>
      </c>
      <c r="C811" s="4">
        <v>4</v>
      </c>
      <c r="D811" s="4">
        <v>0.24</v>
      </c>
      <c r="E811" s="8">
        <f>C811*D811</f>
        <v>0.96</v>
      </c>
      <c r="F811" s="26"/>
      <c r="H811" s="4" t="s">
        <v>36</v>
      </c>
      <c r="I811" s="4">
        <v>4</v>
      </c>
      <c r="J811" s="4">
        <v>0.6</v>
      </c>
      <c r="K811" s="8">
        <f>I811*J811</f>
        <v>2.4</v>
      </c>
    </row>
    <row r="812" spans="1:11" x14ac:dyDescent="0.3">
      <c r="B812" s="4" t="s">
        <v>37</v>
      </c>
      <c r="C812" t="s">
        <v>264</v>
      </c>
      <c r="E812" s="8">
        <v>35</v>
      </c>
      <c r="F812" s="26"/>
      <c r="H812" s="4" t="s">
        <v>37</v>
      </c>
      <c r="I812" t="s">
        <v>264</v>
      </c>
      <c r="K812" s="8">
        <v>35</v>
      </c>
    </row>
    <row r="813" spans="1:11" x14ac:dyDescent="0.3">
      <c r="E813" s="8">
        <f>SUM(E807:E812)</f>
        <v>148.51999999999998</v>
      </c>
      <c r="F813" s="26"/>
      <c r="K813" s="8">
        <f>SUM(K807:K812)</f>
        <v>150.90066999999999</v>
      </c>
    </row>
    <row r="814" spans="1:11" x14ac:dyDescent="0.3">
      <c r="F814" s="26"/>
    </row>
    <row r="815" spans="1:11" x14ac:dyDescent="0.3">
      <c r="C815" s="4" t="s">
        <v>28</v>
      </c>
      <c r="D815" s="4" t="s">
        <v>29</v>
      </c>
      <c r="E815" s="4" t="s">
        <v>30</v>
      </c>
      <c r="F815" s="26"/>
      <c r="I815" s="4" t="s">
        <v>28</v>
      </c>
      <c r="J815" s="4" t="s">
        <v>29</v>
      </c>
      <c r="K815" s="4" t="s">
        <v>30</v>
      </c>
    </row>
    <row r="816" spans="1:11" x14ac:dyDescent="0.3">
      <c r="A816" t="s">
        <v>204</v>
      </c>
      <c r="B816" s="4" t="s">
        <v>32</v>
      </c>
      <c r="C816" s="4">
        <v>1.976</v>
      </c>
      <c r="D816" s="4">
        <v>19.38</v>
      </c>
      <c r="E816" s="8">
        <f>C816*D816</f>
        <v>38.294879999999999</v>
      </c>
      <c r="F816" s="26"/>
      <c r="G816" t="s">
        <v>204</v>
      </c>
      <c r="H816" s="4" t="s">
        <v>32</v>
      </c>
      <c r="I816" s="4">
        <v>1.976</v>
      </c>
      <c r="J816" s="4">
        <v>30.29</v>
      </c>
      <c r="K816" s="8">
        <f>I816*J816</f>
        <v>59.85304</v>
      </c>
    </row>
    <row r="817" spans="1:11" x14ac:dyDescent="0.3">
      <c r="A817" t="s">
        <v>39</v>
      </c>
      <c r="B817" s="4" t="s">
        <v>33</v>
      </c>
      <c r="C817" s="4">
        <v>3.3180000000000001</v>
      </c>
      <c r="D817" s="4">
        <v>10.11</v>
      </c>
      <c r="E817" s="8">
        <f>C817*D817</f>
        <v>33.544979999999995</v>
      </c>
      <c r="F817" s="26"/>
      <c r="G817" t="s">
        <v>39</v>
      </c>
      <c r="H817" s="4" t="s">
        <v>33</v>
      </c>
      <c r="I817" s="4">
        <v>3.3180000000000001</v>
      </c>
      <c r="J817" s="4">
        <v>16</v>
      </c>
      <c r="K817" s="8">
        <f>I817*J817</f>
        <v>53.088000000000001</v>
      </c>
    </row>
    <row r="818" spans="1:11" x14ac:dyDescent="0.3">
      <c r="A818" t="s">
        <v>270</v>
      </c>
      <c r="B818" s="4" t="s">
        <v>137</v>
      </c>
      <c r="C818" s="4">
        <v>0.23699999999999999</v>
      </c>
      <c r="D818" s="4">
        <v>12.92</v>
      </c>
      <c r="E818" s="8">
        <f>C818*D818</f>
        <v>3.0620399999999997</v>
      </c>
      <c r="F818" s="26"/>
      <c r="H818" s="4" t="s">
        <v>137</v>
      </c>
      <c r="I818" s="4">
        <v>0.23699999999999999</v>
      </c>
      <c r="J818" s="4">
        <v>17.190000000000001</v>
      </c>
      <c r="K818" s="8">
        <f>I818*J818</f>
        <v>4.0740300000000005</v>
      </c>
    </row>
    <row r="819" spans="1:11" x14ac:dyDescent="0.3">
      <c r="B819" s="4" t="s">
        <v>35</v>
      </c>
      <c r="C819" s="4">
        <v>4</v>
      </c>
      <c r="D819" s="4">
        <v>1.89</v>
      </c>
      <c r="E819" s="8">
        <f>C819*D819</f>
        <v>7.56</v>
      </c>
      <c r="F819" s="26"/>
      <c r="H819" s="4" t="s">
        <v>35</v>
      </c>
      <c r="I819" s="4">
        <v>4</v>
      </c>
      <c r="J819" s="4">
        <v>2.89</v>
      </c>
      <c r="K819" s="8">
        <f>I819*J819</f>
        <v>11.56</v>
      </c>
    </row>
    <row r="820" spans="1:11" x14ac:dyDescent="0.3">
      <c r="B820" s="4" t="s">
        <v>36</v>
      </c>
      <c r="C820" s="4">
        <v>4</v>
      </c>
      <c r="D820" s="4">
        <v>0.24</v>
      </c>
      <c r="E820" s="8">
        <f>C820*D820</f>
        <v>0.96</v>
      </c>
      <c r="F820" s="26"/>
      <c r="H820" s="4" t="s">
        <v>36</v>
      </c>
      <c r="I820" s="4">
        <v>4</v>
      </c>
      <c r="J820" s="4">
        <v>0.6</v>
      </c>
      <c r="K820" s="8">
        <f>I820*J820</f>
        <v>2.4</v>
      </c>
    </row>
    <row r="821" spans="1:11" x14ac:dyDescent="0.3">
      <c r="B821" s="4" t="s">
        <v>37</v>
      </c>
      <c r="C821" t="s">
        <v>264</v>
      </c>
      <c r="E821" s="8">
        <v>35</v>
      </c>
      <c r="F821" s="26"/>
      <c r="H821" s="4" t="s">
        <v>37</v>
      </c>
      <c r="J821" s="61">
        <v>42.5</v>
      </c>
      <c r="K821" s="8">
        <v>42.5</v>
      </c>
    </row>
    <row r="822" spans="1:11" x14ac:dyDescent="0.3">
      <c r="E822" s="8">
        <f>SUM(E816:E821)</f>
        <v>118.42189999999998</v>
      </c>
      <c r="F822" s="26"/>
      <c r="K822" s="8">
        <f>SUM(K816:K821)</f>
        <v>173.47507000000002</v>
      </c>
    </row>
    <row r="823" spans="1:11" x14ac:dyDescent="0.3">
      <c r="F823" s="26"/>
    </row>
    <row r="824" spans="1:11" x14ac:dyDescent="0.3">
      <c r="C824" s="4" t="s">
        <v>28</v>
      </c>
      <c r="D824" s="4" t="s">
        <v>29</v>
      </c>
      <c r="E824" s="4" t="s">
        <v>30</v>
      </c>
      <c r="F824" s="26"/>
      <c r="I824" s="4" t="s">
        <v>28</v>
      </c>
      <c r="J824" s="4" t="s">
        <v>29</v>
      </c>
      <c r="K824" s="4" t="s">
        <v>30</v>
      </c>
    </row>
    <row r="825" spans="1:11" x14ac:dyDescent="0.3">
      <c r="A825" t="s">
        <v>205</v>
      </c>
      <c r="B825" s="4" t="s">
        <v>32</v>
      </c>
      <c r="C825" s="4">
        <v>1.9970000000000001</v>
      </c>
      <c r="D825" s="4">
        <v>19.38</v>
      </c>
      <c r="E825" s="8">
        <f>C825*D825</f>
        <v>38.701860000000003</v>
      </c>
      <c r="F825" s="26"/>
      <c r="G825" t="s">
        <v>205</v>
      </c>
      <c r="H825" s="4" t="s">
        <v>32</v>
      </c>
      <c r="I825" s="4">
        <v>1.9970000000000001</v>
      </c>
      <c r="J825" s="4">
        <v>30.29</v>
      </c>
      <c r="K825" s="8">
        <f>I825*J825</f>
        <v>60.489130000000003</v>
      </c>
    </row>
    <row r="826" spans="1:11" x14ac:dyDescent="0.3">
      <c r="A826" t="s">
        <v>262</v>
      </c>
      <c r="B826" s="4" t="s">
        <v>33</v>
      </c>
      <c r="C826" s="4">
        <v>4.1470000000000002</v>
      </c>
      <c r="D826" s="4">
        <v>10.11</v>
      </c>
      <c r="E826" s="8">
        <f>C826*D826</f>
        <v>41.926169999999999</v>
      </c>
      <c r="F826" s="26"/>
      <c r="G826" t="s">
        <v>63</v>
      </c>
      <c r="H826" s="4" t="s">
        <v>33</v>
      </c>
      <c r="I826" s="4">
        <v>4.1470000000000002</v>
      </c>
      <c r="J826" s="4">
        <v>16</v>
      </c>
      <c r="K826" s="8">
        <f>I826*J826</f>
        <v>66.352000000000004</v>
      </c>
    </row>
    <row r="827" spans="1:11" x14ac:dyDescent="0.3">
      <c r="A827" t="s">
        <v>270</v>
      </c>
      <c r="B827" s="4" t="s">
        <v>137</v>
      </c>
      <c r="C827" s="4">
        <v>0.26800000000000002</v>
      </c>
      <c r="D827" s="4">
        <v>12.92</v>
      </c>
      <c r="E827" s="8">
        <f>C827*D827</f>
        <v>3.4625600000000003</v>
      </c>
      <c r="F827" s="26"/>
      <c r="H827" s="4" t="s">
        <v>137</v>
      </c>
      <c r="I827" s="4">
        <v>0.26800000000000002</v>
      </c>
      <c r="J827" s="4">
        <v>17.190000000000001</v>
      </c>
      <c r="K827" s="8">
        <f>I827*J827</f>
        <v>4.6069200000000006</v>
      </c>
    </row>
    <row r="828" spans="1:11" x14ac:dyDescent="0.3">
      <c r="B828" s="4" t="s">
        <v>35</v>
      </c>
      <c r="C828" s="4">
        <v>4</v>
      </c>
      <c r="D828" s="4">
        <v>1.89</v>
      </c>
      <c r="E828" s="8">
        <f>C828*D828</f>
        <v>7.56</v>
      </c>
      <c r="F828" s="26"/>
      <c r="H828" s="4" t="s">
        <v>35</v>
      </c>
      <c r="I828" s="4">
        <v>4</v>
      </c>
      <c r="J828" s="4">
        <v>2.89</v>
      </c>
      <c r="K828" s="8">
        <f>I828*J828</f>
        <v>11.56</v>
      </c>
    </row>
    <row r="829" spans="1:11" x14ac:dyDescent="0.3">
      <c r="B829" s="4" t="s">
        <v>36</v>
      </c>
      <c r="C829" s="4">
        <v>4</v>
      </c>
      <c r="D829" s="4">
        <v>0.24</v>
      </c>
      <c r="E829" s="8">
        <f>C829*D829</f>
        <v>0.96</v>
      </c>
      <c r="F829" s="26"/>
      <c r="H829" s="4" t="s">
        <v>36</v>
      </c>
      <c r="I829" s="4">
        <v>4</v>
      </c>
      <c r="J829" s="4">
        <v>0.6</v>
      </c>
      <c r="K829" s="8">
        <f>I829*J829</f>
        <v>2.4</v>
      </c>
    </row>
    <row r="830" spans="1:11" x14ac:dyDescent="0.3">
      <c r="B830" s="4" t="s">
        <v>37</v>
      </c>
      <c r="C830" t="s">
        <v>264</v>
      </c>
      <c r="E830" s="8">
        <v>35</v>
      </c>
      <c r="F830" s="26"/>
      <c r="H830" s="4" t="s">
        <v>37</v>
      </c>
      <c r="J830" s="61">
        <v>42.5</v>
      </c>
      <c r="K830" s="8">
        <v>42.5</v>
      </c>
    </row>
    <row r="831" spans="1:11" x14ac:dyDescent="0.3">
      <c r="E831" s="8">
        <f>SUM(E825:E830)</f>
        <v>127.61058999999999</v>
      </c>
      <c r="F831" s="26"/>
      <c r="K831" s="8">
        <f>SUM(K825:K830)</f>
        <v>187.90805</v>
      </c>
    </row>
    <row r="832" spans="1:11" x14ac:dyDescent="0.3">
      <c r="F832" s="26"/>
    </row>
    <row r="833" spans="1:11" x14ac:dyDescent="0.3">
      <c r="C833" s="4" t="s">
        <v>28</v>
      </c>
      <c r="D833" s="4" t="s">
        <v>29</v>
      </c>
      <c r="E833" s="4" t="s">
        <v>30</v>
      </c>
      <c r="F833" s="26"/>
      <c r="I833" s="4" t="s">
        <v>28</v>
      </c>
      <c r="J833" s="4" t="s">
        <v>29</v>
      </c>
      <c r="K833" s="4" t="s">
        <v>30</v>
      </c>
    </row>
    <row r="834" spans="1:11" x14ac:dyDescent="0.3">
      <c r="A834" t="s">
        <v>206</v>
      </c>
      <c r="B834" s="4" t="s">
        <v>32</v>
      </c>
      <c r="C834" s="4">
        <v>2.008</v>
      </c>
      <c r="D834" s="4">
        <v>19.38</v>
      </c>
      <c r="E834" s="8">
        <f>C834*D834</f>
        <v>38.915039999999998</v>
      </c>
      <c r="F834" s="26"/>
      <c r="G834" t="s">
        <v>206</v>
      </c>
      <c r="H834" s="4" t="s">
        <v>32</v>
      </c>
      <c r="I834" s="4">
        <v>2.008</v>
      </c>
      <c r="J834" s="4">
        <v>30.29</v>
      </c>
      <c r="K834" s="8">
        <f>I834*J834</f>
        <v>60.822319999999998</v>
      </c>
    </row>
    <row r="835" spans="1:11" x14ac:dyDescent="0.3">
      <c r="A835" t="s">
        <v>262</v>
      </c>
      <c r="B835" s="4" t="s">
        <v>33</v>
      </c>
      <c r="C835" s="4">
        <v>4.1479999999999997</v>
      </c>
      <c r="D835" s="4">
        <v>10.11</v>
      </c>
      <c r="E835" s="8">
        <f>C835*D835</f>
        <v>41.936279999999996</v>
      </c>
      <c r="F835" s="26"/>
      <c r="G835" t="s">
        <v>262</v>
      </c>
      <c r="H835" s="4" t="s">
        <v>33</v>
      </c>
      <c r="I835" s="4">
        <v>4.1479999999999997</v>
      </c>
      <c r="J835" s="4">
        <v>16</v>
      </c>
      <c r="K835" s="8">
        <f>I835*J835</f>
        <v>66.367999999999995</v>
      </c>
    </row>
    <row r="836" spans="1:11" x14ac:dyDescent="0.3">
      <c r="A836" t="s">
        <v>270</v>
      </c>
      <c r="B836" s="4" t="s">
        <v>137</v>
      </c>
      <c r="C836" s="4">
        <v>1</v>
      </c>
      <c r="D836" s="4">
        <v>12.92</v>
      </c>
      <c r="E836" s="8">
        <f>C836*D836</f>
        <v>12.92</v>
      </c>
      <c r="F836" s="26"/>
      <c r="H836" s="4" t="s">
        <v>137</v>
      </c>
      <c r="I836" s="4">
        <v>1</v>
      </c>
      <c r="J836" s="4">
        <v>17.190000000000001</v>
      </c>
      <c r="K836" s="8">
        <f>I836*J836</f>
        <v>17.190000000000001</v>
      </c>
    </row>
    <row r="837" spans="1:11" x14ac:dyDescent="0.3">
      <c r="B837" s="4" t="s">
        <v>35</v>
      </c>
      <c r="C837" s="4">
        <v>4</v>
      </c>
      <c r="D837" s="4">
        <v>1.89</v>
      </c>
      <c r="E837" s="8">
        <f>C837*D837</f>
        <v>7.56</v>
      </c>
      <c r="F837" s="26"/>
      <c r="H837" s="4" t="s">
        <v>35</v>
      </c>
      <c r="I837" s="4">
        <v>4</v>
      </c>
      <c r="J837" s="4">
        <v>2.89</v>
      </c>
      <c r="K837" s="8">
        <f>I837*J837</f>
        <v>11.56</v>
      </c>
    </row>
    <row r="838" spans="1:11" x14ac:dyDescent="0.3">
      <c r="B838" s="4" t="s">
        <v>36</v>
      </c>
      <c r="C838" s="4">
        <v>4</v>
      </c>
      <c r="D838" s="4">
        <v>0.24</v>
      </c>
      <c r="E838" s="8">
        <f>C838*D838</f>
        <v>0.96</v>
      </c>
      <c r="F838" s="26"/>
      <c r="H838" s="4" t="s">
        <v>36</v>
      </c>
      <c r="I838" s="4">
        <v>4</v>
      </c>
      <c r="J838" s="4">
        <v>0.6</v>
      </c>
      <c r="K838" s="8">
        <f>I838*J838</f>
        <v>2.4</v>
      </c>
    </row>
    <row r="839" spans="1:11" x14ac:dyDescent="0.3">
      <c r="B839" s="4" t="s">
        <v>37</v>
      </c>
      <c r="C839" t="s">
        <v>264</v>
      </c>
      <c r="E839" s="8">
        <v>35</v>
      </c>
      <c r="F839" s="26"/>
      <c r="H839" s="4" t="s">
        <v>37</v>
      </c>
      <c r="I839">
        <v>42.5</v>
      </c>
      <c r="K839" s="8">
        <v>42.5</v>
      </c>
    </row>
    <row r="840" spans="1:11" x14ac:dyDescent="0.3">
      <c r="E840" s="8">
        <f>SUM(E834:E839)</f>
        <v>137.29131999999998</v>
      </c>
      <c r="F840" s="26"/>
      <c r="K840" s="8">
        <f>SUM(K834:K839)</f>
        <v>200.84031999999999</v>
      </c>
    </row>
    <row r="841" spans="1:11" x14ac:dyDescent="0.3">
      <c r="F841" s="26"/>
    </row>
    <row r="842" spans="1:11" x14ac:dyDescent="0.3">
      <c r="C842" s="4" t="s">
        <v>28</v>
      </c>
      <c r="D842" s="4" t="s">
        <v>29</v>
      </c>
      <c r="E842" s="4" t="s">
        <v>30</v>
      </c>
      <c r="F842" s="26"/>
      <c r="I842" s="4" t="s">
        <v>28</v>
      </c>
      <c r="J842" s="4" t="s">
        <v>29</v>
      </c>
      <c r="K842" s="4" t="s">
        <v>30</v>
      </c>
    </row>
    <row r="843" spans="1:11" x14ac:dyDescent="0.3">
      <c r="A843" t="s">
        <v>46</v>
      </c>
      <c r="B843" s="4" t="s">
        <v>32</v>
      </c>
      <c r="C843" s="4">
        <v>2.028</v>
      </c>
      <c r="D843" s="4">
        <v>19.38</v>
      </c>
      <c r="E843" s="8">
        <f>C843*D843</f>
        <v>39.302639999999997</v>
      </c>
      <c r="F843" s="26"/>
      <c r="G843" t="s">
        <v>46</v>
      </c>
      <c r="H843" s="4" t="s">
        <v>32</v>
      </c>
      <c r="I843" s="4">
        <v>2.1259999999999999</v>
      </c>
      <c r="J843" s="4">
        <v>30.29</v>
      </c>
      <c r="K843" s="8">
        <f>I843*J843</f>
        <v>64.396540000000002</v>
      </c>
    </row>
    <row r="844" spans="1:11" x14ac:dyDescent="0.3">
      <c r="A844" t="s">
        <v>63</v>
      </c>
      <c r="B844" s="4" t="s">
        <v>33</v>
      </c>
      <c r="C844" s="4">
        <v>4.9770000000000003</v>
      </c>
      <c r="D844" s="4">
        <v>10.11</v>
      </c>
      <c r="E844" s="8">
        <f>C844*D844</f>
        <v>50.31747</v>
      </c>
      <c r="F844" s="26"/>
      <c r="G844" t="s">
        <v>63</v>
      </c>
      <c r="H844" s="4" t="s">
        <v>33</v>
      </c>
      <c r="I844" s="4">
        <v>5.2149999999999999</v>
      </c>
      <c r="J844" s="4">
        <v>16</v>
      </c>
      <c r="K844" s="8">
        <f>I844*J844</f>
        <v>83.44</v>
      </c>
    </row>
    <row r="845" spans="1:11" x14ac:dyDescent="0.3">
      <c r="A845" t="s">
        <v>270</v>
      </c>
      <c r="B845" s="4" t="s">
        <v>137</v>
      </c>
      <c r="C845" s="4">
        <v>0.315</v>
      </c>
      <c r="D845" s="4">
        <v>12.92</v>
      </c>
      <c r="E845" s="8">
        <f>C845*D845</f>
        <v>4.0697999999999999</v>
      </c>
      <c r="F845" s="26"/>
      <c r="H845" s="4" t="s">
        <v>137</v>
      </c>
      <c r="I845" s="4">
        <v>0.315</v>
      </c>
      <c r="J845" s="4">
        <v>17.190000000000001</v>
      </c>
      <c r="K845" s="8">
        <f>I845*J845</f>
        <v>5.4148500000000004</v>
      </c>
    </row>
    <row r="846" spans="1:11" x14ac:dyDescent="0.3">
      <c r="B846" s="4" t="s">
        <v>35</v>
      </c>
      <c r="C846" s="4">
        <v>4</v>
      </c>
      <c r="D846" s="4">
        <v>1.89</v>
      </c>
      <c r="E846" s="8">
        <f>C846*D846</f>
        <v>7.56</v>
      </c>
      <c r="F846" s="26"/>
      <c r="H846" s="4" t="s">
        <v>35</v>
      </c>
      <c r="I846" s="4">
        <v>4</v>
      </c>
      <c r="J846" s="4">
        <v>2.89</v>
      </c>
      <c r="K846" s="8">
        <f>I846*J846</f>
        <v>11.56</v>
      </c>
    </row>
    <row r="847" spans="1:11" x14ac:dyDescent="0.3">
      <c r="B847" s="4" t="s">
        <v>36</v>
      </c>
      <c r="C847" s="4">
        <v>4</v>
      </c>
      <c r="D847" s="4">
        <v>0.24</v>
      </c>
      <c r="E847" s="8">
        <f>C847*D847</f>
        <v>0.96</v>
      </c>
      <c r="F847" s="26"/>
      <c r="H847" s="4" t="s">
        <v>36</v>
      </c>
      <c r="I847" s="4">
        <v>4</v>
      </c>
      <c r="J847" s="4">
        <v>0.6</v>
      </c>
      <c r="K847" s="8">
        <f>I847*J847</f>
        <v>2.4</v>
      </c>
    </row>
    <row r="848" spans="1:11" x14ac:dyDescent="0.3">
      <c r="B848" s="4" t="s">
        <v>37</v>
      </c>
      <c r="C848" t="s">
        <v>264</v>
      </c>
      <c r="E848" s="8">
        <v>35</v>
      </c>
      <c r="F848" s="26"/>
      <c r="H848" s="4" t="s">
        <v>37</v>
      </c>
      <c r="I848" t="s">
        <v>264</v>
      </c>
      <c r="K848" s="8">
        <v>42.5</v>
      </c>
    </row>
    <row r="849" spans="1:11" x14ac:dyDescent="0.3">
      <c r="E849" s="8">
        <f>SUM(E843:E848)</f>
        <v>137.20990999999998</v>
      </c>
      <c r="F849" s="26"/>
      <c r="K849" s="8">
        <f>SUM(K843:K848)</f>
        <v>209.71139000000002</v>
      </c>
    </row>
    <row r="850" spans="1:11" x14ac:dyDescent="0.3">
      <c r="F850" s="26"/>
    </row>
    <row r="851" spans="1:11" x14ac:dyDescent="0.3">
      <c r="C851" s="4" t="s">
        <v>28</v>
      </c>
      <c r="D851" s="4" t="s">
        <v>29</v>
      </c>
      <c r="E851" s="4" t="s">
        <v>30</v>
      </c>
      <c r="F851" s="26"/>
      <c r="I851" s="4" t="s">
        <v>28</v>
      </c>
      <c r="J851" s="4" t="s">
        <v>29</v>
      </c>
      <c r="K851" s="4" t="s">
        <v>30</v>
      </c>
    </row>
    <row r="852" spans="1:11" x14ac:dyDescent="0.3">
      <c r="A852" t="s">
        <v>209</v>
      </c>
      <c r="B852" s="4" t="s">
        <v>32</v>
      </c>
      <c r="C852" s="4">
        <v>2.0699999999999998</v>
      </c>
      <c r="D852" s="4">
        <v>19.38</v>
      </c>
      <c r="E852" s="8">
        <f>C852*D852</f>
        <v>40.116599999999998</v>
      </c>
      <c r="F852" s="26"/>
      <c r="G852" t="s">
        <v>209</v>
      </c>
      <c r="H852" s="4" t="s">
        <v>32</v>
      </c>
      <c r="I852" s="4">
        <v>2.0699999999999998</v>
      </c>
      <c r="J852" s="4">
        <v>30.29</v>
      </c>
      <c r="K852" s="8">
        <f>I852*J852</f>
        <v>62.700299999999991</v>
      </c>
    </row>
    <row r="853" spans="1:11" x14ac:dyDescent="0.3">
      <c r="A853" t="s">
        <v>229</v>
      </c>
      <c r="B853" s="4" t="s">
        <v>33</v>
      </c>
      <c r="C853" s="4">
        <v>6.6360000000000001</v>
      </c>
      <c r="D853" s="4">
        <v>10.11</v>
      </c>
      <c r="E853" s="8">
        <f>C853*D853</f>
        <v>67.089959999999991</v>
      </c>
      <c r="F853" s="26"/>
      <c r="G853" t="s">
        <v>229</v>
      </c>
      <c r="H853" s="4" t="s">
        <v>33</v>
      </c>
      <c r="I853" s="4">
        <v>6.6360000000000001</v>
      </c>
      <c r="J853" s="4">
        <v>16</v>
      </c>
      <c r="K853" s="8">
        <f>I853*J853</f>
        <v>106.176</v>
      </c>
    </row>
    <row r="854" spans="1:11" x14ac:dyDescent="0.3">
      <c r="A854" t="s">
        <v>270</v>
      </c>
      <c r="B854" s="4" t="s">
        <v>137</v>
      </c>
      <c r="C854" s="4">
        <v>0.378</v>
      </c>
      <c r="D854" s="4">
        <v>12.92</v>
      </c>
      <c r="E854" s="8">
        <f>C854*D854</f>
        <v>4.8837599999999997</v>
      </c>
      <c r="F854" s="26"/>
      <c r="H854" s="4" t="s">
        <v>137</v>
      </c>
      <c r="I854" s="4">
        <v>0.378</v>
      </c>
      <c r="J854" s="4">
        <v>17.190000000000001</v>
      </c>
      <c r="K854" s="8">
        <f>I854*J854</f>
        <v>6.4978200000000008</v>
      </c>
    </row>
    <row r="855" spans="1:11" x14ac:dyDescent="0.3">
      <c r="B855" s="4" t="s">
        <v>216</v>
      </c>
      <c r="C855" s="4">
        <v>4</v>
      </c>
      <c r="D855" s="4">
        <v>1.89</v>
      </c>
      <c r="E855" s="8">
        <f>C855*D855</f>
        <v>7.56</v>
      </c>
      <c r="F855" s="26"/>
      <c r="H855" s="4" t="s">
        <v>216</v>
      </c>
      <c r="I855" s="4">
        <v>4</v>
      </c>
      <c r="J855" s="4">
        <v>2.89</v>
      </c>
      <c r="K855" s="8">
        <f>I855*J855</f>
        <v>11.56</v>
      </c>
    </row>
    <row r="856" spans="1:11" x14ac:dyDescent="0.3">
      <c r="B856" s="4" t="s">
        <v>36</v>
      </c>
      <c r="C856" s="4">
        <v>4</v>
      </c>
      <c r="D856" s="4">
        <v>0.24</v>
      </c>
      <c r="E856" s="8">
        <f>C856*D856</f>
        <v>0.96</v>
      </c>
      <c r="F856" s="26"/>
      <c r="H856" s="4" t="s">
        <v>36</v>
      </c>
      <c r="I856" s="4">
        <v>4</v>
      </c>
      <c r="J856" s="4">
        <v>0.6</v>
      </c>
      <c r="K856" s="8">
        <f>I856*J856</f>
        <v>2.4</v>
      </c>
    </row>
    <row r="857" spans="1:11" x14ac:dyDescent="0.3">
      <c r="B857" s="4" t="s">
        <v>37</v>
      </c>
      <c r="C857" t="s">
        <v>264</v>
      </c>
      <c r="E857" s="8">
        <v>35</v>
      </c>
      <c r="F857" s="26"/>
      <c r="H857" s="4" t="s">
        <v>37</v>
      </c>
      <c r="I857">
        <v>85</v>
      </c>
      <c r="K857" s="8">
        <v>85</v>
      </c>
    </row>
    <row r="858" spans="1:11" x14ac:dyDescent="0.3">
      <c r="E858" s="8">
        <f>SUM(E852:E857)</f>
        <v>155.61032</v>
      </c>
      <c r="F858" s="26"/>
      <c r="K858" s="8">
        <f>SUM(K852:K857)</f>
        <v>274.33411999999998</v>
      </c>
    </row>
    <row r="859" spans="1:11" x14ac:dyDescent="0.3">
      <c r="F859" s="26"/>
    </row>
    <row r="860" spans="1:11" x14ac:dyDescent="0.3">
      <c r="C860" s="4" t="s">
        <v>28</v>
      </c>
      <c r="D860" s="4" t="s">
        <v>29</v>
      </c>
      <c r="E860" s="4" t="s">
        <v>30</v>
      </c>
      <c r="F860" s="26"/>
      <c r="I860" s="4" t="s">
        <v>28</v>
      </c>
      <c r="J860" s="4" t="s">
        <v>29</v>
      </c>
      <c r="K860" s="4" t="s">
        <v>30</v>
      </c>
    </row>
    <row r="861" spans="1:11" x14ac:dyDescent="0.3">
      <c r="A861" t="s">
        <v>207</v>
      </c>
      <c r="B861" s="4" t="s">
        <v>32</v>
      </c>
      <c r="C861" s="4">
        <v>2.0920000000000001</v>
      </c>
      <c r="D861" s="4">
        <v>19.38</v>
      </c>
      <c r="E861" s="8">
        <f>C861*D861</f>
        <v>40.542960000000001</v>
      </c>
      <c r="F861" s="26"/>
      <c r="G861" t="s">
        <v>207</v>
      </c>
      <c r="H861" s="4" t="s">
        <v>32</v>
      </c>
      <c r="I861" s="4">
        <v>2.0920000000000001</v>
      </c>
      <c r="J861" s="4">
        <v>30.29</v>
      </c>
      <c r="K861" s="8">
        <f>I861*J861</f>
        <v>63.366680000000002</v>
      </c>
    </row>
    <row r="862" spans="1:11" x14ac:dyDescent="0.3">
      <c r="A862" t="s">
        <v>229</v>
      </c>
      <c r="B862" s="4" t="s">
        <v>33</v>
      </c>
      <c r="C862" s="4">
        <v>6.6360000000000001</v>
      </c>
      <c r="D862" s="4">
        <v>10.11</v>
      </c>
      <c r="E862" s="8">
        <f>C862*D862</f>
        <v>67.089959999999991</v>
      </c>
      <c r="F862" s="26"/>
      <c r="G862" t="s">
        <v>229</v>
      </c>
      <c r="H862" s="4" t="s">
        <v>33</v>
      </c>
      <c r="I862" s="4">
        <v>6.6360000000000001</v>
      </c>
      <c r="J862" s="4">
        <v>16</v>
      </c>
      <c r="K862" s="8">
        <f>I862*J862</f>
        <v>106.176</v>
      </c>
    </row>
    <row r="863" spans="1:11" x14ac:dyDescent="0.3">
      <c r="A863" t="s">
        <v>270</v>
      </c>
      <c r="B863" s="4" t="s">
        <v>137</v>
      </c>
      <c r="C863" s="4">
        <v>0.41</v>
      </c>
      <c r="D863" s="4">
        <v>12.92</v>
      </c>
      <c r="E863" s="8">
        <f>C863*D863</f>
        <v>5.2971999999999992</v>
      </c>
      <c r="F863" s="26"/>
      <c r="H863" s="4" t="s">
        <v>137</v>
      </c>
      <c r="I863" s="4">
        <v>0.41</v>
      </c>
      <c r="J863" s="4">
        <v>17.190000000000001</v>
      </c>
      <c r="K863" s="8">
        <f>I863*J863</f>
        <v>7.0479000000000003</v>
      </c>
    </row>
    <row r="864" spans="1:11" x14ac:dyDescent="0.3">
      <c r="B864" s="4" t="s">
        <v>216</v>
      </c>
      <c r="C864" s="4">
        <v>4</v>
      </c>
      <c r="D864" s="4">
        <v>1.89</v>
      </c>
      <c r="E864" s="8">
        <f>C864*D864</f>
        <v>7.56</v>
      </c>
      <c r="F864" s="26"/>
      <c r="H864" s="4" t="s">
        <v>216</v>
      </c>
      <c r="I864" s="4">
        <v>4</v>
      </c>
      <c r="J864" s="4">
        <v>2.89</v>
      </c>
      <c r="K864" s="8">
        <f>I864*J864</f>
        <v>11.56</v>
      </c>
    </row>
    <row r="865" spans="1:11" x14ac:dyDescent="0.3">
      <c r="B865" s="4" t="s">
        <v>36</v>
      </c>
      <c r="C865" s="4">
        <v>4</v>
      </c>
      <c r="D865" s="4">
        <v>0.24</v>
      </c>
      <c r="E865" s="8">
        <f>C865*D865</f>
        <v>0.96</v>
      </c>
      <c r="F865" s="26"/>
      <c r="H865" s="4" t="s">
        <v>36</v>
      </c>
      <c r="I865" s="4">
        <v>4</v>
      </c>
      <c r="J865" s="4">
        <v>0.6</v>
      </c>
      <c r="K865" s="8">
        <f>I865*J865</f>
        <v>2.4</v>
      </c>
    </row>
    <row r="866" spans="1:11" x14ac:dyDescent="0.3">
      <c r="B866" s="4" t="s">
        <v>37</v>
      </c>
      <c r="C866" t="s">
        <v>264</v>
      </c>
      <c r="E866" s="8">
        <v>35</v>
      </c>
      <c r="F866" s="26"/>
      <c r="H866" s="4" t="s">
        <v>37</v>
      </c>
      <c r="I866" t="s">
        <v>264</v>
      </c>
      <c r="K866" s="8">
        <v>35</v>
      </c>
    </row>
    <row r="867" spans="1:11" x14ac:dyDescent="0.3">
      <c r="E867" s="8">
        <f>SUM(E861:E866)</f>
        <v>156.45011999999997</v>
      </c>
      <c r="F867" s="26"/>
      <c r="K867" s="8"/>
    </row>
    <row r="868" spans="1:11" x14ac:dyDescent="0.3">
      <c r="F868" s="26"/>
    </row>
    <row r="869" spans="1:11" x14ac:dyDescent="0.3">
      <c r="C869" s="4" t="s">
        <v>28</v>
      </c>
      <c r="D869" s="4" t="s">
        <v>29</v>
      </c>
      <c r="E869" s="4" t="s">
        <v>30</v>
      </c>
      <c r="F869" s="26"/>
      <c r="I869" s="4" t="s">
        <v>28</v>
      </c>
      <c r="J869" s="4" t="s">
        <v>29</v>
      </c>
      <c r="K869" s="4" t="s">
        <v>30</v>
      </c>
    </row>
    <row r="870" spans="1:11" x14ac:dyDescent="0.3">
      <c r="A870" t="s">
        <v>208</v>
      </c>
      <c r="B870" s="4" t="s">
        <v>32</v>
      </c>
      <c r="C870" s="4">
        <v>2.1019999999999999</v>
      </c>
      <c r="D870" s="4">
        <v>19.38</v>
      </c>
      <c r="E870" s="8">
        <f>C870*D870</f>
        <v>40.736759999999997</v>
      </c>
      <c r="F870" s="26"/>
      <c r="G870" t="s">
        <v>208</v>
      </c>
      <c r="H870" s="4" t="s">
        <v>32</v>
      </c>
      <c r="I870" s="4">
        <v>2.1019999999999999</v>
      </c>
      <c r="J870" s="4">
        <v>30.29</v>
      </c>
      <c r="K870" s="8">
        <f>I870*J870</f>
        <v>63.669579999999996</v>
      </c>
    </row>
    <row r="871" spans="1:11" x14ac:dyDescent="0.3">
      <c r="A871" t="s">
        <v>52</v>
      </c>
      <c r="B871" s="4" t="s">
        <v>33</v>
      </c>
      <c r="C871" s="4">
        <v>7.4649999999999999</v>
      </c>
      <c r="D871" s="4">
        <v>10.11</v>
      </c>
      <c r="E871" s="8">
        <f>C871*D871</f>
        <v>75.471149999999994</v>
      </c>
      <c r="F871" s="26"/>
      <c r="G871" t="s">
        <v>52</v>
      </c>
      <c r="H871" s="4" t="s">
        <v>33</v>
      </c>
      <c r="I871" s="4">
        <v>7.4649999999999999</v>
      </c>
      <c r="J871" s="4">
        <v>16</v>
      </c>
      <c r="K871" s="8">
        <f>I871*J871</f>
        <v>119.44</v>
      </c>
    </row>
    <row r="872" spans="1:11" x14ac:dyDescent="0.3">
      <c r="A872" t="s">
        <v>270</v>
      </c>
      <c r="B872" s="4" t="s">
        <v>137</v>
      </c>
      <c r="C872" s="4">
        <v>0.42499999999999999</v>
      </c>
      <c r="D872" s="4">
        <v>12.92</v>
      </c>
      <c r="E872" s="8">
        <f>C872*D872</f>
        <v>5.4909999999999997</v>
      </c>
      <c r="F872" s="26"/>
      <c r="H872" s="4" t="s">
        <v>137</v>
      </c>
      <c r="I872" s="4">
        <v>0.42499999999999999</v>
      </c>
      <c r="J872" s="4">
        <v>17.190000000000001</v>
      </c>
      <c r="K872" s="8">
        <f>I872*J872</f>
        <v>7.3057500000000006</v>
      </c>
    </row>
    <row r="873" spans="1:11" x14ac:dyDescent="0.3">
      <c r="B873" s="4" t="s">
        <v>216</v>
      </c>
      <c r="C873" s="4">
        <v>4</v>
      </c>
      <c r="D873" s="4">
        <v>1.89</v>
      </c>
      <c r="E873" s="8">
        <f>C873*D873</f>
        <v>7.56</v>
      </c>
      <c r="F873" s="26"/>
      <c r="H873" s="4" t="s">
        <v>216</v>
      </c>
      <c r="I873" s="4">
        <v>4</v>
      </c>
      <c r="J873" s="4">
        <v>2.89</v>
      </c>
      <c r="K873" s="8">
        <f>I873*J873</f>
        <v>11.56</v>
      </c>
    </row>
    <row r="874" spans="1:11" x14ac:dyDescent="0.3">
      <c r="B874" s="4" t="s">
        <v>36</v>
      </c>
      <c r="C874" s="4">
        <v>4</v>
      </c>
      <c r="D874" s="4">
        <v>0.24</v>
      </c>
      <c r="E874" s="8">
        <f>C874*D874</f>
        <v>0.96</v>
      </c>
      <c r="F874" s="26"/>
      <c r="H874" s="4" t="s">
        <v>36</v>
      </c>
      <c r="I874" s="4">
        <v>4</v>
      </c>
      <c r="J874" s="4">
        <v>0.6</v>
      </c>
      <c r="K874" s="8">
        <f>I874*J874</f>
        <v>2.4</v>
      </c>
    </row>
    <row r="875" spans="1:11" x14ac:dyDescent="0.3">
      <c r="B875" s="4" t="s">
        <v>37</v>
      </c>
      <c r="C875" t="s">
        <v>265</v>
      </c>
      <c r="E875" s="8">
        <v>42</v>
      </c>
      <c r="F875" s="26"/>
      <c r="H875" s="4" t="s">
        <v>37</v>
      </c>
      <c r="I875" t="s">
        <v>265</v>
      </c>
      <c r="K875" s="8">
        <v>42</v>
      </c>
    </row>
    <row r="876" spans="1:11" x14ac:dyDescent="0.3">
      <c r="E876" s="8">
        <f>SUM(E870:E875)</f>
        <v>172.21890999999999</v>
      </c>
      <c r="F876" s="26"/>
      <c r="K876" s="8">
        <f>SUM(K870:K875)</f>
        <v>246.37532999999999</v>
      </c>
    </row>
    <row r="877" spans="1:11" x14ac:dyDescent="0.3">
      <c r="F877" s="26"/>
    </row>
    <row r="878" spans="1:11" x14ac:dyDescent="0.3">
      <c r="C878" s="4" t="s">
        <v>28</v>
      </c>
      <c r="D878" s="4" t="s">
        <v>29</v>
      </c>
      <c r="E878" s="4" t="s">
        <v>30</v>
      </c>
      <c r="F878" s="26"/>
      <c r="I878" s="4" t="s">
        <v>28</v>
      </c>
      <c r="J878" s="4" t="s">
        <v>29</v>
      </c>
      <c r="K878" s="4" t="s">
        <v>30</v>
      </c>
    </row>
    <row r="879" spans="1:11" x14ac:dyDescent="0.3">
      <c r="A879" t="s">
        <v>69</v>
      </c>
      <c r="B879" s="4" t="s">
        <v>32</v>
      </c>
      <c r="C879" s="4">
        <v>2.1339999999999999</v>
      </c>
      <c r="D879" s="4">
        <v>19.38</v>
      </c>
      <c r="E879" s="8">
        <f>C879*D879</f>
        <v>41.356919999999995</v>
      </c>
      <c r="F879" s="26"/>
      <c r="G879" t="s">
        <v>69</v>
      </c>
      <c r="H879" s="4" t="s">
        <v>32</v>
      </c>
      <c r="I879" s="4">
        <v>2.1339999999999999</v>
      </c>
      <c r="J879" s="4">
        <v>30.29</v>
      </c>
      <c r="K879" s="8">
        <f>I879*J879</f>
        <v>64.638859999999994</v>
      </c>
    </row>
    <row r="880" spans="1:11" x14ac:dyDescent="0.3">
      <c r="A880" t="s">
        <v>212</v>
      </c>
      <c r="B880" s="4" t="s">
        <v>33</v>
      </c>
      <c r="C880" s="4">
        <v>8.2949999999999999</v>
      </c>
      <c r="D880" s="4">
        <v>10.11</v>
      </c>
      <c r="E880" s="8">
        <f>C880*D880</f>
        <v>83.862449999999995</v>
      </c>
      <c r="F880" s="26"/>
      <c r="G880" t="s">
        <v>212</v>
      </c>
      <c r="H880" s="4" t="s">
        <v>33</v>
      </c>
      <c r="I880" s="4">
        <v>8.2949999999999999</v>
      </c>
      <c r="J880" s="4">
        <v>16</v>
      </c>
      <c r="K880" s="8">
        <f>I880*J880</f>
        <v>132.72</v>
      </c>
    </row>
    <row r="881" spans="1:11" x14ac:dyDescent="0.3">
      <c r="A881" t="s">
        <v>270</v>
      </c>
      <c r="B881" s="4" t="s">
        <v>137</v>
      </c>
      <c r="C881" s="4">
        <v>0.47299999999999998</v>
      </c>
      <c r="D881" s="4">
        <v>12.92</v>
      </c>
      <c r="E881" s="8">
        <f>C881*D881</f>
        <v>6.1111599999999999</v>
      </c>
      <c r="F881" s="26"/>
      <c r="H881" s="4" t="s">
        <v>137</v>
      </c>
      <c r="I881" s="4">
        <v>0.47299999999999998</v>
      </c>
      <c r="J881" s="4">
        <v>17.190000000000001</v>
      </c>
      <c r="K881" s="8">
        <f>I881*J881</f>
        <v>8.1308699999999998</v>
      </c>
    </row>
    <row r="882" spans="1:11" x14ac:dyDescent="0.3">
      <c r="B882" s="4" t="s">
        <v>216</v>
      </c>
      <c r="C882" s="4">
        <v>4</v>
      </c>
      <c r="D882" s="4">
        <v>1.89</v>
      </c>
      <c r="E882" s="8">
        <f>C882*D882</f>
        <v>7.56</v>
      </c>
      <c r="F882" s="26"/>
      <c r="H882" s="4" t="s">
        <v>216</v>
      </c>
      <c r="I882" s="4">
        <v>4</v>
      </c>
      <c r="J882" s="4">
        <v>2.89</v>
      </c>
      <c r="K882" s="8">
        <f>I882*J882</f>
        <v>11.56</v>
      </c>
    </row>
    <row r="883" spans="1:11" x14ac:dyDescent="0.3">
      <c r="B883" s="4" t="s">
        <v>36</v>
      </c>
      <c r="C883" s="4">
        <v>4</v>
      </c>
      <c r="D883" s="4">
        <v>0.24</v>
      </c>
      <c r="E883" s="8">
        <f>C883*D883</f>
        <v>0.96</v>
      </c>
      <c r="F883" s="26"/>
      <c r="H883" s="4" t="s">
        <v>36</v>
      </c>
      <c r="I883" s="4">
        <v>4</v>
      </c>
      <c r="J883" s="4">
        <v>0.6</v>
      </c>
      <c r="K883" s="8">
        <f>I883*J883</f>
        <v>2.4</v>
      </c>
    </row>
    <row r="884" spans="1:11" x14ac:dyDescent="0.3">
      <c r="B884" s="4" t="s">
        <v>37</v>
      </c>
      <c r="C884" t="s">
        <v>265</v>
      </c>
      <c r="E884" s="8">
        <v>63.9</v>
      </c>
      <c r="F884" s="26"/>
      <c r="H884" s="4" t="s">
        <v>37</v>
      </c>
      <c r="I884" t="s">
        <v>265</v>
      </c>
      <c r="K884" s="8">
        <v>42</v>
      </c>
    </row>
    <row r="885" spans="1:11" x14ac:dyDescent="0.3">
      <c r="E885" s="8">
        <f>SUM(E879:E884)</f>
        <v>203.75053000000003</v>
      </c>
      <c r="F885" s="26"/>
      <c r="K885" s="8">
        <f>SUM(K879:K884)</f>
        <v>261.44972999999999</v>
      </c>
    </row>
    <row r="886" spans="1:11" x14ac:dyDescent="0.3">
      <c r="F886" s="26"/>
    </row>
    <row r="887" spans="1:11" x14ac:dyDescent="0.3">
      <c r="C887" s="4" t="s">
        <v>28</v>
      </c>
      <c r="D887" s="4" t="s">
        <v>29</v>
      </c>
      <c r="E887" s="4" t="s">
        <v>30</v>
      </c>
      <c r="F887" s="26"/>
      <c r="I887" s="4" t="s">
        <v>28</v>
      </c>
      <c r="J887" s="4" t="s">
        <v>29</v>
      </c>
      <c r="K887" s="4" t="s">
        <v>30</v>
      </c>
    </row>
    <row r="888" spans="1:11" x14ac:dyDescent="0.3">
      <c r="A888" t="s">
        <v>79</v>
      </c>
      <c r="B888" s="4" t="s">
        <v>32</v>
      </c>
      <c r="C888" s="4">
        <v>2.3460000000000001</v>
      </c>
      <c r="D888" s="4">
        <v>19.38</v>
      </c>
      <c r="E888" s="8">
        <f>C888*D888</f>
        <v>45.465479999999999</v>
      </c>
      <c r="F888" s="26"/>
      <c r="G888" t="s">
        <v>79</v>
      </c>
      <c r="H888" s="4" t="s">
        <v>32</v>
      </c>
      <c r="I888" s="4">
        <v>2.238</v>
      </c>
      <c r="J888" s="4">
        <v>30.29</v>
      </c>
      <c r="K888" s="8">
        <f>I888*J888</f>
        <v>67.789019999999994</v>
      </c>
    </row>
    <row r="889" spans="1:11" x14ac:dyDescent="0.3">
      <c r="A889" t="s">
        <v>53</v>
      </c>
      <c r="B889" s="4" t="s">
        <v>33</v>
      </c>
      <c r="C889" s="4">
        <v>12.166</v>
      </c>
      <c r="D889" s="4">
        <v>10.11</v>
      </c>
      <c r="E889" s="8">
        <f>C889*D889</f>
        <v>122.99826</v>
      </c>
      <c r="F889" s="26"/>
      <c r="G889" t="s">
        <v>53</v>
      </c>
      <c r="H889" s="4" t="s">
        <v>33</v>
      </c>
      <c r="I889" s="4">
        <v>11.613</v>
      </c>
      <c r="J889" s="4">
        <v>16</v>
      </c>
      <c r="K889" s="8">
        <f>I889*J889</f>
        <v>185.80799999999999</v>
      </c>
    </row>
    <row r="890" spans="1:11" x14ac:dyDescent="0.3">
      <c r="A890" t="s">
        <v>270</v>
      </c>
      <c r="B890" s="4" t="s">
        <v>137</v>
      </c>
      <c r="C890" s="4">
        <v>0.63</v>
      </c>
      <c r="D890" s="4">
        <v>12.92</v>
      </c>
      <c r="E890" s="8">
        <f>C890*D890</f>
        <v>8.1395999999999997</v>
      </c>
      <c r="F890" s="26"/>
      <c r="H890" s="4" t="s">
        <v>137</v>
      </c>
      <c r="I890" s="4">
        <v>0.63</v>
      </c>
      <c r="J890" s="4">
        <v>17.190000000000001</v>
      </c>
      <c r="K890" s="8">
        <f>I890*J890</f>
        <v>10.829700000000001</v>
      </c>
    </row>
    <row r="891" spans="1:11" x14ac:dyDescent="0.3">
      <c r="B891" s="4" t="s">
        <v>216</v>
      </c>
      <c r="C891" s="4">
        <v>4</v>
      </c>
      <c r="D891" s="4">
        <v>1.89</v>
      </c>
      <c r="E891" s="8">
        <f>C891*D891</f>
        <v>7.56</v>
      </c>
      <c r="F891" s="26"/>
      <c r="H891" s="4" t="s">
        <v>216</v>
      </c>
      <c r="I891" s="4">
        <v>4</v>
      </c>
      <c r="J891" s="4">
        <v>2.89</v>
      </c>
      <c r="K891" s="8">
        <f>I891*J891</f>
        <v>11.56</v>
      </c>
    </row>
    <row r="892" spans="1:11" x14ac:dyDescent="0.3">
      <c r="B892" s="4" t="s">
        <v>36</v>
      </c>
      <c r="C892" s="4">
        <v>4</v>
      </c>
      <c r="D892" s="4">
        <v>0.24</v>
      </c>
      <c r="E892" s="8">
        <f>C892*D892</f>
        <v>0.96</v>
      </c>
      <c r="F892" s="26"/>
      <c r="H892" s="4" t="s">
        <v>36</v>
      </c>
      <c r="I892" s="4">
        <v>4</v>
      </c>
      <c r="J892" s="4">
        <v>0.6</v>
      </c>
      <c r="K892" s="8">
        <f>I892*J892</f>
        <v>2.4</v>
      </c>
    </row>
    <row r="893" spans="1:11" x14ac:dyDescent="0.3">
      <c r="B893" s="4" t="s">
        <v>37</v>
      </c>
      <c r="C893" t="s">
        <v>266</v>
      </c>
      <c r="E893" s="8">
        <v>63.9</v>
      </c>
      <c r="F893" s="26"/>
      <c r="H893" s="4" t="s">
        <v>37</v>
      </c>
      <c r="I893" t="s">
        <v>266</v>
      </c>
      <c r="K893" s="8">
        <v>63</v>
      </c>
    </row>
    <row r="894" spans="1:11" x14ac:dyDescent="0.3">
      <c r="E894" s="8">
        <f>SUM(E888:E893)</f>
        <v>249.02334000000002</v>
      </c>
      <c r="F894" s="26"/>
      <c r="K894" s="8">
        <f>SUM(K888:K893)</f>
        <v>341.38671999999997</v>
      </c>
    </row>
    <row r="895" spans="1:11" x14ac:dyDescent="0.3">
      <c r="F895" s="26"/>
    </row>
    <row r="896" spans="1:11" x14ac:dyDescent="0.3">
      <c r="C896" s="4" t="s">
        <v>28</v>
      </c>
      <c r="D896" s="4" t="s">
        <v>29</v>
      </c>
      <c r="E896" s="4" t="s">
        <v>30</v>
      </c>
      <c r="F896" s="26"/>
      <c r="I896" s="4" t="s">
        <v>28</v>
      </c>
      <c r="J896" s="4" t="s">
        <v>29</v>
      </c>
      <c r="K896" s="4" t="s">
        <v>30</v>
      </c>
    </row>
    <row r="897" spans="1:11" x14ac:dyDescent="0.3">
      <c r="A897" t="s">
        <v>210</v>
      </c>
      <c r="B897" s="4" t="s">
        <v>32</v>
      </c>
      <c r="C897" s="4">
        <v>2.343</v>
      </c>
      <c r="D897" s="4">
        <v>19.38</v>
      </c>
      <c r="E897" s="8">
        <f>C897*D897</f>
        <v>45.407339999999998</v>
      </c>
      <c r="F897" s="26"/>
      <c r="G897" t="s">
        <v>210</v>
      </c>
      <c r="H897" s="4" t="s">
        <v>32</v>
      </c>
      <c r="I897" s="4">
        <v>2.343</v>
      </c>
      <c r="J897" s="4">
        <v>30.29</v>
      </c>
      <c r="K897" s="8">
        <f>I897*J897</f>
        <v>70.969470000000001</v>
      </c>
    </row>
    <row r="898" spans="1:11" x14ac:dyDescent="0.3">
      <c r="A898" t="s">
        <v>218</v>
      </c>
      <c r="B898" s="4" t="s">
        <v>33</v>
      </c>
      <c r="C898" s="4">
        <v>14.101000000000001</v>
      </c>
      <c r="D898" s="4">
        <v>10.11</v>
      </c>
      <c r="E898" s="8">
        <f>C898*D898</f>
        <v>142.56111000000001</v>
      </c>
      <c r="F898" s="26"/>
      <c r="G898" t="s">
        <v>218</v>
      </c>
      <c r="H898" s="4" t="s">
        <v>33</v>
      </c>
      <c r="I898" s="4">
        <v>14.101000000000001</v>
      </c>
      <c r="J898" s="4">
        <v>16</v>
      </c>
      <c r="K898" s="8">
        <f>I898*J898</f>
        <v>225.61600000000001</v>
      </c>
    </row>
    <row r="899" spans="1:11" x14ac:dyDescent="0.3">
      <c r="A899" t="s">
        <v>270</v>
      </c>
      <c r="B899" s="4" t="s">
        <v>137</v>
      </c>
      <c r="C899" s="4">
        <v>0.78800000000000003</v>
      </c>
      <c r="D899" s="4">
        <v>12.92</v>
      </c>
      <c r="E899" s="8">
        <f>C899*D899</f>
        <v>10.180960000000001</v>
      </c>
      <c r="F899" s="26"/>
      <c r="H899" s="4" t="s">
        <v>137</v>
      </c>
      <c r="I899" s="4">
        <v>0.78800000000000003</v>
      </c>
      <c r="J899" s="4">
        <v>17.190000000000001</v>
      </c>
      <c r="K899" s="8">
        <f>I899*J899</f>
        <v>13.545720000000001</v>
      </c>
    </row>
    <row r="900" spans="1:11" x14ac:dyDescent="0.3">
      <c r="B900" s="4" t="s">
        <v>35</v>
      </c>
      <c r="C900" s="4">
        <v>4</v>
      </c>
      <c r="D900" s="4">
        <v>1.89</v>
      </c>
      <c r="E900" s="8">
        <f>C900*D900</f>
        <v>7.56</v>
      </c>
      <c r="F900" s="26"/>
      <c r="H900" s="4" t="s">
        <v>35</v>
      </c>
      <c r="I900" s="4">
        <v>4</v>
      </c>
      <c r="J900" s="4">
        <v>2.89</v>
      </c>
      <c r="K900" s="8">
        <f>I900*J900</f>
        <v>11.56</v>
      </c>
    </row>
    <row r="901" spans="1:11" x14ac:dyDescent="0.3">
      <c r="B901" s="4" t="s">
        <v>36</v>
      </c>
      <c r="C901" s="4">
        <v>4</v>
      </c>
      <c r="D901" s="4">
        <v>0.24</v>
      </c>
      <c r="E901" s="8">
        <f>C901*D901</f>
        <v>0.96</v>
      </c>
      <c r="F901" s="26"/>
      <c r="H901" s="4" t="s">
        <v>36</v>
      </c>
      <c r="I901" s="4">
        <v>4</v>
      </c>
      <c r="J901" s="4">
        <v>0.6</v>
      </c>
      <c r="K901" s="8">
        <f>I901*J901</f>
        <v>2.4</v>
      </c>
    </row>
    <row r="902" spans="1:11" x14ac:dyDescent="0.3">
      <c r="B902" s="4" t="s">
        <v>37</v>
      </c>
      <c r="C902" t="s">
        <v>266</v>
      </c>
      <c r="E902" s="8">
        <v>63</v>
      </c>
      <c r="F902" s="26"/>
      <c r="H902" s="4" t="s">
        <v>37</v>
      </c>
      <c r="I902" t="s">
        <v>266</v>
      </c>
      <c r="K902" s="8">
        <v>63</v>
      </c>
    </row>
    <row r="903" spans="1:11" x14ac:dyDescent="0.3">
      <c r="E903" s="8">
        <f>SUM(E897:E902)</f>
        <v>269.66941000000003</v>
      </c>
      <c r="F903" s="26"/>
      <c r="K903" s="8">
        <f>SUM(K897:K902)</f>
        <v>387.09118999999998</v>
      </c>
    </row>
    <row r="904" spans="1:11" x14ac:dyDescent="0.3">
      <c r="F904" s="26"/>
    </row>
    <row r="905" spans="1:11" x14ac:dyDescent="0.3">
      <c r="C905" s="4" t="s">
        <v>28</v>
      </c>
      <c r="D905" s="4" t="s">
        <v>29</v>
      </c>
      <c r="E905" s="4" t="s">
        <v>30</v>
      </c>
      <c r="F905" s="26"/>
      <c r="I905" s="4" t="s">
        <v>28</v>
      </c>
      <c r="J905" s="4" t="s">
        <v>29</v>
      </c>
      <c r="K905" s="4" t="s">
        <v>30</v>
      </c>
    </row>
    <row r="906" spans="1:11" x14ac:dyDescent="0.3">
      <c r="A906" t="s">
        <v>107</v>
      </c>
      <c r="B906" s="4" t="s">
        <v>32</v>
      </c>
      <c r="C906" s="4">
        <v>2.448</v>
      </c>
      <c r="D906" s="4">
        <v>19.38</v>
      </c>
      <c r="E906" s="8">
        <f>C906*D906</f>
        <v>47.442239999999998</v>
      </c>
      <c r="F906" s="26"/>
      <c r="G906" t="s">
        <v>107</v>
      </c>
      <c r="H906" s="4" t="s">
        <v>32</v>
      </c>
      <c r="I906" s="4">
        <v>2.448</v>
      </c>
      <c r="J906" s="4">
        <v>30.29</v>
      </c>
      <c r="K906" s="8">
        <f>I906*J906</f>
        <v>74.149919999999995</v>
      </c>
    </row>
    <row r="907" spans="1:11" x14ac:dyDescent="0.3">
      <c r="A907" t="s">
        <v>167</v>
      </c>
      <c r="B907" s="4" t="s">
        <v>33</v>
      </c>
      <c r="C907" s="4">
        <v>17.420000000000002</v>
      </c>
      <c r="D907" s="4">
        <v>10.11</v>
      </c>
      <c r="E907" s="8">
        <f>C907*D907</f>
        <v>176.11620000000002</v>
      </c>
      <c r="F907" s="26"/>
      <c r="G907" t="s">
        <v>167</v>
      </c>
      <c r="H907" s="4" t="s">
        <v>33</v>
      </c>
      <c r="I907" s="4">
        <v>17.420000000000002</v>
      </c>
      <c r="J907" s="4">
        <v>16</v>
      </c>
      <c r="K907" s="8">
        <f>I907*J907</f>
        <v>278.72000000000003</v>
      </c>
    </row>
    <row r="908" spans="1:11" x14ac:dyDescent="0.3">
      <c r="A908" t="s">
        <v>270</v>
      </c>
      <c r="B908" s="4" t="s">
        <v>137</v>
      </c>
      <c r="C908" s="4">
        <v>0.94499999999999995</v>
      </c>
      <c r="D908" s="4">
        <v>12.92</v>
      </c>
      <c r="E908" s="8">
        <f>C908*D908</f>
        <v>12.209399999999999</v>
      </c>
      <c r="F908" s="26"/>
      <c r="H908" s="4" t="s">
        <v>137</v>
      </c>
      <c r="I908" s="4">
        <v>0.94499999999999995</v>
      </c>
      <c r="J908" s="4">
        <v>17.190000000000001</v>
      </c>
      <c r="K908" s="8">
        <f>I908*J908</f>
        <v>16.24455</v>
      </c>
    </row>
    <row r="909" spans="1:11" x14ac:dyDescent="0.3">
      <c r="B909" s="4" t="s">
        <v>35</v>
      </c>
      <c r="C909" s="4">
        <v>4</v>
      </c>
      <c r="D909" s="4">
        <v>1.89</v>
      </c>
      <c r="E909" s="8">
        <f>C909*D909</f>
        <v>7.56</v>
      </c>
      <c r="F909" s="26"/>
      <c r="H909" s="4" t="s">
        <v>35</v>
      </c>
      <c r="I909" s="4">
        <v>4</v>
      </c>
      <c r="J909" s="4">
        <v>2.89</v>
      </c>
      <c r="K909" s="8">
        <f>I909*J909</f>
        <v>11.56</v>
      </c>
    </row>
    <row r="910" spans="1:11" x14ac:dyDescent="0.3">
      <c r="B910" s="4" t="s">
        <v>36</v>
      </c>
      <c r="C910" s="4">
        <v>4</v>
      </c>
      <c r="D910" s="4">
        <v>0.24</v>
      </c>
      <c r="E910" s="8">
        <f>C910*D910</f>
        <v>0.96</v>
      </c>
      <c r="F910" s="26"/>
      <c r="H910" s="4" t="s">
        <v>36</v>
      </c>
      <c r="I910" s="4">
        <v>4</v>
      </c>
      <c r="J910" s="4">
        <v>0.6</v>
      </c>
      <c r="K910" s="8">
        <f>I910*J910</f>
        <v>2.4</v>
      </c>
    </row>
    <row r="911" spans="1:11" x14ac:dyDescent="0.3">
      <c r="B911" s="4" t="s">
        <v>37</v>
      </c>
      <c r="C911" t="s">
        <v>266</v>
      </c>
      <c r="E911" s="8">
        <v>63</v>
      </c>
      <c r="F911" s="26"/>
      <c r="H911" s="4" t="s">
        <v>37</v>
      </c>
      <c r="I911" t="s">
        <v>266</v>
      </c>
      <c r="K911" s="8">
        <v>63</v>
      </c>
    </row>
    <row r="912" spans="1:11" x14ac:dyDescent="0.3">
      <c r="E912" s="8">
        <f>SUM(E906:E911)</f>
        <v>307.28784000000002</v>
      </c>
      <c r="F912" s="26"/>
      <c r="K912" s="8">
        <f>SUM(K906:K911)</f>
        <v>446.07447000000002</v>
      </c>
    </row>
    <row r="913" spans="1:11" x14ac:dyDescent="0.3">
      <c r="F913" s="26"/>
    </row>
    <row r="914" spans="1:11" x14ac:dyDescent="0.3">
      <c r="F914" s="26"/>
    </row>
    <row r="915" spans="1:11" x14ac:dyDescent="0.3">
      <c r="C915" s="4" t="s">
        <v>28</v>
      </c>
      <c r="D915" s="4" t="s">
        <v>29</v>
      </c>
      <c r="E915" s="4" t="s">
        <v>30</v>
      </c>
      <c r="F915" s="26"/>
      <c r="I915" s="4" t="s">
        <v>28</v>
      </c>
      <c r="J915" s="4" t="s">
        <v>29</v>
      </c>
      <c r="K915" s="4" t="s">
        <v>30</v>
      </c>
    </row>
    <row r="916" spans="1:11" x14ac:dyDescent="0.3">
      <c r="A916" t="s">
        <v>121</v>
      </c>
      <c r="B916" s="4" t="s">
        <v>32</v>
      </c>
      <c r="C916" s="4">
        <v>2.786</v>
      </c>
      <c r="D916" s="4">
        <v>19.38</v>
      </c>
      <c r="E916" s="8">
        <f>C916*D916</f>
        <v>53.99268</v>
      </c>
      <c r="F916" s="26"/>
      <c r="G916" t="s">
        <v>121</v>
      </c>
      <c r="H916" s="4" t="s">
        <v>32</v>
      </c>
      <c r="I916" s="4">
        <v>2.7850000000000001</v>
      </c>
      <c r="J916" s="4">
        <v>30.29</v>
      </c>
      <c r="K916" s="8">
        <f>I916*J916</f>
        <v>84.357650000000007</v>
      </c>
    </row>
    <row r="917" spans="1:11" x14ac:dyDescent="0.3">
      <c r="A917" t="s">
        <v>56</v>
      </c>
      <c r="B917" s="4" t="s">
        <v>33</v>
      </c>
      <c r="C917" s="4">
        <v>25.201000000000001</v>
      </c>
      <c r="D917" s="4">
        <v>10.11</v>
      </c>
      <c r="E917" s="8">
        <f>C917*D917</f>
        <v>254.78210999999999</v>
      </c>
      <c r="F917" s="26"/>
      <c r="G917" t="s">
        <v>56</v>
      </c>
      <c r="H917" s="4" t="s">
        <v>33</v>
      </c>
      <c r="I917" s="4">
        <v>25.201000000000001</v>
      </c>
      <c r="J917" s="4">
        <v>16</v>
      </c>
      <c r="K917" s="8">
        <f>I917*J917</f>
        <v>403.21600000000001</v>
      </c>
    </row>
    <row r="918" spans="1:11" x14ac:dyDescent="0.3">
      <c r="A918" t="s">
        <v>270</v>
      </c>
      <c r="B918" s="4" t="s">
        <v>137</v>
      </c>
      <c r="C918" s="4">
        <v>1.32</v>
      </c>
      <c r="D918" s="4">
        <v>12.92</v>
      </c>
      <c r="E918" s="8">
        <f>C918*D918</f>
        <v>17.054400000000001</v>
      </c>
      <c r="F918" s="26"/>
      <c r="H918" s="4" t="s">
        <v>137</v>
      </c>
      <c r="I918" s="4">
        <v>1.26</v>
      </c>
      <c r="J918" s="4">
        <v>17.190000000000001</v>
      </c>
      <c r="K918" s="8">
        <f>I918*J918</f>
        <v>21.659400000000002</v>
      </c>
    </row>
    <row r="919" spans="1:11" x14ac:dyDescent="0.3">
      <c r="B919" s="4" t="s">
        <v>35</v>
      </c>
      <c r="C919" s="4">
        <v>4</v>
      </c>
      <c r="D919" s="4">
        <v>1.89</v>
      </c>
      <c r="E919" s="8">
        <f>C919*D919</f>
        <v>7.56</v>
      </c>
      <c r="F919" s="26"/>
      <c r="H919" s="4" t="s">
        <v>35</v>
      </c>
      <c r="I919" s="4">
        <v>4</v>
      </c>
      <c r="J919" s="4">
        <v>2.89</v>
      </c>
      <c r="K919" s="8">
        <f>I919*J919</f>
        <v>11.56</v>
      </c>
    </row>
    <row r="920" spans="1:11" x14ac:dyDescent="0.3">
      <c r="B920" s="4" t="s">
        <v>36</v>
      </c>
      <c r="C920" s="4">
        <v>4</v>
      </c>
      <c r="D920" s="4">
        <v>0.24</v>
      </c>
      <c r="E920" s="8">
        <f>C920*D920</f>
        <v>0.96</v>
      </c>
      <c r="F920" s="26"/>
      <c r="H920" s="4" t="s">
        <v>36</v>
      </c>
      <c r="I920" s="4">
        <v>4</v>
      </c>
      <c r="J920" s="4">
        <v>0.6</v>
      </c>
      <c r="K920" s="8">
        <f>I920*J920</f>
        <v>2.4</v>
      </c>
    </row>
    <row r="921" spans="1:11" x14ac:dyDescent="0.3">
      <c r="B921" s="4" t="s">
        <v>37</v>
      </c>
      <c r="C921">
        <v>85</v>
      </c>
      <c r="E921" s="8">
        <v>85</v>
      </c>
      <c r="F921" s="26"/>
      <c r="H921" s="4" t="s">
        <v>37</v>
      </c>
      <c r="I921">
        <v>127.5</v>
      </c>
      <c r="K921" s="8">
        <v>127.5</v>
      </c>
    </row>
    <row r="922" spans="1:11" x14ac:dyDescent="0.3">
      <c r="E922" s="8">
        <f>SUM(E916:E921)</f>
        <v>419.34918999999996</v>
      </c>
      <c r="F922" s="26"/>
      <c r="K922" s="8">
        <f>SUM(K916:K921)</f>
        <v>650.69304999999997</v>
      </c>
    </row>
    <row r="923" spans="1:11" x14ac:dyDescent="0.3">
      <c r="F923" s="26"/>
    </row>
    <row r="924" spans="1:11" x14ac:dyDescent="0.3">
      <c r="C924" s="4" t="s">
        <v>28</v>
      </c>
      <c r="D924" s="4" t="s">
        <v>29</v>
      </c>
      <c r="E924" s="4" t="s">
        <v>30</v>
      </c>
      <c r="F924" s="26"/>
      <c r="I924" s="4" t="s">
        <v>28</v>
      </c>
      <c r="J924" s="4" t="s">
        <v>29</v>
      </c>
      <c r="K924" s="4" t="s">
        <v>30</v>
      </c>
    </row>
    <row r="925" spans="1:11" x14ac:dyDescent="0.3">
      <c r="A925" t="s">
        <v>225</v>
      </c>
      <c r="B925" s="4" t="s">
        <v>32</v>
      </c>
      <c r="C925" s="4">
        <v>2.113</v>
      </c>
      <c r="D925" s="4">
        <v>19.38</v>
      </c>
      <c r="E925" s="8">
        <f>C925*D925</f>
        <v>40.949939999999998</v>
      </c>
      <c r="F925" s="26"/>
      <c r="G925" t="s">
        <v>225</v>
      </c>
      <c r="H925" s="4" t="s">
        <v>32</v>
      </c>
      <c r="I925" s="4">
        <v>2.113</v>
      </c>
      <c r="J925" s="4">
        <v>30.29</v>
      </c>
      <c r="K925" s="8">
        <f>I925*J925</f>
        <v>64.002769999999998</v>
      </c>
    </row>
    <row r="926" spans="1:11" x14ac:dyDescent="0.3">
      <c r="A926" t="s">
        <v>219</v>
      </c>
      <c r="B926" s="4" t="s">
        <v>33</v>
      </c>
      <c r="C926" s="4">
        <v>0.93500000000000005</v>
      </c>
      <c r="D926" s="4">
        <v>10.11</v>
      </c>
      <c r="E926" s="8">
        <f>C926*D926</f>
        <v>9.4528499999999998</v>
      </c>
      <c r="F926" s="26"/>
      <c r="G926" t="s">
        <v>219</v>
      </c>
      <c r="H926" s="4" t="s">
        <v>33</v>
      </c>
      <c r="I926" s="4">
        <v>0.93500000000000005</v>
      </c>
      <c r="J926" s="4">
        <v>16</v>
      </c>
      <c r="K926" s="8">
        <f>I926*J926</f>
        <v>14.96</v>
      </c>
    </row>
    <row r="927" spans="1:11" x14ac:dyDescent="0.3">
      <c r="A927" t="s">
        <v>270</v>
      </c>
      <c r="B927" s="4" t="s">
        <v>137</v>
      </c>
      <c r="C927" s="4">
        <v>0.126</v>
      </c>
      <c r="D927" s="4">
        <v>12.92</v>
      </c>
      <c r="E927" s="8">
        <f>C927*D927</f>
        <v>1.62792</v>
      </c>
      <c r="F927" s="26"/>
      <c r="H927" s="4" t="s">
        <v>137</v>
      </c>
      <c r="I927" s="4">
        <v>0.126</v>
      </c>
      <c r="J927" s="4">
        <v>17.190000000000001</v>
      </c>
      <c r="K927" s="8">
        <f>I927*J927</f>
        <v>2.16594</v>
      </c>
    </row>
    <row r="928" spans="1:11" x14ac:dyDescent="0.3">
      <c r="B928" s="4" t="s">
        <v>35</v>
      </c>
      <c r="C928" s="4">
        <v>4</v>
      </c>
      <c r="D928" s="4">
        <v>1.89</v>
      </c>
      <c r="E928" s="8">
        <f>C928*D928</f>
        <v>7.56</v>
      </c>
      <c r="F928" s="26"/>
      <c r="H928" s="4" t="s">
        <v>35</v>
      </c>
      <c r="I928" s="4">
        <v>4</v>
      </c>
      <c r="J928" s="4">
        <v>2.89</v>
      </c>
      <c r="K928" s="8">
        <f>I928*J928</f>
        <v>11.56</v>
      </c>
    </row>
    <row r="929" spans="1:11" x14ac:dyDescent="0.3">
      <c r="B929" s="4" t="s">
        <v>36</v>
      </c>
      <c r="C929" s="4">
        <v>4</v>
      </c>
      <c r="D929" s="4">
        <v>0.24</v>
      </c>
      <c r="E929" s="8">
        <f>C929*D929</f>
        <v>0.96</v>
      </c>
      <c r="F929" s="26"/>
      <c r="H929" s="4" t="s">
        <v>36</v>
      </c>
      <c r="I929" s="4">
        <v>4</v>
      </c>
      <c r="J929" s="4">
        <v>0.6</v>
      </c>
      <c r="K929" s="8">
        <f>I929*J929</f>
        <v>2.4</v>
      </c>
    </row>
    <row r="930" spans="1:11" x14ac:dyDescent="0.3">
      <c r="B930" s="4" t="s">
        <v>37</v>
      </c>
      <c r="C930" t="s">
        <v>264</v>
      </c>
      <c r="E930" s="8">
        <v>35</v>
      </c>
      <c r="F930" s="26"/>
      <c r="H930" s="4" t="s">
        <v>37</v>
      </c>
      <c r="I930" t="s">
        <v>264</v>
      </c>
      <c r="K930" s="8">
        <v>35</v>
      </c>
    </row>
    <row r="931" spans="1:11" x14ac:dyDescent="0.3">
      <c r="E931" s="8">
        <f>SUM(E925:E930)</f>
        <v>95.550710000000009</v>
      </c>
      <c r="F931" s="26"/>
      <c r="K931" s="8">
        <f>SUM(K925:K930)</f>
        <v>130.08871000000002</v>
      </c>
    </row>
    <row r="932" spans="1:11" x14ac:dyDescent="0.3">
      <c r="F932" s="26"/>
    </row>
    <row r="933" spans="1:11" x14ac:dyDescent="0.3">
      <c r="F933" s="26"/>
    </row>
    <row r="934" spans="1:11" x14ac:dyDescent="0.3">
      <c r="C934" s="4" t="s">
        <v>28</v>
      </c>
      <c r="D934" s="4" t="s">
        <v>29</v>
      </c>
      <c r="E934" s="4" t="s">
        <v>30</v>
      </c>
      <c r="F934" s="26"/>
      <c r="I934" s="4" t="s">
        <v>28</v>
      </c>
      <c r="J934" s="4" t="s">
        <v>29</v>
      </c>
      <c r="K934" s="4" t="s">
        <v>30</v>
      </c>
    </row>
    <row r="935" spans="1:11" x14ac:dyDescent="0.3">
      <c r="A935" t="s">
        <v>222</v>
      </c>
      <c r="B935" s="4" t="s">
        <v>32</v>
      </c>
      <c r="C935" s="4">
        <v>2.1339999999999999</v>
      </c>
      <c r="D935" s="4">
        <v>19.38</v>
      </c>
      <c r="E935" s="8">
        <f>C935*D935</f>
        <v>41.356919999999995</v>
      </c>
      <c r="F935" s="26"/>
      <c r="G935" t="s">
        <v>222</v>
      </c>
      <c r="H935" s="4" t="s">
        <v>32</v>
      </c>
      <c r="I935" s="4">
        <v>2.1339999999999999</v>
      </c>
      <c r="J935" s="4">
        <v>30.29</v>
      </c>
      <c r="K935" s="8">
        <f>I935*J935</f>
        <v>64.638859999999994</v>
      </c>
    </row>
    <row r="936" spans="1:11" x14ac:dyDescent="0.3">
      <c r="A936" t="s">
        <v>171</v>
      </c>
      <c r="B936" s="4" t="s">
        <v>33</v>
      </c>
      <c r="C936" s="4">
        <v>1.87</v>
      </c>
      <c r="D936" s="4">
        <v>10.11</v>
      </c>
      <c r="E936" s="8">
        <f>C936*D936</f>
        <v>18.9057</v>
      </c>
      <c r="F936" s="26"/>
      <c r="G936" t="s">
        <v>171</v>
      </c>
      <c r="H936" s="4" t="s">
        <v>33</v>
      </c>
      <c r="I936" s="4">
        <v>1.87</v>
      </c>
      <c r="J936" s="4">
        <v>16</v>
      </c>
      <c r="K936" s="8">
        <f>I936*J936</f>
        <v>29.92</v>
      </c>
    </row>
    <row r="937" spans="1:11" x14ac:dyDescent="0.3">
      <c r="A937" t="s">
        <v>270</v>
      </c>
      <c r="B937" s="4" t="s">
        <v>137</v>
      </c>
      <c r="C937" s="4">
        <v>0.158</v>
      </c>
      <c r="D937" s="4">
        <v>12.92</v>
      </c>
      <c r="E937" s="8">
        <f>C937*D937</f>
        <v>2.0413600000000001</v>
      </c>
      <c r="F937" s="26"/>
      <c r="H937" s="4" t="s">
        <v>137</v>
      </c>
      <c r="I937" s="4">
        <v>0.158</v>
      </c>
      <c r="J937" s="4">
        <v>17.190000000000001</v>
      </c>
      <c r="K937" s="8">
        <f>I937*J937</f>
        <v>2.7160200000000003</v>
      </c>
    </row>
    <row r="938" spans="1:11" x14ac:dyDescent="0.3">
      <c r="B938" s="4" t="s">
        <v>35</v>
      </c>
      <c r="C938" s="4">
        <v>4</v>
      </c>
      <c r="D938" s="4">
        <v>1.89</v>
      </c>
      <c r="E938" s="8">
        <f>C938*D938</f>
        <v>7.56</v>
      </c>
      <c r="F938" s="26"/>
      <c r="H938" s="4" t="s">
        <v>35</v>
      </c>
      <c r="I938" s="4">
        <v>4</v>
      </c>
      <c r="J938" s="4">
        <v>2.89</v>
      </c>
      <c r="K938" s="8">
        <f>I938*J938</f>
        <v>11.56</v>
      </c>
    </row>
    <row r="939" spans="1:11" x14ac:dyDescent="0.3">
      <c r="B939" s="4" t="s">
        <v>36</v>
      </c>
      <c r="C939" s="4">
        <v>4</v>
      </c>
      <c r="D939" s="4">
        <v>0.24</v>
      </c>
      <c r="E939" s="8">
        <f>C939*D939</f>
        <v>0.96</v>
      </c>
      <c r="F939" s="26"/>
      <c r="H939" s="4" t="s">
        <v>36</v>
      </c>
      <c r="I939" s="4">
        <v>4</v>
      </c>
      <c r="J939" s="4">
        <v>0.6</v>
      </c>
      <c r="K939" s="8">
        <f>I939*J939</f>
        <v>2.4</v>
      </c>
    </row>
    <row r="940" spans="1:11" x14ac:dyDescent="0.3">
      <c r="B940" s="4" t="s">
        <v>37</v>
      </c>
      <c r="C940" t="s">
        <v>264</v>
      </c>
      <c r="E940" s="8">
        <v>35</v>
      </c>
      <c r="F940" s="26"/>
      <c r="H940" s="4" t="s">
        <v>37</v>
      </c>
      <c r="I940" t="s">
        <v>264</v>
      </c>
      <c r="K940" s="8">
        <v>35</v>
      </c>
    </row>
    <row r="941" spans="1:11" x14ac:dyDescent="0.3">
      <c r="E941" s="8">
        <f>SUM(E935:E940)</f>
        <v>105.82397999999999</v>
      </c>
      <c r="F941" s="26"/>
      <c r="K941" s="8">
        <f>SUM(K935:K940)</f>
        <v>146.23488</v>
      </c>
    </row>
    <row r="942" spans="1:11" x14ac:dyDescent="0.3">
      <c r="E942" s="9"/>
      <c r="F942" s="26"/>
      <c r="K942" s="9"/>
    </row>
    <row r="943" spans="1:11" x14ac:dyDescent="0.3">
      <c r="C943" s="4" t="s">
        <v>28</v>
      </c>
      <c r="D943" s="4" t="s">
        <v>29</v>
      </c>
      <c r="E943" s="4" t="s">
        <v>30</v>
      </c>
      <c r="F943" s="26"/>
      <c r="I943" s="4" t="s">
        <v>28</v>
      </c>
      <c r="J943" s="4" t="s">
        <v>29</v>
      </c>
      <c r="K943" s="4" t="s">
        <v>30</v>
      </c>
    </row>
    <row r="944" spans="1:11" x14ac:dyDescent="0.3">
      <c r="A944" t="s">
        <v>223</v>
      </c>
      <c r="B944" s="4" t="s">
        <v>32</v>
      </c>
      <c r="C944" s="4">
        <v>2.1549999999999998</v>
      </c>
      <c r="D944" s="4">
        <v>19.38</v>
      </c>
      <c r="E944" s="8">
        <f>C944*D944</f>
        <v>41.763899999999992</v>
      </c>
      <c r="F944" s="26"/>
      <c r="G944" t="s">
        <v>223</v>
      </c>
      <c r="H944" s="4" t="s">
        <v>32</v>
      </c>
      <c r="I944" s="4">
        <v>2.1549999999999998</v>
      </c>
      <c r="J944" s="4">
        <v>30.29</v>
      </c>
      <c r="K944" s="8">
        <f>I944*J944</f>
        <v>65.27494999999999</v>
      </c>
    </row>
    <row r="945" spans="1:11" x14ac:dyDescent="0.3">
      <c r="A945" t="s">
        <v>261</v>
      </c>
      <c r="B945" s="4" t="s">
        <v>33</v>
      </c>
      <c r="C945" s="4">
        <v>2.8039999999999998</v>
      </c>
      <c r="D945" s="4">
        <v>10.11</v>
      </c>
      <c r="E945" s="8">
        <f>C945*D945</f>
        <v>28.348439999999997</v>
      </c>
      <c r="F945" s="26"/>
      <c r="G945" t="s">
        <v>261</v>
      </c>
      <c r="H945" s="4" t="s">
        <v>33</v>
      </c>
      <c r="I945" s="4">
        <v>2.8039999999999998</v>
      </c>
      <c r="J945" s="4">
        <v>16</v>
      </c>
      <c r="K945" s="8">
        <f>I945*J945</f>
        <v>44.863999999999997</v>
      </c>
    </row>
    <row r="946" spans="1:11" x14ac:dyDescent="0.3">
      <c r="A946" t="s">
        <v>270</v>
      </c>
      <c r="B946" s="4" t="s">
        <v>137</v>
      </c>
      <c r="C946" s="4">
        <v>0.189</v>
      </c>
      <c r="D946" s="4">
        <v>12.92</v>
      </c>
      <c r="E946" s="8">
        <f>C946*D946</f>
        <v>2.4418799999999998</v>
      </c>
      <c r="F946" s="26"/>
      <c r="H946" s="4" t="s">
        <v>137</v>
      </c>
      <c r="I946" s="4">
        <v>0.189</v>
      </c>
      <c r="J946" s="4">
        <v>17.190000000000001</v>
      </c>
      <c r="K946" s="8">
        <f>I946*J946</f>
        <v>3.2489100000000004</v>
      </c>
    </row>
    <row r="947" spans="1:11" x14ac:dyDescent="0.3">
      <c r="B947" s="4" t="s">
        <v>35</v>
      </c>
      <c r="C947" s="4">
        <v>4</v>
      </c>
      <c r="D947" s="4">
        <v>1.89</v>
      </c>
      <c r="E947" s="8">
        <f>C947*D947</f>
        <v>7.56</v>
      </c>
      <c r="F947" s="26"/>
      <c r="H947" s="4" t="s">
        <v>35</v>
      </c>
      <c r="I947" s="4">
        <v>4</v>
      </c>
      <c r="J947" s="4">
        <v>2.89</v>
      </c>
      <c r="K947" s="8">
        <f>I947*J947</f>
        <v>11.56</v>
      </c>
    </row>
    <row r="948" spans="1:11" x14ac:dyDescent="0.3">
      <c r="B948" s="4" t="s">
        <v>36</v>
      </c>
      <c r="C948" s="4">
        <v>4</v>
      </c>
      <c r="D948" s="4">
        <v>0.24</v>
      </c>
      <c r="E948" s="8">
        <f>C948*D948</f>
        <v>0.96</v>
      </c>
      <c r="F948" s="26"/>
      <c r="H948" s="4" t="s">
        <v>36</v>
      </c>
      <c r="I948" s="4">
        <v>4</v>
      </c>
      <c r="J948" s="4">
        <v>0.6</v>
      </c>
      <c r="K948" s="8">
        <f>I948*J948</f>
        <v>2.4</v>
      </c>
    </row>
    <row r="949" spans="1:11" x14ac:dyDescent="0.3">
      <c r="B949" s="4" t="s">
        <v>37</v>
      </c>
      <c r="C949" t="s">
        <v>264</v>
      </c>
      <c r="E949" s="8">
        <v>35</v>
      </c>
      <c r="F949" s="26"/>
      <c r="H949" s="4" t="s">
        <v>37</v>
      </c>
      <c r="I949" t="s">
        <v>264</v>
      </c>
      <c r="K949" s="8">
        <v>35</v>
      </c>
    </row>
    <row r="950" spans="1:11" x14ac:dyDescent="0.3">
      <c r="E950" s="8">
        <f>SUM(E944:E949)</f>
        <v>116.07421999999998</v>
      </c>
      <c r="F950" s="26"/>
      <c r="K950" s="8">
        <f>SUM(K944:K949)</f>
        <v>162.34786</v>
      </c>
    </row>
    <row r="951" spans="1:11" x14ac:dyDescent="0.3">
      <c r="E951" s="9"/>
      <c r="F951" s="26"/>
      <c r="K951" s="9"/>
    </row>
    <row r="952" spans="1:11" x14ac:dyDescent="0.3">
      <c r="C952" s="4" t="s">
        <v>28</v>
      </c>
      <c r="D952" s="4" t="s">
        <v>29</v>
      </c>
      <c r="E952" s="4" t="s">
        <v>30</v>
      </c>
      <c r="F952" s="26"/>
      <c r="I952" s="4" t="s">
        <v>28</v>
      </c>
      <c r="J952" s="4" t="s">
        <v>29</v>
      </c>
      <c r="K952" s="4" t="s">
        <v>30</v>
      </c>
    </row>
    <row r="953" spans="1:11" x14ac:dyDescent="0.3">
      <c r="A953" t="s">
        <v>224</v>
      </c>
      <c r="B953" s="4" t="s">
        <v>32</v>
      </c>
      <c r="C953" s="4">
        <v>2.1869999999999998</v>
      </c>
      <c r="D953" s="4">
        <v>19.38</v>
      </c>
      <c r="E953" s="8">
        <f>C953*D953</f>
        <v>42.384059999999998</v>
      </c>
      <c r="F953" s="26"/>
      <c r="G953" t="s">
        <v>224</v>
      </c>
      <c r="H953" s="4" t="s">
        <v>32</v>
      </c>
      <c r="I953" s="4">
        <v>2.1869999999999998</v>
      </c>
      <c r="J953" s="4">
        <v>30.29</v>
      </c>
      <c r="K953" s="8">
        <f>I953*J953</f>
        <v>66.244229999999988</v>
      </c>
    </row>
    <row r="954" spans="1:11" x14ac:dyDescent="0.3">
      <c r="A954" t="s">
        <v>39</v>
      </c>
      <c r="B954" s="4" t="s">
        <v>33</v>
      </c>
      <c r="C954" s="4">
        <v>3.738</v>
      </c>
      <c r="D954" s="4">
        <v>10.11</v>
      </c>
      <c r="E954" s="8">
        <f>C954*D954</f>
        <v>37.791179999999997</v>
      </c>
      <c r="F954" s="26"/>
      <c r="G954" t="s">
        <v>39</v>
      </c>
      <c r="H954" s="4" t="s">
        <v>33</v>
      </c>
      <c r="I954" s="4">
        <v>3.738</v>
      </c>
      <c r="J954" s="4">
        <v>16</v>
      </c>
      <c r="K954" s="8">
        <f>I954*J954</f>
        <v>59.808</v>
      </c>
    </row>
    <row r="955" spans="1:11" x14ac:dyDescent="0.3">
      <c r="A955" t="s">
        <v>270</v>
      </c>
      <c r="B955" s="4" t="s">
        <v>137</v>
      </c>
      <c r="C955" s="4">
        <v>0.23699999999999999</v>
      </c>
      <c r="D955" s="4">
        <v>12.92</v>
      </c>
      <c r="E955" s="8">
        <f>C955*D955</f>
        <v>3.0620399999999997</v>
      </c>
      <c r="F955" s="26"/>
      <c r="H955" s="4" t="s">
        <v>137</v>
      </c>
      <c r="I955" s="4">
        <v>0.23699999999999999</v>
      </c>
      <c r="J955" s="4">
        <v>17.190000000000001</v>
      </c>
      <c r="K955" s="8">
        <f>I955*J955</f>
        <v>4.0740300000000005</v>
      </c>
    </row>
    <row r="956" spans="1:11" x14ac:dyDescent="0.3">
      <c r="B956" s="4" t="s">
        <v>35</v>
      </c>
      <c r="C956" s="4">
        <v>4</v>
      </c>
      <c r="D956" s="4">
        <v>1.89</v>
      </c>
      <c r="E956" s="8">
        <f>C956*D956</f>
        <v>7.56</v>
      </c>
      <c r="F956" s="26"/>
      <c r="H956" s="4" t="s">
        <v>35</v>
      </c>
      <c r="I956" s="4">
        <v>4</v>
      </c>
      <c r="J956" s="4">
        <v>2.89</v>
      </c>
      <c r="K956" s="8">
        <f>I956*J956</f>
        <v>11.56</v>
      </c>
    </row>
    <row r="957" spans="1:11" x14ac:dyDescent="0.3">
      <c r="B957" s="4" t="s">
        <v>36</v>
      </c>
      <c r="C957" s="4">
        <v>4</v>
      </c>
      <c r="D957" s="4">
        <v>0.24</v>
      </c>
      <c r="E957" s="8">
        <f>C957*D957</f>
        <v>0.96</v>
      </c>
      <c r="F957" s="26"/>
      <c r="H957" s="4" t="s">
        <v>36</v>
      </c>
      <c r="I957" s="4">
        <v>4</v>
      </c>
      <c r="J957" s="4">
        <v>0.6</v>
      </c>
      <c r="K957" s="8">
        <f>I957*J957</f>
        <v>2.4</v>
      </c>
    </row>
    <row r="958" spans="1:11" x14ac:dyDescent="0.3">
      <c r="B958" s="4" t="s">
        <v>37</v>
      </c>
      <c r="C958" t="s">
        <v>264</v>
      </c>
      <c r="E958" s="8">
        <v>35</v>
      </c>
      <c r="F958" s="26"/>
      <c r="H958" s="4" t="s">
        <v>37</v>
      </c>
      <c r="I958" t="s">
        <v>264</v>
      </c>
      <c r="K958" s="8">
        <v>35</v>
      </c>
    </row>
    <row r="959" spans="1:11" x14ac:dyDescent="0.3">
      <c r="E959" s="8">
        <f>SUM(E953:E958)</f>
        <v>126.75727999999999</v>
      </c>
      <c r="F959" s="26"/>
      <c r="K959" s="8">
        <f>SUM(K953:K958)</f>
        <v>179.08625999999998</v>
      </c>
    </row>
    <row r="960" spans="1:11" x14ac:dyDescent="0.3">
      <c r="F960" s="26"/>
    </row>
    <row r="961" spans="1:11" x14ac:dyDescent="0.3">
      <c r="C961" s="4" t="s">
        <v>28</v>
      </c>
      <c r="D961" s="4" t="s">
        <v>29</v>
      </c>
      <c r="E961" s="4" t="s">
        <v>30</v>
      </c>
      <c r="F961" s="26"/>
      <c r="I961" s="4" t="s">
        <v>28</v>
      </c>
      <c r="J961" s="4" t="s">
        <v>29</v>
      </c>
      <c r="K961" s="4" t="s">
        <v>30</v>
      </c>
    </row>
    <row r="962" spans="1:11" x14ac:dyDescent="0.3">
      <c r="A962" t="s">
        <v>226</v>
      </c>
      <c r="B962" s="4" t="s">
        <v>32</v>
      </c>
      <c r="C962" s="4">
        <v>2.2080000000000002</v>
      </c>
      <c r="D962" s="4">
        <v>19.38</v>
      </c>
      <c r="E962" s="8">
        <f>C962*D962</f>
        <v>42.791040000000002</v>
      </c>
      <c r="F962" s="26"/>
      <c r="G962" t="s">
        <v>226</v>
      </c>
      <c r="H962" s="4" t="s">
        <v>32</v>
      </c>
      <c r="I962" s="4">
        <v>2.2080000000000002</v>
      </c>
      <c r="J962" s="4">
        <v>30.29</v>
      </c>
      <c r="K962" s="8">
        <f>I962*J962</f>
        <v>66.880319999999998</v>
      </c>
    </row>
    <row r="963" spans="1:11" x14ac:dyDescent="0.3">
      <c r="A963" t="s">
        <v>262</v>
      </c>
      <c r="B963" s="4" t="s">
        <v>33</v>
      </c>
      <c r="C963" s="4">
        <v>4.673</v>
      </c>
      <c r="D963" s="4">
        <v>10.11</v>
      </c>
      <c r="E963" s="8">
        <f>C963*D963</f>
        <v>47.244029999999995</v>
      </c>
      <c r="F963" s="26"/>
      <c r="G963" t="s">
        <v>262</v>
      </c>
      <c r="H963" s="4" t="s">
        <v>33</v>
      </c>
      <c r="I963" s="4">
        <v>4.673</v>
      </c>
      <c r="J963" s="4">
        <v>16</v>
      </c>
      <c r="K963" s="8">
        <f>I963*J963</f>
        <v>74.768000000000001</v>
      </c>
    </row>
    <row r="964" spans="1:11" x14ac:dyDescent="0.3">
      <c r="A964" t="s">
        <v>270</v>
      </c>
      <c r="B964" s="4" t="s">
        <v>137</v>
      </c>
      <c r="C964" s="4">
        <v>0.26800000000000002</v>
      </c>
      <c r="D964" s="4">
        <v>12.92</v>
      </c>
      <c r="E964" s="8">
        <f>C964*D964</f>
        <v>3.4625600000000003</v>
      </c>
      <c r="F964" s="26"/>
      <c r="H964" s="4" t="s">
        <v>137</v>
      </c>
      <c r="I964" s="4">
        <v>0.26800000000000002</v>
      </c>
      <c r="J964" s="4">
        <v>17.190000000000001</v>
      </c>
      <c r="K964" s="8">
        <f>I964*J964</f>
        <v>4.6069200000000006</v>
      </c>
    </row>
    <row r="965" spans="1:11" x14ac:dyDescent="0.3">
      <c r="B965" s="4" t="s">
        <v>35</v>
      </c>
      <c r="C965" s="4">
        <v>4</v>
      </c>
      <c r="D965" s="4">
        <v>1.89</v>
      </c>
      <c r="E965" s="8">
        <f>C965*D965</f>
        <v>7.56</v>
      </c>
      <c r="F965" s="26"/>
      <c r="H965" s="4" t="s">
        <v>35</v>
      </c>
      <c r="I965" s="4">
        <v>4</v>
      </c>
      <c r="J965" s="4">
        <v>2.89</v>
      </c>
      <c r="K965" s="8">
        <f>I965*J965</f>
        <v>11.56</v>
      </c>
    </row>
    <row r="966" spans="1:11" x14ac:dyDescent="0.3">
      <c r="B966" s="4" t="s">
        <v>36</v>
      </c>
      <c r="C966" s="4">
        <v>4</v>
      </c>
      <c r="D966" s="4">
        <v>0.24</v>
      </c>
      <c r="E966" s="8">
        <f>C966*D966</f>
        <v>0.96</v>
      </c>
      <c r="F966" s="26"/>
      <c r="H966" s="4" t="s">
        <v>36</v>
      </c>
      <c r="I966" s="4">
        <v>4</v>
      </c>
      <c r="J966" s="4">
        <v>0.6</v>
      </c>
      <c r="K966" s="8">
        <f>I966*J966</f>
        <v>2.4</v>
      </c>
    </row>
    <row r="967" spans="1:11" x14ac:dyDescent="0.3">
      <c r="B967" s="4" t="s">
        <v>37</v>
      </c>
      <c r="C967" t="s">
        <v>264</v>
      </c>
      <c r="E967" s="8">
        <v>35</v>
      </c>
      <c r="F967" s="26"/>
      <c r="H967" s="4" t="s">
        <v>37</v>
      </c>
      <c r="I967" t="s">
        <v>264</v>
      </c>
      <c r="K967" s="8">
        <v>63.9</v>
      </c>
    </row>
    <row r="968" spans="1:11" x14ac:dyDescent="0.3">
      <c r="E968" s="8">
        <f>SUM(E962:E967)</f>
        <v>137.01763</v>
      </c>
      <c r="F968" s="26"/>
      <c r="K968" s="8">
        <f>SUM(K962:K967)</f>
        <v>224.11524000000003</v>
      </c>
    </row>
    <row r="969" spans="1:11" x14ac:dyDescent="0.3">
      <c r="F969" s="26"/>
    </row>
    <row r="970" spans="1:11" x14ac:dyDescent="0.3">
      <c r="C970" s="4" t="s">
        <v>28</v>
      </c>
      <c r="D970" s="4" t="s">
        <v>29</v>
      </c>
      <c r="E970" s="4" t="s">
        <v>30</v>
      </c>
      <c r="F970" s="26"/>
      <c r="I970" s="4" t="s">
        <v>28</v>
      </c>
      <c r="J970" s="4" t="s">
        <v>29</v>
      </c>
      <c r="K970" s="4" t="s">
        <v>30</v>
      </c>
    </row>
    <row r="971" spans="1:11" x14ac:dyDescent="0.3">
      <c r="A971" t="s">
        <v>227</v>
      </c>
      <c r="B971" s="4" t="s">
        <v>32</v>
      </c>
      <c r="C971" s="4">
        <v>2.218</v>
      </c>
      <c r="D971" s="4">
        <v>19.38</v>
      </c>
      <c r="E971" s="8">
        <f>C971*D971</f>
        <v>42.984839999999998</v>
      </c>
      <c r="F971" s="26"/>
      <c r="G971" t="s">
        <v>227</v>
      </c>
      <c r="H971" s="4" t="s">
        <v>32</v>
      </c>
      <c r="I971" s="4">
        <v>2.218</v>
      </c>
      <c r="J971" s="4">
        <v>30.29</v>
      </c>
      <c r="K971" s="8">
        <f>I971*J971</f>
        <v>67.183219999999992</v>
      </c>
    </row>
    <row r="972" spans="1:11" x14ac:dyDescent="0.3">
      <c r="A972" t="s">
        <v>262</v>
      </c>
      <c r="B972" s="4" t="s">
        <v>33</v>
      </c>
      <c r="C972" s="4">
        <v>4.673</v>
      </c>
      <c r="D972" s="4">
        <v>10.11</v>
      </c>
      <c r="E972" s="8">
        <f>C972*D972</f>
        <v>47.244029999999995</v>
      </c>
      <c r="F972" s="26"/>
      <c r="G972" t="s">
        <v>262</v>
      </c>
      <c r="H972" s="4" t="s">
        <v>33</v>
      </c>
      <c r="I972" s="4">
        <v>4.673</v>
      </c>
      <c r="J972" s="4">
        <v>16</v>
      </c>
      <c r="K972" s="8">
        <f>I972*J972</f>
        <v>74.768000000000001</v>
      </c>
    </row>
    <row r="973" spans="1:11" x14ac:dyDescent="0.3">
      <c r="A973" t="s">
        <v>270</v>
      </c>
      <c r="B973" s="4" t="s">
        <v>137</v>
      </c>
      <c r="C973" s="4">
        <v>0.28399999999999997</v>
      </c>
      <c r="D973" s="4">
        <v>12.92</v>
      </c>
      <c r="E973" s="8">
        <f>C973*D973</f>
        <v>3.6692799999999997</v>
      </c>
      <c r="F973" s="26"/>
      <c r="H973" s="4" t="s">
        <v>137</v>
      </c>
      <c r="I973" s="4">
        <v>0.28399999999999997</v>
      </c>
      <c r="J973" s="4">
        <v>17.190000000000001</v>
      </c>
      <c r="K973" s="8">
        <f>I973*J973</f>
        <v>4.8819600000000003</v>
      </c>
    </row>
    <row r="974" spans="1:11" x14ac:dyDescent="0.3">
      <c r="B974" s="4" t="s">
        <v>35</v>
      </c>
      <c r="C974" s="4">
        <v>4</v>
      </c>
      <c r="D974" s="4">
        <v>1.89</v>
      </c>
      <c r="E974" s="8">
        <f>C974*D974</f>
        <v>7.56</v>
      </c>
      <c r="F974" s="26"/>
      <c r="H974" s="4" t="s">
        <v>35</v>
      </c>
      <c r="I974" s="4">
        <v>4</v>
      </c>
      <c r="J974" s="4">
        <v>2.89</v>
      </c>
      <c r="K974" s="8">
        <f>I974*J974</f>
        <v>11.56</v>
      </c>
    </row>
    <row r="975" spans="1:11" x14ac:dyDescent="0.3">
      <c r="B975" s="4" t="s">
        <v>36</v>
      </c>
      <c r="C975" s="4">
        <v>4</v>
      </c>
      <c r="D975" s="4">
        <v>0.24</v>
      </c>
      <c r="E975" s="8">
        <f>C975*D975</f>
        <v>0.96</v>
      </c>
      <c r="F975" s="26"/>
      <c r="H975" s="4" t="s">
        <v>36</v>
      </c>
      <c r="I975" s="4">
        <v>4</v>
      </c>
      <c r="J975" s="4">
        <v>0.6</v>
      </c>
      <c r="K975" s="8">
        <f>I975*J975</f>
        <v>2.4</v>
      </c>
    </row>
    <row r="976" spans="1:11" x14ac:dyDescent="0.3">
      <c r="B976" s="4" t="s">
        <v>37</v>
      </c>
      <c r="C976" t="s">
        <v>264</v>
      </c>
      <c r="E976" s="8">
        <v>35</v>
      </c>
      <c r="F976" s="26"/>
      <c r="H976" s="4" t="s">
        <v>37</v>
      </c>
      <c r="I976" t="s">
        <v>264</v>
      </c>
      <c r="K976" s="8">
        <v>35</v>
      </c>
    </row>
    <row r="977" spans="1:11" x14ac:dyDescent="0.3">
      <c r="E977" s="8">
        <f>SUM(E971:E976)</f>
        <v>137.41815</v>
      </c>
      <c r="F977" s="26"/>
      <c r="K977" s="8">
        <f>SUM(K971:K976)</f>
        <v>195.79317999999998</v>
      </c>
    </row>
    <row r="978" spans="1:11" x14ac:dyDescent="0.3">
      <c r="F978" s="26"/>
    </row>
    <row r="979" spans="1:11" x14ac:dyDescent="0.3">
      <c r="C979" s="4" t="s">
        <v>28</v>
      </c>
      <c r="D979" s="4" t="s">
        <v>29</v>
      </c>
      <c r="E979" s="4" t="s">
        <v>30</v>
      </c>
      <c r="F979" s="26"/>
      <c r="I979" s="4" t="s">
        <v>28</v>
      </c>
      <c r="J979" s="4" t="s">
        <v>29</v>
      </c>
      <c r="K979" s="4" t="s">
        <v>30</v>
      </c>
    </row>
    <row r="980" spans="1:11" x14ac:dyDescent="0.3">
      <c r="A980" t="s">
        <v>47</v>
      </c>
      <c r="B980" s="4" t="s">
        <v>32</v>
      </c>
      <c r="C980" s="4">
        <v>2.2389999999999999</v>
      </c>
      <c r="D980" s="4">
        <v>19.38</v>
      </c>
      <c r="E980" s="8">
        <f>C980*D980</f>
        <v>43.391819999999996</v>
      </c>
      <c r="F980" s="26"/>
      <c r="G980" t="s">
        <v>47</v>
      </c>
      <c r="H980" s="4" t="s">
        <v>32</v>
      </c>
      <c r="I980" s="4">
        <v>2.2389999999999999</v>
      </c>
      <c r="J980" s="4">
        <v>30.29</v>
      </c>
      <c r="K980" s="8">
        <f>I980*J980</f>
        <v>67.819310000000002</v>
      </c>
    </row>
    <row r="981" spans="1:11" x14ac:dyDescent="0.3">
      <c r="A981" t="s">
        <v>63</v>
      </c>
      <c r="B981" s="4" t="s">
        <v>33</v>
      </c>
      <c r="C981" s="4">
        <v>5.6070000000000002</v>
      </c>
      <c r="D981" s="4">
        <v>10.11</v>
      </c>
      <c r="E981" s="8">
        <f>C981*D981</f>
        <v>56.686769999999996</v>
      </c>
      <c r="F981" s="26"/>
      <c r="G981" t="s">
        <v>63</v>
      </c>
      <c r="H981" s="4" t="s">
        <v>33</v>
      </c>
      <c r="I981" s="4">
        <v>5.6070000000000002</v>
      </c>
      <c r="J981" s="4">
        <v>16</v>
      </c>
      <c r="K981" s="8">
        <f>I981*J981</f>
        <v>89.712000000000003</v>
      </c>
    </row>
    <row r="982" spans="1:11" x14ac:dyDescent="0.3">
      <c r="A982" t="s">
        <v>270</v>
      </c>
      <c r="B982" s="4" t="s">
        <v>137</v>
      </c>
      <c r="C982" s="4">
        <v>0.315</v>
      </c>
      <c r="D982" s="4">
        <v>12.92</v>
      </c>
      <c r="E982" s="8">
        <f>C982*D982</f>
        <v>4.0697999999999999</v>
      </c>
      <c r="F982" s="26"/>
      <c r="H982" s="4" t="s">
        <v>137</v>
      </c>
      <c r="I982" s="4">
        <v>0.315</v>
      </c>
      <c r="J982" s="4">
        <v>17.190000000000001</v>
      </c>
      <c r="K982" s="8">
        <f>I982*J982</f>
        <v>5.4148500000000004</v>
      </c>
    </row>
    <row r="983" spans="1:11" x14ac:dyDescent="0.3">
      <c r="B983" s="4" t="s">
        <v>35</v>
      </c>
      <c r="C983" s="4">
        <v>4</v>
      </c>
      <c r="D983" s="4">
        <v>1.89</v>
      </c>
      <c r="E983" s="8">
        <f>C983*D983</f>
        <v>7.56</v>
      </c>
      <c r="F983" s="26"/>
      <c r="H983" s="4" t="s">
        <v>35</v>
      </c>
      <c r="I983" s="4">
        <v>4</v>
      </c>
      <c r="J983" s="4">
        <v>2.89</v>
      </c>
      <c r="K983" s="8">
        <f>I983*J983</f>
        <v>11.56</v>
      </c>
    </row>
    <row r="984" spans="1:11" x14ac:dyDescent="0.3">
      <c r="B984" s="4" t="s">
        <v>36</v>
      </c>
      <c r="C984" s="4">
        <v>4</v>
      </c>
      <c r="D984" s="4">
        <v>0.24</v>
      </c>
      <c r="E984" s="8">
        <f>C984*D984</f>
        <v>0.96</v>
      </c>
      <c r="F984" s="26"/>
      <c r="H984" s="4" t="s">
        <v>36</v>
      </c>
      <c r="I984" s="4">
        <v>4</v>
      </c>
      <c r="J984" s="4">
        <v>0.6</v>
      </c>
      <c r="K984" s="8">
        <f>I984*J984</f>
        <v>2.4</v>
      </c>
    </row>
    <row r="985" spans="1:11" x14ac:dyDescent="0.3">
      <c r="B985" s="4" t="s">
        <v>37</v>
      </c>
      <c r="C985" t="s">
        <v>264</v>
      </c>
      <c r="E985" s="8">
        <v>35</v>
      </c>
      <c r="F985" s="26"/>
      <c r="H985" s="4" t="s">
        <v>37</v>
      </c>
      <c r="I985" t="s">
        <v>264</v>
      </c>
      <c r="K985" s="8">
        <v>35</v>
      </c>
    </row>
    <row r="986" spans="1:11" x14ac:dyDescent="0.3">
      <c r="E986" s="8">
        <f>SUM(E980:E985)</f>
        <v>147.66838999999999</v>
      </c>
      <c r="F986" s="26"/>
      <c r="K986" s="8">
        <f>SUM(K980:K985)</f>
        <v>211.90616000000003</v>
      </c>
    </row>
    <row r="987" spans="1:11" x14ac:dyDescent="0.3">
      <c r="F987" s="26"/>
    </row>
    <row r="988" spans="1:11" x14ac:dyDescent="0.3">
      <c r="F988" s="26"/>
    </row>
    <row r="989" spans="1:11" x14ac:dyDescent="0.3">
      <c r="C989" s="4" t="s">
        <v>28</v>
      </c>
      <c r="D989" s="4" t="s">
        <v>29</v>
      </c>
      <c r="E989" s="4" t="s">
        <v>30</v>
      </c>
      <c r="F989" s="26"/>
      <c r="I989" s="4" t="s">
        <v>28</v>
      </c>
      <c r="J989" s="4" t="s">
        <v>29</v>
      </c>
      <c r="K989" s="4" t="s">
        <v>30</v>
      </c>
    </row>
    <row r="990" spans="1:11" x14ac:dyDescent="0.3">
      <c r="A990" t="s">
        <v>228</v>
      </c>
      <c r="B990" s="4" t="s">
        <v>32</v>
      </c>
      <c r="C990" s="4">
        <v>2.2810000000000001</v>
      </c>
      <c r="D990" s="4">
        <v>19.38</v>
      </c>
      <c r="E990" s="8">
        <f>C990*D990</f>
        <v>44.205779999999997</v>
      </c>
      <c r="F990" s="26"/>
      <c r="G990" t="s">
        <v>228</v>
      </c>
      <c r="H990" s="4" t="s">
        <v>32</v>
      </c>
      <c r="I990" s="4">
        <v>2.2810000000000001</v>
      </c>
      <c r="J990" s="4">
        <v>30.29</v>
      </c>
      <c r="K990" s="8">
        <f>I990*J990</f>
        <v>69.091490000000007</v>
      </c>
    </row>
    <row r="991" spans="1:11" x14ac:dyDescent="0.3">
      <c r="A991" t="s">
        <v>229</v>
      </c>
      <c r="B991" s="4" t="s">
        <v>33</v>
      </c>
      <c r="C991" s="4">
        <v>7.476</v>
      </c>
      <c r="D991" s="4">
        <v>10.11</v>
      </c>
      <c r="E991" s="8">
        <f>C991*D991</f>
        <v>75.582359999999994</v>
      </c>
      <c r="F991" s="26"/>
      <c r="G991" t="s">
        <v>229</v>
      </c>
      <c r="H991" s="4" t="s">
        <v>33</v>
      </c>
      <c r="I991" s="4">
        <v>7.476</v>
      </c>
      <c r="J991" s="4">
        <v>16</v>
      </c>
      <c r="K991" s="8">
        <f>I991*J991</f>
        <v>119.616</v>
      </c>
    </row>
    <row r="992" spans="1:11" x14ac:dyDescent="0.3">
      <c r="A992" t="s">
        <v>270</v>
      </c>
      <c r="B992" s="4" t="s">
        <v>137</v>
      </c>
      <c r="C992" s="4">
        <v>0.378</v>
      </c>
      <c r="D992" s="4">
        <v>12.92</v>
      </c>
      <c r="E992" s="8">
        <f>C992*D992</f>
        <v>4.8837599999999997</v>
      </c>
      <c r="F992" s="26"/>
      <c r="H992" s="4" t="s">
        <v>137</v>
      </c>
      <c r="I992" s="4">
        <v>0.378</v>
      </c>
      <c r="J992" s="4">
        <v>17.190000000000001</v>
      </c>
      <c r="K992" s="8">
        <f>I992*J992</f>
        <v>6.4978200000000008</v>
      </c>
    </row>
    <row r="993" spans="1:11" x14ac:dyDescent="0.3">
      <c r="B993" s="4" t="s">
        <v>35</v>
      </c>
      <c r="C993" s="4">
        <v>4</v>
      </c>
      <c r="D993" s="4">
        <v>1.89</v>
      </c>
      <c r="E993" s="8">
        <f>C993*D993</f>
        <v>7.56</v>
      </c>
      <c r="F993" s="26"/>
      <c r="H993" s="4" t="s">
        <v>35</v>
      </c>
      <c r="I993" s="4">
        <v>4</v>
      </c>
      <c r="J993" s="4">
        <v>2.89</v>
      </c>
      <c r="K993" s="8">
        <f>I993*J993</f>
        <v>11.56</v>
      </c>
    </row>
    <row r="994" spans="1:11" x14ac:dyDescent="0.3">
      <c r="B994" s="4" t="s">
        <v>36</v>
      </c>
      <c r="C994" s="4">
        <v>4</v>
      </c>
      <c r="D994" s="4">
        <v>0.24</v>
      </c>
      <c r="E994" s="8">
        <f>C994*D994</f>
        <v>0.96</v>
      </c>
      <c r="F994" s="26"/>
      <c r="H994" s="4" t="s">
        <v>36</v>
      </c>
      <c r="I994" s="4">
        <v>4</v>
      </c>
      <c r="J994" s="4">
        <v>0.6</v>
      </c>
      <c r="K994" s="8">
        <f>I994*J994</f>
        <v>2.4</v>
      </c>
    </row>
    <row r="995" spans="1:11" x14ac:dyDescent="0.3">
      <c r="B995" s="4" t="s">
        <v>37</v>
      </c>
      <c r="C995" t="s">
        <v>264</v>
      </c>
      <c r="E995" s="8">
        <v>35</v>
      </c>
      <c r="F995" s="26"/>
      <c r="H995" s="4" t="s">
        <v>37</v>
      </c>
      <c r="I995" t="s">
        <v>264</v>
      </c>
      <c r="K995" s="8">
        <v>35</v>
      </c>
    </row>
    <row r="996" spans="1:11" x14ac:dyDescent="0.3">
      <c r="E996" s="8">
        <f>SUM(E990:E995)</f>
        <v>168.1919</v>
      </c>
      <c r="F996" s="26"/>
      <c r="K996" s="8">
        <f>SUM(K990:K995)</f>
        <v>244.16531000000001</v>
      </c>
    </row>
    <row r="997" spans="1:11" x14ac:dyDescent="0.3">
      <c r="F997" s="26"/>
    </row>
    <row r="998" spans="1:11" x14ac:dyDescent="0.3">
      <c r="C998" s="4" t="s">
        <v>28</v>
      </c>
      <c r="D998" s="4" t="s">
        <v>29</v>
      </c>
      <c r="E998" s="4" t="s">
        <v>30</v>
      </c>
      <c r="F998" s="26"/>
      <c r="I998" s="4" t="s">
        <v>28</v>
      </c>
      <c r="J998" s="4" t="s">
        <v>29</v>
      </c>
      <c r="K998" s="4" t="s">
        <v>30</v>
      </c>
    </row>
    <row r="999" spans="1:11" x14ac:dyDescent="0.3">
      <c r="A999" t="s">
        <v>230</v>
      </c>
      <c r="B999" s="4" t="s">
        <v>32</v>
      </c>
      <c r="C999" s="4">
        <v>2.302</v>
      </c>
      <c r="D999" s="4">
        <v>19.38</v>
      </c>
      <c r="E999" s="8">
        <f>C999*D999</f>
        <v>44.612760000000002</v>
      </c>
      <c r="F999" s="26"/>
      <c r="G999" t="s">
        <v>230</v>
      </c>
      <c r="H999" s="4" t="s">
        <v>32</v>
      </c>
      <c r="I999" s="4">
        <v>2.302</v>
      </c>
      <c r="J999" s="4">
        <v>30.29</v>
      </c>
      <c r="K999" s="8">
        <f>I999*J999</f>
        <v>69.727580000000003</v>
      </c>
    </row>
    <row r="1000" spans="1:11" x14ac:dyDescent="0.3">
      <c r="A1000" t="s">
        <v>229</v>
      </c>
      <c r="B1000" s="4" t="s">
        <v>33</v>
      </c>
      <c r="C1000" s="4">
        <v>7.476</v>
      </c>
      <c r="D1000" s="4">
        <v>10.11</v>
      </c>
      <c r="E1000" s="8">
        <f>C1000*D1000</f>
        <v>75.582359999999994</v>
      </c>
      <c r="F1000" s="26"/>
      <c r="G1000" t="s">
        <v>229</v>
      </c>
      <c r="H1000" s="4" t="s">
        <v>33</v>
      </c>
      <c r="I1000" s="4">
        <v>7.476</v>
      </c>
      <c r="J1000" s="4">
        <v>16</v>
      </c>
      <c r="K1000" s="8">
        <f>I1000*J1000</f>
        <v>119.616</v>
      </c>
    </row>
    <row r="1001" spans="1:11" x14ac:dyDescent="0.3">
      <c r="A1001" t="s">
        <v>270</v>
      </c>
      <c r="B1001" s="4" t="s">
        <v>137</v>
      </c>
      <c r="C1001" s="4">
        <v>0.41</v>
      </c>
      <c r="D1001" s="4">
        <v>12.92</v>
      </c>
      <c r="E1001" s="8">
        <f>C1001*D1001</f>
        <v>5.2971999999999992</v>
      </c>
      <c r="F1001" s="26"/>
      <c r="H1001" s="4" t="s">
        <v>137</v>
      </c>
      <c r="I1001" s="4">
        <v>0.41</v>
      </c>
      <c r="J1001" s="4">
        <v>17.190000000000001</v>
      </c>
      <c r="K1001" s="8">
        <f>I1001*J1001</f>
        <v>7.0479000000000003</v>
      </c>
    </row>
    <row r="1002" spans="1:11" x14ac:dyDescent="0.3">
      <c r="B1002" s="4" t="s">
        <v>35</v>
      </c>
      <c r="C1002" s="4">
        <v>4</v>
      </c>
      <c r="D1002" s="4">
        <v>1.89</v>
      </c>
      <c r="E1002" s="8">
        <f>C1002*D1002</f>
        <v>7.56</v>
      </c>
      <c r="F1002" s="26"/>
      <c r="H1002" s="4" t="s">
        <v>35</v>
      </c>
      <c r="I1002" s="4">
        <v>4</v>
      </c>
      <c r="J1002" s="4">
        <v>2.89</v>
      </c>
      <c r="K1002" s="8">
        <f>I1002*J1002</f>
        <v>11.56</v>
      </c>
    </row>
    <row r="1003" spans="1:11" x14ac:dyDescent="0.3">
      <c r="B1003" s="4" t="s">
        <v>36</v>
      </c>
      <c r="C1003" s="4">
        <v>4</v>
      </c>
      <c r="D1003" s="4">
        <v>0.24</v>
      </c>
      <c r="E1003" s="8">
        <f>C1003*D1003</f>
        <v>0.96</v>
      </c>
      <c r="F1003" s="26"/>
      <c r="H1003" s="4" t="s">
        <v>36</v>
      </c>
      <c r="I1003" s="4">
        <v>4</v>
      </c>
      <c r="J1003" s="4">
        <v>0.6</v>
      </c>
      <c r="K1003" s="8">
        <f>I1003*J1003</f>
        <v>2.4</v>
      </c>
    </row>
    <row r="1004" spans="1:11" x14ac:dyDescent="0.3">
      <c r="B1004" s="4" t="s">
        <v>37</v>
      </c>
      <c r="C1004" t="s">
        <v>264</v>
      </c>
      <c r="E1004" s="8">
        <v>35</v>
      </c>
      <c r="F1004" s="26"/>
      <c r="H1004" s="4" t="s">
        <v>37</v>
      </c>
      <c r="I1004">
        <v>85</v>
      </c>
      <c r="K1004" s="8">
        <v>85</v>
      </c>
    </row>
    <row r="1005" spans="1:11" x14ac:dyDescent="0.3">
      <c r="E1005" s="8">
        <f>SUM(E999:E1004)</f>
        <v>169.01232000000002</v>
      </c>
      <c r="F1005" s="26"/>
      <c r="K1005" s="8">
        <f>SUM(K999:K1004)</f>
        <v>295.35148000000004</v>
      </c>
    </row>
    <row r="1006" spans="1:11" x14ac:dyDescent="0.3">
      <c r="F1006" s="26"/>
    </row>
    <row r="1007" spans="1:11" x14ac:dyDescent="0.3">
      <c r="C1007" s="4" t="s">
        <v>28</v>
      </c>
      <c r="D1007" s="4" t="s">
        <v>29</v>
      </c>
      <c r="E1007" s="4" t="s">
        <v>30</v>
      </c>
      <c r="F1007" s="26"/>
      <c r="I1007" s="4" t="s">
        <v>28</v>
      </c>
      <c r="J1007" s="4" t="s">
        <v>29</v>
      </c>
      <c r="K1007" s="4" t="s">
        <v>30</v>
      </c>
    </row>
    <row r="1008" spans="1:11" x14ac:dyDescent="0.3">
      <c r="A1008" t="s">
        <v>231</v>
      </c>
      <c r="B1008" s="4" t="s">
        <v>32</v>
      </c>
      <c r="C1008" s="4">
        <v>2.3130000000000002</v>
      </c>
      <c r="D1008" s="4">
        <v>19.38</v>
      </c>
      <c r="E1008" s="8">
        <f>C1008*D1008</f>
        <v>44.825940000000003</v>
      </c>
      <c r="F1008" s="26"/>
      <c r="G1008" t="s">
        <v>231</v>
      </c>
      <c r="H1008" s="4" t="s">
        <v>32</v>
      </c>
      <c r="I1008" s="4">
        <v>2.3130000000000002</v>
      </c>
      <c r="J1008" s="4">
        <v>30.29</v>
      </c>
      <c r="K1008" s="8">
        <f>I1008*J1008</f>
        <v>70.060770000000005</v>
      </c>
    </row>
    <row r="1009" spans="1:11" x14ac:dyDescent="0.3">
      <c r="A1009" t="s">
        <v>52</v>
      </c>
      <c r="B1009" s="4" t="s">
        <v>33</v>
      </c>
      <c r="C1009" s="4">
        <v>8.4109999999999996</v>
      </c>
      <c r="D1009" s="4">
        <v>10.11</v>
      </c>
      <c r="E1009" s="8">
        <f>C1009*D1009</f>
        <v>85.035209999999992</v>
      </c>
      <c r="F1009" s="26"/>
      <c r="G1009" t="s">
        <v>52</v>
      </c>
      <c r="H1009" s="4" t="s">
        <v>33</v>
      </c>
      <c r="I1009" s="4">
        <v>8.4109999999999996</v>
      </c>
      <c r="J1009" s="4">
        <v>16</v>
      </c>
      <c r="K1009" s="8">
        <f>I1009*J1009</f>
        <v>134.57599999999999</v>
      </c>
    </row>
    <row r="1010" spans="1:11" x14ac:dyDescent="0.3">
      <c r="A1010" t="s">
        <v>270</v>
      </c>
      <c r="B1010" s="4" t="s">
        <v>137</v>
      </c>
      <c r="C1010" s="4">
        <v>0.42599999999999999</v>
      </c>
      <c r="D1010" s="4">
        <v>12.92</v>
      </c>
      <c r="E1010" s="8">
        <f>C1010*D1010</f>
        <v>5.5039199999999999</v>
      </c>
      <c r="F1010" s="26"/>
      <c r="H1010" s="4" t="s">
        <v>137</v>
      </c>
      <c r="I1010" s="4">
        <v>0.42599999999999999</v>
      </c>
      <c r="J1010" s="4">
        <v>17.190000000000001</v>
      </c>
      <c r="K1010" s="8">
        <f>I1010*J1010</f>
        <v>7.32294</v>
      </c>
    </row>
    <row r="1011" spans="1:11" x14ac:dyDescent="0.3">
      <c r="B1011" s="4" t="s">
        <v>35</v>
      </c>
      <c r="C1011" s="4">
        <v>4</v>
      </c>
      <c r="D1011" s="4">
        <v>1.89</v>
      </c>
      <c r="E1011" s="8">
        <f>C1011*D1011</f>
        <v>7.56</v>
      </c>
      <c r="F1011" s="26"/>
      <c r="H1011" s="4" t="s">
        <v>35</v>
      </c>
      <c r="I1011" s="4">
        <v>4</v>
      </c>
      <c r="J1011" s="4">
        <v>2.89</v>
      </c>
      <c r="K1011" s="8">
        <f>I1011*J1011</f>
        <v>11.56</v>
      </c>
    </row>
    <row r="1012" spans="1:11" x14ac:dyDescent="0.3">
      <c r="B1012" s="4" t="s">
        <v>36</v>
      </c>
      <c r="C1012" s="4">
        <v>4</v>
      </c>
      <c r="D1012" s="4">
        <v>0.24</v>
      </c>
      <c r="E1012" s="8">
        <f>C1012*D1012</f>
        <v>0.96</v>
      </c>
      <c r="F1012" s="26"/>
      <c r="H1012" s="4" t="s">
        <v>36</v>
      </c>
      <c r="I1012" s="4">
        <v>4</v>
      </c>
      <c r="J1012" s="4">
        <v>0.6</v>
      </c>
      <c r="K1012" s="8">
        <f>I1012*J1012</f>
        <v>2.4</v>
      </c>
    </row>
    <row r="1013" spans="1:11" x14ac:dyDescent="0.3">
      <c r="B1013" s="4" t="s">
        <v>37</v>
      </c>
      <c r="C1013" t="s">
        <v>265</v>
      </c>
      <c r="E1013" s="8">
        <v>42</v>
      </c>
      <c r="F1013" s="26"/>
      <c r="H1013" s="4" t="s">
        <v>37</v>
      </c>
      <c r="I1013" t="s">
        <v>265</v>
      </c>
      <c r="K1013" s="8">
        <v>42</v>
      </c>
    </row>
    <row r="1014" spans="1:11" x14ac:dyDescent="0.3">
      <c r="E1014" s="8">
        <f>SUM(E1008:E1013)</f>
        <v>185.88507000000001</v>
      </c>
      <c r="F1014" s="26"/>
      <c r="K1014" s="8">
        <f>SUM(K1008:K1013)</f>
        <v>267.91971000000001</v>
      </c>
    </row>
    <row r="1015" spans="1:11" x14ac:dyDescent="0.3">
      <c r="F1015" s="26"/>
    </row>
    <row r="1016" spans="1:11" x14ac:dyDescent="0.3">
      <c r="C1016" s="4" t="s">
        <v>28</v>
      </c>
      <c r="D1016" s="4" t="s">
        <v>29</v>
      </c>
      <c r="E1016" s="4" t="s">
        <v>30</v>
      </c>
      <c r="F1016" s="26"/>
      <c r="I1016" s="4" t="s">
        <v>28</v>
      </c>
      <c r="J1016" s="4" t="s">
        <v>29</v>
      </c>
      <c r="K1016" s="4" t="s">
        <v>30</v>
      </c>
    </row>
    <row r="1017" spans="1:11" x14ac:dyDescent="0.3">
      <c r="A1017" t="s">
        <v>70</v>
      </c>
      <c r="B1017" s="4" t="s">
        <v>32</v>
      </c>
      <c r="C1017" s="4">
        <v>2.3439999999999999</v>
      </c>
      <c r="D1017" s="4">
        <v>19.38</v>
      </c>
      <c r="E1017" s="8">
        <f>C1017*D1017</f>
        <v>45.426719999999996</v>
      </c>
      <c r="F1017" s="26"/>
      <c r="G1017" t="s">
        <v>70</v>
      </c>
      <c r="H1017" s="4" t="s">
        <v>32</v>
      </c>
      <c r="I1017" s="4">
        <v>2.4550000000000001</v>
      </c>
      <c r="J1017" s="4">
        <v>30.29</v>
      </c>
      <c r="K1017" s="8">
        <f>I1017*J1017</f>
        <v>74.361949999999993</v>
      </c>
    </row>
    <row r="1018" spans="1:11" x14ac:dyDescent="0.3">
      <c r="A1018" t="s">
        <v>232</v>
      </c>
      <c r="B1018" s="4" t="s">
        <v>33</v>
      </c>
      <c r="C1018" s="4">
        <v>9.3450000000000006</v>
      </c>
      <c r="D1018" s="4">
        <v>10.11</v>
      </c>
      <c r="E1018" s="8">
        <f>C1018*D1018</f>
        <v>94.477950000000007</v>
      </c>
      <c r="F1018" s="26"/>
      <c r="G1018" t="s">
        <v>232</v>
      </c>
      <c r="H1018" s="4" t="s">
        <v>33</v>
      </c>
      <c r="I1018" s="4">
        <v>9.8000000000000007</v>
      </c>
      <c r="J1018" s="4">
        <v>16</v>
      </c>
      <c r="K1018" s="8">
        <f>I1018*J1018</f>
        <v>156.80000000000001</v>
      </c>
    </row>
    <row r="1019" spans="1:11" x14ac:dyDescent="0.3">
      <c r="A1019" t="s">
        <v>270</v>
      </c>
      <c r="B1019" s="4" t="s">
        <v>137</v>
      </c>
      <c r="C1019" s="4">
        <v>0.47299999999999998</v>
      </c>
      <c r="D1019" s="4">
        <v>12.92</v>
      </c>
      <c r="E1019" s="8">
        <f>C1019*D1019</f>
        <v>6.1111599999999999</v>
      </c>
      <c r="F1019" s="26"/>
      <c r="H1019" s="4" t="s">
        <v>137</v>
      </c>
      <c r="I1019" s="4">
        <v>0.8</v>
      </c>
      <c r="J1019" s="4">
        <v>17.190000000000001</v>
      </c>
      <c r="K1019" s="8">
        <f>I1019*J1019</f>
        <v>13.752000000000002</v>
      </c>
    </row>
    <row r="1020" spans="1:11" x14ac:dyDescent="0.3">
      <c r="B1020" s="4" t="s">
        <v>216</v>
      </c>
      <c r="C1020" s="4">
        <v>4</v>
      </c>
      <c r="D1020" s="4">
        <v>1.89</v>
      </c>
      <c r="E1020" s="8">
        <f>C1020*D1020</f>
        <v>7.56</v>
      </c>
      <c r="F1020" s="26"/>
      <c r="H1020" s="4" t="s">
        <v>216</v>
      </c>
      <c r="I1020" s="4">
        <v>4</v>
      </c>
      <c r="J1020" s="4">
        <v>2.89</v>
      </c>
      <c r="K1020" s="8">
        <f>I1020*J1020</f>
        <v>11.56</v>
      </c>
    </row>
    <row r="1021" spans="1:11" x14ac:dyDescent="0.3">
      <c r="B1021" s="4" t="s">
        <v>36</v>
      </c>
      <c r="C1021" s="4">
        <v>4</v>
      </c>
      <c r="D1021" s="4">
        <v>0.24</v>
      </c>
      <c r="E1021" s="8">
        <f>C1021*D1021</f>
        <v>0.96</v>
      </c>
      <c r="F1021" s="26"/>
      <c r="H1021" s="4" t="s">
        <v>36</v>
      </c>
      <c r="I1021" s="4">
        <v>4</v>
      </c>
      <c r="J1021" s="4">
        <v>0.6</v>
      </c>
      <c r="K1021" s="8">
        <f>I1021*J1021</f>
        <v>2.4</v>
      </c>
    </row>
    <row r="1022" spans="1:11" x14ac:dyDescent="0.3">
      <c r="B1022" s="4" t="s">
        <v>37</v>
      </c>
      <c r="C1022" t="s">
        <v>265</v>
      </c>
      <c r="E1022" s="8">
        <v>42</v>
      </c>
      <c r="F1022" s="26"/>
      <c r="H1022" s="4" t="s">
        <v>37</v>
      </c>
      <c r="I1022" t="s">
        <v>265</v>
      </c>
      <c r="K1022" s="8">
        <v>42</v>
      </c>
    </row>
    <row r="1023" spans="1:11" x14ac:dyDescent="0.3">
      <c r="E1023" s="8">
        <f>SUM(E1017:E1022)</f>
        <v>196.53583000000003</v>
      </c>
      <c r="F1023" s="26"/>
      <c r="K1023" s="8">
        <f>SUM(K1017:K1022)</f>
        <v>300.87394999999998</v>
      </c>
    </row>
    <row r="1024" spans="1:11" x14ac:dyDescent="0.3">
      <c r="F1024" s="26"/>
    </row>
    <row r="1025" spans="1:11" x14ac:dyDescent="0.3">
      <c r="C1025" s="4" t="s">
        <v>28</v>
      </c>
      <c r="D1025" s="4" t="s">
        <v>29</v>
      </c>
      <c r="E1025" s="4" t="s">
        <v>30</v>
      </c>
      <c r="F1025" s="26"/>
      <c r="I1025" s="4" t="s">
        <v>28</v>
      </c>
      <c r="J1025" s="4" t="s">
        <v>29</v>
      </c>
      <c r="K1025" s="4" t="s">
        <v>30</v>
      </c>
    </row>
    <row r="1026" spans="1:11" x14ac:dyDescent="0.3">
      <c r="A1026" t="s">
        <v>80</v>
      </c>
      <c r="B1026" s="4" t="s">
        <v>32</v>
      </c>
      <c r="C1026" s="4">
        <v>2.4489999999999998</v>
      </c>
      <c r="D1026" s="4">
        <v>19.38</v>
      </c>
      <c r="E1026" s="8">
        <f>C1026*D1026</f>
        <v>47.461619999999996</v>
      </c>
      <c r="F1026" s="26"/>
      <c r="G1026" t="s">
        <v>80</v>
      </c>
      <c r="H1026" s="4" t="s">
        <v>32</v>
      </c>
      <c r="I1026" s="4">
        <v>2.4489999999999998</v>
      </c>
      <c r="J1026" s="4">
        <v>30.29</v>
      </c>
      <c r="K1026" s="8">
        <f>I1026*J1026</f>
        <v>74.180209999999988</v>
      </c>
    </row>
    <row r="1027" spans="1:11" x14ac:dyDescent="0.3">
      <c r="A1027" t="s">
        <v>53</v>
      </c>
      <c r="B1027" s="4" t="s">
        <v>33</v>
      </c>
      <c r="C1027" s="4">
        <v>13.084</v>
      </c>
      <c r="D1027" s="4">
        <v>10.11</v>
      </c>
      <c r="E1027" s="8">
        <f>C1027*D1027</f>
        <v>132.27923999999999</v>
      </c>
      <c r="F1027" s="26"/>
      <c r="G1027" t="s">
        <v>53</v>
      </c>
      <c r="H1027" s="4" t="s">
        <v>33</v>
      </c>
      <c r="I1027" s="4">
        <v>13.084</v>
      </c>
      <c r="J1027" s="4">
        <v>16</v>
      </c>
      <c r="K1027" s="8">
        <f>I1027*J1027</f>
        <v>209.34399999999999</v>
      </c>
    </row>
    <row r="1028" spans="1:11" x14ac:dyDescent="0.3">
      <c r="A1028" t="s">
        <v>270</v>
      </c>
      <c r="B1028" s="4" t="s">
        <v>137</v>
      </c>
      <c r="C1028" s="4">
        <v>0.63</v>
      </c>
      <c r="D1028" s="4">
        <v>12.92</v>
      </c>
      <c r="E1028" s="8">
        <f>C1028*D1028</f>
        <v>8.1395999999999997</v>
      </c>
      <c r="F1028" s="26"/>
      <c r="H1028" s="4" t="s">
        <v>137</v>
      </c>
      <c r="I1028" s="4">
        <v>0.63</v>
      </c>
      <c r="J1028" s="4">
        <v>17.190000000000001</v>
      </c>
      <c r="K1028" s="8">
        <f>I1028*J1028</f>
        <v>10.829700000000001</v>
      </c>
    </row>
    <row r="1029" spans="1:11" x14ac:dyDescent="0.3">
      <c r="B1029" s="4" t="s">
        <v>216</v>
      </c>
      <c r="C1029" s="4">
        <v>4</v>
      </c>
      <c r="D1029" s="4">
        <v>1.89</v>
      </c>
      <c r="E1029" s="8">
        <f>C1029*D1029</f>
        <v>7.56</v>
      </c>
      <c r="F1029" s="26"/>
      <c r="H1029" s="4" t="s">
        <v>216</v>
      </c>
      <c r="I1029" s="4">
        <v>4</v>
      </c>
      <c r="J1029" s="4">
        <v>2.89</v>
      </c>
      <c r="K1029" s="8">
        <f>I1029*J1029</f>
        <v>11.56</v>
      </c>
    </row>
    <row r="1030" spans="1:11" x14ac:dyDescent="0.3">
      <c r="B1030" s="4" t="s">
        <v>36</v>
      </c>
      <c r="C1030" s="4">
        <v>4</v>
      </c>
      <c r="D1030" s="4">
        <v>0.24</v>
      </c>
      <c r="E1030" s="8">
        <f>C1030*D1030</f>
        <v>0.96</v>
      </c>
      <c r="F1030" s="26"/>
      <c r="H1030" s="4" t="s">
        <v>36</v>
      </c>
      <c r="I1030" s="4">
        <v>4</v>
      </c>
      <c r="J1030" s="4">
        <v>0.6</v>
      </c>
      <c r="K1030" s="8">
        <f>I1030*J1030</f>
        <v>2.4</v>
      </c>
    </row>
    <row r="1031" spans="1:11" x14ac:dyDescent="0.3">
      <c r="B1031" s="4" t="s">
        <v>37</v>
      </c>
      <c r="C1031" t="s">
        <v>266</v>
      </c>
      <c r="E1031" s="8">
        <v>63</v>
      </c>
      <c r="F1031" s="26"/>
      <c r="H1031" s="4" t="s">
        <v>37</v>
      </c>
      <c r="I1031">
        <v>85</v>
      </c>
      <c r="K1031" s="8">
        <v>85</v>
      </c>
    </row>
    <row r="1032" spans="1:11" x14ac:dyDescent="0.3">
      <c r="E1032" s="8">
        <f>SUM(E1026:E1031)</f>
        <v>259.40046000000001</v>
      </c>
      <c r="F1032" s="26"/>
      <c r="K1032" s="8">
        <f>SUM(K1026:K1031)</f>
        <v>393.31390999999996</v>
      </c>
    </row>
    <row r="1033" spans="1:11" x14ac:dyDescent="0.3">
      <c r="F1033" s="26"/>
    </row>
    <row r="1034" spans="1:11" x14ac:dyDescent="0.3">
      <c r="C1034" s="4" t="s">
        <v>28</v>
      </c>
      <c r="D1034" s="4" t="s">
        <v>29</v>
      </c>
      <c r="E1034" s="4" t="s">
        <v>30</v>
      </c>
      <c r="F1034" s="26"/>
      <c r="I1034" s="4" t="s">
        <v>28</v>
      </c>
      <c r="J1034" s="4" t="s">
        <v>29</v>
      </c>
      <c r="K1034" s="4" t="s">
        <v>30</v>
      </c>
    </row>
    <row r="1035" spans="1:11" x14ac:dyDescent="0.3">
      <c r="A1035" t="s">
        <v>233</v>
      </c>
      <c r="B1035" s="4" t="s">
        <v>32</v>
      </c>
      <c r="C1035" s="4">
        <v>2.5539999999999998</v>
      </c>
      <c r="D1035" s="4">
        <v>19.38</v>
      </c>
      <c r="E1035" s="8">
        <f>C1035*D1035</f>
        <v>49.496519999999997</v>
      </c>
      <c r="F1035" s="26"/>
      <c r="G1035" t="s">
        <v>233</v>
      </c>
      <c r="H1035" s="4" t="s">
        <v>32</v>
      </c>
      <c r="I1035" s="4">
        <v>2.5539999999999998</v>
      </c>
      <c r="J1035" s="4">
        <v>30.29</v>
      </c>
      <c r="K1035" s="8">
        <f>I1035*J1035</f>
        <v>77.360659999999996</v>
      </c>
    </row>
    <row r="1036" spans="1:11" x14ac:dyDescent="0.3">
      <c r="A1036" t="s">
        <v>218</v>
      </c>
      <c r="B1036" s="4" t="s">
        <v>33</v>
      </c>
      <c r="C1036" s="4">
        <v>15.887</v>
      </c>
      <c r="D1036" s="4">
        <v>10.11</v>
      </c>
      <c r="E1036" s="8">
        <f>C1036*D1036</f>
        <v>160.61757</v>
      </c>
      <c r="F1036" s="26"/>
      <c r="H1036" s="4" t="s">
        <v>33</v>
      </c>
      <c r="I1036" s="4">
        <v>15.887</v>
      </c>
      <c r="J1036" s="4">
        <v>16</v>
      </c>
      <c r="K1036" s="8">
        <f>I1036*J1036</f>
        <v>254.19200000000001</v>
      </c>
    </row>
    <row r="1037" spans="1:11" x14ac:dyDescent="0.3">
      <c r="A1037" t="s">
        <v>270</v>
      </c>
      <c r="B1037" s="4" t="s">
        <v>137</v>
      </c>
      <c r="C1037" s="4">
        <v>0.78800000000000003</v>
      </c>
      <c r="D1037" s="4">
        <v>12.92</v>
      </c>
      <c r="E1037" s="8">
        <f>C1037*D1037</f>
        <v>10.180960000000001</v>
      </c>
      <c r="F1037" s="26"/>
      <c r="H1037" s="4" t="s">
        <v>137</v>
      </c>
      <c r="I1037" s="4">
        <v>0.78800000000000003</v>
      </c>
      <c r="J1037" s="4">
        <v>17.190000000000001</v>
      </c>
      <c r="K1037" s="8">
        <f>I1037*J1037</f>
        <v>13.545720000000001</v>
      </c>
    </row>
    <row r="1038" spans="1:11" x14ac:dyDescent="0.3">
      <c r="B1038" s="4" t="s">
        <v>35</v>
      </c>
      <c r="C1038" s="4">
        <v>4</v>
      </c>
      <c r="D1038" s="4">
        <v>1.89</v>
      </c>
      <c r="E1038" s="8">
        <f>C1038*D1038</f>
        <v>7.56</v>
      </c>
      <c r="F1038" s="26"/>
      <c r="H1038" s="4" t="s">
        <v>35</v>
      </c>
      <c r="I1038" s="4">
        <v>4</v>
      </c>
      <c r="J1038" s="4">
        <v>2.89</v>
      </c>
      <c r="K1038" s="8">
        <f>I1038*J1038</f>
        <v>11.56</v>
      </c>
    </row>
    <row r="1039" spans="1:11" x14ac:dyDescent="0.3">
      <c r="B1039" s="4" t="s">
        <v>36</v>
      </c>
      <c r="C1039" s="4">
        <v>4</v>
      </c>
      <c r="D1039" s="4">
        <v>0.24</v>
      </c>
      <c r="E1039" s="8">
        <f>C1039*D1039</f>
        <v>0.96</v>
      </c>
      <c r="F1039" s="26"/>
      <c r="H1039" s="4" t="s">
        <v>36</v>
      </c>
      <c r="I1039" s="4">
        <v>4</v>
      </c>
      <c r="J1039" s="4">
        <v>0.6</v>
      </c>
      <c r="K1039" s="8">
        <f>I1039*J1039</f>
        <v>2.4</v>
      </c>
    </row>
    <row r="1040" spans="1:11" x14ac:dyDescent="0.3">
      <c r="B1040" s="4" t="s">
        <v>37</v>
      </c>
      <c r="C1040" t="s">
        <v>266</v>
      </c>
      <c r="E1040" s="8">
        <v>63</v>
      </c>
      <c r="F1040" s="26"/>
      <c r="H1040" s="4" t="s">
        <v>37</v>
      </c>
      <c r="I1040" t="s">
        <v>266</v>
      </c>
      <c r="K1040" s="8">
        <v>63</v>
      </c>
    </row>
    <row r="1041" spans="1:11" x14ac:dyDescent="0.3">
      <c r="E1041" s="8">
        <f>SUM(E1035:E1040)</f>
        <v>291.81505000000004</v>
      </c>
      <c r="F1041" s="26"/>
      <c r="K1041" s="8">
        <f>SUM(K1035:K1040)</f>
        <v>422.05838</v>
      </c>
    </row>
    <row r="1042" spans="1:11" x14ac:dyDescent="0.3">
      <c r="F1042" s="26"/>
    </row>
    <row r="1043" spans="1:11" x14ac:dyDescent="0.3">
      <c r="C1043" s="4" t="s">
        <v>28</v>
      </c>
      <c r="D1043" s="4" t="s">
        <v>29</v>
      </c>
      <c r="E1043" s="4" t="s">
        <v>30</v>
      </c>
      <c r="F1043" s="26"/>
      <c r="I1043" s="4" t="s">
        <v>28</v>
      </c>
      <c r="J1043" s="4" t="s">
        <v>29</v>
      </c>
      <c r="K1043" s="4" t="s">
        <v>30</v>
      </c>
    </row>
    <row r="1044" spans="1:11" x14ac:dyDescent="0.3">
      <c r="A1044" t="s">
        <v>108</v>
      </c>
      <c r="B1044" s="4" t="s">
        <v>32</v>
      </c>
      <c r="C1044" s="4">
        <v>2.6589999999999998</v>
      </c>
      <c r="D1044" s="4">
        <v>19.38</v>
      </c>
      <c r="E1044" s="8">
        <f>C1044*D1044</f>
        <v>51.531419999999997</v>
      </c>
      <c r="F1044" s="26"/>
      <c r="G1044" t="s">
        <v>108</v>
      </c>
      <c r="H1044" s="4" t="s">
        <v>32</v>
      </c>
      <c r="I1044" s="4">
        <v>2.6589999999999998</v>
      </c>
      <c r="J1044" s="4">
        <v>30.29</v>
      </c>
      <c r="K1044" s="8">
        <f>I1044*J1044</f>
        <v>80.541109999999989</v>
      </c>
    </row>
    <row r="1045" spans="1:11" x14ac:dyDescent="0.3">
      <c r="A1045" t="s">
        <v>167</v>
      </c>
      <c r="B1045" s="4" t="s">
        <v>33</v>
      </c>
      <c r="C1045" s="4">
        <v>19.625</v>
      </c>
      <c r="D1045" s="4">
        <v>10.11</v>
      </c>
      <c r="E1045" s="8">
        <f>C1045*D1045</f>
        <v>198.40875</v>
      </c>
      <c r="F1045" s="26"/>
      <c r="H1045" s="4" t="s">
        <v>33</v>
      </c>
      <c r="I1045" s="4">
        <v>19.625</v>
      </c>
      <c r="J1045" s="4">
        <v>16</v>
      </c>
      <c r="K1045" s="8">
        <f>I1045*J1045</f>
        <v>314</v>
      </c>
    </row>
    <row r="1046" spans="1:11" x14ac:dyDescent="0.3">
      <c r="A1046" t="s">
        <v>270</v>
      </c>
      <c r="B1046" s="4" t="s">
        <v>137</v>
      </c>
      <c r="C1046" s="4">
        <v>0.94499999999999995</v>
      </c>
      <c r="D1046" s="4">
        <v>12.92</v>
      </c>
      <c r="E1046" s="8">
        <f>C1046*D1046</f>
        <v>12.209399999999999</v>
      </c>
      <c r="F1046" s="26"/>
      <c r="H1046" s="4" t="s">
        <v>137</v>
      </c>
      <c r="I1046" s="4">
        <v>0.94499999999999995</v>
      </c>
      <c r="J1046" s="4">
        <v>17.190000000000001</v>
      </c>
      <c r="K1046" s="8">
        <f>I1046*J1046</f>
        <v>16.24455</v>
      </c>
    </row>
    <row r="1047" spans="1:11" x14ac:dyDescent="0.3">
      <c r="B1047" s="4" t="s">
        <v>35</v>
      </c>
      <c r="C1047" s="4">
        <v>4</v>
      </c>
      <c r="D1047" s="4">
        <v>1.89</v>
      </c>
      <c r="E1047" s="8">
        <f>C1047*D1047</f>
        <v>7.56</v>
      </c>
      <c r="F1047" s="26"/>
      <c r="H1047" s="4" t="s">
        <v>35</v>
      </c>
      <c r="I1047" s="4">
        <v>4</v>
      </c>
      <c r="J1047" s="4">
        <v>2.89</v>
      </c>
      <c r="K1047" s="8">
        <f>I1047*J1047</f>
        <v>11.56</v>
      </c>
    </row>
    <row r="1048" spans="1:11" x14ac:dyDescent="0.3">
      <c r="B1048" s="4" t="s">
        <v>36</v>
      </c>
      <c r="C1048" s="4">
        <v>4</v>
      </c>
      <c r="D1048" s="4">
        <v>0.24</v>
      </c>
      <c r="E1048" s="8">
        <f>C1048*D1048</f>
        <v>0.96</v>
      </c>
      <c r="F1048" s="26"/>
      <c r="H1048" s="4" t="s">
        <v>36</v>
      </c>
      <c r="I1048" s="4">
        <v>4</v>
      </c>
      <c r="J1048" s="4">
        <v>0.6</v>
      </c>
      <c r="K1048" s="8">
        <f>I1048*J1048</f>
        <v>2.4</v>
      </c>
    </row>
    <row r="1049" spans="1:11" x14ac:dyDescent="0.3">
      <c r="B1049" s="4" t="s">
        <v>37</v>
      </c>
      <c r="C1049" t="s">
        <v>266</v>
      </c>
      <c r="E1049" s="8">
        <v>63</v>
      </c>
      <c r="F1049" s="26"/>
      <c r="H1049" s="4" t="s">
        <v>37</v>
      </c>
      <c r="I1049" t="s">
        <v>266</v>
      </c>
      <c r="K1049" s="8">
        <v>63</v>
      </c>
    </row>
    <row r="1050" spans="1:11" x14ac:dyDescent="0.3">
      <c r="E1050" s="8">
        <f>SUM(E1044:E1049)</f>
        <v>333.66956999999996</v>
      </c>
      <c r="F1050" s="26"/>
      <c r="K1050" s="8">
        <f>SUM(K1044:K1049)</f>
        <v>487.74565999999999</v>
      </c>
    </row>
    <row r="1051" spans="1:11" x14ac:dyDescent="0.3">
      <c r="F1051" s="26"/>
    </row>
    <row r="1052" spans="1:11" x14ac:dyDescent="0.3">
      <c r="F1052" s="26"/>
    </row>
    <row r="1053" spans="1:11" x14ac:dyDescent="0.3">
      <c r="C1053" s="4" t="s">
        <v>28</v>
      </c>
      <c r="D1053" s="4" t="s">
        <v>29</v>
      </c>
      <c r="E1053" s="4" t="s">
        <v>30</v>
      </c>
      <c r="F1053" s="26"/>
      <c r="I1053" s="4" t="s">
        <v>28</v>
      </c>
      <c r="J1053" s="4" t="s">
        <v>29</v>
      </c>
      <c r="K1053" s="4" t="s">
        <v>30</v>
      </c>
    </row>
    <row r="1054" spans="1:11" x14ac:dyDescent="0.3">
      <c r="A1054" t="s">
        <v>122</v>
      </c>
      <c r="B1054" s="4" t="s">
        <v>32</v>
      </c>
      <c r="C1054" s="4">
        <v>2.8690000000000002</v>
      </c>
      <c r="D1054" s="4">
        <v>19.38</v>
      </c>
      <c r="E1054" s="8">
        <f>C1054*D1054</f>
        <v>55.601219999999998</v>
      </c>
      <c r="F1054" s="26"/>
      <c r="G1054" t="s">
        <v>122</v>
      </c>
      <c r="H1054" s="4" t="s">
        <v>32</v>
      </c>
      <c r="I1054" s="4">
        <v>2.8690000000000002</v>
      </c>
      <c r="J1054" s="4">
        <v>30.29</v>
      </c>
      <c r="K1054" s="8">
        <f>I1054*J1054</f>
        <v>86.902010000000004</v>
      </c>
    </row>
    <row r="1055" spans="1:11" x14ac:dyDescent="0.3">
      <c r="A1055" t="s">
        <v>168</v>
      </c>
      <c r="B1055" s="4" t="s">
        <v>33</v>
      </c>
      <c r="C1055" s="4">
        <v>27.100999999999999</v>
      </c>
      <c r="D1055" s="4">
        <v>10.11</v>
      </c>
      <c r="E1055" s="8">
        <f>C1055*D1055</f>
        <v>273.99110999999999</v>
      </c>
      <c r="F1055" s="26"/>
      <c r="G1055" t="s">
        <v>168</v>
      </c>
      <c r="H1055" s="4" t="s">
        <v>33</v>
      </c>
      <c r="I1055" s="4">
        <v>27.100999999999999</v>
      </c>
      <c r="J1055" s="4">
        <v>16</v>
      </c>
      <c r="K1055" s="8">
        <f>I1055*J1055</f>
        <v>433.61599999999999</v>
      </c>
    </row>
    <row r="1056" spans="1:11" x14ac:dyDescent="0.3">
      <c r="A1056" t="s">
        <v>269</v>
      </c>
      <c r="B1056" s="4" t="s">
        <v>137</v>
      </c>
      <c r="C1056" s="4">
        <v>1.68</v>
      </c>
      <c r="D1056" s="4">
        <v>12.92</v>
      </c>
      <c r="E1056" s="8">
        <f>C1056*D1056</f>
        <v>21.7056</v>
      </c>
      <c r="F1056" s="26"/>
      <c r="H1056" s="4" t="s">
        <v>137</v>
      </c>
      <c r="I1056" s="4">
        <v>1.68</v>
      </c>
      <c r="J1056" s="4">
        <v>17.190000000000001</v>
      </c>
      <c r="K1056" s="8">
        <f>I1056*J1056</f>
        <v>28.879200000000001</v>
      </c>
    </row>
    <row r="1057" spans="1:11" x14ac:dyDescent="0.3">
      <c r="B1057" s="4" t="s">
        <v>35</v>
      </c>
      <c r="C1057" s="4">
        <v>4</v>
      </c>
      <c r="D1057" s="4">
        <v>1.89</v>
      </c>
      <c r="E1057" s="8">
        <f>C1057*D1057</f>
        <v>7.56</v>
      </c>
      <c r="F1057" s="26"/>
      <c r="H1057" s="4" t="s">
        <v>35</v>
      </c>
      <c r="I1057" s="4">
        <v>4</v>
      </c>
      <c r="J1057" s="4">
        <v>2.89</v>
      </c>
      <c r="K1057" s="8">
        <f>I1057*J1057</f>
        <v>11.56</v>
      </c>
    </row>
    <row r="1058" spans="1:11" x14ac:dyDescent="0.3">
      <c r="B1058" s="4" t="s">
        <v>36</v>
      </c>
      <c r="C1058" s="4">
        <v>4</v>
      </c>
      <c r="D1058" s="4">
        <v>0.24</v>
      </c>
      <c r="E1058" s="8">
        <f>C1058*D1058</f>
        <v>0.96</v>
      </c>
      <c r="F1058" s="26"/>
      <c r="H1058" s="4" t="s">
        <v>36</v>
      </c>
      <c r="I1058" s="4">
        <v>4</v>
      </c>
      <c r="J1058" s="4">
        <v>0.6</v>
      </c>
      <c r="K1058" s="8">
        <f>I1058*J1058</f>
        <v>2.4</v>
      </c>
    </row>
    <row r="1059" spans="1:11" x14ac:dyDescent="0.3">
      <c r="B1059" s="4" t="s">
        <v>37</v>
      </c>
      <c r="C1059" t="s">
        <v>266</v>
      </c>
      <c r="E1059" s="8">
        <v>63</v>
      </c>
      <c r="F1059" s="26"/>
      <c r="H1059" s="4" t="s">
        <v>37</v>
      </c>
      <c r="I1059" t="s">
        <v>266</v>
      </c>
      <c r="K1059" s="8">
        <v>63</v>
      </c>
    </row>
    <row r="1060" spans="1:11" x14ac:dyDescent="0.3">
      <c r="E1060" s="8">
        <f>SUM(E1054:E1059)</f>
        <v>422.81792999999999</v>
      </c>
      <c r="F1060" s="26"/>
      <c r="K1060" s="8">
        <f>SUM(K1054:K1059)</f>
        <v>626.3572099999999</v>
      </c>
    </row>
    <row r="1061" spans="1:11" x14ac:dyDescent="0.3">
      <c r="F1061" s="26"/>
    </row>
    <row r="1062" spans="1:11" x14ac:dyDescent="0.3">
      <c r="C1062" s="4" t="s">
        <v>28</v>
      </c>
      <c r="D1062" s="4" t="s">
        <v>29</v>
      </c>
      <c r="E1062" s="4" t="s">
        <v>30</v>
      </c>
      <c r="F1062" s="26"/>
      <c r="I1062" s="4" t="s">
        <v>28</v>
      </c>
      <c r="J1062" s="4" t="s">
        <v>29</v>
      </c>
      <c r="K1062" s="4" t="s">
        <v>30</v>
      </c>
    </row>
    <row r="1063" spans="1:11" x14ac:dyDescent="0.3">
      <c r="A1063" t="s">
        <v>234</v>
      </c>
      <c r="B1063" s="4" t="s">
        <v>32</v>
      </c>
      <c r="C1063" s="4">
        <v>2.323</v>
      </c>
      <c r="D1063" s="4">
        <v>19.38</v>
      </c>
      <c r="E1063" s="8">
        <f>C1063*D1063</f>
        <v>45.019739999999999</v>
      </c>
      <c r="F1063" s="26"/>
      <c r="G1063" t="s">
        <v>234</v>
      </c>
      <c r="H1063" s="4" t="s">
        <v>32</v>
      </c>
      <c r="I1063" s="4">
        <v>2.323</v>
      </c>
      <c r="J1063" s="4">
        <v>30.29</v>
      </c>
      <c r="K1063" s="8">
        <f>I1063*J1063</f>
        <v>70.363669999999999</v>
      </c>
    </row>
    <row r="1064" spans="1:11" x14ac:dyDescent="0.3">
      <c r="A1064" t="s">
        <v>246</v>
      </c>
      <c r="B1064" s="4" t="s">
        <v>33</v>
      </c>
      <c r="C1064" s="4">
        <v>1.04</v>
      </c>
      <c r="D1064" s="4">
        <v>10.11</v>
      </c>
      <c r="E1064" s="8">
        <f>C1064*D1064</f>
        <v>10.5144</v>
      </c>
      <c r="F1064" s="26"/>
      <c r="G1064" t="s">
        <v>246</v>
      </c>
      <c r="H1064" s="4" t="s">
        <v>33</v>
      </c>
      <c r="I1064" s="4">
        <v>1.04</v>
      </c>
      <c r="J1064" s="4">
        <v>16</v>
      </c>
      <c r="K1064" s="8">
        <f>I1064*J1064</f>
        <v>16.64</v>
      </c>
    </row>
    <row r="1065" spans="1:11" x14ac:dyDescent="0.3">
      <c r="A1065" t="s">
        <v>270</v>
      </c>
      <c r="B1065" s="4" t="s">
        <v>137</v>
      </c>
      <c r="C1065" s="4">
        <v>0.126</v>
      </c>
      <c r="D1065" s="4">
        <v>12.92</v>
      </c>
      <c r="E1065" s="8">
        <f>C1065*D1065</f>
        <v>1.62792</v>
      </c>
      <c r="F1065" s="26"/>
      <c r="H1065" s="4" t="s">
        <v>137</v>
      </c>
      <c r="I1065" s="4">
        <v>0.126</v>
      </c>
      <c r="J1065" s="4">
        <v>17.190000000000001</v>
      </c>
      <c r="K1065" s="8">
        <f>I1065*J1065</f>
        <v>2.16594</v>
      </c>
    </row>
    <row r="1066" spans="1:11" x14ac:dyDescent="0.3">
      <c r="B1066" s="4" t="s">
        <v>35</v>
      </c>
      <c r="C1066" s="4">
        <v>4</v>
      </c>
      <c r="D1066" s="4">
        <v>1.89</v>
      </c>
      <c r="E1066" s="8">
        <f>C1066*D1066</f>
        <v>7.56</v>
      </c>
      <c r="F1066" s="26"/>
      <c r="H1066" s="4" t="s">
        <v>35</v>
      </c>
      <c r="I1066" s="4">
        <v>4</v>
      </c>
      <c r="J1066" s="4">
        <v>2.89</v>
      </c>
      <c r="K1066" s="8">
        <f>I1066*J1066</f>
        <v>11.56</v>
      </c>
    </row>
    <row r="1067" spans="1:11" x14ac:dyDescent="0.3">
      <c r="B1067" s="4" t="s">
        <v>36</v>
      </c>
      <c r="C1067" s="4">
        <v>4</v>
      </c>
      <c r="D1067" s="4">
        <v>0.24</v>
      </c>
      <c r="E1067" s="8">
        <f>C1067*D1067</f>
        <v>0.96</v>
      </c>
      <c r="F1067" s="26"/>
      <c r="H1067" s="4" t="s">
        <v>36</v>
      </c>
      <c r="I1067" s="4">
        <v>4</v>
      </c>
      <c r="J1067" s="4">
        <v>0.6</v>
      </c>
      <c r="K1067" s="8">
        <f>I1067*J1067</f>
        <v>2.4</v>
      </c>
    </row>
    <row r="1068" spans="1:11" x14ac:dyDescent="0.3">
      <c r="B1068" s="4" t="s">
        <v>37</v>
      </c>
      <c r="C1068" t="s">
        <v>264</v>
      </c>
      <c r="E1068" s="8">
        <v>35</v>
      </c>
      <c r="F1068" s="26"/>
      <c r="H1068" s="4" t="s">
        <v>37</v>
      </c>
      <c r="I1068" t="s">
        <v>264</v>
      </c>
      <c r="K1068" s="8">
        <v>35</v>
      </c>
    </row>
    <row r="1069" spans="1:11" x14ac:dyDescent="0.3">
      <c r="E1069" s="8">
        <f>SUM(E1063:E1068)</f>
        <v>100.68205999999999</v>
      </c>
      <c r="F1069" s="26"/>
      <c r="K1069" s="8">
        <f>SUM(K1063:K1068)</f>
        <v>138.12961000000001</v>
      </c>
    </row>
    <row r="1070" spans="1:11" x14ac:dyDescent="0.3">
      <c r="F1070" s="26"/>
    </row>
    <row r="1071" spans="1:11" x14ac:dyDescent="0.3">
      <c r="C1071" s="4" t="s">
        <v>28</v>
      </c>
      <c r="D1071" s="4" t="s">
        <v>29</v>
      </c>
      <c r="E1071" s="4" t="s">
        <v>30</v>
      </c>
      <c r="F1071" s="26"/>
      <c r="I1071" s="4" t="s">
        <v>28</v>
      </c>
      <c r="J1071" s="4" t="s">
        <v>29</v>
      </c>
      <c r="K1071" s="4" t="s">
        <v>30</v>
      </c>
    </row>
    <row r="1072" spans="1:11" x14ac:dyDescent="0.3">
      <c r="A1072" t="s">
        <v>235</v>
      </c>
      <c r="B1072" s="4" t="s">
        <v>32</v>
      </c>
      <c r="C1072" s="4">
        <v>2.3439999999999999</v>
      </c>
      <c r="D1072" s="4">
        <v>19.38</v>
      </c>
      <c r="E1072" s="8">
        <f>C1072*D1072</f>
        <v>45.426719999999996</v>
      </c>
      <c r="F1072" s="26"/>
      <c r="G1072" t="s">
        <v>235</v>
      </c>
      <c r="H1072" s="4" t="s">
        <v>32</v>
      </c>
      <c r="I1072" s="4">
        <v>2.3439999999999999</v>
      </c>
      <c r="J1072" s="4">
        <v>30.29</v>
      </c>
      <c r="K1072" s="8">
        <f>I1072*J1072</f>
        <v>70.999759999999995</v>
      </c>
    </row>
    <row r="1073" spans="1:17" x14ac:dyDescent="0.3">
      <c r="A1073" t="s">
        <v>201</v>
      </c>
      <c r="B1073" s="4" t="s">
        <v>33</v>
      </c>
      <c r="C1073" s="4">
        <v>2.0790000000000002</v>
      </c>
      <c r="D1073" s="4">
        <v>10.11</v>
      </c>
      <c r="E1073" s="8">
        <f>C1073*D1073</f>
        <v>21.018689999999999</v>
      </c>
      <c r="F1073" s="26"/>
      <c r="G1073" t="s">
        <v>201</v>
      </c>
      <c r="H1073" s="4" t="s">
        <v>33</v>
      </c>
      <c r="I1073" s="4">
        <v>2.0790000000000002</v>
      </c>
      <c r="J1073" s="4">
        <v>16</v>
      </c>
      <c r="K1073" s="8">
        <f>I1073*J1073</f>
        <v>33.264000000000003</v>
      </c>
    </row>
    <row r="1074" spans="1:17" x14ac:dyDescent="0.3">
      <c r="A1074" t="s">
        <v>270</v>
      </c>
      <c r="B1074" s="4" t="s">
        <v>137</v>
      </c>
      <c r="C1074" s="4">
        <v>0.158</v>
      </c>
      <c r="D1074" s="4">
        <v>12.92</v>
      </c>
      <c r="E1074" s="8">
        <f>C1074*D1074</f>
        <v>2.0413600000000001</v>
      </c>
      <c r="F1074" s="26"/>
      <c r="H1074" s="4" t="s">
        <v>137</v>
      </c>
      <c r="I1074" s="4">
        <v>0.158</v>
      </c>
      <c r="J1074" s="4">
        <v>17.190000000000001</v>
      </c>
      <c r="K1074" s="8">
        <f>I1074*J1074</f>
        <v>2.7160200000000003</v>
      </c>
    </row>
    <row r="1075" spans="1:17" x14ac:dyDescent="0.3">
      <c r="B1075" s="4" t="s">
        <v>35</v>
      </c>
      <c r="C1075" s="4">
        <v>4</v>
      </c>
      <c r="D1075" s="4">
        <v>1.89</v>
      </c>
      <c r="E1075" s="8">
        <f>C1075*D1075</f>
        <v>7.56</v>
      </c>
      <c r="F1075" s="26"/>
      <c r="H1075" s="4" t="s">
        <v>35</v>
      </c>
      <c r="I1075" s="4">
        <v>4</v>
      </c>
      <c r="J1075" s="4">
        <v>2.89</v>
      </c>
      <c r="K1075" s="8">
        <f>I1075*J1075</f>
        <v>11.56</v>
      </c>
    </row>
    <row r="1076" spans="1:17" x14ac:dyDescent="0.3">
      <c r="B1076" s="4" t="s">
        <v>36</v>
      </c>
      <c r="C1076" s="4">
        <v>4</v>
      </c>
      <c r="D1076" s="4">
        <v>0.24</v>
      </c>
      <c r="E1076" s="8">
        <f>C1076*D1076</f>
        <v>0.96</v>
      </c>
      <c r="F1076" s="26"/>
      <c r="H1076" s="4" t="s">
        <v>36</v>
      </c>
      <c r="I1076" s="4">
        <v>4</v>
      </c>
      <c r="J1076" s="4">
        <v>0.6</v>
      </c>
      <c r="K1076" s="8">
        <f>I1076*J1076</f>
        <v>2.4</v>
      </c>
    </row>
    <row r="1077" spans="1:17" x14ac:dyDescent="0.3">
      <c r="B1077" s="4" t="s">
        <v>37</v>
      </c>
      <c r="C1077" t="s">
        <v>264</v>
      </c>
      <c r="E1077" s="8">
        <v>35</v>
      </c>
      <c r="F1077" s="26"/>
      <c r="H1077" s="4" t="s">
        <v>37</v>
      </c>
      <c r="I1077" t="s">
        <v>264</v>
      </c>
      <c r="K1077" s="8">
        <v>35</v>
      </c>
    </row>
    <row r="1078" spans="1:17" x14ac:dyDescent="0.3">
      <c r="E1078" s="8">
        <f>SUM(E1072:E1077)</f>
        <v>112.00676999999999</v>
      </c>
      <c r="F1078" s="26"/>
      <c r="K1078" s="8">
        <f>SUM(K1072:K1077)</f>
        <v>155.93977999999998</v>
      </c>
    </row>
    <row r="1079" spans="1:17" x14ac:dyDescent="0.3">
      <c r="F1079" s="26"/>
      <c r="O1079" s="4" t="s">
        <v>28</v>
      </c>
      <c r="P1079" s="4" t="s">
        <v>29</v>
      </c>
      <c r="Q1079" s="4" t="s">
        <v>30</v>
      </c>
    </row>
    <row r="1080" spans="1:17" x14ac:dyDescent="0.3">
      <c r="C1080" s="4" t="s">
        <v>28</v>
      </c>
      <c r="D1080" s="4" t="s">
        <v>29</v>
      </c>
      <c r="E1080" s="4" t="s">
        <v>30</v>
      </c>
      <c r="F1080" s="26"/>
      <c r="I1080" s="4" t="s">
        <v>28</v>
      </c>
      <c r="J1080" s="4" t="s">
        <v>29</v>
      </c>
      <c r="K1080" s="4" t="s">
        <v>30</v>
      </c>
      <c r="M1080" t="s">
        <v>401</v>
      </c>
      <c r="N1080" s="4" t="s">
        <v>32</v>
      </c>
      <c r="O1080" s="4">
        <v>3.39</v>
      </c>
      <c r="P1080" s="4">
        <v>30.29</v>
      </c>
      <c r="Q1080" s="8">
        <f>O1080*P1080</f>
        <v>102.6831</v>
      </c>
    </row>
    <row r="1081" spans="1:17" x14ac:dyDescent="0.3">
      <c r="A1081" t="s">
        <v>236</v>
      </c>
      <c r="B1081" s="4" t="s">
        <v>32</v>
      </c>
      <c r="C1081" s="4">
        <v>2.3650000000000002</v>
      </c>
      <c r="D1081" s="4">
        <v>19.38</v>
      </c>
      <c r="E1081" s="8">
        <f>C1081*D1081</f>
        <v>45.8337</v>
      </c>
      <c r="F1081" s="26"/>
      <c r="G1081" t="s">
        <v>236</v>
      </c>
      <c r="H1081" s="4" t="s">
        <v>32</v>
      </c>
      <c r="I1081" s="4">
        <v>2.3650000000000002</v>
      </c>
      <c r="J1081" s="4">
        <v>30.29</v>
      </c>
      <c r="K1081" s="8">
        <f>I1081*J1081</f>
        <v>71.635850000000005</v>
      </c>
      <c r="M1081" t="s">
        <v>238</v>
      </c>
      <c r="N1081" s="4" t="s">
        <v>33</v>
      </c>
      <c r="O1081" s="4">
        <v>6.1159999999999997</v>
      </c>
      <c r="P1081" s="4">
        <v>16</v>
      </c>
      <c r="Q1081" s="8">
        <f>O1081*P1081</f>
        <v>97.855999999999995</v>
      </c>
    </row>
    <row r="1082" spans="1:17" x14ac:dyDescent="0.3">
      <c r="A1082" t="s">
        <v>214</v>
      </c>
      <c r="B1082" s="4" t="s">
        <v>33</v>
      </c>
      <c r="C1082" s="4">
        <v>3.1190000000000002</v>
      </c>
      <c r="D1082" s="4">
        <v>10.11</v>
      </c>
      <c r="E1082" s="8">
        <f>C1082*D1082</f>
        <v>31.533090000000001</v>
      </c>
      <c r="F1082" s="26"/>
      <c r="G1082" t="s">
        <v>214</v>
      </c>
      <c r="H1082" s="4" t="s">
        <v>33</v>
      </c>
      <c r="I1082" s="4">
        <v>3.1190000000000002</v>
      </c>
      <c r="J1082" s="4">
        <v>16</v>
      </c>
      <c r="K1082" s="8">
        <f>I1082*J1082</f>
        <v>49.904000000000003</v>
      </c>
      <c r="N1082" s="4" t="s">
        <v>137</v>
      </c>
      <c r="O1082" s="4">
        <v>0.4</v>
      </c>
      <c r="P1082" s="4">
        <v>17.190000000000001</v>
      </c>
      <c r="Q1082" s="8">
        <f>O1082*P1082</f>
        <v>6.8760000000000012</v>
      </c>
    </row>
    <row r="1083" spans="1:17" x14ac:dyDescent="0.3">
      <c r="A1083" t="s">
        <v>270</v>
      </c>
      <c r="B1083" s="4" t="s">
        <v>137</v>
      </c>
      <c r="C1083" s="4">
        <v>0.189</v>
      </c>
      <c r="D1083" s="4">
        <v>12.92</v>
      </c>
      <c r="E1083" s="8">
        <f>C1083*D1083</f>
        <v>2.4418799999999998</v>
      </c>
      <c r="F1083" s="26"/>
      <c r="H1083" s="4" t="s">
        <v>137</v>
      </c>
      <c r="I1083" s="4">
        <v>0.189</v>
      </c>
      <c r="J1083" s="4">
        <v>17.190000000000001</v>
      </c>
      <c r="K1083" s="8">
        <f>I1083*J1083</f>
        <v>3.2489100000000004</v>
      </c>
      <c r="N1083" s="4" t="s">
        <v>35</v>
      </c>
      <c r="O1083" s="4">
        <v>8</v>
      </c>
      <c r="P1083" s="4">
        <v>2.89</v>
      </c>
      <c r="Q1083" s="8">
        <f>O1083*P1083</f>
        <v>23.12</v>
      </c>
    </row>
    <row r="1084" spans="1:17" x14ac:dyDescent="0.3">
      <c r="B1084" s="4" t="s">
        <v>35</v>
      </c>
      <c r="C1084" s="4">
        <v>4</v>
      </c>
      <c r="D1084" s="4">
        <v>1.89</v>
      </c>
      <c r="E1084" s="8">
        <f>C1084*D1084</f>
        <v>7.56</v>
      </c>
      <c r="F1084" s="26"/>
      <c r="H1084" s="4" t="s">
        <v>35</v>
      </c>
      <c r="I1084" s="4">
        <v>4</v>
      </c>
      <c r="J1084" s="4">
        <v>2.89</v>
      </c>
      <c r="K1084" s="8">
        <f>I1084*J1084</f>
        <v>11.56</v>
      </c>
      <c r="N1084" s="4" t="s">
        <v>36</v>
      </c>
      <c r="O1084" s="4">
        <v>4</v>
      </c>
      <c r="P1084" s="4">
        <v>0.6</v>
      </c>
      <c r="Q1084" s="8">
        <f>O1084*P1084</f>
        <v>2.4</v>
      </c>
    </row>
    <row r="1085" spans="1:17" x14ac:dyDescent="0.3">
      <c r="B1085" s="4" t="s">
        <v>36</v>
      </c>
      <c r="C1085" s="4">
        <v>4</v>
      </c>
      <c r="D1085" s="4">
        <v>0.24</v>
      </c>
      <c r="E1085" s="8">
        <f>C1085*D1085</f>
        <v>0.96</v>
      </c>
      <c r="F1085" s="26"/>
      <c r="H1085" s="4" t="s">
        <v>36</v>
      </c>
      <c r="I1085" s="4">
        <v>4</v>
      </c>
      <c r="J1085" s="4">
        <v>0.6</v>
      </c>
      <c r="K1085" s="8">
        <f>I1085*J1085</f>
        <v>2.4</v>
      </c>
      <c r="N1085" s="4" t="s">
        <v>37</v>
      </c>
      <c r="O1085">
        <v>85</v>
      </c>
      <c r="Q1085" s="8">
        <v>85</v>
      </c>
    </row>
    <row r="1086" spans="1:17" x14ac:dyDescent="0.3">
      <c r="B1086" s="4" t="s">
        <v>37</v>
      </c>
      <c r="C1086" t="s">
        <v>264</v>
      </c>
      <c r="E1086" s="8">
        <v>35</v>
      </c>
      <c r="F1086" s="26"/>
      <c r="H1086" s="4" t="s">
        <v>37</v>
      </c>
      <c r="I1086" t="s">
        <v>264</v>
      </c>
      <c r="K1086" s="8">
        <v>35</v>
      </c>
      <c r="Q1086" s="8">
        <f>SUM(Q1080:Q1085)</f>
        <v>317.93510000000003</v>
      </c>
    </row>
    <row r="1087" spans="1:17" x14ac:dyDescent="0.3">
      <c r="E1087" s="8">
        <f>SUM(E1081:E1086)</f>
        <v>123.32867</v>
      </c>
      <c r="F1087" s="26"/>
      <c r="K1087" s="8">
        <f>SUM(K1081:K1086)</f>
        <v>173.74876</v>
      </c>
    </row>
    <row r="1088" spans="1:17" x14ac:dyDescent="0.3">
      <c r="F1088" s="26"/>
    </row>
    <row r="1089" spans="1:17" x14ac:dyDescent="0.3">
      <c r="C1089" s="4" t="s">
        <v>28</v>
      </c>
      <c r="D1089" s="4" t="s">
        <v>29</v>
      </c>
      <c r="E1089" s="4" t="s">
        <v>30</v>
      </c>
      <c r="F1089" s="26"/>
      <c r="I1089" s="4" t="s">
        <v>28</v>
      </c>
      <c r="J1089" s="4" t="s">
        <v>29</v>
      </c>
      <c r="K1089" s="4" t="s">
        <v>30</v>
      </c>
      <c r="O1089" s="4" t="s">
        <v>28</v>
      </c>
      <c r="P1089" s="4" t="s">
        <v>29</v>
      </c>
      <c r="Q1089" s="4" t="s">
        <v>30</v>
      </c>
    </row>
    <row r="1090" spans="1:17" x14ac:dyDescent="0.3">
      <c r="A1090" t="s">
        <v>237</v>
      </c>
      <c r="B1090" s="4" t="s">
        <v>32</v>
      </c>
      <c r="C1090" s="4">
        <v>2.3969999999999998</v>
      </c>
      <c r="D1090" s="4">
        <v>19.38</v>
      </c>
      <c r="E1090" s="8">
        <f>C1090*D1090</f>
        <v>46.453859999999992</v>
      </c>
      <c r="F1090" s="26"/>
      <c r="G1090" t="s">
        <v>237</v>
      </c>
      <c r="H1090" s="4" t="s">
        <v>32</v>
      </c>
      <c r="I1090" s="4">
        <v>2.3969999999999998</v>
      </c>
      <c r="J1090" s="4">
        <v>30.29</v>
      </c>
      <c r="K1090" s="8">
        <f>I1090*J1090</f>
        <v>72.605129999999988</v>
      </c>
      <c r="M1090" t="s">
        <v>400</v>
      </c>
      <c r="N1090" s="4" t="s">
        <v>32</v>
      </c>
      <c r="O1090" s="4">
        <v>4.05</v>
      </c>
      <c r="P1090" s="4">
        <v>30.29</v>
      </c>
      <c r="Q1090" s="8">
        <f>O1090*P1090</f>
        <v>122.67449999999999</v>
      </c>
    </row>
    <row r="1091" spans="1:17" x14ac:dyDescent="0.3">
      <c r="A1091" t="s">
        <v>238</v>
      </c>
      <c r="B1091" s="4" t="s">
        <v>33</v>
      </c>
      <c r="C1091" s="4">
        <v>4.1580000000000004</v>
      </c>
      <c r="D1091" s="4">
        <v>10.11</v>
      </c>
      <c r="E1091" s="8">
        <f>C1091*D1091</f>
        <v>42.037379999999999</v>
      </c>
      <c r="F1091" s="26"/>
      <c r="G1091" t="s">
        <v>238</v>
      </c>
      <c r="H1091" s="4" t="s">
        <v>33</v>
      </c>
      <c r="I1091" s="4">
        <v>4.1580000000000004</v>
      </c>
      <c r="J1091" s="4">
        <v>16</v>
      </c>
      <c r="K1091" s="8">
        <f>I1091*J1091</f>
        <v>66.528000000000006</v>
      </c>
      <c r="M1091" t="s">
        <v>238</v>
      </c>
      <c r="N1091" s="4" t="s">
        <v>33</v>
      </c>
      <c r="O1091" s="4">
        <v>7.4359999999999999</v>
      </c>
      <c r="P1091" s="4">
        <v>16</v>
      </c>
      <c r="Q1091" s="8">
        <f>O1091*P1091</f>
        <v>118.976</v>
      </c>
    </row>
    <row r="1092" spans="1:17" x14ac:dyDescent="0.3">
      <c r="A1092" t="s">
        <v>270</v>
      </c>
      <c r="B1092" s="4" t="s">
        <v>137</v>
      </c>
      <c r="C1092" s="4">
        <v>0.23699999999999999</v>
      </c>
      <c r="D1092" s="4">
        <v>12.92</v>
      </c>
      <c r="E1092" s="8">
        <f>C1092*D1092</f>
        <v>3.0620399999999997</v>
      </c>
      <c r="F1092" s="26"/>
      <c r="H1092" s="4" t="s">
        <v>137</v>
      </c>
      <c r="I1092" s="4">
        <v>0.23699999999999999</v>
      </c>
      <c r="J1092" s="4">
        <v>17.190000000000001</v>
      </c>
      <c r="K1092" s="8">
        <f>I1092*J1092</f>
        <v>4.0740300000000005</v>
      </c>
      <c r="N1092" s="4" t="s">
        <v>137</v>
      </c>
      <c r="O1092" s="4">
        <v>0.4</v>
      </c>
      <c r="P1092" s="4">
        <v>17.190000000000001</v>
      </c>
      <c r="Q1092" s="8">
        <f>O1092*P1092</f>
        <v>6.8760000000000012</v>
      </c>
    </row>
    <row r="1093" spans="1:17" x14ac:dyDescent="0.3">
      <c r="B1093" s="4" t="s">
        <v>35</v>
      </c>
      <c r="C1093" s="4">
        <v>4</v>
      </c>
      <c r="D1093" s="4">
        <v>1.89</v>
      </c>
      <c r="E1093" s="8">
        <f>C1093*D1093</f>
        <v>7.56</v>
      </c>
      <c r="F1093" s="26"/>
      <c r="H1093" s="4" t="s">
        <v>35</v>
      </c>
      <c r="I1093" s="4">
        <v>4</v>
      </c>
      <c r="J1093" s="4">
        <v>2.89</v>
      </c>
      <c r="K1093" s="8">
        <f>I1093*J1093</f>
        <v>11.56</v>
      </c>
      <c r="N1093" s="4" t="s">
        <v>35</v>
      </c>
      <c r="O1093" s="4">
        <v>8</v>
      </c>
      <c r="P1093" s="4">
        <v>2.89</v>
      </c>
      <c r="Q1093" s="8">
        <f>O1093*P1093</f>
        <v>23.12</v>
      </c>
    </row>
    <row r="1094" spans="1:17" x14ac:dyDescent="0.3">
      <c r="B1094" s="4" t="s">
        <v>36</v>
      </c>
      <c r="C1094" s="4">
        <v>4</v>
      </c>
      <c r="D1094" s="4">
        <v>0.24</v>
      </c>
      <c r="E1094" s="8">
        <f>C1094*D1094</f>
        <v>0.96</v>
      </c>
      <c r="F1094" s="26"/>
      <c r="H1094" s="4" t="s">
        <v>36</v>
      </c>
      <c r="I1094" s="4">
        <v>4</v>
      </c>
      <c r="J1094" s="4">
        <v>0.6</v>
      </c>
      <c r="K1094" s="8">
        <f>I1094*J1094</f>
        <v>2.4</v>
      </c>
      <c r="N1094" s="4" t="s">
        <v>36</v>
      </c>
      <c r="O1094" s="4">
        <v>4</v>
      </c>
      <c r="P1094" s="4">
        <v>0.6</v>
      </c>
      <c r="Q1094" s="8">
        <f>O1094*P1094</f>
        <v>2.4</v>
      </c>
    </row>
    <row r="1095" spans="1:17" x14ac:dyDescent="0.3">
      <c r="B1095" s="4" t="s">
        <v>37</v>
      </c>
      <c r="C1095" t="s">
        <v>264</v>
      </c>
      <c r="E1095" s="8">
        <v>35</v>
      </c>
      <c r="F1095" s="26"/>
      <c r="H1095" s="4" t="s">
        <v>37</v>
      </c>
      <c r="I1095">
        <v>85</v>
      </c>
      <c r="K1095" s="8">
        <v>85</v>
      </c>
      <c r="N1095" s="4" t="s">
        <v>37</v>
      </c>
      <c r="O1095">
        <v>85</v>
      </c>
      <c r="Q1095" s="8">
        <v>85</v>
      </c>
    </row>
    <row r="1096" spans="1:17" x14ac:dyDescent="0.3">
      <c r="E1096" s="8">
        <f>SUM(E1090:E1095)</f>
        <v>135.07327999999998</v>
      </c>
      <c r="F1096" s="26"/>
      <c r="K1096" s="8">
        <f>SUM(K1090:K1095)</f>
        <v>242.16716</v>
      </c>
      <c r="Q1096" s="8">
        <f>SUM(Q1090:Q1095)</f>
        <v>359.04649999999998</v>
      </c>
    </row>
    <row r="1097" spans="1:17" x14ac:dyDescent="0.3">
      <c r="F1097" s="26"/>
    </row>
    <row r="1098" spans="1:17" x14ac:dyDescent="0.3">
      <c r="C1098" s="4" t="s">
        <v>28</v>
      </c>
      <c r="D1098" s="4" t="s">
        <v>29</v>
      </c>
      <c r="E1098" s="4" t="s">
        <v>30</v>
      </c>
      <c r="F1098" s="26"/>
      <c r="I1098" s="4" t="s">
        <v>28</v>
      </c>
      <c r="J1098" s="4" t="s">
        <v>29</v>
      </c>
      <c r="K1098" s="4" t="s">
        <v>30</v>
      </c>
      <c r="O1098" s="4" t="s">
        <v>28</v>
      </c>
      <c r="P1098" s="4" t="s">
        <v>29</v>
      </c>
      <c r="Q1098" s="4" t="s">
        <v>30</v>
      </c>
    </row>
    <row r="1099" spans="1:17" x14ac:dyDescent="0.3">
      <c r="A1099" t="s">
        <v>239</v>
      </c>
      <c r="B1099" s="4" t="s">
        <v>32</v>
      </c>
      <c r="C1099" s="4">
        <v>2.4180000000000001</v>
      </c>
      <c r="D1099" s="4">
        <v>19.38</v>
      </c>
      <c r="E1099" s="8">
        <f>C1099*D1099</f>
        <v>46.860840000000003</v>
      </c>
      <c r="F1099" s="26"/>
      <c r="G1099" t="s">
        <v>239</v>
      </c>
      <c r="H1099" s="4" t="s">
        <v>32</v>
      </c>
      <c r="I1099" s="4">
        <v>2.4180000000000001</v>
      </c>
      <c r="J1099" s="4">
        <v>30.29</v>
      </c>
      <c r="K1099" s="8">
        <f>I1099*J1099</f>
        <v>73.241219999999998</v>
      </c>
      <c r="M1099" t="s">
        <v>363</v>
      </c>
      <c r="N1099" s="4" t="s">
        <v>32</v>
      </c>
      <c r="O1099" s="4">
        <v>2.5209999999999999</v>
      </c>
      <c r="P1099" s="4">
        <v>30.29</v>
      </c>
      <c r="Q1099" s="8"/>
    </row>
    <row r="1100" spans="1:17" x14ac:dyDescent="0.3">
      <c r="A1100" t="s">
        <v>262</v>
      </c>
      <c r="B1100" s="4" t="s">
        <v>33</v>
      </c>
      <c r="C1100" s="4">
        <v>5.1980000000000004</v>
      </c>
      <c r="D1100" s="4">
        <v>10.11</v>
      </c>
      <c r="E1100" s="8">
        <f>C1100*D1100</f>
        <v>52.551780000000001</v>
      </c>
      <c r="F1100" s="26"/>
      <c r="G1100" t="s">
        <v>262</v>
      </c>
      <c r="H1100" s="4" t="s">
        <v>33</v>
      </c>
      <c r="I1100" s="4">
        <v>5.1980000000000004</v>
      </c>
      <c r="J1100" s="4">
        <v>16</v>
      </c>
      <c r="K1100" s="8">
        <f>I1100*J1100</f>
        <v>83.168000000000006</v>
      </c>
      <c r="M1100" t="s">
        <v>39</v>
      </c>
      <c r="N1100" s="4" t="s">
        <v>33</v>
      </c>
      <c r="O1100" s="4">
        <v>4.3559999999999999</v>
      </c>
      <c r="P1100" s="4">
        <v>16</v>
      </c>
      <c r="Q1100" s="8">
        <f>O1100*P1100</f>
        <v>69.695999999999998</v>
      </c>
    </row>
    <row r="1101" spans="1:17" x14ac:dyDescent="0.3">
      <c r="A1101" t="s">
        <v>270</v>
      </c>
      <c r="B1101" s="4" t="s">
        <v>137</v>
      </c>
      <c r="C1101" s="4">
        <v>0.26800000000000002</v>
      </c>
      <c r="D1101" s="4">
        <v>12.92</v>
      </c>
      <c r="E1101" s="8">
        <f>C1101*D1101</f>
        <v>3.4625600000000003</v>
      </c>
      <c r="F1101" s="26"/>
      <c r="H1101" s="4" t="s">
        <v>137</v>
      </c>
      <c r="I1101" s="4">
        <v>0.26800000000000002</v>
      </c>
      <c r="J1101" s="4">
        <v>17.190000000000001</v>
      </c>
      <c r="K1101" s="8">
        <f>I1101*J1101</f>
        <v>4.6069200000000006</v>
      </c>
      <c r="N1101" s="4" t="s">
        <v>137</v>
      </c>
      <c r="O1101" s="4">
        <v>0.32</v>
      </c>
      <c r="P1101" s="4">
        <v>17.190000000000001</v>
      </c>
      <c r="Q1101" s="8">
        <f>O1101*P1101</f>
        <v>5.5008000000000008</v>
      </c>
    </row>
    <row r="1102" spans="1:17" x14ac:dyDescent="0.3">
      <c r="B1102" s="4" t="s">
        <v>35</v>
      </c>
      <c r="C1102" s="4">
        <v>4</v>
      </c>
      <c r="D1102" s="4">
        <v>1.89</v>
      </c>
      <c r="E1102" s="8">
        <f>C1102*D1102</f>
        <v>7.56</v>
      </c>
      <c r="F1102" s="26"/>
      <c r="H1102" s="4" t="s">
        <v>35</v>
      </c>
      <c r="I1102" s="4">
        <v>4</v>
      </c>
      <c r="J1102" s="4">
        <v>2.89</v>
      </c>
      <c r="K1102" s="8">
        <f>I1102*J1102</f>
        <v>11.56</v>
      </c>
      <c r="N1102" s="4" t="s">
        <v>35</v>
      </c>
      <c r="O1102" s="4">
        <v>4</v>
      </c>
      <c r="P1102" s="4">
        <v>2.89</v>
      </c>
      <c r="Q1102" s="8">
        <f>O1102*P1102</f>
        <v>11.56</v>
      </c>
    </row>
    <row r="1103" spans="1:17" x14ac:dyDescent="0.3">
      <c r="B1103" s="4" t="s">
        <v>36</v>
      </c>
      <c r="C1103" s="4">
        <v>4</v>
      </c>
      <c r="D1103" s="4">
        <v>0.24</v>
      </c>
      <c r="E1103" s="8">
        <f>C1103*D1103</f>
        <v>0.96</v>
      </c>
      <c r="F1103" s="26"/>
      <c r="H1103" s="4" t="s">
        <v>36</v>
      </c>
      <c r="I1103" s="4">
        <v>4</v>
      </c>
      <c r="J1103" s="4">
        <v>0.6</v>
      </c>
      <c r="K1103" s="8">
        <f>I1103*J1103</f>
        <v>2.4</v>
      </c>
      <c r="N1103" s="4" t="s">
        <v>36</v>
      </c>
      <c r="O1103" s="4">
        <v>4</v>
      </c>
      <c r="P1103" s="4">
        <v>0.6</v>
      </c>
      <c r="Q1103" s="8">
        <f>O1103*P1103</f>
        <v>2.4</v>
      </c>
    </row>
    <row r="1104" spans="1:17" x14ac:dyDescent="0.3">
      <c r="B1104" s="4" t="s">
        <v>37</v>
      </c>
      <c r="C1104" t="s">
        <v>265</v>
      </c>
      <c r="E1104" s="8">
        <v>42</v>
      </c>
      <c r="F1104" s="26"/>
      <c r="H1104" s="4" t="s">
        <v>37</v>
      </c>
      <c r="I1104" t="s">
        <v>265</v>
      </c>
      <c r="K1104" s="8">
        <v>42</v>
      </c>
      <c r="N1104" s="4" t="s">
        <v>37</v>
      </c>
      <c r="O1104">
        <v>85</v>
      </c>
      <c r="Q1104" s="8">
        <v>85</v>
      </c>
    </row>
    <row r="1105" spans="1:17" x14ac:dyDescent="0.3">
      <c r="E1105" s="8">
        <f>SUM(E1099:E1104)</f>
        <v>153.39517999999998</v>
      </c>
      <c r="F1105" s="26"/>
      <c r="K1105" s="8">
        <f>SUM(K1099:K1104)</f>
        <v>216.97614000000002</v>
      </c>
      <c r="Q1105" s="8">
        <f>SUM(Q1099:Q1104)</f>
        <v>174.1568</v>
      </c>
    </row>
    <row r="1106" spans="1:17" x14ac:dyDescent="0.3">
      <c r="F1106" s="26"/>
    </row>
    <row r="1107" spans="1:17" x14ac:dyDescent="0.3">
      <c r="C1107" s="4" t="s">
        <v>28</v>
      </c>
      <c r="D1107" s="4" t="s">
        <v>29</v>
      </c>
      <c r="E1107" s="4" t="s">
        <v>30</v>
      </c>
      <c r="F1107" s="26"/>
      <c r="I1107" s="4" t="s">
        <v>28</v>
      </c>
      <c r="J1107" s="4" t="s">
        <v>29</v>
      </c>
      <c r="K1107" s="4" t="s">
        <v>30</v>
      </c>
    </row>
    <row r="1108" spans="1:17" x14ac:dyDescent="0.3">
      <c r="A1108" t="s">
        <v>240</v>
      </c>
      <c r="B1108" s="4" t="s">
        <v>32</v>
      </c>
      <c r="C1108" s="4">
        <v>2.4279999999999999</v>
      </c>
      <c r="D1108" s="4">
        <v>19.38</v>
      </c>
      <c r="E1108" s="8">
        <f>C1108*D1108</f>
        <v>47.054639999999999</v>
      </c>
      <c r="F1108" s="26"/>
      <c r="G1108" t="s">
        <v>240</v>
      </c>
      <c r="H1108" s="4" t="s">
        <v>32</v>
      </c>
      <c r="I1108" s="4">
        <v>2.4279999999999999</v>
      </c>
      <c r="J1108" s="4">
        <v>30.29</v>
      </c>
      <c r="K1108" s="8">
        <f>I1108*J1108</f>
        <v>73.544119999999992</v>
      </c>
    </row>
    <row r="1109" spans="1:17" x14ac:dyDescent="0.3">
      <c r="A1109" t="s">
        <v>262</v>
      </c>
      <c r="B1109" s="4" t="s">
        <v>33</v>
      </c>
      <c r="C1109" s="4">
        <v>5.1980000000000004</v>
      </c>
      <c r="D1109" s="4">
        <v>10.11</v>
      </c>
      <c r="E1109" s="8">
        <f>C1109*D1109</f>
        <v>52.551780000000001</v>
      </c>
      <c r="F1109" s="26"/>
      <c r="G1109" t="s">
        <v>262</v>
      </c>
      <c r="H1109" s="4" t="s">
        <v>33</v>
      </c>
      <c r="I1109" s="4">
        <v>5.1980000000000004</v>
      </c>
      <c r="J1109" s="4">
        <v>16</v>
      </c>
      <c r="K1109" s="8">
        <f>I1109*J1109</f>
        <v>83.168000000000006</v>
      </c>
    </row>
    <row r="1110" spans="1:17" x14ac:dyDescent="0.3">
      <c r="A1110" t="s">
        <v>270</v>
      </c>
      <c r="B1110" s="4" t="s">
        <v>137</v>
      </c>
      <c r="C1110" s="4">
        <v>0.28399999999999997</v>
      </c>
      <c r="D1110" s="4">
        <v>12.92</v>
      </c>
      <c r="E1110" s="8">
        <f>C1110*D1110</f>
        <v>3.6692799999999997</v>
      </c>
      <c r="F1110" s="26"/>
      <c r="H1110" s="4" t="s">
        <v>137</v>
      </c>
      <c r="I1110" s="4">
        <v>0.28399999999999997</v>
      </c>
      <c r="J1110" s="4">
        <v>17.190000000000001</v>
      </c>
      <c r="K1110" s="8">
        <f>I1110*J1110</f>
        <v>4.8819600000000003</v>
      </c>
    </row>
    <row r="1111" spans="1:17" x14ac:dyDescent="0.3">
      <c r="B1111" s="4" t="s">
        <v>35</v>
      </c>
      <c r="C1111" s="4">
        <v>4</v>
      </c>
      <c r="D1111" s="4">
        <v>1.89</v>
      </c>
      <c r="E1111" s="8">
        <f>C1111*D1111</f>
        <v>7.56</v>
      </c>
      <c r="F1111" s="26"/>
      <c r="H1111" s="4" t="s">
        <v>35</v>
      </c>
      <c r="I1111" s="4">
        <v>4</v>
      </c>
      <c r="J1111" s="4">
        <v>2.89</v>
      </c>
      <c r="K1111" s="8">
        <f>I1111*J1111</f>
        <v>11.56</v>
      </c>
    </row>
    <row r="1112" spans="1:17" x14ac:dyDescent="0.3">
      <c r="B1112" s="4" t="s">
        <v>36</v>
      </c>
      <c r="C1112" s="4">
        <v>4</v>
      </c>
      <c r="D1112" s="4">
        <v>0.24</v>
      </c>
      <c r="E1112" s="8">
        <f>C1112*D1112</f>
        <v>0.96</v>
      </c>
      <c r="F1112" s="26"/>
      <c r="H1112" s="4" t="s">
        <v>36</v>
      </c>
      <c r="I1112" s="4">
        <v>4</v>
      </c>
      <c r="J1112" s="4">
        <v>0.6</v>
      </c>
      <c r="K1112" s="8">
        <f>I1112*J1112</f>
        <v>2.4</v>
      </c>
    </row>
    <row r="1113" spans="1:17" x14ac:dyDescent="0.3">
      <c r="B1113" s="4" t="s">
        <v>37</v>
      </c>
      <c r="C1113" t="s">
        <v>265</v>
      </c>
      <c r="E1113" s="8">
        <v>42</v>
      </c>
      <c r="F1113" s="26"/>
      <c r="H1113" s="4" t="s">
        <v>37</v>
      </c>
      <c r="I1113" t="s">
        <v>265</v>
      </c>
      <c r="K1113" s="8">
        <v>42</v>
      </c>
    </row>
    <row r="1114" spans="1:17" x14ac:dyDescent="0.3">
      <c r="E1114" s="8">
        <f>SUM(E1108:E1113)</f>
        <v>153.79570000000001</v>
      </c>
      <c r="F1114" s="26"/>
      <c r="K1114" s="8">
        <f>SUM(K1108:K1113)</f>
        <v>217.55408</v>
      </c>
    </row>
    <row r="1115" spans="1:17" x14ac:dyDescent="0.3">
      <c r="F1115" s="26"/>
    </row>
    <row r="1116" spans="1:17" x14ac:dyDescent="0.3">
      <c r="C1116" s="4" t="s">
        <v>28</v>
      </c>
      <c r="D1116" s="4" t="s">
        <v>29</v>
      </c>
      <c r="E1116" s="4" t="s">
        <v>30</v>
      </c>
      <c r="F1116" s="26"/>
      <c r="I1116" s="4" t="s">
        <v>28</v>
      </c>
      <c r="J1116" s="4" t="s">
        <v>29</v>
      </c>
      <c r="K1116" s="4" t="s">
        <v>30</v>
      </c>
    </row>
    <row r="1117" spans="1:17" x14ac:dyDescent="0.3">
      <c r="A1117" t="s">
        <v>48</v>
      </c>
      <c r="B1117" s="4" t="s">
        <v>32</v>
      </c>
      <c r="C1117" s="4">
        <v>2.4489999999999998</v>
      </c>
      <c r="D1117" s="4">
        <v>19.38</v>
      </c>
      <c r="E1117" s="8">
        <f>C1117*D1117</f>
        <v>47.461619999999996</v>
      </c>
      <c r="F1117" s="26"/>
      <c r="G1117" t="s">
        <v>48</v>
      </c>
      <c r="H1117" s="4" t="s">
        <v>32</v>
      </c>
      <c r="I1117" s="4">
        <v>2.4489999999999998</v>
      </c>
      <c r="J1117" s="4">
        <v>30.29</v>
      </c>
      <c r="K1117" s="8">
        <f>I1117*J1117</f>
        <v>74.180209999999988</v>
      </c>
    </row>
    <row r="1118" spans="1:17" x14ac:dyDescent="0.3">
      <c r="A1118" t="s">
        <v>63</v>
      </c>
      <c r="B1118" s="4" t="s">
        <v>33</v>
      </c>
      <c r="C1118" s="4">
        <v>6.2370000000000001</v>
      </c>
      <c r="D1118" s="4">
        <v>10.11</v>
      </c>
      <c r="E1118" s="8">
        <f>C1118*D1118</f>
        <v>63.056069999999998</v>
      </c>
      <c r="F1118" s="26"/>
      <c r="G1118" t="s">
        <v>63</v>
      </c>
      <c r="H1118" s="4" t="s">
        <v>33</v>
      </c>
      <c r="I1118" s="4">
        <v>6.2370000000000001</v>
      </c>
      <c r="J1118" s="4">
        <v>16</v>
      </c>
      <c r="K1118" s="8">
        <f>I1118*J1118</f>
        <v>99.792000000000002</v>
      </c>
    </row>
    <row r="1119" spans="1:17" x14ac:dyDescent="0.3">
      <c r="A1119" t="s">
        <v>270</v>
      </c>
      <c r="B1119" s="4" t="s">
        <v>137</v>
      </c>
      <c r="C1119" s="4">
        <v>0.315</v>
      </c>
      <c r="D1119" s="4">
        <v>12.92</v>
      </c>
      <c r="E1119" s="8">
        <f>C1119*D1119</f>
        <v>4.0697999999999999</v>
      </c>
      <c r="F1119" s="26"/>
      <c r="H1119" s="4" t="s">
        <v>137</v>
      </c>
      <c r="I1119" s="4">
        <v>0.315</v>
      </c>
      <c r="J1119" s="4">
        <v>17.190000000000001</v>
      </c>
      <c r="K1119" s="8">
        <f>I1119*J1119</f>
        <v>5.4148500000000004</v>
      </c>
    </row>
    <row r="1120" spans="1:17" x14ac:dyDescent="0.3">
      <c r="B1120" s="4" t="s">
        <v>35</v>
      </c>
      <c r="C1120" s="4">
        <v>4</v>
      </c>
      <c r="D1120" s="4">
        <v>1.89</v>
      </c>
      <c r="E1120" s="8">
        <f>C1120*D1120</f>
        <v>7.56</v>
      </c>
      <c r="F1120" s="26"/>
      <c r="H1120" s="4" t="s">
        <v>35</v>
      </c>
      <c r="I1120" s="4">
        <v>4</v>
      </c>
      <c r="J1120" s="4">
        <v>2.89</v>
      </c>
      <c r="K1120" s="8">
        <f>I1120*J1120</f>
        <v>11.56</v>
      </c>
    </row>
    <row r="1121" spans="1:11" x14ac:dyDescent="0.3">
      <c r="B1121" s="4" t="s">
        <v>36</v>
      </c>
      <c r="C1121" s="4">
        <v>4</v>
      </c>
      <c r="D1121" s="4">
        <v>0.24</v>
      </c>
      <c r="E1121" s="8">
        <f>C1121*D1121</f>
        <v>0.96</v>
      </c>
      <c r="F1121" s="26"/>
      <c r="H1121" s="4" t="s">
        <v>36</v>
      </c>
      <c r="I1121" s="4">
        <v>4</v>
      </c>
      <c r="J1121" s="4">
        <v>0.6</v>
      </c>
      <c r="K1121" s="8">
        <f>I1121*J1121</f>
        <v>2.4</v>
      </c>
    </row>
    <row r="1122" spans="1:11" x14ac:dyDescent="0.3">
      <c r="B1122" s="4" t="s">
        <v>37</v>
      </c>
      <c r="C1122" t="s">
        <v>265</v>
      </c>
      <c r="E1122" s="8">
        <v>42</v>
      </c>
      <c r="F1122" s="26"/>
      <c r="H1122" s="4" t="s">
        <v>37</v>
      </c>
      <c r="I1122" t="s">
        <v>265</v>
      </c>
      <c r="K1122" s="8">
        <v>42</v>
      </c>
    </row>
    <row r="1123" spans="1:11" x14ac:dyDescent="0.3">
      <c r="E1123" s="8">
        <f>SUM(E1117:E1122)</f>
        <v>165.10748999999998</v>
      </c>
      <c r="F1123" s="26"/>
      <c r="K1123" s="8">
        <f>SUM(K1117:K1122)</f>
        <v>235.34706</v>
      </c>
    </row>
    <row r="1124" spans="1:11" x14ac:dyDescent="0.3">
      <c r="F1124" s="26"/>
    </row>
    <row r="1125" spans="1:11" x14ac:dyDescent="0.3">
      <c r="C1125" s="4" t="s">
        <v>28</v>
      </c>
      <c r="D1125" s="4" t="s">
        <v>29</v>
      </c>
      <c r="E1125" s="4" t="s">
        <v>30</v>
      </c>
      <c r="F1125" s="26"/>
      <c r="I1125" s="4" t="s">
        <v>28</v>
      </c>
      <c r="J1125" s="4" t="s">
        <v>29</v>
      </c>
      <c r="K1125" s="4" t="s">
        <v>30</v>
      </c>
    </row>
    <row r="1126" spans="1:11" x14ac:dyDescent="0.3">
      <c r="A1126" t="s">
        <v>241</v>
      </c>
      <c r="B1126" s="4" t="s">
        <v>32</v>
      </c>
      <c r="C1126" s="4">
        <v>2.4910000000000001</v>
      </c>
      <c r="D1126" s="4">
        <v>19.38</v>
      </c>
      <c r="E1126" s="8">
        <f>C1126*D1126</f>
        <v>48.275579999999998</v>
      </c>
      <c r="F1126" s="26"/>
      <c r="G1126" t="s">
        <v>241</v>
      </c>
      <c r="H1126" s="4" t="s">
        <v>32</v>
      </c>
      <c r="I1126" s="4">
        <v>2.4910000000000001</v>
      </c>
      <c r="J1126" s="4">
        <v>30.29</v>
      </c>
      <c r="K1126" s="8">
        <f>I1126*J1126</f>
        <v>75.452389999999994</v>
      </c>
    </row>
    <row r="1127" spans="1:11" x14ac:dyDescent="0.3">
      <c r="A1127" t="s">
        <v>260</v>
      </c>
      <c r="B1127" s="4" t="s">
        <v>33</v>
      </c>
      <c r="C1127" s="4">
        <v>7.2770000000000001</v>
      </c>
      <c r="D1127" s="4">
        <v>10.11</v>
      </c>
      <c r="E1127" s="8">
        <f>C1127*D1127</f>
        <v>73.57047</v>
      </c>
      <c r="F1127" s="26"/>
      <c r="G1127" t="s">
        <v>260</v>
      </c>
      <c r="H1127" s="4" t="s">
        <v>33</v>
      </c>
      <c r="I1127" s="4">
        <v>7.2770000000000001</v>
      </c>
      <c r="J1127" s="4">
        <v>16</v>
      </c>
      <c r="K1127" s="8">
        <f>I1127*J1127</f>
        <v>116.432</v>
      </c>
    </row>
    <row r="1128" spans="1:11" x14ac:dyDescent="0.3">
      <c r="A1128" t="s">
        <v>270</v>
      </c>
      <c r="B1128" s="4" t="s">
        <v>137</v>
      </c>
      <c r="C1128" s="4">
        <v>0.378</v>
      </c>
      <c r="D1128" s="4">
        <v>12.92</v>
      </c>
      <c r="E1128" s="8">
        <f>C1128*D1128</f>
        <v>4.8837599999999997</v>
      </c>
      <c r="F1128" s="26"/>
      <c r="H1128" s="4" t="s">
        <v>137</v>
      </c>
      <c r="I1128" s="4">
        <v>0.378</v>
      </c>
      <c r="J1128" s="4">
        <v>17.190000000000001</v>
      </c>
      <c r="K1128" s="8">
        <f>I1128*J1128</f>
        <v>6.4978200000000008</v>
      </c>
    </row>
    <row r="1129" spans="1:11" x14ac:dyDescent="0.3">
      <c r="B1129" s="4" t="s">
        <v>216</v>
      </c>
      <c r="C1129" s="4">
        <v>4</v>
      </c>
      <c r="D1129" s="4">
        <v>1.89</v>
      </c>
      <c r="E1129" s="8">
        <f>C1129*D1129</f>
        <v>7.56</v>
      </c>
      <c r="F1129" s="26"/>
      <c r="H1129" s="4" t="s">
        <v>216</v>
      </c>
      <c r="I1129" s="4">
        <v>4</v>
      </c>
      <c r="J1129" s="4">
        <v>2.89</v>
      </c>
      <c r="K1129" s="8">
        <f>I1129*J1129</f>
        <v>11.56</v>
      </c>
    </row>
    <row r="1130" spans="1:11" x14ac:dyDescent="0.3">
      <c r="B1130" s="4" t="s">
        <v>36</v>
      </c>
      <c r="C1130" s="4">
        <v>4</v>
      </c>
      <c r="D1130" s="4">
        <v>0.24</v>
      </c>
      <c r="E1130" s="8">
        <f>C1130*D1130</f>
        <v>0.96</v>
      </c>
      <c r="F1130" s="26"/>
      <c r="H1130" s="4" t="s">
        <v>36</v>
      </c>
      <c r="I1130" s="4">
        <v>4</v>
      </c>
      <c r="J1130" s="4">
        <v>0.6</v>
      </c>
      <c r="K1130" s="8">
        <f>I1130*J1130</f>
        <v>2.4</v>
      </c>
    </row>
    <row r="1131" spans="1:11" x14ac:dyDescent="0.3">
      <c r="B1131" s="4" t="s">
        <v>37</v>
      </c>
      <c r="C1131" t="s">
        <v>267</v>
      </c>
      <c r="E1131" s="8">
        <v>49</v>
      </c>
      <c r="F1131" s="26"/>
      <c r="H1131" s="4" t="s">
        <v>37</v>
      </c>
      <c r="I1131" t="s">
        <v>267</v>
      </c>
      <c r="K1131" s="8">
        <v>49</v>
      </c>
    </row>
    <row r="1132" spans="1:11" x14ac:dyDescent="0.3">
      <c r="E1132" s="8">
        <f>SUM(E1126:E1131)</f>
        <v>184.24981</v>
      </c>
      <c r="F1132" s="26"/>
      <c r="K1132" s="8">
        <f>SUM(K1126:K1131)</f>
        <v>261.34221000000002</v>
      </c>
    </row>
    <row r="1133" spans="1:11" x14ac:dyDescent="0.3">
      <c r="F1133" s="26"/>
    </row>
    <row r="1134" spans="1:11" x14ac:dyDescent="0.3">
      <c r="C1134" s="4" t="s">
        <v>28</v>
      </c>
      <c r="D1134" s="4" t="s">
        <v>29</v>
      </c>
      <c r="E1134" s="4" t="s">
        <v>30</v>
      </c>
      <c r="F1134" s="26"/>
      <c r="I1134" s="4" t="s">
        <v>28</v>
      </c>
      <c r="J1134" s="4" t="s">
        <v>29</v>
      </c>
      <c r="K1134" s="4" t="s">
        <v>30</v>
      </c>
    </row>
    <row r="1135" spans="1:11" x14ac:dyDescent="0.3">
      <c r="A1135" t="s">
        <v>242</v>
      </c>
      <c r="B1135" s="4" t="s">
        <v>32</v>
      </c>
      <c r="C1135" s="4">
        <v>2.512</v>
      </c>
      <c r="D1135" s="4">
        <v>19.38</v>
      </c>
      <c r="E1135" s="8">
        <f>C1135*D1135</f>
        <v>48.682559999999995</v>
      </c>
      <c r="F1135" s="26"/>
      <c r="G1135" t="s">
        <v>242</v>
      </c>
      <c r="H1135" s="4" t="s">
        <v>32</v>
      </c>
      <c r="I1135" s="4">
        <v>2.512</v>
      </c>
      <c r="J1135" s="4">
        <v>30.29</v>
      </c>
      <c r="K1135" s="8">
        <f>I1135*J1135</f>
        <v>76.088480000000004</v>
      </c>
    </row>
    <row r="1136" spans="1:11" x14ac:dyDescent="0.3">
      <c r="A1136" t="s">
        <v>220</v>
      </c>
      <c r="B1136" s="4" t="s">
        <v>33</v>
      </c>
      <c r="C1136" s="4">
        <v>8.3160000000000007</v>
      </c>
      <c r="D1136" s="4">
        <v>10.11</v>
      </c>
      <c r="E1136" s="8">
        <f>C1136*D1136</f>
        <v>84.074759999999998</v>
      </c>
      <c r="F1136" s="26"/>
      <c r="G1136" t="s">
        <v>220</v>
      </c>
      <c r="H1136" s="4" t="s">
        <v>33</v>
      </c>
      <c r="I1136" s="4">
        <v>8.3160000000000007</v>
      </c>
      <c r="J1136" s="4">
        <v>16</v>
      </c>
      <c r="K1136" s="8">
        <f>I1136*J1136</f>
        <v>133.05600000000001</v>
      </c>
    </row>
    <row r="1137" spans="1:11" x14ac:dyDescent="0.3">
      <c r="A1137" t="s">
        <v>270</v>
      </c>
      <c r="B1137" s="4" t="s">
        <v>137</v>
      </c>
      <c r="C1137" s="4">
        <v>0.41</v>
      </c>
      <c r="D1137" s="4">
        <v>12.92</v>
      </c>
      <c r="E1137" s="8">
        <f>C1137*D1137</f>
        <v>5.2971999999999992</v>
      </c>
      <c r="F1137" s="26"/>
      <c r="H1137" s="4" t="s">
        <v>137</v>
      </c>
      <c r="I1137" s="4">
        <v>0.41</v>
      </c>
      <c r="J1137" s="4">
        <v>17.190000000000001</v>
      </c>
      <c r="K1137" s="8">
        <f>I1137*J1137</f>
        <v>7.0479000000000003</v>
      </c>
    </row>
    <row r="1138" spans="1:11" x14ac:dyDescent="0.3">
      <c r="B1138" s="4" t="s">
        <v>216</v>
      </c>
      <c r="C1138" s="4">
        <v>4</v>
      </c>
      <c r="D1138" s="4">
        <v>1.89</v>
      </c>
      <c r="E1138" s="8">
        <f>C1138*D1138</f>
        <v>7.56</v>
      </c>
      <c r="F1138" s="26"/>
      <c r="H1138" s="4" t="s">
        <v>216</v>
      </c>
      <c r="I1138" s="4">
        <v>4</v>
      </c>
      <c r="J1138" s="4">
        <v>2.89</v>
      </c>
      <c r="K1138" s="8">
        <f>I1138*J1138</f>
        <v>11.56</v>
      </c>
    </row>
    <row r="1139" spans="1:11" x14ac:dyDescent="0.3">
      <c r="B1139" s="4" t="s">
        <v>36</v>
      </c>
      <c r="C1139" s="4">
        <v>4</v>
      </c>
      <c r="D1139" s="4">
        <v>0.24</v>
      </c>
      <c r="E1139" s="8">
        <f>C1139*D1139</f>
        <v>0.96</v>
      </c>
      <c r="F1139" s="26"/>
      <c r="H1139" s="4" t="s">
        <v>36</v>
      </c>
      <c r="I1139" s="4">
        <v>4</v>
      </c>
      <c r="J1139" s="4">
        <v>0.6</v>
      </c>
      <c r="K1139" s="8">
        <f>I1139*J1139</f>
        <v>2.4</v>
      </c>
    </row>
    <row r="1140" spans="1:11" x14ac:dyDescent="0.3">
      <c r="B1140" s="4" t="s">
        <v>37</v>
      </c>
      <c r="C1140">
        <v>85</v>
      </c>
      <c r="E1140" s="8">
        <v>85</v>
      </c>
      <c r="F1140" s="26"/>
      <c r="H1140" s="4" t="s">
        <v>37</v>
      </c>
      <c r="I1140">
        <v>63.9</v>
      </c>
      <c r="K1140" s="8">
        <v>63.9</v>
      </c>
    </row>
    <row r="1141" spans="1:11" x14ac:dyDescent="0.3">
      <c r="E1141" s="8">
        <f>SUM(E1135:E1140)</f>
        <v>231.57452000000001</v>
      </c>
      <c r="F1141" s="26"/>
      <c r="K1141" s="8">
        <f>SUM(K1135:K1140)</f>
        <v>294.05238000000003</v>
      </c>
    </row>
    <row r="1142" spans="1:11" x14ac:dyDescent="0.3">
      <c r="F1142" s="26"/>
    </row>
    <row r="1143" spans="1:11" x14ac:dyDescent="0.3">
      <c r="C1143" s="4" t="s">
        <v>28</v>
      </c>
      <c r="D1143" s="4" t="s">
        <v>29</v>
      </c>
      <c r="E1143" s="4" t="s">
        <v>30</v>
      </c>
      <c r="F1143" s="26"/>
      <c r="I1143" s="4" t="s">
        <v>28</v>
      </c>
      <c r="J1143" s="4" t="s">
        <v>29</v>
      </c>
      <c r="K1143" s="4" t="s">
        <v>30</v>
      </c>
    </row>
    <row r="1144" spans="1:11" x14ac:dyDescent="0.3">
      <c r="A1144" t="s">
        <v>243</v>
      </c>
      <c r="B1144" s="4" t="s">
        <v>32</v>
      </c>
      <c r="C1144" s="4">
        <v>2.5230000000000001</v>
      </c>
      <c r="D1144" s="4">
        <v>19.38</v>
      </c>
      <c r="E1144" s="8">
        <f>C1144*D1144</f>
        <v>48.895740000000004</v>
      </c>
      <c r="F1144" s="26"/>
      <c r="G1144" t="s">
        <v>243</v>
      </c>
      <c r="H1144" s="4" t="s">
        <v>32</v>
      </c>
      <c r="I1144" s="4">
        <v>2.5230000000000001</v>
      </c>
      <c r="J1144" s="4">
        <v>30.29</v>
      </c>
      <c r="K1144" s="8">
        <f>I1144*J1144</f>
        <v>76.421670000000006</v>
      </c>
    </row>
    <row r="1145" spans="1:11" x14ac:dyDescent="0.3">
      <c r="A1145" t="s">
        <v>178</v>
      </c>
      <c r="B1145" s="4" t="s">
        <v>33</v>
      </c>
      <c r="C1145" s="4">
        <v>9.3559999999999999</v>
      </c>
      <c r="D1145" s="4">
        <v>10.11</v>
      </c>
      <c r="E1145" s="8">
        <f>C1145*D1145</f>
        <v>94.589159999999993</v>
      </c>
      <c r="F1145" s="26"/>
      <c r="G1145" t="s">
        <v>178</v>
      </c>
      <c r="H1145" s="4" t="s">
        <v>33</v>
      </c>
      <c r="I1145" s="4">
        <v>9.3559999999999999</v>
      </c>
      <c r="J1145" s="4">
        <v>16</v>
      </c>
      <c r="K1145" s="8">
        <f>I1145*J1145</f>
        <v>149.696</v>
      </c>
    </row>
    <row r="1146" spans="1:11" x14ac:dyDescent="0.3">
      <c r="A1146" t="s">
        <v>270</v>
      </c>
      <c r="B1146" s="4" t="s">
        <v>137</v>
      </c>
      <c r="C1146" s="4">
        <v>0.42599999999999999</v>
      </c>
      <c r="D1146" s="4">
        <v>12.92</v>
      </c>
      <c r="E1146" s="8">
        <f>C1146*D1146</f>
        <v>5.5039199999999999</v>
      </c>
      <c r="F1146" s="26"/>
      <c r="H1146" s="4" t="s">
        <v>137</v>
      </c>
      <c r="I1146" s="4">
        <v>0.42599999999999999</v>
      </c>
      <c r="J1146" s="4">
        <v>17.190000000000001</v>
      </c>
      <c r="K1146" s="8">
        <f>I1146*J1146</f>
        <v>7.32294</v>
      </c>
    </row>
    <row r="1147" spans="1:11" x14ac:dyDescent="0.3">
      <c r="B1147" s="4" t="s">
        <v>216</v>
      </c>
      <c r="C1147" s="4">
        <v>4</v>
      </c>
      <c r="D1147" s="4">
        <v>1.89</v>
      </c>
      <c r="E1147" s="8">
        <f>C1147*D1147</f>
        <v>7.56</v>
      </c>
      <c r="F1147" s="26"/>
      <c r="H1147" s="4" t="s">
        <v>216</v>
      </c>
      <c r="I1147" s="4">
        <v>4</v>
      </c>
      <c r="J1147" s="4">
        <v>2.89</v>
      </c>
      <c r="K1147" s="8">
        <f>I1147*J1147</f>
        <v>11.56</v>
      </c>
    </row>
    <row r="1148" spans="1:11" x14ac:dyDescent="0.3">
      <c r="B1148" s="4" t="s">
        <v>36</v>
      </c>
      <c r="C1148" s="4">
        <v>4</v>
      </c>
      <c r="D1148" s="4">
        <v>0.24</v>
      </c>
      <c r="E1148" s="8">
        <f>C1148*D1148</f>
        <v>0.96</v>
      </c>
      <c r="F1148" s="26"/>
      <c r="H1148" s="4" t="s">
        <v>36</v>
      </c>
      <c r="I1148" s="4">
        <v>4</v>
      </c>
      <c r="J1148" s="4">
        <v>0.6</v>
      </c>
      <c r="K1148" s="8">
        <f>I1148*J1148</f>
        <v>2.4</v>
      </c>
    </row>
    <row r="1149" spans="1:11" x14ac:dyDescent="0.3">
      <c r="B1149" s="4" t="s">
        <v>37</v>
      </c>
      <c r="C1149" t="s">
        <v>268</v>
      </c>
      <c r="E1149" s="8">
        <v>56</v>
      </c>
      <c r="F1149" s="26"/>
      <c r="H1149" s="4" t="s">
        <v>37</v>
      </c>
      <c r="I1149" t="s">
        <v>268</v>
      </c>
      <c r="K1149" s="8">
        <v>56</v>
      </c>
    </row>
    <row r="1150" spans="1:11" x14ac:dyDescent="0.3">
      <c r="E1150" s="8">
        <f>SUM(E1144:E1149)</f>
        <v>213.50881999999999</v>
      </c>
      <c r="F1150" s="26"/>
      <c r="K1150" s="8">
        <f>SUM(K1144:K1149)</f>
        <v>303.40061000000003</v>
      </c>
    </row>
    <row r="1151" spans="1:11" x14ac:dyDescent="0.3">
      <c r="F1151" s="26"/>
    </row>
    <row r="1152" spans="1:11" x14ac:dyDescent="0.3">
      <c r="C1152" s="4" t="s">
        <v>28</v>
      </c>
      <c r="D1152" s="4" t="s">
        <v>29</v>
      </c>
      <c r="E1152" s="4" t="s">
        <v>30</v>
      </c>
      <c r="F1152" s="26"/>
      <c r="I1152" s="4" t="s">
        <v>28</v>
      </c>
      <c r="J1152" s="4" t="s">
        <v>29</v>
      </c>
      <c r="K1152" s="4" t="s">
        <v>30</v>
      </c>
    </row>
    <row r="1153" spans="1:11" x14ac:dyDescent="0.3">
      <c r="A1153" t="s">
        <v>71</v>
      </c>
      <c r="B1153" s="4" t="s">
        <v>32</v>
      </c>
      <c r="C1153" s="4">
        <v>2.5539999999999998</v>
      </c>
      <c r="D1153" s="4">
        <v>19.38</v>
      </c>
      <c r="E1153" s="8">
        <f>C1153*D1153</f>
        <v>49.496519999999997</v>
      </c>
      <c r="F1153" s="26"/>
      <c r="G1153" t="s">
        <v>71</v>
      </c>
      <c r="H1153" s="4" t="s">
        <v>32</v>
      </c>
      <c r="I1153" s="4">
        <v>2.5539999999999998</v>
      </c>
      <c r="J1153" s="4">
        <v>30.29</v>
      </c>
      <c r="K1153" s="8">
        <f>I1153*J1153</f>
        <v>77.360659999999996</v>
      </c>
    </row>
    <row r="1154" spans="1:11" x14ac:dyDescent="0.3">
      <c r="A1154" t="s">
        <v>232</v>
      </c>
      <c r="B1154" s="4" t="s">
        <v>33</v>
      </c>
      <c r="C1154" s="4">
        <v>10.395</v>
      </c>
      <c r="D1154" s="4">
        <v>10.11</v>
      </c>
      <c r="E1154" s="8">
        <f>C1154*D1154</f>
        <v>105.09344999999999</v>
      </c>
      <c r="F1154" s="26"/>
      <c r="G1154" t="s">
        <v>232</v>
      </c>
      <c r="H1154" s="4" t="s">
        <v>33</v>
      </c>
      <c r="I1154" s="4">
        <v>10.395</v>
      </c>
      <c r="J1154" s="4">
        <v>16</v>
      </c>
      <c r="K1154" s="8">
        <f>I1154*J1154</f>
        <v>166.32</v>
      </c>
    </row>
    <row r="1155" spans="1:11" x14ac:dyDescent="0.3">
      <c r="A1155" t="s">
        <v>270</v>
      </c>
      <c r="B1155" s="4" t="s">
        <v>137</v>
      </c>
      <c r="C1155" s="4">
        <v>0.47299999999999998</v>
      </c>
      <c r="D1155" s="4">
        <v>12.92</v>
      </c>
      <c r="E1155" s="8">
        <f>C1155*D1155</f>
        <v>6.1111599999999999</v>
      </c>
      <c r="F1155" s="26"/>
      <c r="H1155" s="4" t="s">
        <v>137</v>
      </c>
      <c r="I1155" s="4">
        <v>0.47299999999999998</v>
      </c>
      <c r="J1155" s="4">
        <v>17.190000000000001</v>
      </c>
      <c r="K1155" s="8">
        <f>I1155*J1155</f>
        <v>8.1308699999999998</v>
      </c>
    </row>
    <row r="1156" spans="1:11" x14ac:dyDescent="0.3">
      <c r="B1156" s="4" t="s">
        <v>216</v>
      </c>
      <c r="C1156" s="4">
        <v>4</v>
      </c>
      <c r="D1156" s="4">
        <v>1.89</v>
      </c>
      <c r="E1156" s="8">
        <f>C1156*D1156</f>
        <v>7.56</v>
      </c>
      <c r="F1156" s="26"/>
      <c r="H1156" s="4" t="s">
        <v>216</v>
      </c>
      <c r="I1156" s="4">
        <v>4</v>
      </c>
      <c r="J1156" s="4">
        <v>2.89</v>
      </c>
      <c r="K1156" s="8">
        <f>I1156*J1156</f>
        <v>11.56</v>
      </c>
    </row>
    <row r="1157" spans="1:11" x14ac:dyDescent="0.3">
      <c r="B1157" s="4" t="s">
        <v>36</v>
      </c>
      <c r="C1157" s="4">
        <v>4</v>
      </c>
      <c r="D1157" s="4">
        <v>0.24</v>
      </c>
      <c r="E1157" s="8">
        <f>C1157*D1157</f>
        <v>0.96</v>
      </c>
      <c r="F1157" s="26"/>
      <c r="H1157" s="4" t="s">
        <v>36</v>
      </c>
      <c r="I1157" s="4">
        <v>4</v>
      </c>
      <c r="J1157" s="4">
        <v>0.6</v>
      </c>
      <c r="K1157" s="8">
        <f>I1157*J1157</f>
        <v>2.4</v>
      </c>
    </row>
    <row r="1158" spans="1:11" x14ac:dyDescent="0.3">
      <c r="B1158" s="4" t="s">
        <v>37</v>
      </c>
      <c r="C1158" t="s">
        <v>268</v>
      </c>
      <c r="E1158" s="8">
        <v>56</v>
      </c>
      <c r="F1158" s="26"/>
      <c r="H1158" s="4" t="s">
        <v>37</v>
      </c>
      <c r="I1158" t="s">
        <v>268</v>
      </c>
      <c r="K1158" s="8">
        <v>56</v>
      </c>
    </row>
    <row r="1159" spans="1:11" x14ac:dyDescent="0.3">
      <c r="E1159" s="8">
        <f>SUM(E1153:E1158)</f>
        <v>225.22113000000002</v>
      </c>
      <c r="F1159" s="26"/>
      <c r="K1159" s="8">
        <f>SUM(K1153:K1158)</f>
        <v>321.77152999999993</v>
      </c>
    </row>
    <row r="1160" spans="1:11" x14ac:dyDescent="0.3">
      <c r="F1160" s="26"/>
    </row>
    <row r="1161" spans="1:11" x14ac:dyDescent="0.3">
      <c r="C1161" s="4" t="s">
        <v>28</v>
      </c>
      <c r="D1161" s="4" t="s">
        <v>29</v>
      </c>
      <c r="E1161" s="4" t="s">
        <v>30</v>
      </c>
      <c r="F1161" s="26"/>
      <c r="I1161" s="4" t="s">
        <v>28</v>
      </c>
      <c r="J1161" s="4" t="s">
        <v>29</v>
      </c>
      <c r="K1161" s="4" t="s">
        <v>30</v>
      </c>
    </row>
    <row r="1162" spans="1:11" x14ac:dyDescent="0.3">
      <c r="A1162" t="s">
        <v>81</v>
      </c>
      <c r="B1162" s="4" t="s">
        <v>32</v>
      </c>
      <c r="C1162" s="4">
        <v>2.6589999999999998</v>
      </c>
      <c r="D1162" s="4">
        <v>19.38</v>
      </c>
      <c r="E1162" s="8">
        <f>C1162*D1162</f>
        <v>51.531419999999997</v>
      </c>
      <c r="F1162" s="26"/>
      <c r="G1162" t="s">
        <v>81</v>
      </c>
      <c r="H1162" s="4" t="s">
        <v>32</v>
      </c>
      <c r="I1162" s="4">
        <v>2.7850000000000001</v>
      </c>
      <c r="J1162" s="4">
        <v>30.29</v>
      </c>
      <c r="K1162" s="8">
        <f>I1162*J1162</f>
        <v>84.357650000000007</v>
      </c>
    </row>
    <row r="1163" spans="1:11" x14ac:dyDescent="0.3">
      <c r="A1163" t="s">
        <v>217</v>
      </c>
      <c r="B1163" s="4" t="s">
        <v>33</v>
      </c>
      <c r="C1163" s="4">
        <v>14.553000000000001</v>
      </c>
      <c r="D1163" s="4">
        <v>10.11</v>
      </c>
      <c r="E1163" s="8">
        <f>C1163*D1163</f>
        <v>147.13083</v>
      </c>
      <c r="F1163" s="26"/>
      <c r="G1163" t="s">
        <v>217</v>
      </c>
      <c r="H1163" s="4" t="s">
        <v>33</v>
      </c>
      <c r="I1163" s="4">
        <v>15.246</v>
      </c>
      <c r="J1163" s="4">
        <v>16</v>
      </c>
      <c r="K1163" s="8">
        <f>I1163*J1163</f>
        <v>243.93600000000001</v>
      </c>
    </row>
    <row r="1164" spans="1:11" x14ac:dyDescent="0.3">
      <c r="A1164" t="s">
        <v>270</v>
      </c>
      <c r="B1164" s="4" t="s">
        <v>137</v>
      </c>
      <c r="C1164" s="4">
        <v>0.63</v>
      </c>
      <c r="D1164" s="4">
        <v>12.92</v>
      </c>
      <c r="E1164" s="8">
        <f>C1164*D1164</f>
        <v>8.1395999999999997</v>
      </c>
      <c r="F1164" s="26"/>
      <c r="H1164" s="4" t="s">
        <v>137</v>
      </c>
      <c r="I1164" s="4">
        <v>0.63</v>
      </c>
      <c r="J1164" s="4">
        <v>17.190000000000001</v>
      </c>
      <c r="K1164" s="8">
        <f>I1164*J1164</f>
        <v>10.829700000000001</v>
      </c>
    </row>
    <row r="1165" spans="1:11" x14ac:dyDescent="0.3">
      <c r="B1165" s="4" t="s">
        <v>216</v>
      </c>
      <c r="C1165" s="4">
        <v>4</v>
      </c>
      <c r="D1165" s="4">
        <v>1.89</v>
      </c>
      <c r="E1165" s="8">
        <f>C1165*D1165</f>
        <v>7.56</v>
      </c>
      <c r="F1165" s="26"/>
      <c r="H1165" s="4" t="s">
        <v>216</v>
      </c>
      <c r="I1165" s="4">
        <v>4</v>
      </c>
      <c r="J1165" s="4">
        <v>2.89</v>
      </c>
      <c r="K1165" s="8">
        <f>I1165*J1165</f>
        <v>11.56</v>
      </c>
    </row>
    <row r="1166" spans="1:11" x14ac:dyDescent="0.3">
      <c r="B1166" s="4" t="s">
        <v>36</v>
      </c>
      <c r="C1166" s="4">
        <v>4</v>
      </c>
      <c r="D1166" s="4">
        <v>0.24</v>
      </c>
      <c r="E1166" s="8">
        <f>C1166*D1166</f>
        <v>0.96</v>
      </c>
      <c r="F1166" s="26"/>
      <c r="H1166" s="4" t="s">
        <v>36</v>
      </c>
      <c r="I1166" s="4">
        <v>4</v>
      </c>
      <c r="J1166" s="4">
        <v>0.6</v>
      </c>
      <c r="K1166" s="8">
        <f>I1166*J1166</f>
        <v>2.4</v>
      </c>
    </row>
    <row r="1167" spans="1:11" x14ac:dyDescent="0.3">
      <c r="B1167" s="4" t="s">
        <v>37</v>
      </c>
      <c r="C1167">
        <v>85</v>
      </c>
      <c r="E1167" s="8">
        <v>85</v>
      </c>
      <c r="F1167" s="26"/>
      <c r="H1167" s="4" t="s">
        <v>37</v>
      </c>
      <c r="I1167">
        <v>0.5</v>
      </c>
      <c r="K1167" s="8">
        <v>63.9</v>
      </c>
    </row>
    <row r="1168" spans="1:11" x14ac:dyDescent="0.3">
      <c r="E1168" s="8">
        <f>SUM(E1162:E1167)</f>
        <v>300.32185000000004</v>
      </c>
      <c r="F1168" s="26"/>
      <c r="K1168" s="8">
        <f>SUM(K1162:K1167)</f>
        <v>416.98334999999997</v>
      </c>
    </row>
    <row r="1169" spans="1:11" x14ac:dyDescent="0.3">
      <c r="F1169" s="26"/>
    </row>
    <row r="1170" spans="1:11" x14ac:dyDescent="0.3">
      <c r="C1170" s="4" t="s">
        <v>28</v>
      </c>
      <c r="D1170" s="4" t="s">
        <v>29</v>
      </c>
      <c r="E1170" s="4" t="s">
        <v>30</v>
      </c>
      <c r="F1170" s="26"/>
      <c r="I1170" s="4" t="s">
        <v>28</v>
      </c>
      <c r="J1170" s="4" t="s">
        <v>29</v>
      </c>
      <c r="K1170" s="4" t="s">
        <v>30</v>
      </c>
    </row>
    <row r="1171" spans="1:11" x14ac:dyDescent="0.3">
      <c r="A1171" t="s">
        <v>244</v>
      </c>
      <c r="B1171" s="4" t="s">
        <v>32</v>
      </c>
      <c r="C1171" s="4">
        <v>2.7639999999999998</v>
      </c>
      <c r="D1171" s="4">
        <v>19.38</v>
      </c>
      <c r="E1171" s="8">
        <f>C1171*D1171</f>
        <v>53.56631999999999</v>
      </c>
      <c r="F1171" s="26"/>
      <c r="G1171" t="s">
        <v>244</v>
      </c>
      <c r="H1171" s="4" t="s">
        <v>32</v>
      </c>
      <c r="I1171" s="4">
        <v>2.8959999999999999</v>
      </c>
      <c r="J1171" s="4">
        <v>30.29</v>
      </c>
      <c r="K1171" s="8">
        <f>I1171*J1171</f>
        <v>87.719839999999991</v>
      </c>
    </row>
    <row r="1172" spans="1:11" x14ac:dyDescent="0.3">
      <c r="A1172" t="s">
        <v>221</v>
      </c>
      <c r="B1172" s="4" t="s">
        <v>33</v>
      </c>
      <c r="C1172" s="4">
        <v>17.672000000000001</v>
      </c>
      <c r="D1172" s="4">
        <v>10.11</v>
      </c>
      <c r="E1172" s="8">
        <f>C1172*D1172</f>
        <v>178.66391999999999</v>
      </c>
      <c r="F1172" s="26"/>
      <c r="G1172" t="s">
        <v>221</v>
      </c>
      <c r="H1172" s="4" t="s">
        <v>33</v>
      </c>
      <c r="I1172" s="4">
        <v>18.513000000000002</v>
      </c>
      <c r="J1172" s="4">
        <v>16</v>
      </c>
      <c r="K1172" s="8">
        <f>I1172*J1172</f>
        <v>296.20800000000003</v>
      </c>
    </row>
    <row r="1173" spans="1:11" x14ac:dyDescent="0.3">
      <c r="A1173" t="s">
        <v>269</v>
      </c>
      <c r="B1173" s="4" t="s">
        <v>137</v>
      </c>
      <c r="C1173" s="4">
        <v>1.05</v>
      </c>
      <c r="D1173" s="4">
        <v>12.92</v>
      </c>
      <c r="E1173" s="8">
        <f>C1173*D1173</f>
        <v>13.566000000000001</v>
      </c>
      <c r="F1173" s="26"/>
      <c r="H1173" s="4" t="s">
        <v>137</v>
      </c>
      <c r="I1173" s="4">
        <v>1.05</v>
      </c>
      <c r="J1173" s="4">
        <v>17.190000000000001</v>
      </c>
      <c r="K1173" s="8">
        <f>I1173*J1173</f>
        <v>18.049500000000002</v>
      </c>
    </row>
    <row r="1174" spans="1:11" x14ac:dyDescent="0.3">
      <c r="B1174" s="4" t="s">
        <v>35</v>
      </c>
      <c r="C1174" s="4">
        <v>4</v>
      </c>
      <c r="D1174" s="4">
        <v>1.89</v>
      </c>
      <c r="E1174" s="8">
        <f>C1174*D1174</f>
        <v>7.56</v>
      </c>
      <c r="F1174" s="26"/>
      <c r="H1174" s="4" t="s">
        <v>35</v>
      </c>
      <c r="I1174" s="4">
        <v>4</v>
      </c>
      <c r="J1174" s="4">
        <v>2.89</v>
      </c>
      <c r="K1174" s="8">
        <f>I1174*J1174</f>
        <v>11.56</v>
      </c>
    </row>
    <row r="1175" spans="1:11" x14ac:dyDescent="0.3">
      <c r="B1175" s="4" t="s">
        <v>36</v>
      </c>
      <c r="C1175" s="4">
        <v>4</v>
      </c>
      <c r="D1175" s="4">
        <v>0.24</v>
      </c>
      <c r="E1175" s="8">
        <f>C1175*D1175</f>
        <v>0.96</v>
      </c>
      <c r="F1175" s="26"/>
      <c r="H1175" s="4" t="s">
        <v>36</v>
      </c>
      <c r="I1175" s="4">
        <v>4</v>
      </c>
      <c r="J1175" s="4">
        <v>0.6</v>
      </c>
      <c r="K1175" s="8">
        <f>I1175*J1175</f>
        <v>2.4</v>
      </c>
    </row>
    <row r="1176" spans="1:11" x14ac:dyDescent="0.3">
      <c r="B1176" s="4" t="s">
        <v>37</v>
      </c>
      <c r="C1176" t="s">
        <v>266</v>
      </c>
      <c r="E1176" s="8">
        <v>63</v>
      </c>
      <c r="F1176" s="26"/>
      <c r="H1176" s="4" t="s">
        <v>37</v>
      </c>
      <c r="I1176" t="s">
        <v>266</v>
      </c>
      <c r="K1176" s="8">
        <v>63</v>
      </c>
    </row>
    <row r="1177" spans="1:11" x14ac:dyDescent="0.3">
      <c r="E1177" s="8">
        <f>SUM(E1171:E1176)</f>
        <v>317.31623999999999</v>
      </c>
      <c r="F1177" s="26"/>
      <c r="K1177" s="8">
        <f>SUM(K1171:K1176)</f>
        <v>478.93734000000001</v>
      </c>
    </row>
    <row r="1178" spans="1:11" x14ac:dyDescent="0.3">
      <c r="F1178" s="26"/>
    </row>
    <row r="1179" spans="1:11" x14ac:dyDescent="0.3">
      <c r="C1179" s="4" t="s">
        <v>28</v>
      </c>
      <c r="D1179" s="4" t="s">
        <v>29</v>
      </c>
      <c r="E1179" s="4" t="s">
        <v>30</v>
      </c>
      <c r="F1179" s="26"/>
      <c r="I1179" s="4" t="s">
        <v>28</v>
      </c>
      <c r="J1179" s="4" t="s">
        <v>29</v>
      </c>
      <c r="K1179" s="4" t="s">
        <v>30</v>
      </c>
    </row>
    <row r="1180" spans="1:11" x14ac:dyDescent="0.3">
      <c r="A1180" t="s">
        <v>109</v>
      </c>
      <c r="B1180" s="4" t="s">
        <v>32</v>
      </c>
      <c r="C1180" s="4">
        <v>2.8690000000000002</v>
      </c>
      <c r="D1180" s="4">
        <v>19.38</v>
      </c>
      <c r="E1180" s="8">
        <f>C1180*D1180</f>
        <v>55.601219999999998</v>
      </c>
      <c r="F1180" s="26"/>
      <c r="G1180" t="s">
        <v>109</v>
      </c>
      <c r="H1180" s="4" t="s">
        <v>32</v>
      </c>
      <c r="I1180" s="4">
        <v>2.8690000000000002</v>
      </c>
      <c r="J1180" s="4">
        <v>30.29</v>
      </c>
      <c r="K1180" s="8">
        <f>I1180*J1180</f>
        <v>86.902010000000004</v>
      </c>
    </row>
    <row r="1181" spans="1:11" x14ac:dyDescent="0.3">
      <c r="A1181" t="s">
        <v>167</v>
      </c>
      <c r="B1181" s="4" t="s">
        <v>33</v>
      </c>
      <c r="C1181" s="4">
        <v>21.83</v>
      </c>
      <c r="D1181" s="4">
        <v>10.11</v>
      </c>
      <c r="E1181" s="8">
        <f>C1181*D1181</f>
        <v>220.70129999999997</v>
      </c>
      <c r="F1181" s="26"/>
      <c r="G1181" t="s">
        <v>167</v>
      </c>
      <c r="H1181" s="4" t="s">
        <v>33</v>
      </c>
      <c r="I1181" s="4">
        <v>21.83</v>
      </c>
      <c r="J1181" s="4">
        <v>16</v>
      </c>
      <c r="K1181" s="8">
        <f>I1181*J1181</f>
        <v>349.28</v>
      </c>
    </row>
    <row r="1182" spans="1:11" x14ac:dyDescent="0.3">
      <c r="A1182" t="s">
        <v>269</v>
      </c>
      <c r="B1182" s="4" t="s">
        <v>137</v>
      </c>
      <c r="C1182" s="4">
        <v>1.26</v>
      </c>
      <c r="D1182" s="4">
        <v>12.92</v>
      </c>
      <c r="E1182" s="8">
        <f>C1182*D1182</f>
        <v>16.279199999999999</v>
      </c>
      <c r="F1182" s="26"/>
      <c r="H1182" s="4" t="s">
        <v>137</v>
      </c>
      <c r="I1182" s="4">
        <v>1.26</v>
      </c>
      <c r="J1182" s="4">
        <v>17.190000000000001</v>
      </c>
      <c r="K1182" s="8">
        <f>I1182*J1182</f>
        <v>21.659400000000002</v>
      </c>
    </row>
    <row r="1183" spans="1:11" x14ac:dyDescent="0.3">
      <c r="B1183" s="4" t="s">
        <v>35</v>
      </c>
      <c r="C1183" s="4">
        <v>4</v>
      </c>
      <c r="D1183" s="4">
        <v>1.89</v>
      </c>
      <c r="E1183" s="8">
        <f>C1183*D1183</f>
        <v>7.56</v>
      </c>
      <c r="F1183" s="26"/>
      <c r="H1183" s="4" t="s">
        <v>35</v>
      </c>
      <c r="I1183" s="4">
        <v>4</v>
      </c>
      <c r="J1183" s="4">
        <v>2.89</v>
      </c>
      <c r="K1183" s="8">
        <f>I1183*J1183</f>
        <v>11.56</v>
      </c>
    </row>
    <row r="1184" spans="1:11" x14ac:dyDescent="0.3">
      <c r="B1184" s="4" t="s">
        <v>36</v>
      </c>
      <c r="C1184" s="4">
        <v>4</v>
      </c>
      <c r="D1184" s="4">
        <v>0.24</v>
      </c>
      <c r="E1184" s="8">
        <f>C1184*D1184</f>
        <v>0.96</v>
      </c>
      <c r="F1184" s="26"/>
      <c r="H1184" s="4" t="s">
        <v>36</v>
      </c>
      <c r="I1184" s="4">
        <v>4</v>
      </c>
      <c r="J1184" s="4">
        <v>0.6</v>
      </c>
      <c r="K1184" s="8">
        <f>I1184*J1184</f>
        <v>2.4</v>
      </c>
    </row>
    <row r="1185" spans="1:11" x14ac:dyDescent="0.3">
      <c r="B1185" s="4" t="s">
        <v>37</v>
      </c>
      <c r="C1185">
        <v>85</v>
      </c>
      <c r="E1185" s="8">
        <v>85</v>
      </c>
      <c r="F1185" s="26"/>
      <c r="H1185" s="4" t="s">
        <v>37</v>
      </c>
      <c r="I1185">
        <v>85</v>
      </c>
      <c r="K1185" s="8">
        <v>85</v>
      </c>
    </row>
    <row r="1186" spans="1:11" x14ac:dyDescent="0.3">
      <c r="E1186" s="8">
        <f>SUM(E1180:E1185)</f>
        <v>386.10171999999994</v>
      </c>
      <c r="F1186" s="26"/>
      <c r="K1186" s="8">
        <f>SUM(K1180:K1185)</f>
        <v>556.80141000000003</v>
      </c>
    </row>
    <row r="1187" spans="1:11" x14ac:dyDescent="0.3">
      <c r="F1187" s="26"/>
    </row>
    <row r="1188" spans="1:11" x14ac:dyDescent="0.3">
      <c r="F1188" s="26"/>
    </row>
    <row r="1189" spans="1:11" x14ac:dyDescent="0.3">
      <c r="C1189" s="4" t="s">
        <v>28</v>
      </c>
      <c r="D1189" s="4" t="s">
        <v>29</v>
      </c>
      <c r="E1189" s="4" t="s">
        <v>30</v>
      </c>
      <c r="F1189" s="26"/>
      <c r="I1189" s="4" t="s">
        <v>28</v>
      </c>
      <c r="J1189" s="4" t="s">
        <v>29</v>
      </c>
      <c r="K1189" s="4" t="s">
        <v>30</v>
      </c>
    </row>
    <row r="1190" spans="1:11" x14ac:dyDescent="0.3">
      <c r="A1190" t="s">
        <v>123</v>
      </c>
      <c r="B1190" s="4" t="s">
        <v>32</v>
      </c>
      <c r="C1190" s="4">
        <v>3.0790000000000002</v>
      </c>
      <c r="D1190" s="4">
        <v>19.38</v>
      </c>
      <c r="E1190" s="8">
        <f>C1190*D1190</f>
        <v>59.671019999999999</v>
      </c>
      <c r="F1190" s="26"/>
      <c r="G1190" t="s">
        <v>123</v>
      </c>
      <c r="H1190" s="4" t="s">
        <v>32</v>
      </c>
      <c r="I1190" s="4">
        <v>3.0790000000000002</v>
      </c>
      <c r="J1190" s="4">
        <v>30.29</v>
      </c>
      <c r="K1190" s="8">
        <f>I1190*J1190</f>
        <v>93.262910000000005</v>
      </c>
    </row>
    <row r="1191" spans="1:11" x14ac:dyDescent="0.3">
      <c r="A1191" t="s">
        <v>168</v>
      </c>
      <c r="B1191" s="4" t="s">
        <v>33</v>
      </c>
      <c r="C1191" s="4">
        <v>30.146000000000001</v>
      </c>
      <c r="D1191" s="4">
        <v>10.11</v>
      </c>
      <c r="E1191" s="8">
        <f>C1191*D1191</f>
        <v>304.77605999999997</v>
      </c>
      <c r="F1191" s="26"/>
      <c r="G1191" t="s">
        <v>168</v>
      </c>
      <c r="H1191" s="4" t="s">
        <v>33</v>
      </c>
      <c r="I1191" s="4">
        <v>30.146000000000001</v>
      </c>
      <c r="J1191" s="4">
        <v>16</v>
      </c>
      <c r="K1191" s="8">
        <f>I1191*J1191</f>
        <v>482.33600000000001</v>
      </c>
    </row>
    <row r="1192" spans="1:11" x14ac:dyDescent="0.3">
      <c r="A1192" t="s">
        <v>269</v>
      </c>
      <c r="B1192" s="4" t="s">
        <v>137</v>
      </c>
      <c r="C1192" s="4">
        <v>1.68</v>
      </c>
      <c r="D1192" s="4">
        <v>12.92</v>
      </c>
      <c r="E1192" s="8">
        <f>C1192*D1192</f>
        <v>21.7056</v>
      </c>
      <c r="F1192" s="26"/>
      <c r="H1192" s="4" t="s">
        <v>137</v>
      </c>
      <c r="I1192" s="4">
        <v>1.68</v>
      </c>
      <c r="J1192" s="4">
        <v>17.190000000000001</v>
      </c>
      <c r="K1192" s="8">
        <f>I1192*J1192</f>
        <v>28.879200000000001</v>
      </c>
    </row>
    <row r="1193" spans="1:11" x14ac:dyDescent="0.3">
      <c r="B1193" s="4" t="s">
        <v>35</v>
      </c>
      <c r="C1193" s="4">
        <v>4</v>
      </c>
      <c r="D1193" s="4">
        <v>1.89</v>
      </c>
      <c r="E1193" s="8">
        <f>C1193*D1193</f>
        <v>7.56</v>
      </c>
      <c r="F1193" s="26"/>
      <c r="H1193" s="4" t="s">
        <v>35</v>
      </c>
      <c r="I1193" s="4">
        <v>4</v>
      </c>
      <c r="J1193" s="4">
        <v>2.89</v>
      </c>
      <c r="K1193" s="8">
        <f>I1193*J1193</f>
        <v>11.56</v>
      </c>
    </row>
    <row r="1194" spans="1:11" x14ac:dyDescent="0.3">
      <c r="B1194" s="4" t="s">
        <v>36</v>
      </c>
      <c r="C1194" s="4">
        <v>4</v>
      </c>
      <c r="D1194" s="4">
        <v>0.24</v>
      </c>
      <c r="E1194" s="8">
        <f>C1194*D1194</f>
        <v>0.96</v>
      </c>
      <c r="F1194" s="26"/>
      <c r="H1194" s="4" t="s">
        <v>36</v>
      </c>
      <c r="I1194" s="4">
        <v>4</v>
      </c>
      <c r="J1194" s="4">
        <v>0.6</v>
      </c>
      <c r="K1194" s="8">
        <f>I1194*J1194</f>
        <v>2.4</v>
      </c>
    </row>
    <row r="1195" spans="1:11" x14ac:dyDescent="0.3">
      <c r="B1195" s="4" t="s">
        <v>37</v>
      </c>
      <c r="C1195" t="s">
        <v>266</v>
      </c>
      <c r="E1195" s="8">
        <v>63</v>
      </c>
      <c r="F1195" s="26"/>
      <c r="H1195" s="4" t="s">
        <v>37</v>
      </c>
      <c r="I1195" t="s">
        <v>266</v>
      </c>
      <c r="K1195" s="8">
        <v>63</v>
      </c>
    </row>
    <row r="1196" spans="1:11" x14ac:dyDescent="0.3">
      <c r="E1196" s="8">
        <f>SUM(E1190:E1195)</f>
        <v>457.67267999999996</v>
      </c>
      <c r="F1196" s="26"/>
      <c r="K1196" s="8">
        <f>SUM(K1190:K1195)</f>
        <v>681.43810999999994</v>
      </c>
    </row>
    <row r="1197" spans="1:11" x14ac:dyDescent="0.3">
      <c r="F1197" s="26"/>
    </row>
    <row r="1198" spans="1:11" x14ac:dyDescent="0.3">
      <c r="C1198" s="4" t="s">
        <v>28</v>
      </c>
      <c r="D1198" s="4" t="s">
        <v>29</v>
      </c>
      <c r="E1198" s="4" t="s">
        <v>30</v>
      </c>
      <c r="F1198" s="26"/>
      <c r="I1198" s="4" t="s">
        <v>28</v>
      </c>
      <c r="J1198" s="4" t="s">
        <v>29</v>
      </c>
      <c r="K1198" s="4" t="s">
        <v>30</v>
      </c>
    </row>
    <row r="1199" spans="1:11" x14ac:dyDescent="0.3">
      <c r="A1199" t="s">
        <v>245</v>
      </c>
      <c r="B1199" s="4" t="s">
        <v>32</v>
      </c>
      <c r="C1199" s="4">
        <v>2.7429999999999999</v>
      </c>
      <c r="D1199" s="4">
        <v>19.38</v>
      </c>
      <c r="E1199" s="8">
        <f>C1199*D1199</f>
        <v>53.159339999999993</v>
      </c>
      <c r="F1199" s="26"/>
      <c r="G1199" t="s">
        <v>245</v>
      </c>
      <c r="H1199" s="4" t="s">
        <v>32</v>
      </c>
      <c r="I1199" s="4">
        <v>2.7429999999999999</v>
      </c>
      <c r="J1199" s="4">
        <v>30.29</v>
      </c>
      <c r="K1199" s="8">
        <f>I1199*J1199</f>
        <v>83.085470000000001</v>
      </c>
    </row>
    <row r="1200" spans="1:11" x14ac:dyDescent="0.3">
      <c r="A1200" t="s">
        <v>246</v>
      </c>
      <c r="B1200" s="4" t="s">
        <v>33</v>
      </c>
      <c r="C1200" s="4">
        <v>1.25</v>
      </c>
      <c r="D1200" s="4">
        <v>10.11</v>
      </c>
      <c r="E1200" s="8">
        <f>C1200*D1200</f>
        <v>12.637499999999999</v>
      </c>
      <c r="F1200" s="26"/>
      <c r="G1200" t="s">
        <v>246</v>
      </c>
      <c r="H1200" s="4" t="s">
        <v>33</v>
      </c>
      <c r="I1200" s="4">
        <v>1.25</v>
      </c>
      <c r="J1200" s="4">
        <v>16</v>
      </c>
      <c r="K1200" s="8">
        <f>I1200*J1200</f>
        <v>20</v>
      </c>
    </row>
    <row r="1201" spans="1:11" x14ac:dyDescent="0.3">
      <c r="A1201" t="s">
        <v>269</v>
      </c>
      <c r="B1201" s="4" t="s">
        <v>137</v>
      </c>
      <c r="C1201" s="4">
        <v>0.16800000000000001</v>
      </c>
      <c r="D1201" s="4">
        <v>12.92</v>
      </c>
      <c r="E1201" s="8">
        <f>C1201*D1201</f>
        <v>2.17056</v>
      </c>
      <c r="F1201" s="26"/>
      <c r="H1201" s="4" t="s">
        <v>137</v>
      </c>
      <c r="I1201" s="4">
        <v>0.16800000000000001</v>
      </c>
      <c r="J1201" s="4">
        <v>17.190000000000001</v>
      </c>
      <c r="K1201" s="8">
        <f>I1201*J1201</f>
        <v>2.8879200000000003</v>
      </c>
    </row>
    <row r="1202" spans="1:11" x14ac:dyDescent="0.3">
      <c r="B1202" s="4" t="s">
        <v>35</v>
      </c>
      <c r="C1202" s="4">
        <v>4</v>
      </c>
      <c r="D1202" s="4">
        <v>1.89</v>
      </c>
      <c r="E1202" s="8">
        <f>C1202*D1202</f>
        <v>7.56</v>
      </c>
      <c r="F1202" s="26"/>
      <c r="H1202" s="4" t="s">
        <v>35</v>
      </c>
      <c r="I1202" s="4">
        <v>4</v>
      </c>
      <c r="J1202" s="4">
        <v>2.89</v>
      </c>
      <c r="K1202" s="8">
        <f>I1202*J1202</f>
        <v>11.56</v>
      </c>
    </row>
    <row r="1203" spans="1:11" x14ac:dyDescent="0.3">
      <c r="B1203" s="4" t="s">
        <v>36</v>
      </c>
      <c r="C1203" s="4">
        <v>4</v>
      </c>
      <c r="D1203" s="4">
        <v>0.24</v>
      </c>
      <c r="E1203" s="8">
        <f>C1203*D1203</f>
        <v>0.96</v>
      </c>
      <c r="F1203" s="26"/>
      <c r="H1203" s="4" t="s">
        <v>36</v>
      </c>
      <c r="I1203" s="4">
        <v>4</v>
      </c>
      <c r="J1203" s="4">
        <v>0.6</v>
      </c>
      <c r="K1203" s="8">
        <f>I1203*J1203</f>
        <v>2.4</v>
      </c>
    </row>
    <row r="1204" spans="1:11" x14ac:dyDescent="0.3">
      <c r="B1204" s="4" t="s">
        <v>37</v>
      </c>
      <c r="C1204" t="s">
        <v>264</v>
      </c>
      <c r="E1204" s="8">
        <v>35</v>
      </c>
      <c r="F1204" s="26"/>
      <c r="H1204" s="4" t="s">
        <v>37</v>
      </c>
      <c r="I1204">
        <v>85</v>
      </c>
      <c r="K1204" s="8">
        <v>85</v>
      </c>
    </row>
    <row r="1205" spans="1:11" x14ac:dyDescent="0.3">
      <c r="E1205" s="8">
        <f>SUM(E1199:E1204)</f>
        <v>111.48739999999998</v>
      </c>
      <c r="F1205" s="26"/>
      <c r="K1205" s="8">
        <f>SUM(K1199:K1204)</f>
        <v>204.93339</v>
      </c>
    </row>
    <row r="1206" spans="1:11" x14ac:dyDescent="0.3">
      <c r="F1206" s="26"/>
    </row>
    <row r="1207" spans="1:11" x14ac:dyDescent="0.3">
      <c r="F1207" s="26"/>
    </row>
    <row r="1208" spans="1:11" x14ac:dyDescent="0.3">
      <c r="C1208" s="4" t="s">
        <v>28</v>
      </c>
      <c r="D1208" s="4" t="s">
        <v>29</v>
      </c>
      <c r="E1208" s="4" t="s">
        <v>30</v>
      </c>
      <c r="F1208" s="26"/>
      <c r="I1208" s="4" t="s">
        <v>28</v>
      </c>
      <c r="J1208" s="4" t="s">
        <v>29</v>
      </c>
      <c r="K1208" s="4" t="s">
        <v>30</v>
      </c>
    </row>
    <row r="1209" spans="1:11" x14ac:dyDescent="0.3">
      <c r="A1209" t="s">
        <v>247</v>
      </c>
      <c r="B1209" s="4" t="s">
        <v>32</v>
      </c>
      <c r="C1209" s="4">
        <v>2.7639999999999998</v>
      </c>
      <c r="D1209" s="4">
        <v>19.38</v>
      </c>
      <c r="E1209" s="8">
        <f>C1209*D1209</f>
        <v>53.56631999999999</v>
      </c>
      <c r="F1209" s="26"/>
      <c r="G1209" t="s">
        <v>247</v>
      </c>
      <c r="H1209" s="4" t="s">
        <v>32</v>
      </c>
      <c r="I1209" s="4">
        <v>2.7639999999999998</v>
      </c>
      <c r="J1209" s="4">
        <v>30.29</v>
      </c>
      <c r="K1209" s="8">
        <f>I1209*J1209</f>
        <v>83.721559999999997</v>
      </c>
    </row>
    <row r="1210" spans="1:11" x14ac:dyDescent="0.3">
      <c r="A1210" t="s">
        <v>201</v>
      </c>
      <c r="B1210" s="4" t="s">
        <v>33</v>
      </c>
      <c r="C1210" s="4">
        <v>2.5</v>
      </c>
      <c r="D1210" s="4">
        <v>10.11</v>
      </c>
      <c r="E1210" s="8">
        <f>C1210*D1210</f>
        <v>25.274999999999999</v>
      </c>
      <c r="F1210" s="26"/>
      <c r="G1210" t="s">
        <v>201</v>
      </c>
      <c r="H1210" s="4" t="s">
        <v>33</v>
      </c>
      <c r="I1210" s="4">
        <v>2.5</v>
      </c>
      <c r="J1210" s="4">
        <v>16</v>
      </c>
      <c r="K1210" s="8">
        <f>I1210*J1210</f>
        <v>40</v>
      </c>
    </row>
    <row r="1211" spans="1:11" x14ac:dyDescent="0.3">
      <c r="A1211" t="s">
        <v>269</v>
      </c>
      <c r="B1211" s="4" t="s">
        <v>137</v>
      </c>
      <c r="C1211" s="4">
        <v>0.21</v>
      </c>
      <c r="D1211" s="4">
        <v>12.92</v>
      </c>
      <c r="E1211" s="8">
        <f>C1211*D1211</f>
        <v>2.7132000000000001</v>
      </c>
      <c r="F1211" s="26"/>
      <c r="H1211" s="4" t="s">
        <v>137</v>
      </c>
      <c r="I1211" s="4">
        <v>0.21</v>
      </c>
      <c r="J1211" s="4">
        <v>17.190000000000001</v>
      </c>
      <c r="K1211" s="8">
        <f>I1211*J1211</f>
        <v>3.6099000000000001</v>
      </c>
    </row>
    <row r="1212" spans="1:11" x14ac:dyDescent="0.3">
      <c r="B1212" s="4" t="s">
        <v>35</v>
      </c>
      <c r="C1212" s="4">
        <v>4</v>
      </c>
      <c r="D1212" s="4">
        <v>1.89</v>
      </c>
      <c r="E1212" s="8">
        <f>C1212*D1212</f>
        <v>7.56</v>
      </c>
      <c r="F1212" s="26"/>
      <c r="H1212" s="4" t="s">
        <v>35</v>
      </c>
      <c r="I1212" s="4">
        <v>4</v>
      </c>
      <c r="J1212" s="4">
        <v>2.89</v>
      </c>
      <c r="K1212" s="8">
        <f>I1212*J1212</f>
        <v>11.56</v>
      </c>
    </row>
    <row r="1213" spans="1:11" x14ac:dyDescent="0.3">
      <c r="B1213" s="4" t="s">
        <v>36</v>
      </c>
      <c r="C1213" s="4">
        <v>4</v>
      </c>
      <c r="D1213" s="4">
        <v>0.24</v>
      </c>
      <c r="E1213" s="8">
        <f>C1213*D1213</f>
        <v>0.96</v>
      </c>
      <c r="F1213" s="26"/>
      <c r="H1213" s="4" t="s">
        <v>36</v>
      </c>
      <c r="I1213" s="4">
        <v>4</v>
      </c>
      <c r="J1213" s="4">
        <v>0.6</v>
      </c>
      <c r="K1213" s="8">
        <f>I1213*J1213</f>
        <v>2.4</v>
      </c>
    </row>
    <row r="1214" spans="1:11" x14ac:dyDescent="0.3">
      <c r="B1214" s="4" t="s">
        <v>37</v>
      </c>
      <c r="C1214" t="s">
        <v>264</v>
      </c>
      <c r="E1214" s="8">
        <v>35</v>
      </c>
      <c r="F1214" s="26"/>
      <c r="H1214" s="4" t="s">
        <v>37</v>
      </c>
      <c r="I1214" t="s">
        <v>264</v>
      </c>
      <c r="K1214" s="8">
        <v>35</v>
      </c>
    </row>
    <row r="1215" spans="1:11" x14ac:dyDescent="0.3">
      <c r="E1215" s="8">
        <f>SUM(E1209:E1214)</f>
        <v>125.07451999999999</v>
      </c>
      <c r="F1215" s="26"/>
      <c r="K1215" s="8">
        <f>SUM(K1209:K1214)</f>
        <v>176.29146</v>
      </c>
    </row>
    <row r="1216" spans="1:11" x14ac:dyDescent="0.3">
      <c r="F1216" s="26"/>
    </row>
    <row r="1217" spans="1:11" x14ac:dyDescent="0.3">
      <c r="C1217" s="4" t="s">
        <v>28</v>
      </c>
      <c r="D1217" s="4" t="s">
        <v>29</v>
      </c>
      <c r="E1217" s="4" t="s">
        <v>30</v>
      </c>
      <c r="F1217" s="26"/>
      <c r="I1217" s="4" t="s">
        <v>28</v>
      </c>
      <c r="J1217" s="4" t="s">
        <v>29</v>
      </c>
      <c r="K1217" s="4" t="s">
        <v>30</v>
      </c>
    </row>
    <row r="1218" spans="1:11" x14ac:dyDescent="0.3">
      <c r="A1218" t="s">
        <v>248</v>
      </c>
      <c r="B1218" s="4" t="s">
        <v>32</v>
      </c>
      <c r="C1218" s="4">
        <v>2.7850000000000001</v>
      </c>
      <c r="D1218" s="4">
        <v>19.38</v>
      </c>
      <c r="E1218" s="8">
        <f>C1218*D1218</f>
        <v>53.973300000000002</v>
      </c>
      <c r="F1218" s="26"/>
      <c r="G1218" t="s">
        <v>248</v>
      </c>
      <c r="H1218" s="4" t="s">
        <v>32</v>
      </c>
      <c r="I1218" s="4">
        <v>2.7850000000000001</v>
      </c>
      <c r="J1218" s="4">
        <v>30.29</v>
      </c>
      <c r="K1218" s="8">
        <f>I1218*J1218</f>
        <v>84.357650000000007</v>
      </c>
    </row>
    <row r="1219" spans="1:11" x14ac:dyDescent="0.3">
      <c r="A1219" t="s">
        <v>214</v>
      </c>
      <c r="B1219" s="4" t="s">
        <v>33</v>
      </c>
      <c r="C1219" s="4">
        <v>3.7490000000000001</v>
      </c>
      <c r="D1219" s="4">
        <v>10.11</v>
      </c>
      <c r="E1219" s="8">
        <f>C1219*D1219</f>
        <v>37.902389999999997</v>
      </c>
      <c r="F1219" s="26"/>
      <c r="G1219" t="s">
        <v>214</v>
      </c>
      <c r="H1219" s="4" t="s">
        <v>33</v>
      </c>
      <c r="I1219" s="4">
        <v>3.7490000000000001</v>
      </c>
      <c r="J1219" s="4">
        <v>16</v>
      </c>
      <c r="K1219" s="8">
        <f>I1219*J1219</f>
        <v>59.984000000000002</v>
      </c>
    </row>
    <row r="1220" spans="1:11" x14ac:dyDescent="0.3">
      <c r="A1220" t="s">
        <v>269</v>
      </c>
      <c r="B1220" s="4" t="s">
        <v>137</v>
      </c>
      <c r="C1220" s="4">
        <v>0.252</v>
      </c>
      <c r="D1220" s="4">
        <v>12.92</v>
      </c>
      <c r="E1220" s="8">
        <f>C1220*D1220</f>
        <v>3.2558400000000001</v>
      </c>
      <c r="F1220" s="26"/>
      <c r="H1220" s="4" t="s">
        <v>137</v>
      </c>
      <c r="I1220" s="4">
        <v>0.252</v>
      </c>
      <c r="J1220" s="4">
        <v>17.190000000000001</v>
      </c>
      <c r="K1220" s="8">
        <f>I1220*J1220</f>
        <v>4.33188</v>
      </c>
    </row>
    <row r="1221" spans="1:11" x14ac:dyDescent="0.3">
      <c r="B1221" s="4" t="s">
        <v>35</v>
      </c>
      <c r="C1221" s="4">
        <v>4</v>
      </c>
      <c r="D1221" s="4">
        <v>1.89</v>
      </c>
      <c r="E1221" s="8">
        <f>C1221*D1221</f>
        <v>7.56</v>
      </c>
      <c r="F1221" s="26"/>
      <c r="H1221" s="4" t="s">
        <v>35</v>
      </c>
      <c r="I1221" s="4">
        <v>4</v>
      </c>
      <c r="J1221" s="4">
        <v>2.89</v>
      </c>
      <c r="K1221" s="8">
        <f>I1221*J1221</f>
        <v>11.56</v>
      </c>
    </row>
    <row r="1222" spans="1:11" x14ac:dyDescent="0.3">
      <c r="B1222" s="4" t="s">
        <v>36</v>
      </c>
      <c r="C1222" s="4">
        <v>4</v>
      </c>
      <c r="D1222" s="4">
        <v>0.24</v>
      </c>
      <c r="E1222" s="8">
        <f>C1222*D1222</f>
        <v>0.96</v>
      </c>
      <c r="F1222" s="26"/>
      <c r="H1222" s="4" t="s">
        <v>36</v>
      </c>
      <c r="I1222" s="4">
        <v>4</v>
      </c>
      <c r="J1222" s="4">
        <v>0.6</v>
      </c>
      <c r="K1222" s="8">
        <f>I1222*J1222</f>
        <v>2.4</v>
      </c>
    </row>
    <row r="1223" spans="1:11" x14ac:dyDescent="0.3">
      <c r="B1223" s="4" t="s">
        <v>37</v>
      </c>
      <c r="C1223" t="s">
        <v>264</v>
      </c>
      <c r="E1223" s="8">
        <v>35</v>
      </c>
      <c r="F1223" s="26"/>
      <c r="H1223" s="4" t="s">
        <v>37</v>
      </c>
      <c r="I1223" t="s">
        <v>264</v>
      </c>
      <c r="K1223" s="8">
        <v>35</v>
      </c>
    </row>
    <row r="1224" spans="1:11" x14ac:dyDescent="0.3">
      <c r="E1224" s="8">
        <f>SUM(E1218:E1223)</f>
        <v>138.65152999999998</v>
      </c>
      <c r="F1224" s="26"/>
      <c r="K1224" s="8">
        <f>SUM(K1218:K1223)</f>
        <v>197.63353000000004</v>
      </c>
    </row>
    <row r="1225" spans="1:11" x14ac:dyDescent="0.3">
      <c r="F1225" s="26"/>
    </row>
    <row r="1226" spans="1:11" x14ac:dyDescent="0.3">
      <c r="C1226" s="4" t="s">
        <v>28</v>
      </c>
      <c r="D1226" s="4" t="s">
        <v>29</v>
      </c>
      <c r="E1226" s="4" t="s">
        <v>30</v>
      </c>
      <c r="F1226" s="26"/>
      <c r="I1226" s="4" t="s">
        <v>28</v>
      </c>
      <c r="J1226" s="4" t="s">
        <v>29</v>
      </c>
      <c r="K1226" s="4" t="s">
        <v>30</v>
      </c>
    </row>
    <row r="1227" spans="1:11" x14ac:dyDescent="0.3">
      <c r="A1227" t="s">
        <v>249</v>
      </c>
      <c r="B1227" s="4" t="s">
        <v>32</v>
      </c>
      <c r="C1227" s="4">
        <v>2.8170000000000002</v>
      </c>
      <c r="D1227" s="4">
        <v>19.38</v>
      </c>
      <c r="E1227" s="8">
        <f>C1227*D1227</f>
        <v>54.59346</v>
      </c>
      <c r="F1227" s="26"/>
      <c r="G1227" t="s">
        <v>249</v>
      </c>
      <c r="H1227" s="4" t="s">
        <v>32</v>
      </c>
      <c r="I1227" s="4">
        <v>2.8170000000000002</v>
      </c>
      <c r="J1227" s="4">
        <v>30.29</v>
      </c>
      <c r="K1227" s="8">
        <f>I1227*J1227</f>
        <v>85.326930000000004</v>
      </c>
    </row>
    <row r="1228" spans="1:11" x14ac:dyDescent="0.3">
      <c r="A1228" t="s">
        <v>39</v>
      </c>
      <c r="B1228" s="4" t="s">
        <v>33</v>
      </c>
      <c r="C1228" s="4">
        <v>4.9980000000000002</v>
      </c>
      <c r="D1228" s="4">
        <v>10.11</v>
      </c>
      <c r="E1228" s="8">
        <f>C1228*D1228</f>
        <v>50.529780000000002</v>
      </c>
      <c r="F1228" s="26"/>
      <c r="G1228" t="s">
        <v>39</v>
      </c>
      <c r="H1228" s="4" t="s">
        <v>33</v>
      </c>
      <c r="I1228" s="4">
        <v>4.9980000000000002</v>
      </c>
      <c r="J1228" s="4">
        <v>16</v>
      </c>
      <c r="K1228" s="8">
        <f>I1228*J1228</f>
        <v>79.968000000000004</v>
      </c>
    </row>
    <row r="1229" spans="1:11" x14ac:dyDescent="0.3">
      <c r="A1229" t="s">
        <v>269</v>
      </c>
      <c r="B1229" s="4" t="s">
        <v>137</v>
      </c>
      <c r="C1229" s="4">
        <v>0.315</v>
      </c>
      <c r="D1229" s="4">
        <v>12.92</v>
      </c>
      <c r="E1229" s="8">
        <f>C1229*D1229</f>
        <v>4.0697999999999999</v>
      </c>
      <c r="F1229" s="26"/>
      <c r="H1229" s="4" t="s">
        <v>137</v>
      </c>
      <c r="I1229" s="4">
        <v>0.315</v>
      </c>
      <c r="J1229" s="4">
        <v>17.190000000000001</v>
      </c>
      <c r="K1229" s="8">
        <f>I1229*J1229</f>
        <v>5.4148500000000004</v>
      </c>
    </row>
    <row r="1230" spans="1:11" x14ac:dyDescent="0.3">
      <c r="B1230" s="4" t="s">
        <v>35</v>
      </c>
      <c r="C1230" s="4">
        <v>4</v>
      </c>
      <c r="D1230" s="4">
        <v>1.89</v>
      </c>
      <c r="E1230" s="8">
        <f>C1230*D1230</f>
        <v>7.56</v>
      </c>
      <c r="F1230" s="26"/>
      <c r="H1230" s="4" t="s">
        <v>35</v>
      </c>
      <c r="I1230" s="4">
        <v>4</v>
      </c>
      <c r="J1230" s="4">
        <v>2.89</v>
      </c>
      <c r="K1230" s="8">
        <f>I1230*J1230</f>
        <v>11.56</v>
      </c>
    </row>
    <row r="1231" spans="1:11" x14ac:dyDescent="0.3">
      <c r="B1231" s="4" t="s">
        <v>36</v>
      </c>
      <c r="C1231" s="4">
        <v>4</v>
      </c>
      <c r="D1231" s="4">
        <v>0.24</v>
      </c>
      <c r="E1231" s="8">
        <f>C1231*D1231</f>
        <v>0.96</v>
      </c>
      <c r="F1231" s="26"/>
      <c r="H1231" s="4" t="s">
        <v>36</v>
      </c>
      <c r="I1231" s="4">
        <v>4</v>
      </c>
      <c r="J1231" s="4">
        <v>0.6</v>
      </c>
      <c r="K1231" s="8">
        <f>I1231*J1231</f>
        <v>2.4</v>
      </c>
    </row>
    <row r="1232" spans="1:11" x14ac:dyDescent="0.3">
      <c r="B1232" s="4" t="s">
        <v>37</v>
      </c>
      <c r="C1232" t="s">
        <v>264</v>
      </c>
      <c r="E1232" s="8">
        <v>35</v>
      </c>
      <c r="F1232" s="26"/>
      <c r="H1232" s="4" t="s">
        <v>37</v>
      </c>
      <c r="I1232" t="s">
        <v>264</v>
      </c>
      <c r="K1232" s="8">
        <v>35</v>
      </c>
    </row>
    <row r="1233" spans="1:11" x14ac:dyDescent="0.3">
      <c r="E1233" s="8">
        <f>SUM(E1227:E1232)</f>
        <v>152.71304000000001</v>
      </c>
      <c r="F1233" s="26"/>
      <c r="K1233" s="8">
        <f>SUM(K1227:K1232)</f>
        <v>219.66978000000003</v>
      </c>
    </row>
    <row r="1234" spans="1:11" x14ac:dyDescent="0.3">
      <c r="F1234" s="26"/>
    </row>
    <row r="1235" spans="1:11" x14ac:dyDescent="0.3">
      <c r="C1235" s="4" t="s">
        <v>28</v>
      </c>
      <c r="D1235" s="4" t="s">
        <v>29</v>
      </c>
      <c r="E1235" s="4" t="s">
        <v>30</v>
      </c>
      <c r="F1235" s="26"/>
      <c r="I1235" s="4" t="s">
        <v>28</v>
      </c>
      <c r="J1235" s="4" t="s">
        <v>29</v>
      </c>
      <c r="K1235" s="4" t="s">
        <v>30</v>
      </c>
    </row>
    <row r="1236" spans="1:11" x14ac:dyDescent="0.3">
      <c r="A1236" t="s">
        <v>250</v>
      </c>
      <c r="B1236" s="4" t="s">
        <v>32</v>
      </c>
      <c r="C1236" s="4">
        <v>2.8380000000000001</v>
      </c>
      <c r="D1236" s="4">
        <v>19.38</v>
      </c>
      <c r="E1236" s="8">
        <f>C1236*D1236</f>
        <v>55.000439999999998</v>
      </c>
      <c r="F1236" s="26"/>
      <c r="G1236" t="s">
        <v>250</v>
      </c>
      <c r="H1236" s="4" t="s">
        <v>32</v>
      </c>
      <c r="I1236" s="4">
        <v>2.8380000000000001</v>
      </c>
      <c r="J1236" s="4">
        <v>30.29</v>
      </c>
      <c r="K1236" s="8">
        <f>I1236*J1236</f>
        <v>85.96302</v>
      </c>
    </row>
    <row r="1237" spans="1:11" x14ac:dyDescent="0.3">
      <c r="A1237" t="s">
        <v>262</v>
      </c>
      <c r="B1237" s="4" t="s">
        <v>33</v>
      </c>
      <c r="C1237" s="4">
        <v>6.2480000000000002</v>
      </c>
      <c r="D1237" s="4">
        <v>10.11</v>
      </c>
      <c r="E1237" s="8">
        <f>C1237*D1237</f>
        <v>63.167279999999998</v>
      </c>
      <c r="F1237" s="26"/>
      <c r="G1237" t="s">
        <v>262</v>
      </c>
      <c r="H1237" s="4" t="s">
        <v>33</v>
      </c>
      <c r="I1237" s="4">
        <v>6.2480000000000002</v>
      </c>
      <c r="J1237" s="4">
        <v>16</v>
      </c>
      <c r="K1237" s="8">
        <f>I1237*J1237</f>
        <v>99.968000000000004</v>
      </c>
    </row>
    <row r="1238" spans="1:11" x14ac:dyDescent="0.3">
      <c r="A1238" t="s">
        <v>269</v>
      </c>
      <c r="B1238" s="4" t="s">
        <v>137</v>
      </c>
      <c r="C1238" s="4">
        <v>0.35699999999999998</v>
      </c>
      <c r="D1238" s="4">
        <v>12.92</v>
      </c>
      <c r="E1238" s="8">
        <f>C1238*D1238</f>
        <v>4.6124399999999994</v>
      </c>
      <c r="F1238" s="26"/>
      <c r="H1238" s="4" t="s">
        <v>137</v>
      </c>
      <c r="I1238" s="4">
        <v>0.35699999999999998</v>
      </c>
      <c r="J1238" s="4">
        <v>17.190000000000001</v>
      </c>
      <c r="K1238" s="8">
        <f>I1238*J1238</f>
        <v>6.1368299999999998</v>
      </c>
    </row>
    <row r="1239" spans="1:11" x14ac:dyDescent="0.3">
      <c r="B1239" s="4" t="s">
        <v>35</v>
      </c>
      <c r="C1239" s="4">
        <v>4</v>
      </c>
      <c r="D1239" s="4">
        <v>1.89</v>
      </c>
      <c r="E1239" s="8">
        <f>C1239*D1239</f>
        <v>7.56</v>
      </c>
      <c r="F1239" s="26"/>
      <c r="H1239" s="4" t="s">
        <v>35</v>
      </c>
      <c r="I1239" s="4">
        <v>4</v>
      </c>
      <c r="J1239" s="4">
        <v>2.89</v>
      </c>
      <c r="K1239" s="8">
        <f>I1239*J1239</f>
        <v>11.56</v>
      </c>
    </row>
    <row r="1240" spans="1:11" x14ac:dyDescent="0.3">
      <c r="B1240" s="4" t="s">
        <v>36</v>
      </c>
      <c r="C1240" s="4">
        <v>4</v>
      </c>
      <c r="D1240" s="4">
        <v>0.24</v>
      </c>
      <c r="E1240" s="8">
        <f>C1240*D1240</f>
        <v>0.96</v>
      </c>
      <c r="F1240" s="26"/>
      <c r="H1240" s="4" t="s">
        <v>36</v>
      </c>
      <c r="I1240" s="4">
        <v>4</v>
      </c>
      <c r="J1240" s="4">
        <v>0.6</v>
      </c>
      <c r="K1240" s="8">
        <f>I1240*J1240</f>
        <v>2.4</v>
      </c>
    </row>
    <row r="1241" spans="1:11" x14ac:dyDescent="0.3">
      <c r="B1241" s="4" t="s">
        <v>37</v>
      </c>
      <c r="C1241" t="s">
        <v>265</v>
      </c>
      <c r="E1241" s="8">
        <v>42</v>
      </c>
      <c r="F1241" s="26"/>
      <c r="H1241" s="4" t="s">
        <v>37</v>
      </c>
      <c r="I1241" t="s">
        <v>265</v>
      </c>
      <c r="K1241" s="8">
        <v>42</v>
      </c>
    </row>
    <row r="1242" spans="1:11" x14ac:dyDescent="0.3">
      <c r="E1242" s="8">
        <f>SUM(E1236:E1241)</f>
        <v>173.30016000000001</v>
      </c>
      <c r="F1242" s="26"/>
      <c r="K1242" s="8">
        <f>SUM(K1236:K1241)</f>
        <v>248.02785</v>
      </c>
    </row>
    <row r="1243" spans="1:11" x14ac:dyDescent="0.3">
      <c r="F1243" s="26"/>
    </row>
    <row r="1244" spans="1:11" x14ac:dyDescent="0.3">
      <c r="C1244" s="4" t="s">
        <v>28</v>
      </c>
      <c r="D1244" s="4" t="s">
        <v>29</v>
      </c>
      <c r="E1244" s="4" t="s">
        <v>30</v>
      </c>
      <c r="F1244" s="26"/>
      <c r="I1244" s="4" t="s">
        <v>28</v>
      </c>
      <c r="J1244" s="4" t="s">
        <v>29</v>
      </c>
      <c r="K1244" s="4" t="s">
        <v>30</v>
      </c>
    </row>
    <row r="1245" spans="1:11" x14ac:dyDescent="0.3">
      <c r="A1245" t="s">
        <v>251</v>
      </c>
      <c r="B1245" s="4" t="s">
        <v>32</v>
      </c>
      <c r="C1245" s="4">
        <v>2.8479999999999999</v>
      </c>
      <c r="D1245" s="4">
        <v>19.38</v>
      </c>
      <c r="E1245" s="8">
        <f>C1245*D1245</f>
        <v>55.194239999999994</v>
      </c>
      <c r="F1245" s="26"/>
      <c r="G1245" t="s">
        <v>251</v>
      </c>
      <c r="H1245" s="4" t="s">
        <v>32</v>
      </c>
      <c r="I1245" s="4">
        <v>2.8479999999999999</v>
      </c>
      <c r="J1245" s="4">
        <v>30.29</v>
      </c>
      <c r="K1245" s="8">
        <f>I1245*J1245</f>
        <v>86.265919999999994</v>
      </c>
    </row>
    <row r="1246" spans="1:11" x14ac:dyDescent="0.3">
      <c r="A1246" t="s">
        <v>262</v>
      </c>
      <c r="B1246" s="4" t="s">
        <v>33</v>
      </c>
      <c r="C1246" s="4">
        <v>6.2480000000000002</v>
      </c>
      <c r="D1246" s="4">
        <v>10.11</v>
      </c>
      <c r="E1246" s="8">
        <f>C1246*D1246</f>
        <v>63.167279999999998</v>
      </c>
      <c r="F1246" s="26"/>
      <c r="G1246" t="s">
        <v>262</v>
      </c>
      <c r="H1246" s="4" t="s">
        <v>33</v>
      </c>
      <c r="I1246" s="4">
        <v>6.2480000000000002</v>
      </c>
      <c r="J1246" s="4">
        <v>16</v>
      </c>
      <c r="K1246" s="8">
        <f>I1246*J1246</f>
        <v>99.968000000000004</v>
      </c>
    </row>
    <row r="1247" spans="1:11" x14ac:dyDescent="0.3">
      <c r="A1247" t="s">
        <v>269</v>
      </c>
      <c r="B1247" s="4" t="s">
        <v>137</v>
      </c>
      <c r="C1247" s="4">
        <v>0.378</v>
      </c>
      <c r="D1247" s="4">
        <v>12.92</v>
      </c>
      <c r="E1247" s="8">
        <f>C1247*D1247</f>
        <v>4.8837599999999997</v>
      </c>
      <c r="F1247" s="26"/>
      <c r="H1247" s="4" t="s">
        <v>137</v>
      </c>
      <c r="I1247" s="4">
        <v>0.378</v>
      </c>
      <c r="J1247" s="4">
        <v>17.190000000000001</v>
      </c>
      <c r="K1247" s="8">
        <f>I1247*J1247</f>
        <v>6.4978200000000008</v>
      </c>
    </row>
    <row r="1248" spans="1:11" x14ac:dyDescent="0.3">
      <c r="B1248" s="4" t="s">
        <v>35</v>
      </c>
      <c r="C1248" s="4">
        <v>4</v>
      </c>
      <c r="D1248" s="4">
        <v>1.89</v>
      </c>
      <c r="E1248" s="8">
        <f>C1248*D1248</f>
        <v>7.56</v>
      </c>
      <c r="F1248" s="26"/>
      <c r="H1248" s="4" t="s">
        <v>35</v>
      </c>
      <c r="I1248" s="4">
        <v>4</v>
      </c>
      <c r="J1248" s="4">
        <v>2.89</v>
      </c>
      <c r="K1248" s="8">
        <f>I1248*J1248</f>
        <v>11.56</v>
      </c>
    </row>
    <row r="1249" spans="1:11" x14ac:dyDescent="0.3">
      <c r="B1249" s="4" t="s">
        <v>36</v>
      </c>
      <c r="C1249" s="4">
        <v>4</v>
      </c>
      <c r="D1249" s="4">
        <v>0.24</v>
      </c>
      <c r="E1249" s="8">
        <f>C1249*D1249</f>
        <v>0.96</v>
      </c>
      <c r="F1249" s="26"/>
      <c r="H1249" s="4" t="s">
        <v>36</v>
      </c>
      <c r="I1249" s="4">
        <v>4</v>
      </c>
      <c r="J1249" s="4">
        <v>0.6</v>
      </c>
      <c r="K1249" s="8">
        <f>I1249*J1249</f>
        <v>2.4</v>
      </c>
    </row>
    <row r="1250" spans="1:11" x14ac:dyDescent="0.3">
      <c r="B1250" s="4" t="s">
        <v>37</v>
      </c>
      <c r="C1250" t="s">
        <v>265</v>
      </c>
      <c r="E1250" s="8">
        <v>42</v>
      </c>
      <c r="F1250" s="26"/>
      <c r="H1250" s="4" t="s">
        <v>37</v>
      </c>
      <c r="I1250" t="s">
        <v>265</v>
      </c>
      <c r="K1250" s="8">
        <v>42</v>
      </c>
    </row>
    <row r="1251" spans="1:11" x14ac:dyDescent="0.3">
      <c r="E1251" s="8">
        <f>SUM(E1245:E1250)</f>
        <v>173.76527999999999</v>
      </c>
      <c r="F1251" s="26"/>
      <c r="K1251" s="8">
        <f>SUM(K1245:K1250)</f>
        <v>248.69174000000001</v>
      </c>
    </row>
    <row r="1252" spans="1:11" x14ac:dyDescent="0.3">
      <c r="F1252" s="26"/>
    </row>
    <row r="1253" spans="1:11" x14ac:dyDescent="0.3">
      <c r="C1253" s="4" t="s">
        <v>28</v>
      </c>
      <c r="D1253" s="4" t="s">
        <v>29</v>
      </c>
      <c r="E1253" s="4" t="s">
        <v>30</v>
      </c>
      <c r="F1253" s="26"/>
      <c r="I1253" s="4" t="s">
        <v>28</v>
      </c>
      <c r="J1253" s="4" t="s">
        <v>29</v>
      </c>
      <c r="K1253" s="4" t="s">
        <v>30</v>
      </c>
    </row>
    <row r="1254" spans="1:11" x14ac:dyDescent="0.3">
      <c r="A1254" t="s">
        <v>49</v>
      </c>
      <c r="B1254" s="4" t="s">
        <v>32</v>
      </c>
      <c r="C1254" s="4">
        <v>2.8690000000000002</v>
      </c>
      <c r="D1254" s="4">
        <v>19.38</v>
      </c>
      <c r="E1254" s="8">
        <f>C1254*D1254</f>
        <v>55.601219999999998</v>
      </c>
      <c r="F1254" s="26"/>
      <c r="G1254" t="s">
        <v>49</v>
      </c>
      <c r="H1254" s="4" t="s">
        <v>32</v>
      </c>
      <c r="I1254" s="4">
        <v>2.8690000000000002</v>
      </c>
      <c r="J1254" s="4">
        <v>30.29</v>
      </c>
      <c r="K1254" s="8">
        <f>I1254*J1254</f>
        <v>86.902010000000004</v>
      </c>
    </row>
    <row r="1255" spans="1:11" x14ac:dyDescent="0.3">
      <c r="A1255" t="s">
        <v>143</v>
      </c>
      <c r="B1255" s="4" t="s">
        <v>33</v>
      </c>
      <c r="C1255" s="4">
        <v>7.4969999999999999</v>
      </c>
      <c r="D1255" s="4">
        <v>10.11</v>
      </c>
      <c r="E1255" s="8">
        <f>C1255*D1255</f>
        <v>75.794669999999996</v>
      </c>
      <c r="F1255" s="26"/>
      <c r="G1255" t="s">
        <v>143</v>
      </c>
      <c r="H1255" s="4" t="s">
        <v>33</v>
      </c>
      <c r="I1255" s="4">
        <v>7.4969999999999999</v>
      </c>
      <c r="J1255" s="4">
        <v>16</v>
      </c>
      <c r="K1255" s="8">
        <f>I1255*J1255</f>
        <v>119.952</v>
      </c>
    </row>
    <row r="1256" spans="1:11" x14ac:dyDescent="0.3">
      <c r="A1256" t="s">
        <v>269</v>
      </c>
      <c r="B1256" s="4" t="s">
        <v>137</v>
      </c>
      <c r="C1256" s="4">
        <v>0.42</v>
      </c>
      <c r="D1256" s="4">
        <v>12.92</v>
      </c>
      <c r="E1256" s="8">
        <f>C1256*D1256</f>
        <v>5.4264000000000001</v>
      </c>
      <c r="F1256" s="26"/>
      <c r="H1256" s="4" t="s">
        <v>137</v>
      </c>
      <c r="I1256" s="4">
        <v>0.42</v>
      </c>
      <c r="J1256" s="4">
        <v>17.190000000000001</v>
      </c>
      <c r="K1256" s="8">
        <f>I1256*J1256</f>
        <v>7.2198000000000002</v>
      </c>
    </row>
    <row r="1257" spans="1:11" x14ac:dyDescent="0.3">
      <c r="B1257" s="4" t="s">
        <v>35</v>
      </c>
      <c r="C1257" s="4">
        <v>4</v>
      </c>
      <c r="D1257" s="4">
        <v>1.89</v>
      </c>
      <c r="E1257" s="8">
        <f>C1257*D1257</f>
        <v>7.56</v>
      </c>
      <c r="F1257" s="26"/>
      <c r="H1257" s="4" t="s">
        <v>35</v>
      </c>
      <c r="I1257" s="4">
        <v>4</v>
      </c>
      <c r="J1257" s="4">
        <v>2.89</v>
      </c>
      <c r="K1257" s="8">
        <f>I1257*J1257</f>
        <v>11.56</v>
      </c>
    </row>
    <row r="1258" spans="1:11" x14ac:dyDescent="0.3">
      <c r="B1258" s="4" t="s">
        <v>36</v>
      </c>
      <c r="C1258" s="4">
        <v>4</v>
      </c>
      <c r="D1258" s="4">
        <v>0.24</v>
      </c>
      <c r="E1258" s="8">
        <f>C1258*D1258</f>
        <v>0.96</v>
      </c>
      <c r="F1258" s="26"/>
      <c r="H1258" s="4" t="s">
        <v>36</v>
      </c>
      <c r="I1258" s="4">
        <v>4</v>
      </c>
      <c r="J1258" s="4">
        <v>0.6</v>
      </c>
      <c r="K1258" s="8">
        <f>I1258*J1258</f>
        <v>2.4</v>
      </c>
    </row>
    <row r="1259" spans="1:11" x14ac:dyDescent="0.3">
      <c r="B1259" s="4" t="s">
        <v>37</v>
      </c>
      <c r="C1259" t="s">
        <v>265</v>
      </c>
      <c r="E1259" s="8">
        <v>42</v>
      </c>
      <c r="F1259" s="26"/>
      <c r="H1259" s="4" t="s">
        <v>37</v>
      </c>
      <c r="I1259" t="s">
        <v>265</v>
      </c>
      <c r="K1259" s="8">
        <v>42</v>
      </c>
    </row>
    <row r="1260" spans="1:11" x14ac:dyDescent="0.3">
      <c r="E1260" s="8">
        <f>SUM(E1254:E1259)</f>
        <v>187.34229000000002</v>
      </c>
      <c r="F1260" s="26"/>
      <c r="K1260" s="8">
        <f>SUM(K1254:K1259)</f>
        <v>270.03381000000002</v>
      </c>
    </row>
    <row r="1261" spans="1:11" x14ac:dyDescent="0.3">
      <c r="F1261" s="26"/>
    </row>
    <row r="1262" spans="1:11" x14ac:dyDescent="0.3">
      <c r="C1262" s="4" t="s">
        <v>28</v>
      </c>
      <c r="D1262" s="4" t="s">
        <v>29</v>
      </c>
      <c r="E1262" s="4" t="s">
        <v>30</v>
      </c>
      <c r="F1262" s="26"/>
      <c r="I1262" s="4" t="s">
        <v>28</v>
      </c>
      <c r="J1262" s="4" t="s">
        <v>29</v>
      </c>
      <c r="K1262" s="4" t="s">
        <v>30</v>
      </c>
    </row>
    <row r="1263" spans="1:11" x14ac:dyDescent="0.3">
      <c r="A1263" t="s">
        <v>252</v>
      </c>
      <c r="B1263" s="4" t="s">
        <v>32</v>
      </c>
      <c r="C1263" s="4">
        <v>2.91</v>
      </c>
      <c r="D1263" s="4">
        <v>19.38</v>
      </c>
      <c r="E1263" s="8">
        <f>C1263*D1263</f>
        <v>56.395800000000001</v>
      </c>
      <c r="F1263" s="26"/>
      <c r="G1263" t="s">
        <v>252</v>
      </c>
      <c r="H1263" s="4" t="s">
        <v>32</v>
      </c>
      <c r="I1263" s="4">
        <v>2.91</v>
      </c>
      <c r="J1263" s="4">
        <v>30.29</v>
      </c>
      <c r="K1263" s="8">
        <f>I1263*J1263</f>
        <v>88.143900000000002</v>
      </c>
    </row>
    <row r="1264" spans="1:11" x14ac:dyDescent="0.3">
      <c r="A1264" t="s">
        <v>263</v>
      </c>
      <c r="B1264" s="4" t="s">
        <v>33</v>
      </c>
      <c r="C1264" s="4">
        <v>8.7469999999999999</v>
      </c>
      <c r="D1264" s="4">
        <v>10.11</v>
      </c>
      <c r="E1264" s="8">
        <f>C1264*D1264</f>
        <v>88.432169999999999</v>
      </c>
      <c r="F1264" s="26"/>
      <c r="G1264" t="s">
        <v>263</v>
      </c>
      <c r="H1264" s="4" t="s">
        <v>33</v>
      </c>
      <c r="I1264" s="4">
        <v>8.7469999999999999</v>
      </c>
      <c r="J1264" s="4">
        <v>16</v>
      </c>
      <c r="K1264" s="8">
        <f>I1264*J1264</f>
        <v>139.952</v>
      </c>
    </row>
    <row r="1265" spans="1:11" x14ac:dyDescent="0.3">
      <c r="A1265" t="s">
        <v>269</v>
      </c>
      <c r="B1265" s="4" t="s">
        <v>137</v>
      </c>
      <c r="C1265" s="4">
        <v>0.504</v>
      </c>
      <c r="D1265" s="4">
        <v>12.92</v>
      </c>
      <c r="E1265" s="8">
        <f>C1265*D1265</f>
        <v>6.5116800000000001</v>
      </c>
      <c r="F1265" s="26"/>
      <c r="H1265" s="4" t="s">
        <v>137</v>
      </c>
      <c r="I1265" s="4">
        <v>0.504</v>
      </c>
      <c r="J1265" s="4">
        <v>17.190000000000001</v>
      </c>
      <c r="K1265" s="8">
        <f>I1265*J1265</f>
        <v>8.6637599999999999</v>
      </c>
    </row>
    <row r="1266" spans="1:11" x14ac:dyDescent="0.3">
      <c r="B1266" s="4" t="s">
        <v>35</v>
      </c>
      <c r="C1266" s="4">
        <v>4</v>
      </c>
      <c r="D1266" s="4">
        <v>1.89</v>
      </c>
      <c r="E1266" s="8">
        <f>C1266*D1266</f>
        <v>7.56</v>
      </c>
      <c r="F1266" s="26"/>
      <c r="H1266" s="4" t="s">
        <v>35</v>
      </c>
      <c r="I1266" s="4">
        <v>4</v>
      </c>
      <c r="J1266" s="4">
        <v>2.89</v>
      </c>
      <c r="K1266" s="8">
        <f>I1266*J1266</f>
        <v>11.56</v>
      </c>
    </row>
    <row r="1267" spans="1:11" x14ac:dyDescent="0.3">
      <c r="B1267" s="4" t="s">
        <v>36</v>
      </c>
      <c r="C1267" s="4">
        <v>4</v>
      </c>
      <c r="D1267" s="4">
        <v>0.24</v>
      </c>
      <c r="E1267" s="8">
        <f>C1267*D1267</f>
        <v>0.96</v>
      </c>
      <c r="F1267" s="26"/>
      <c r="H1267" s="4" t="s">
        <v>36</v>
      </c>
      <c r="I1267" s="4">
        <v>4</v>
      </c>
      <c r="J1267" s="4">
        <v>0.6</v>
      </c>
      <c r="K1267" s="8">
        <f>I1267*J1267</f>
        <v>2.4</v>
      </c>
    </row>
    <row r="1268" spans="1:11" x14ac:dyDescent="0.3">
      <c r="B1268" s="4" t="s">
        <v>37</v>
      </c>
      <c r="C1268" t="s">
        <v>267</v>
      </c>
      <c r="E1268" s="8">
        <v>49</v>
      </c>
      <c r="F1268" s="26"/>
      <c r="H1268" s="4" t="s">
        <v>37</v>
      </c>
      <c r="I1268" t="s">
        <v>267</v>
      </c>
      <c r="K1268" s="8">
        <v>49</v>
      </c>
    </row>
    <row r="1269" spans="1:11" x14ac:dyDescent="0.3">
      <c r="E1269" s="8">
        <f>SUM(E1263:E1268)</f>
        <v>208.85965000000002</v>
      </c>
      <c r="F1269" s="26"/>
      <c r="K1269" s="8">
        <f>SUM(K1263:K1268)</f>
        <v>299.71965999999998</v>
      </c>
    </row>
    <row r="1270" spans="1:11" x14ac:dyDescent="0.3">
      <c r="F1270" s="26"/>
    </row>
    <row r="1271" spans="1:11" x14ac:dyDescent="0.3">
      <c r="C1271" s="4" t="s">
        <v>28</v>
      </c>
      <c r="D1271" s="4" t="s">
        <v>29</v>
      </c>
      <c r="E1271" s="4" t="s">
        <v>30</v>
      </c>
      <c r="F1271" s="26"/>
      <c r="I1271" s="4" t="s">
        <v>28</v>
      </c>
      <c r="J1271" s="4" t="s">
        <v>29</v>
      </c>
      <c r="K1271" s="4" t="s">
        <v>30</v>
      </c>
    </row>
    <row r="1272" spans="1:11" x14ac:dyDescent="0.3">
      <c r="A1272" t="s">
        <v>253</v>
      </c>
      <c r="B1272" s="4" t="s">
        <v>32</v>
      </c>
      <c r="C1272" s="4">
        <v>2.9319999999999999</v>
      </c>
      <c r="D1272" s="4">
        <v>19.38</v>
      </c>
      <c r="E1272" s="8">
        <f>C1272*D1272</f>
        <v>56.822159999999997</v>
      </c>
      <c r="F1272" s="26"/>
      <c r="G1272" t="s">
        <v>253</v>
      </c>
      <c r="H1272" s="4" t="s">
        <v>32</v>
      </c>
      <c r="I1272" s="4">
        <v>2.9319999999999999</v>
      </c>
      <c r="J1272" s="4">
        <v>30.29</v>
      </c>
      <c r="K1272" s="8">
        <f>I1272*J1272</f>
        <v>88.810279999999992</v>
      </c>
    </row>
    <row r="1273" spans="1:11" x14ac:dyDescent="0.3">
      <c r="A1273" t="s">
        <v>229</v>
      </c>
      <c r="B1273" s="4" t="s">
        <v>33</v>
      </c>
      <c r="C1273" s="4">
        <v>9.9960000000000004</v>
      </c>
      <c r="D1273" s="4">
        <v>10.11</v>
      </c>
      <c r="E1273" s="8">
        <f>C1273*D1273</f>
        <v>101.05956</v>
      </c>
      <c r="F1273" s="26"/>
      <c r="G1273" t="s">
        <v>229</v>
      </c>
      <c r="H1273" s="4" t="s">
        <v>33</v>
      </c>
      <c r="I1273" s="4">
        <v>9.9960000000000004</v>
      </c>
      <c r="J1273" s="4">
        <v>16</v>
      </c>
      <c r="K1273" s="8">
        <f>I1273*J1273</f>
        <v>159.93600000000001</v>
      </c>
    </row>
    <row r="1274" spans="1:11" x14ac:dyDescent="0.3">
      <c r="A1274" t="s">
        <v>269</v>
      </c>
      <c r="B1274" s="4" t="s">
        <v>137</v>
      </c>
      <c r="C1274" s="4">
        <v>0.54600000000000004</v>
      </c>
      <c r="D1274" s="4">
        <v>12.92</v>
      </c>
      <c r="E1274" s="8">
        <f>C1274*D1274</f>
        <v>7.0543200000000006</v>
      </c>
      <c r="F1274" s="26"/>
      <c r="H1274" s="4" t="s">
        <v>137</v>
      </c>
      <c r="I1274" s="4">
        <v>0.54600000000000004</v>
      </c>
      <c r="J1274" s="4">
        <v>17.190000000000001</v>
      </c>
      <c r="K1274" s="8">
        <f>I1274*J1274</f>
        <v>9.385740000000002</v>
      </c>
    </row>
    <row r="1275" spans="1:11" x14ac:dyDescent="0.3">
      <c r="B1275" s="4" t="s">
        <v>216</v>
      </c>
      <c r="C1275" s="4">
        <v>4</v>
      </c>
      <c r="D1275" s="4">
        <v>1.89</v>
      </c>
      <c r="E1275" s="8">
        <f>C1275*D1275</f>
        <v>7.56</v>
      </c>
      <c r="F1275" s="26"/>
      <c r="H1275" s="4" t="s">
        <v>216</v>
      </c>
      <c r="I1275" s="4">
        <v>4</v>
      </c>
      <c r="J1275" s="4">
        <v>2.89</v>
      </c>
      <c r="K1275" s="8">
        <f>I1275*J1275</f>
        <v>11.56</v>
      </c>
    </row>
    <row r="1276" spans="1:11" x14ac:dyDescent="0.3">
      <c r="B1276" s="4" t="s">
        <v>36</v>
      </c>
      <c r="C1276" s="4">
        <v>4</v>
      </c>
      <c r="D1276" s="4">
        <v>0.24</v>
      </c>
      <c r="E1276" s="8">
        <f>C1276*D1276</f>
        <v>0.96</v>
      </c>
      <c r="F1276" s="26"/>
      <c r="H1276" s="4" t="s">
        <v>36</v>
      </c>
      <c r="I1276" s="4">
        <v>4</v>
      </c>
      <c r="J1276" s="4">
        <v>0.6</v>
      </c>
      <c r="K1276" s="8">
        <f>I1276*J1276</f>
        <v>2.4</v>
      </c>
    </row>
    <row r="1277" spans="1:11" x14ac:dyDescent="0.3">
      <c r="B1277" s="4" t="s">
        <v>37</v>
      </c>
      <c r="C1277" t="s">
        <v>267</v>
      </c>
      <c r="E1277" s="8">
        <v>49</v>
      </c>
      <c r="F1277" s="26"/>
      <c r="H1277" s="4" t="s">
        <v>37</v>
      </c>
      <c r="I1277" t="s">
        <v>267</v>
      </c>
      <c r="K1277" s="8">
        <v>49</v>
      </c>
    </row>
    <row r="1278" spans="1:11" x14ac:dyDescent="0.3">
      <c r="E1278" s="8">
        <f>SUM(E1272:E1277)</f>
        <v>222.45604</v>
      </c>
      <c r="F1278" s="26"/>
      <c r="K1278" s="8">
        <f>SUM(K1272:K1277)</f>
        <v>321.09201999999999</v>
      </c>
    </row>
    <row r="1279" spans="1:11" x14ac:dyDescent="0.3">
      <c r="F1279" s="26"/>
    </row>
    <row r="1280" spans="1:11" x14ac:dyDescent="0.3">
      <c r="C1280" s="4" t="s">
        <v>28</v>
      </c>
      <c r="D1280" s="4" t="s">
        <v>29</v>
      </c>
      <c r="E1280" s="4" t="s">
        <v>30</v>
      </c>
      <c r="F1280" s="26"/>
      <c r="I1280" s="4" t="s">
        <v>28</v>
      </c>
      <c r="J1280" s="4" t="s">
        <v>29</v>
      </c>
      <c r="K1280" s="4" t="s">
        <v>30</v>
      </c>
    </row>
    <row r="1281" spans="1:11" x14ac:dyDescent="0.3">
      <c r="A1281" t="s">
        <v>254</v>
      </c>
      <c r="B1281" s="4" t="s">
        <v>32</v>
      </c>
      <c r="C1281" s="4">
        <v>2.9430000000000001</v>
      </c>
      <c r="D1281" s="4">
        <v>19.38</v>
      </c>
      <c r="E1281" s="8">
        <f>C1281*D1281</f>
        <v>57.035339999999998</v>
      </c>
      <c r="F1281" s="26"/>
      <c r="G1281" t="s">
        <v>254</v>
      </c>
      <c r="H1281" s="4" t="s">
        <v>32</v>
      </c>
      <c r="I1281" s="4">
        <v>2.9430000000000001</v>
      </c>
      <c r="J1281" s="4">
        <v>30.29</v>
      </c>
      <c r="K1281" s="8">
        <f>I1281*J1281</f>
        <v>89.143469999999994</v>
      </c>
    </row>
    <row r="1282" spans="1:11" x14ac:dyDescent="0.3">
      <c r="A1282" t="s">
        <v>52</v>
      </c>
      <c r="B1282" s="4" t="s">
        <v>33</v>
      </c>
      <c r="C1282" s="4">
        <v>11.246</v>
      </c>
      <c r="D1282" s="4">
        <v>10.11</v>
      </c>
      <c r="E1282" s="8">
        <f>C1282*D1282</f>
        <v>113.69705999999999</v>
      </c>
      <c r="F1282" s="26"/>
      <c r="G1282" t="s">
        <v>52</v>
      </c>
      <c r="H1282" s="4" t="s">
        <v>33</v>
      </c>
      <c r="I1282" s="4">
        <v>11.246</v>
      </c>
      <c r="J1282" s="4">
        <v>16</v>
      </c>
      <c r="K1282" s="8">
        <f>I1282*J1282</f>
        <v>179.93600000000001</v>
      </c>
    </row>
    <row r="1283" spans="1:11" x14ac:dyDescent="0.3">
      <c r="A1283" t="s">
        <v>269</v>
      </c>
      <c r="B1283" s="4" t="s">
        <v>137</v>
      </c>
      <c r="C1283" s="4">
        <v>0.56699999999999995</v>
      </c>
      <c r="D1283" s="4">
        <v>12.92</v>
      </c>
      <c r="E1283" s="8">
        <f>C1283*D1283</f>
        <v>7.325639999999999</v>
      </c>
      <c r="F1283" s="26"/>
      <c r="H1283" s="4" t="s">
        <v>137</v>
      </c>
      <c r="I1283" s="4">
        <v>0.56699999999999995</v>
      </c>
      <c r="J1283" s="4">
        <v>17.190000000000001</v>
      </c>
      <c r="K1283" s="8">
        <f>I1283*J1283</f>
        <v>9.7467299999999994</v>
      </c>
    </row>
    <row r="1284" spans="1:11" x14ac:dyDescent="0.3">
      <c r="B1284" s="4" t="s">
        <v>216</v>
      </c>
      <c r="C1284" s="4">
        <v>4</v>
      </c>
      <c r="D1284" s="4">
        <v>1.89</v>
      </c>
      <c r="E1284" s="8">
        <f>C1284*D1284</f>
        <v>7.56</v>
      </c>
      <c r="F1284" s="26"/>
      <c r="H1284" s="4" t="s">
        <v>216</v>
      </c>
      <c r="I1284" s="4">
        <v>4</v>
      </c>
      <c r="J1284" s="4">
        <v>2.89</v>
      </c>
      <c r="K1284" s="8">
        <f>I1284*J1284</f>
        <v>11.56</v>
      </c>
    </row>
    <row r="1285" spans="1:11" x14ac:dyDescent="0.3">
      <c r="B1285" s="4" t="s">
        <v>36</v>
      </c>
      <c r="C1285" s="4">
        <v>4</v>
      </c>
      <c r="D1285" s="4">
        <v>0.24</v>
      </c>
      <c r="E1285" s="8">
        <f>C1285*D1285</f>
        <v>0.96</v>
      </c>
      <c r="F1285" s="26"/>
      <c r="H1285" s="4" t="s">
        <v>36</v>
      </c>
      <c r="I1285" s="4">
        <v>4</v>
      </c>
      <c r="J1285" s="4">
        <v>0.6</v>
      </c>
      <c r="K1285" s="8">
        <f>I1285*J1285</f>
        <v>2.4</v>
      </c>
    </row>
    <row r="1286" spans="1:11" x14ac:dyDescent="0.3">
      <c r="B1286" s="4" t="s">
        <v>37</v>
      </c>
      <c r="C1286" t="s">
        <v>268</v>
      </c>
      <c r="E1286" s="8">
        <v>56</v>
      </c>
      <c r="F1286" s="26"/>
      <c r="H1286" s="4" t="s">
        <v>37</v>
      </c>
      <c r="I1286" t="s">
        <v>268</v>
      </c>
      <c r="K1286" s="8">
        <v>56</v>
      </c>
    </row>
    <row r="1287" spans="1:11" x14ac:dyDescent="0.3">
      <c r="E1287" s="8">
        <f>SUM(E1281:E1286)</f>
        <v>242.57803999999999</v>
      </c>
      <c r="F1287" s="26"/>
      <c r="K1287" s="8">
        <f>SUM(K1281:K1286)</f>
        <v>348.78620000000001</v>
      </c>
    </row>
    <row r="1288" spans="1:11" x14ac:dyDescent="0.3">
      <c r="F1288" s="26"/>
    </row>
    <row r="1289" spans="1:11" x14ac:dyDescent="0.3">
      <c r="C1289" s="4" t="s">
        <v>28</v>
      </c>
      <c r="D1289" s="4" t="s">
        <v>29</v>
      </c>
      <c r="E1289" s="4" t="s">
        <v>30</v>
      </c>
      <c r="F1289" s="26"/>
      <c r="I1289" s="4" t="s">
        <v>28</v>
      </c>
      <c r="J1289" s="4" t="s">
        <v>29</v>
      </c>
      <c r="K1289" s="4" t="s">
        <v>30</v>
      </c>
    </row>
    <row r="1290" spans="1:11" x14ac:dyDescent="0.3">
      <c r="A1290" t="s">
        <v>72</v>
      </c>
      <c r="B1290" s="4" t="s">
        <v>32</v>
      </c>
      <c r="C1290" s="4">
        <v>2.9740000000000002</v>
      </c>
      <c r="D1290" s="4">
        <v>19.38</v>
      </c>
      <c r="E1290" s="8">
        <f>C1290*D1290</f>
        <v>57.636119999999998</v>
      </c>
      <c r="F1290" s="26"/>
      <c r="G1290" t="s">
        <v>72</v>
      </c>
      <c r="H1290" s="4" t="s">
        <v>32</v>
      </c>
      <c r="I1290" s="4">
        <v>2.9740000000000002</v>
      </c>
      <c r="J1290" s="4">
        <v>30.29</v>
      </c>
      <c r="K1290" s="8">
        <f>I1290*J1290</f>
        <v>90.082459999999998</v>
      </c>
    </row>
    <row r="1291" spans="1:11" x14ac:dyDescent="0.3">
      <c r="A1291" t="s">
        <v>212</v>
      </c>
      <c r="B1291" s="4" t="s">
        <v>33</v>
      </c>
      <c r="C1291" s="4">
        <v>12.494999999999999</v>
      </c>
      <c r="D1291" s="4">
        <v>10.11</v>
      </c>
      <c r="E1291" s="8">
        <f>C1291*D1291</f>
        <v>126.32444999999998</v>
      </c>
      <c r="F1291" s="26"/>
      <c r="G1291" t="s">
        <v>212</v>
      </c>
      <c r="H1291" s="4" t="s">
        <v>33</v>
      </c>
      <c r="I1291" s="4">
        <v>12.494999999999999</v>
      </c>
      <c r="J1291" s="4">
        <v>16</v>
      </c>
      <c r="K1291" s="8">
        <f>I1291*J1291</f>
        <v>199.92</v>
      </c>
    </row>
    <row r="1292" spans="1:11" x14ac:dyDescent="0.3">
      <c r="A1292" t="s">
        <v>269</v>
      </c>
      <c r="B1292" s="4" t="s">
        <v>137</v>
      </c>
      <c r="C1292" s="4">
        <v>0.63</v>
      </c>
      <c r="D1292" s="4">
        <v>12.92</v>
      </c>
      <c r="E1292" s="8">
        <f>C1292*D1292</f>
        <v>8.1395999999999997</v>
      </c>
      <c r="F1292" s="26"/>
      <c r="H1292" s="4" t="s">
        <v>137</v>
      </c>
      <c r="I1292" s="4">
        <v>0.63</v>
      </c>
      <c r="J1292" s="4">
        <v>17.190000000000001</v>
      </c>
      <c r="K1292" s="8">
        <f>I1292*J1292</f>
        <v>10.829700000000001</v>
      </c>
    </row>
    <row r="1293" spans="1:11" x14ac:dyDescent="0.3">
      <c r="B1293" s="4" t="s">
        <v>216</v>
      </c>
      <c r="C1293" s="4">
        <v>4</v>
      </c>
      <c r="D1293" s="4">
        <v>1.89</v>
      </c>
      <c r="E1293" s="8">
        <f>C1293*D1293</f>
        <v>7.56</v>
      </c>
      <c r="F1293" s="26"/>
      <c r="H1293" s="4" t="s">
        <v>216</v>
      </c>
      <c r="I1293" s="4">
        <v>4</v>
      </c>
      <c r="J1293" s="4">
        <v>2.89</v>
      </c>
      <c r="K1293" s="8">
        <f>I1293*J1293</f>
        <v>11.56</v>
      </c>
    </row>
    <row r="1294" spans="1:11" x14ac:dyDescent="0.3">
      <c r="B1294" s="4" t="s">
        <v>36</v>
      </c>
      <c r="C1294" s="4">
        <v>4</v>
      </c>
      <c r="D1294" s="4">
        <v>0.24</v>
      </c>
      <c r="E1294" s="8">
        <f>C1294*D1294</f>
        <v>0.96</v>
      </c>
      <c r="F1294" s="26"/>
      <c r="H1294" s="4" t="s">
        <v>36</v>
      </c>
      <c r="I1294" s="4">
        <v>4</v>
      </c>
      <c r="J1294" s="4">
        <v>0.6</v>
      </c>
      <c r="K1294" s="8">
        <f>I1294*J1294</f>
        <v>2.4</v>
      </c>
    </row>
    <row r="1295" spans="1:11" x14ac:dyDescent="0.3">
      <c r="B1295" s="4" t="s">
        <v>37</v>
      </c>
      <c r="C1295" t="s">
        <v>268</v>
      </c>
      <c r="E1295" s="8">
        <v>56</v>
      </c>
      <c r="F1295" s="26"/>
      <c r="H1295" s="4" t="s">
        <v>37</v>
      </c>
      <c r="I1295" t="s">
        <v>268</v>
      </c>
      <c r="K1295" s="8">
        <v>56</v>
      </c>
    </row>
    <row r="1296" spans="1:11" x14ac:dyDescent="0.3">
      <c r="E1296" s="8">
        <f>SUM(E1290:E1295)</f>
        <v>256.62017000000003</v>
      </c>
      <c r="F1296" s="26"/>
      <c r="K1296" s="8">
        <f>SUM(K1290:K1295)</f>
        <v>370.79215999999997</v>
      </c>
    </row>
    <row r="1297" spans="1:11" x14ac:dyDescent="0.3">
      <c r="F1297" s="26"/>
    </row>
    <row r="1298" spans="1:11" x14ac:dyDescent="0.3">
      <c r="C1298" s="4" t="s">
        <v>28</v>
      </c>
      <c r="D1298" s="4" t="s">
        <v>29</v>
      </c>
      <c r="E1298" s="4" t="s">
        <v>30</v>
      </c>
      <c r="F1298" s="26"/>
      <c r="I1298" s="4" t="s">
        <v>28</v>
      </c>
      <c r="J1298" s="4" t="s">
        <v>29</v>
      </c>
      <c r="K1298" s="4" t="s">
        <v>30</v>
      </c>
    </row>
    <row r="1299" spans="1:11" x14ac:dyDescent="0.3">
      <c r="A1299" t="s">
        <v>82</v>
      </c>
      <c r="B1299" s="4" t="s">
        <v>32</v>
      </c>
      <c r="C1299" s="4">
        <v>3.0790000000000002</v>
      </c>
      <c r="D1299" s="4">
        <v>19.38</v>
      </c>
      <c r="E1299" s="8">
        <f>C1299*D1299</f>
        <v>59.671019999999999</v>
      </c>
      <c r="F1299" s="26"/>
      <c r="G1299" t="s">
        <v>82</v>
      </c>
      <c r="H1299" s="4" t="s">
        <v>32</v>
      </c>
      <c r="I1299" s="4">
        <v>3.0790000000000002</v>
      </c>
      <c r="J1299" s="4">
        <v>30.29</v>
      </c>
      <c r="K1299" s="8">
        <f>I1299*J1299</f>
        <v>93.262910000000005</v>
      </c>
    </row>
    <row r="1300" spans="1:11" x14ac:dyDescent="0.3">
      <c r="A1300" t="s">
        <v>53</v>
      </c>
      <c r="B1300" s="4" t="s">
        <v>33</v>
      </c>
      <c r="C1300" s="4">
        <v>17.492999999999999</v>
      </c>
      <c r="D1300" s="4">
        <v>10.11</v>
      </c>
      <c r="E1300" s="8">
        <f>C1300*D1300</f>
        <v>176.85422999999997</v>
      </c>
      <c r="F1300" s="26"/>
      <c r="G1300" t="s">
        <v>53</v>
      </c>
      <c r="H1300" s="4" t="s">
        <v>33</v>
      </c>
      <c r="I1300" s="4">
        <v>17.492999999999999</v>
      </c>
      <c r="J1300" s="4">
        <v>16</v>
      </c>
      <c r="K1300" s="8">
        <f>I1300*J1300</f>
        <v>279.88799999999998</v>
      </c>
    </row>
    <row r="1301" spans="1:11" x14ac:dyDescent="0.3">
      <c r="A1301" t="s">
        <v>269</v>
      </c>
      <c r="B1301" s="4" t="s">
        <v>137</v>
      </c>
      <c r="C1301" s="4">
        <v>0.84</v>
      </c>
      <c r="D1301" s="4">
        <v>12.92</v>
      </c>
      <c r="E1301" s="8">
        <f>C1301*D1301</f>
        <v>10.8528</v>
      </c>
      <c r="F1301" s="26"/>
      <c r="H1301" s="4" t="s">
        <v>137</v>
      </c>
      <c r="I1301" s="4">
        <v>0.84</v>
      </c>
      <c r="J1301" s="4">
        <v>17.190000000000001</v>
      </c>
      <c r="K1301" s="8">
        <f>I1301*J1301</f>
        <v>14.4396</v>
      </c>
    </row>
    <row r="1302" spans="1:11" x14ac:dyDescent="0.3">
      <c r="B1302" s="4" t="s">
        <v>216</v>
      </c>
      <c r="C1302" s="4">
        <v>4</v>
      </c>
      <c r="D1302" s="4">
        <v>1.89</v>
      </c>
      <c r="E1302" s="8">
        <f>C1302*D1302</f>
        <v>7.56</v>
      </c>
      <c r="F1302" s="26"/>
      <c r="H1302" s="4" t="s">
        <v>216</v>
      </c>
      <c r="I1302" s="4">
        <v>4</v>
      </c>
      <c r="J1302" s="4">
        <v>2.89</v>
      </c>
      <c r="K1302" s="8">
        <f>I1302*J1302</f>
        <v>11.56</v>
      </c>
    </row>
    <row r="1303" spans="1:11" x14ac:dyDescent="0.3">
      <c r="B1303" s="4" t="s">
        <v>36</v>
      </c>
      <c r="C1303" s="4">
        <v>4</v>
      </c>
      <c r="D1303" s="4">
        <v>0.24</v>
      </c>
      <c r="E1303" s="8">
        <f>C1303*D1303</f>
        <v>0.96</v>
      </c>
      <c r="F1303" s="26"/>
      <c r="H1303" s="4" t="s">
        <v>36</v>
      </c>
      <c r="I1303" s="4">
        <v>4</v>
      </c>
      <c r="J1303" s="4">
        <v>0.6</v>
      </c>
      <c r="K1303" s="8">
        <f>I1303*J1303</f>
        <v>2.4</v>
      </c>
    </row>
    <row r="1304" spans="1:11" x14ac:dyDescent="0.3">
      <c r="B1304" s="4" t="s">
        <v>37</v>
      </c>
      <c r="C1304" t="s">
        <v>266</v>
      </c>
      <c r="E1304" s="8">
        <v>63</v>
      </c>
      <c r="F1304" s="26"/>
      <c r="H1304" s="4" t="s">
        <v>37</v>
      </c>
      <c r="I1304" t="s">
        <v>266</v>
      </c>
      <c r="K1304" s="8">
        <v>63</v>
      </c>
    </row>
    <row r="1305" spans="1:11" x14ac:dyDescent="0.3">
      <c r="E1305" s="8">
        <f>SUM(E1299:E1304)</f>
        <v>318.89805000000001</v>
      </c>
      <c r="F1305" s="26"/>
      <c r="K1305" s="8">
        <f>SUM(K1299:K1304)</f>
        <v>464.55050999999992</v>
      </c>
    </row>
    <row r="1306" spans="1:11" x14ac:dyDescent="0.3">
      <c r="F1306" s="26"/>
    </row>
    <row r="1307" spans="1:11" x14ac:dyDescent="0.3">
      <c r="C1307" s="4" t="s">
        <v>28</v>
      </c>
      <c r="D1307" s="4" t="s">
        <v>29</v>
      </c>
      <c r="E1307" s="4" t="s">
        <v>30</v>
      </c>
      <c r="F1307" s="26"/>
      <c r="I1307" s="4" t="s">
        <v>28</v>
      </c>
      <c r="J1307" s="4" t="s">
        <v>29</v>
      </c>
      <c r="K1307" s="4" t="s">
        <v>30</v>
      </c>
    </row>
    <row r="1308" spans="1:11" x14ac:dyDescent="0.3">
      <c r="A1308" t="s">
        <v>255</v>
      </c>
      <c r="B1308" s="4" t="s">
        <v>32</v>
      </c>
      <c r="C1308" s="4">
        <v>3.1840000000000002</v>
      </c>
      <c r="D1308" s="4">
        <v>19.38</v>
      </c>
      <c r="E1308" s="8">
        <f>C1308*D1308</f>
        <v>61.705919999999999</v>
      </c>
      <c r="F1308" s="26"/>
      <c r="G1308" t="s">
        <v>255</v>
      </c>
      <c r="H1308" s="4" t="s">
        <v>32</v>
      </c>
      <c r="I1308" s="4">
        <v>3.1840000000000002</v>
      </c>
      <c r="J1308" s="4">
        <v>30.29</v>
      </c>
      <c r="K1308" s="8">
        <f>I1308*J1308</f>
        <v>96.443359999999998</v>
      </c>
    </row>
    <row r="1309" spans="1:11" x14ac:dyDescent="0.3">
      <c r="A1309" t="s">
        <v>218</v>
      </c>
      <c r="B1309" s="4" t="s">
        <v>33</v>
      </c>
      <c r="C1309" s="4">
        <v>21.242000000000001</v>
      </c>
      <c r="D1309" s="4">
        <v>10.11</v>
      </c>
      <c r="E1309" s="8">
        <f>C1309*D1309</f>
        <v>214.75662</v>
      </c>
      <c r="F1309" s="26"/>
      <c r="G1309" t="s">
        <v>218</v>
      </c>
      <c r="H1309" s="4" t="s">
        <v>33</v>
      </c>
      <c r="I1309" s="4">
        <v>21.242000000000001</v>
      </c>
      <c r="J1309" s="4">
        <v>16</v>
      </c>
      <c r="K1309" s="8">
        <f>I1309*J1309</f>
        <v>339.87200000000001</v>
      </c>
    </row>
    <row r="1310" spans="1:11" x14ac:dyDescent="0.3">
      <c r="A1310" t="s">
        <v>269</v>
      </c>
      <c r="B1310" s="4" t="s">
        <v>137</v>
      </c>
      <c r="C1310" s="4">
        <v>1.05</v>
      </c>
      <c r="D1310" s="4">
        <v>12.92</v>
      </c>
      <c r="E1310" s="8">
        <f>C1310*D1310</f>
        <v>13.566000000000001</v>
      </c>
      <c r="F1310" s="26"/>
      <c r="H1310" s="4" t="s">
        <v>137</v>
      </c>
      <c r="I1310" s="4">
        <v>1.05</v>
      </c>
      <c r="J1310" s="4">
        <v>17.190000000000001</v>
      </c>
      <c r="K1310" s="8">
        <f>I1310*J1310</f>
        <v>18.049500000000002</v>
      </c>
    </row>
    <row r="1311" spans="1:11" x14ac:dyDescent="0.3">
      <c r="B1311" s="4" t="s">
        <v>35</v>
      </c>
      <c r="C1311" s="4">
        <v>4</v>
      </c>
      <c r="D1311" s="4">
        <v>1.89</v>
      </c>
      <c r="E1311" s="8">
        <f>C1311*D1311</f>
        <v>7.56</v>
      </c>
      <c r="F1311" s="26"/>
      <c r="H1311" s="4" t="s">
        <v>35</v>
      </c>
      <c r="I1311" s="4">
        <v>4</v>
      </c>
      <c r="J1311" s="4">
        <v>2.89</v>
      </c>
      <c r="K1311" s="8">
        <f>I1311*J1311</f>
        <v>11.56</v>
      </c>
    </row>
    <row r="1312" spans="1:11" x14ac:dyDescent="0.3">
      <c r="B1312" s="4" t="s">
        <v>36</v>
      </c>
      <c r="C1312" s="4">
        <v>4</v>
      </c>
      <c r="D1312" s="4">
        <v>0.24</v>
      </c>
      <c r="E1312" s="8">
        <f>C1312*D1312</f>
        <v>0.96</v>
      </c>
      <c r="F1312" s="26"/>
      <c r="H1312" s="4" t="s">
        <v>36</v>
      </c>
      <c r="I1312" s="4">
        <v>4</v>
      </c>
      <c r="J1312" s="4">
        <v>0.6</v>
      </c>
      <c r="K1312" s="8">
        <f>I1312*J1312</f>
        <v>2.4</v>
      </c>
    </row>
    <row r="1313" spans="1:17" x14ac:dyDescent="0.3">
      <c r="B1313" s="4" t="s">
        <v>37</v>
      </c>
      <c r="C1313" t="s">
        <v>266</v>
      </c>
      <c r="E1313" s="8">
        <v>63</v>
      </c>
      <c r="F1313" s="26"/>
      <c r="H1313" s="4" t="s">
        <v>37</v>
      </c>
      <c r="I1313" t="s">
        <v>266</v>
      </c>
      <c r="K1313" s="8">
        <v>63</v>
      </c>
    </row>
    <row r="1314" spans="1:17" x14ac:dyDescent="0.3">
      <c r="E1314" s="8">
        <f>SUM(E1308:E1313)</f>
        <v>361.54853999999995</v>
      </c>
      <c r="F1314" s="26"/>
      <c r="K1314" s="8">
        <f>SUM(K1308:K1313)</f>
        <v>531.32485999999994</v>
      </c>
    </row>
    <row r="1315" spans="1:17" x14ac:dyDescent="0.3">
      <c r="F1315" s="26"/>
    </row>
    <row r="1316" spans="1:17" x14ac:dyDescent="0.3">
      <c r="C1316" s="4" t="s">
        <v>28</v>
      </c>
      <c r="D1316" s="4" t="s">
        <v>29</v>
      </c>
      <c r="E1316" s="4" t="s">
        <v>30</v>
      </c>
      <c r="F1316" s="26"/>
      <c r="I1316" s="4" t="s">
        <v>28</v>
      </c>
      <c r="J1316" s="4" t="s">
        <v>29</v>
      </c>
      <c r="K1316" s="4" t="s">
        <v>30</v>
      </c>
    </row>
    <row r="1317" spans="1:17" x14ac:dyDescent="0.3">
      <c r="A1317" t="s">
        <v>110</v>
      </c>
      <c r="B1317" s="4" t="s">
        <v>32</v>
      </c>
      <c r="C1317" s="4">
        <v>3.2879999999999998</v>
      </c>
      <c r="D1317" s="4">
        <v>19.38</v>
      </c>
      <c r="E1317" s="8">
        <f>C1317*D1317</f>
        <v>63.721439999999994</v>
      </c>
      <c r="F1317" s="26"/>
      <c r="G1317" t="s">
        <v>110</v>
      </c>
      <c r="H1317" s="4" t="s">
        <v>32</v>
      </c>
      <c r="I1317" s="4">
        <v>3.4449999999999998</v>
      </c>
      <c r="J1317" s="4">
        <v>30.29</v>
      </c>
      <c r="K1317" s="8">
        <f>I1317*J1317</f>
        <v>104.34904999999999</v>
      </c>
    </row>
    <row r="1318" spans="1:17" x14ac:dyDescent="0.3">
      <c r="A1318" t="s">
        <v>256</v>
      </c>
      <c r="B1318" s="4" t="s">
        <v>33</v>
      </c>
      <c r="C1318" s="4">
        <v>26.24</v>
      </c>
      <c r="D1318" s="4">
        <v>10.11</v>
      </c>
      <c r="E1318" s="8">
        <f>C1318*D1318</f>
        <v>265.28639999999996</v>
      </c>
      <c r="F1318" s="26"/>
      <c r="G1318" t="s">
        <v>256</v>
      </c>
      <c r="H1318" s="4" t="s">
        <v>33</v>
      </c>
      <c r="I1318" s="4">
        <v>27.489000000000001</v>
      </c>
      <c r="J1318" s="4">
        <v>16</v>
      </c>
      <c r="K1318" s="8">
        <f>I1318*J1318</f>
        <v>439.82400000000001</v>
      </c>
    </row>
    <row r="1319" spans="1:17" x14ac:dyDescent="0.3">
      <c r="A1319" t="s">
        <v>269</v>
      </c>
      <c r="B1319" s="4" t="s">
        <v>137</v>
      </c>
      <c r="C1319" s="4">
        <v>1.26</v>
      </c>
      <c r="D1319" s="4">
        <v>12.92</v>
      </c>
      <c r="E1319" s="8">
        <f>C1319*D1319</f>
        <v>16.279199999999999</v>
      </c>
      <c r="F1319" s="26"/>
      <c r="H1319" s="4" t="s">
        <v>137</v>
      </c>
      <c r="I1319" s="4">
        <v>1.26</v>
      </c>
      <c r="J1319" s="4">
        <v>17.190000000000001</v>
      </c>
      <c r="K1319" s="8">
        <f>I1319*J1319</f>
        <v>21.659400000000002</v>
      </c>
    </row>
    <row r="1320" spans="1:17" x14ac:dyDescent="0.3">
      <c r="B1320" s="4" t="s">
        <v>35</v>
      </c>
      <c r="C1320" s="4">
        <v>4</v>
      </c>
      <c r="D1320" s="4">
        <v>1.89</v>
      </c>
      <c r="E1320" s="8">
        <f>C1320*D1320</f>
        <v>7.56</v>
      </c>
      <c r="F1320" s="26"/>
      <c r="H1320" s="4" t="s">
        <v>35</v>
      </c>
      <c r="I1320" s="4">
        <v>4</v>
      </c>
      <c r="J1320" s="4">
        <v>2.89</v>
      </c>
      <c r="K1320" s="8">
        <f>I1320*J1320</f>
        <v>11.56</v>
      </c>
    </row>
    <row r="1321" spans="1:17" x14ac:dyDescent="0.3">
      <c r="B1321" s="4" t="s">
        <v>36</v>
      </c>
      <c r="C1321" s="4">
        <v>4</v>
      </c>
      <c r="D1321" s="4">
        <v>0.24</v>
      </c>
      <c r="E1321" s="8">
        <f>C1321*D1321</f>
        <v>0.96</v>
      </c>
      <c r="F1321" s="26"/>
      <c r="H1321" s="4" t="s">
        <v>36</v>
      </c>
      <c r="I1321" s="4">
        <v>4</v>
      </c>
      <c r="J1321" s="4">
        <v>0.6</v>
      </c>
      <c r="K1321" s="8">
        <f>I1321*J1321</f>
        <v>2.4</v>
      </c>
    </row>
    <row r="1322" spans="1:17" x14ac:dyDescent="0.3">
      <c r="B1322" s="4" t="s">
        <v>37</v>
      </c>
      <c r="C1322" t="s">
        <v>266</v>
      </c>
      <c r="E1322" s="8">
        <v>63</v>
      </c>
      <c r="F1322" s="26"/>
      <c r="H1322" s="4" t="s">
        <v>37</v>
      </c>
      <c r="I1322">
        <v>85</v>
      </c>
      <c r="K1322" s="8">
        <v>85</v>
      </c>
    </row>
    <row r="1323" spans="1:17" x14ac:dyDescent="0.3">
      <c r="E1323" s="8">
        <f>SUM(E1317:E1322)</f>
        <v>416.80703999999992</v>
      </c>
      <c r="F1323" s="26"/>
      <c r="K1323" s="8">
        <f>SUM(K1317:K1322)</f>
        <v>664.79244999999992</v>
      </c>
    </row>
    <row r="1324" spans="1:17" x14ac:dyDescent="0.3">
      <c r="F1324" s="26"/>
    </row>
    <row r="1325" spans="1:17" x14ac:dyDescent="0.3">
      <c r="F1325" s="26"/>
    </row>
    <row r="1326" spans="1:17" x14ac:dyDescent="0.3">
      <c r="C1326" s="4" t="s">
        <v>28</v>
      </c>
      <c r="D1326" s="4" t="s">
        <v>29</v>
      </c>
      <c r="E1326" s="4" t="s">
        <v>30</v>
      </c>
      <c r="F1326" s="26"/>
      <c r="I1326" s="4" t="s">
        <v>28</v>
      </c>
      <c r="J1326" s="4" t="s">
        <v>29</v>
      </c>
      <c r="K1326" s="4" t="s">
        <v>30</v>
      </c>
      <c r="O1326" s="4" t="s">
        <v>28</v>
      </c>
      <c r="P1326" s="4" t="s">
        <v>29</v>
      </c>
      <c r="Q1326" s="4" t="s">
        <v>30</v>
      </c>
    </row>
    <row r="1327" spans="1:17" x14ac:dyDescent="0.3">
      <c r="A1327" t="s">
        <v>124</v>
      </c>
      <c r="B1327" s="4" t="s">
        <v>32</v>
      </c>
      <c r="C1327" s="4">
        <v>3.4990000000000001</v>
      </c>
      <c r="D1327" s="4">
        <v>19.38</v>
      </c>
      <c r="E1327" s="8">
        <f>C1327*D1327</f>
        <v>67.81062</v>
      </c>
      <c r="F1327" s="26"/>
      <c r="G1327" t="s">
        <v>124</v>
      </c>
      <c r="H1327" s="4" t="s">
        <v>32</v>
      </c>
      <c r="I1327" s="4">
        <v>3.4990000000000001</v>
      </c>
      <c r="J1327" s="4">
        <v>30.29</v>
      </c>
      <c r="K1327" s="8">
        <f>I1327*J1327</f>
        <v>105.98471000000001</v>
      </c>
      <c r="M1327" t="s">
        <v>332</v>
      </c>
      <c r="N1327" s="4" t="s">
        <v>32</v>
      </c>
      <c r="O1327" s="4">
        <v>3.8860000000000001</v>
      </c>
      <c r="P1327" s="4">
        <v>30.29</v>
      </c>
      <c r="Q1327" s="8">
        <f>O1327*P1327</f>
        <v>117.70694</v>
      </c>
    </row>
    <row r="1328" spans="1:17" x14ac:dyDescent="0.3">
      <c r="A1328" t="s">
        <v>168</v>
      </c>
      <c r="B1328" s="4" t="s">
        <v>33</v>
      </c>
      <c r="C1328" s="4">
        <v>36.235999999999997</v>
      </c>
      <c r="D1328" s="4">
        <v>10.11</v>
      </c>
      <c r="E1328" s="8">
        <f>C1328*D1328</f>
        <v>366.34595999999993</v>
      </c>
      <c r="F1328" s="26"/>
      <c r="G1328" t="s">
        <v>168</v>
      </c>
      <c r="H1328" s="4" t="s">
        <v>33</v>
      </c>
      <c r="I1328" s="4">
        <v>36.235999999999997</v>
      </c>
      <c r="J1328" s="4">
        <v>16</v>
      </c>
      <c r="K1328" s="8">
        <f>I1328*J1328</f>
        <v>579.77599999999995</v>
      </c>
      <c r="M1328" t="s">
        <v>168</v>
      </c>
      <c r="N1328" s="4" t="s">
        <v>33</v>
      </c>
      <c r="O1328" s="4">
        <v>41.16</v>
      </c>
      <c r="P1328" s="4">
        <v>16</v>
      </c>
      <c r="Q1328" s="8">
        <f>O1328*P1328</f>
        <v>658.56</v>
      </c>
    </row>
    <row r="1329" spans="1:17" x14ac:dyDescent="0.3">
      <c r="A1329" t="s">
        <v>269</v>
      </c>
      <c r="B1329" s="4" t="s">
        <v>137</v>
      </c>
      <c r="C1329" s="4">
        <v>1.68</v>
      </c>
      <c r="D1329" s="4">
        <v>12.92</v>
      </c>
      <c r="E1329" s="8">
        <f>C1329*D1329</f>
        <v>21.7056</v>
      </c>
      <c r="F1329" s="26"/>
      <c r="H1329" s="4" t="s">
        <v>137</v>
      </c>
      <c r="I1329" s="4">
        <v>1.68</v>
      </c>
      <c r="J1329" s="4">
        <v>17.190000000000001</v>
      </c>
      <c r="K1329" s="8">
        <f>I1329*J1329</f>
        <v>28.879200000000001</v>
      </c>
      <c r="N1329" s="4" t="s">
        <v>137</v>
      </c>
      <c r="O1329" s="4">
        <v>1.68</v>
      </c>
      <c r="P1329" s="4">
        <v>17.190000000000001</v>
      </c>
      <c r="Q1329" s="8">
        <f>O1329*P1329</f>
        <v>28.879200000000001</v>
      </c>
    </row>
    <row r="1330" spans="1:17" x14ac:dyDescent="0.3">
      <c r="B1330" s="4" t="s">
        <v>35</v>
      </c>
      <c r="C1330" s="4">
        <v>4</v>
      </c>
      <c r="D1330" s="4">
        <v>1.89</v>
      </c>
      <c r="E1330" s="8">
        <f>C1330*D1330</f>
        <v>7.56</v>
      </c>
      <c r="F1330" s="26"/>
      <c r="H1330" s="4" t="s">
        <v>35</v>
      </c>
      <c r="I1330" s="4">
        <v>4</v>
      </c>
      <c r="J1330" s="4">
        <v>2.89</v>
      </c>
      <c r="K1330" s="8">
        <f>I1330*J1330</f>
        <v>11.56</v>
      </c>
      <c r="N1330" s="4" t="s">
        <v>35</v>
      </c>
      <c r="O1330" s="4">
        <v>4</v>
      </c>
      <c r="P1330" s="4">
        <v>2.89</v>
      </c>
      <c r="Q1330" s="8">
        <f>O1330*P1330</f>
        <v>11.56</v>
      </c>
    </row>
    <row r="1331" spans="1:17" x14ac:dyDescent="0.3">
      <c r="B1331" s="4" t="s">
        <v>36</v>
      </c>
      <c r="C1331" s="4">
        <v>4</v>
      </c>
      <c r="D1331" s="4">
        <v>0.24</v>
      </c>
      <c r="E1331" s="8">
        <f>C1331*D1331</f>
        <v>0.96</v>
      </c>
      <c r="F1331" s="26"/>
      <c r="H1331" s="4" t="s">
        <v>36</v>
      </c>
      <c r="I1331" s="4">
        <v>4</v>
      </c>
      <c r="J1331" s="4">
        <v>0.6</v>
      </c>
      <c r="K1331" s="8">
        <f>I1331*J1331</f>
        <v>2.4</v>
      </c>
      <c r="N1331" s="4" t="s">
        <v>36</v>
      </c>
      <c r="O1331" s="4">
        <v>4</v>
      </c>
      <c r="P1331" s="4">
        <v>0.6</v>
      </c>
      <c r="Q1331" s="8">
        <f>O1331*P1331</f>
        <v>2.4</v>
      </c>
    </row>
    <row r="1332" spans="1:17" x14ac:dyDescent="0.3">
      <c r="B1332" s="4" t="s">
        <v>37</v>
      </c>
      <c r="C1332" t="s">
        <v>266</v>
      </c>
      <c r="E1332" s="8">
        <v>63</v>
      </c>
      <c r="F1332" s="26"/>
      <c r="H1332" s="4" t="s">
        <v>37</v>
      </c>
      <c r="I1332" t="s">
        <v>402</v>
      </c>
      <c r="J1332" s="10">
        <v>85</v>
      </c>
      <c r="K1332" s="8">
        <v>170</v>
      </c>
      <c r="N1332" s="4" t="s">
        <v>37</v>
      </c>
      <c r="O1332" t="s">
        <v>357</v>
      </c>
      <c r="P1332" s="10">
        <v>85</v>
      </c>
      <c r="Q1332" s="8">
        <v>255</v>
      </c>
    </row>
    <row r="1333" spans="1:17" x14ac:dyDescent="0.3">
      <c r="E1333" s="8">
        <f>SUM(E1327:E1332)</f>
        <v>527.38217999999995</v>
      </c>
      <c r="F1333" s="26"/>
      <c r="K1333" s="8">
        <f>SUM(K1327:K1332)</f>
        <v>898.59990999999991</v>
      </c>
      <c r="Q1333" s="8">
        <f>SUM(Q1327:Q1332)</f>
        <v>1074.1061399999999</v>
      </c>
    </row>
    <row r="1334" spans="1:17" x14ac:dyDescent="0.3">
      <c r="F1334" s="26"/>
    </row>
    <row r="1336" spans="1:17" x14ac:dyDescent="0.3">
      <c r="I1336" s="4" t="s">
        <v>28</v>
      </c>
      <c r="J1336" s="4" t="s">
        <v>29</v>
      </c>
      <c r="K1336" s="4" t="s">
        <v>30</v>
      </c>
    </row>
    <row r="1337" spans="1:17" x14ac:dyDescent="0.3">
      <c r="G1337" t="s">
        <v>297</v>
      </c>
      <c r="H1337" s="4" t="s">
        <v>32</v>
      </c>
      <c r="I1337" s="4">
        <v>4.843</v>
      </c>
      <c r="J1337" s="4">
        <v>30.29</v>
      </c>
      <c r="K1337" s="8">
        <f>I1337*J1337</f>
        <v>146.69447</v>
      </c>
    </row>
    <row r="1338" spans="1:17" x14ac:dyDescent="0.3">
      <c r="G1338" t="s">
        <v>261</v>
      </c>
      <c r="H1338" s="4" t="s">
        <v>33</v>
      </c>
      <c r="I1338" s="4">
        <v>5.7649999999999997</v>
      </c>
      <c r="J1338" s="4">
        <v>16</v>
      </c>
      <c r="K1338" s="8">
        <f>I1338*J1338</f>
        <v>92.24</v>
      </c>
    </row>
    <row r="1339" spans="1:17" x14ac:dyDescent="0.3">
      <c r="H1339" s="4" t="s">
        <v>137</v>
      </c>
      <c r="I1339" s="4">
        <v>0.4</v>
      </c>
      <c r="J1339" s="4">
        <v>17.190000000000001</v>
      </c>
      <c r="K1339" s="8">
        <f>I1339*J1339</f>
        <v>6.8760000000000012</v>
      </c>
    </row>
    <row r="1340" spans="1:17" x14ac:dyDescent="0.3">
      <c r="H1340" s="4" t="s">
        <v>35</v>
      </c>
      <c r="I1340" s="4">
        <v>4</v>
      </c>
      <c r="J1340" s="4">
        <v>2.89</v>
      </c>
      <c r="K1340" s="8">
        <f>I1340*J1340</f>
        <v>11.56</v>
      </c>
    </row>
    <row r="1341" spans="1:17" x14ac:dyDescent="0.3">
      <c r="H1341" s="4" t="s">
        <v>36</v>
      </c>
      <c r="I1341" s="4">
        <v>4</v>
      </c>
      <c r="J1341" s="4">
        <v>0.6</v>
      </c>
      <c r="K1341" s="8">
        <f>I1341*J1341</f>
        <v>2.4</v>
      </c>
    </row>
    <row r="1342" spans="1:17" x14ac:dyDescent="0.3">
      <c r="H1342" s="4" t="s">
        <v>37</v>
      </c>
      <c r="I1342" t="s">
        <v>266</v>
      </c>
      <c r="K1342" s="8">
        <v>63</v>
      </c>
    </row>
    <row r="1343" spans="1:17" x14ac:dyDescent="0.3">
      <c r="K1343" s="8">
        <f>SUM(K1337:K1342)</f>
        <v>322.77046999999993</v>
      </c>
    </row>
    <row r="1346" spans="7:11" x14ac:dyDescent="0.3">
      <c r="I1346" s="4" t="s">
        <v>28</v>
      </c>
      <c r="J1346" s="4" t="s">
        <v>29</v>
      </c>
      <c r="K1346" s="4" t="s">
        <v>30</v>
      </c>
    </row>
    <row r="1347" spans="7:11" x14ac:dyDescent="0.3">
      <c r="G1347" t="s">
        <v>298</v>
      </c>
      <c r="H1347" s="4" t="s">
        <v>32</v>
      </c>
      <c r="I1347" s="4">
        <v>4.633</v>
      </c>
      <c r="J1347" s="4">
        <v>30.29</v>
      </c>
      <c r="K1347" s="8">
        <f>I1347*J1347</f>
        <v>140.33357000000001</v>
      </c>
    </row>
    <row r="1348" spans="7:11" x14ac:dyDescent="0.3">
      <c r="G1348" t="s">
        <v>167</v>
      </c>
      <c r="H1348" s="4" t="s">
        <v>33</v>
      </c>
      <c r="I1348" s="4">
        <v>40.351999999999997</v>
      </c>
      <c r="J1348" s="4">
        <v>16</v>
      </c>
      <c r="K1348" s="8">
        <f>I1348*J1348</f>
        <v>645.63199999999995</v>
      </c>
    </row>
    <row r="1349" spans="7:11" x14ac:dyDescent="0.3">
      <c r="H1349" s="4" t="s">
        <v>137</v>
      </c>
      <c r="I1349" s="4">
        <v>1</v>
      </c>
      <c r="J1349" s="4">
        <v>17.190000000000001</v>
      </c>
      <c r="K1349" s="8">
        <f>I1349*J1349</f>
        <v>17.190000000000001</v>
      </c>
    </row>
    <row r="1350" spans="7:11" x14ac:dyDescent="0.3">
      <c r="H1350" s="4" t="s">
        <v>35</v>
      </c>
      <c r="I1350" s="4">
        <v>4</v>
      </c>
      <c r="J1350" s="4">
        <v>2.89</v>
      </c>
      <c r="K1350" s="8">
        <f>I1350*J1350</f>
        <v>11.56</v>
      </c>
    </row>
    <row r="1351" spans="7:11" x14ac:dyDescent="0.3">
      <c r="H1351" s="4" t="s">
        <v>36</v>
      </c>
      <c r="I1351" s="4">
        <v>4</v>
      </c>
      <c r="J1351" s="4">
        <v>0.6</v>
      </c>
      <c r="K1351" s="8">
        <f>I1351*J1351</f>
        <v>2.4</v>
      </c>
    </row>
    <row r="1352" spans="7:11" x14ac:dyDescent="0.3">
      <c r="H1352" s="4" t="s">
        <v>37</v>
      </c>
      <c r="I1352">
        <v>60</v>
      </c>
      <c r="K1352" s="8">
        <v>85</v>
      </c>
    </row>
    <row r="1353" spans="7:11" x14ac:dyDescent="0.3">
      <c r="K1353" s="8">
        <f>SUM(K1347:K1352)</f>
        <v>902.11556999999993</v>
      </c>
    </row>
    <row r="1356" spans="7:11" x14ac:dyDescent="0.3">
      <c r="I1356" s="4" t="s">
        <v>28</v>
      </c>
      <c r="J1356" s="4" t="s">
        <v>29</v>
      </c>
      <c r="K1356" s="4" t="s">
        <v>30</v>
      </c>
    </row>
    <row r="1357" spans="7:11" x14ac:dyDescent="0.3">
      <c r="G1357" t="s">
        <v>299</v>
      </c>
      <c r="H1357" s="4" t="s">
        <v>32</v>
      </c>
      <c r="I1357" s="4">
        <v>4.7380000000000004</v>
      </c>
      <c r="J1357" s="4">
        <v>30.29</v>
      </c>
      <c r="K1357" s="8">
        <f>I1357*J1357</f>
        <v>143.51402000000002</v>
      </c>
    </row>
    <row r="1358" spans="7:11" x14ac:dyDescent="0.3">
      <c r="G1358" t="s">
        <v>300</v>
      </c>
      <c r="H1358" s="4" t="s">
        <v>33</v>
      </c>
      <c r="I1358" s="4">
        <v>49.959000000000003</v>
      </c>
      <c r="J1358" s="4">
        <v>16</v>
      </c>
      <c r="K1358" s="8">
        <f>I1358*J1358</f>
        <v>799.34400000000005</v>
      </c>
    </row>
    <row r="1359" spans="7:11" x14ac:dyDescent="0.3">
      <c r="H1359" s="4" t="s">
        <v>137</v>
      </c>
      <c r="I1359" s="4">
        <v>1.3</v>
      </c>
      <c r="J1359" s="4">
        <v>17.190000000000001</v>
      </c>
      <c r="K1359" s="8">
        <f>I1359*J1359</f>
        <v>22.347000000000001</v>
      </c>
    </row>
    <row r="1360" spans="7:11" x14ac:dyDescent="0.3">
      <c r="H1360" s="4" t="s">
        <v>35</v>
      </c>
      <c r="I1360" s="4">
        <v>4</v>
      </c>
      <c r="J1360" s="4">
        <v>2.89</v>
      </c>
      <c r="K1360" s="8">
        <f>I1360*J1360</f>
        <v>11.56</v>
      </c>
    </row>
    <row r="1361" spans="1:11" x14ac:dyDescent="0.3">
      <c r="H1361" s="4" t="s">
        <v>36</v>
      </c>
      <c r="I1361" s="4">
        <v>4</v>
      </c>
      <c r="J1361" s="4">
        <v>0.6</v>
      </c>
      <c r="K1361" s="8">
        <f>I1361*J1361</f>
        <v>2.4</v>
      </c>
    </row>
    <row r="1362" spans="1:11" x14ac:dyDescent="0.3">
      <c r="H1362" s="4" t="s">
        <v>37</v>
      </c>
      <c r="I1362">
        <v>60</v>
      </c>
      <c r="K1362" s="8">
        <v>85</v>
      </c>
    </row>
    <row r="1363" spans="1:11" x14ac:dyDescent="0.3">
      <c r="K1363" s="8">
        <f>SUM(K1357:K1362)</f>
        <v>1064.1650199999999</v>
      </c>
    </row>
    <row r="1365" spans="1:11" x14ac:dyDescent="0.3">
      <c r="I1365" s="4" t="s">
        <v>28</v>
      </c>
      <c r="J1365" s="4" t="s">
        <v>29</v>
      </c>
      <c r="K1365" s="4" t="s">
        <v>30</v>
      </c>
    </row>
    <row r="1366" spans="1:11" x14ac:dyDescent="0.3">
      <c r="C1366" s="4" t="s">
        <v>28</v>
      </c>
      <c r="D1366" s="4" t="s">
        <v>29</v>
      </c>
      <c r="E1366" s="4" t="s">
        <v>30</v>
      </c>
      <c r="G1366" t="s">
        <v>521</v>
      </c>
      <c r="H1366" s="4" t="s">
        <v>32</v>
      </c>
      <c r="I1366" s="4">
        <v>5.3159999999999998</v>
      </c>
      <c r="J1366" s="4">
        <v>30.29</v>
      </c>
      <c r="K1366" s="8">
        <f>I1366*J1366</f>
        <v>161.02163999999999</v>
      </c>
    </row>
    <row r="1367" spans="1:11" x14ac:dyDescent="0.3">
      <c r="A1367" t="s">
        <v>521</v>
      </c>
      <c r="B1367" s="4" t="s">
        <v>32</v>
      </c>
      <c r="C1367" s="4">
        <v>5.3159999999999998</v>
      </c>
      <c r="D1367" s="4">
        <v>19.38</v>
      </c>
      <c r="E1367" s="8">
        <f>C1367*D1367</f>
        <v>103.02408</v>
      </c>
      <c r="G1367" t="s">
        <v>346</v>
      </c>
      <c r="H1367" s="4" t="s">
        <v>33</v>
      </c>
      <c r="I1367" s="4">
        <v>78.760000000000005</v>
      </c>
      <c r="J1367" s="4">
        <v>16</v>
      </c>
      <c r="K1367" s="8">
        <f>I1367*J1367</f>
        <v>1260.1600000000001</v>
      </c>
    </row>
    <row r="1368" spans="1:11" x14ac:dyDescent="0.3">
      <c r="A1368" t="s">
        <v>346</v>
      </c>
      <c r="B1368" s="4" t="s">
        <v>33</v>
      </c>
      <c r="C1368" s="4">
        <v>78.760000000000005</v>
      </c>
      <c r="D1368" s="4">
        <v>10.11</v>
      </c>
      <c r="E1368" s="8">
        <f>C1368*D1368</f>
        <v>796.2636</v>
      </c>
      <c r="G1368">
        <v>0.99</v>
      </c>
      <c r="H1368" s="4" t="s">
        <v>137</v>
      </c>
      <c r="I1368" s="4">
        <v>1.3</v>
      </c>
      <c r="J1368" s="4">
        <v>17.190000000000001</v>
      </c>
      <c r="K1368" s="8">
        <f>I1368*J1368</f>
        <v>22.347000000000001</v>
      </c>
    </row>
    <row r="1369" spans="1:11" x14ac:dyDescent="0.3">
      <c r="A1369" t="s">
        <v>270</v>
      </c>
      <c r="B1369" s="4" t="s">
        <v>137</v>
      </c>
      <c r="C1369" s="4">
        <v>1.82</v>
      </c>
      <c r="D1369" s="4">
        <v>12.92</v>
      </c>
      <c r="E1369" s="8">
        <f>C1369*D1369</f>
        <v>23.514400000000002</v>
      </c>
      <c r="H1369" s="4" t="s">
        <v>35</v>
      </c>
      <c r="I1369" s="4">
        <v>4</v>
      </c>
      <c r="J1369" s="4">
        <v>2.89</v>
      </c>
      <c r="K1369" s="8">
        <f>I1369*J1369</f>
        <v>11.56</v>
      </c>
    </row>
    <row r="1370" spans="1:11" x14ac:dyDescent="0.3">
      <c r="B1370" s="4" t="s">
        <v>35</v>
      </c>
      <c r="C1370" s="4">
        <v>4</v>
      </c>
      <c r="D1370" s="4">
        <v>1.89</v>
      </c>
      <c r="E1370" s="8">
        <f>C1370*D1370</f>
        <v>7.56</v>
      </c>
      <c r="H1370" s="4" t="s">
        <v>36</v>
      </c>
      <c r="I1370" s="4">
        <v>4</v>
      </c>
      <c r="J1370" s="4">
        <v>0.6</v>
      </c>
      <c r="K1370" s="8">
        <f>I1370*J1370</f>
        <v>2.4</v>
      </c>
    </row>
    <row r="1371" spans="1:11" x14ac:dyDescent="0.3">
      <c r="B1371" s="4" t="s">
        <v>36</v>
      </c>
      <c r="C1371" s="4">
        <v>4</v>
      </c>
      <c r="D1371" s="4">
        <v>0.24</v>
      </c>
      <c r="E1371" s="8">
        <f>C1371*D1371</f>
        <v>0.96</v>
      </c>
      <c r="H1371" s="4" t="s">
        <v>37</v>
      </c>
      <c r="I1371" t="s">
        <v>522</v>
      </c>
      <c r="J1371" s="61">
        <v>85</v>
      </c>
      <c r="K1371" s="8">
        <v>340</v>
      </c>
    </row>
    <row r="1372" spans="1:11" x14ac:dyDescent="0.3">
      <c r="B1372" s="4" t="s">
        <v>37</v>
      </c>
      <c r="C1372">
        <v>85</v>
      </c>
      <c r="D1372" s="61">
        <v>4</v>
      </c>
      <c r="E1372" s="8">
        <v>340</v>
      </c>
      <c r="K1372" s="8">
        <f>SUM(K1366:K1371)</f>
        <v>1797.48864</v>
      </c>
    </row>
    <row r="1373" spans="1:11" x14ac:dyDescent="0.3">
      <c r="E1373" s="8">
        <f>SUM(E1367:E1372)</f>
        <v>1271.3220799999999</v>
      </c>
    </row>
  </sheetData>
  <pageMargins left="0" right="0" top="0.35433070866141736" bottom="0.35433070866141736" header="0.31496062992125984" footer="0.31496062992125984"/>
  <pageSetup paperSize="9" scale="85"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3:E100"/>
  <sheetViews>
    <sheetView topLeftCell="A73" workbookViewId="0">
      <selection activeCell="A93" sqref="A93"/>
    </sheetView>
  </sheetViews>
  <sheetFormatPr baseColWidth="10" defaultRowHeight="14.4" x14ac:dyDescent="0.3"/>
  <sheetData>
    <row r="3" spans="1:5" x14ac:dyDescent="0.3">
      <c r="A3" t="s">
        <v>287</v>
      </c>
    </row>
    <row r="6" spans="1:5" x14ac:dyDescent="0.3">
      <c r="A6" t="s">
        <v>281</v>
      </c>
      <c r="C6" s="4" t="s">
        <v>28</v>
      </c>
      <c r="D6" s="4" t="s">
        <v>29</v>
      </c>
      <c r="E6" s="4" t="s">
        <v>30</v>
      </c>
    </row>
    <row r="7" spans="1:5" x14ac:dyDescent="0.3">
      <c r="A7" t="s">
        <v>282</v>
      </c>
      <c r="B7" s="4" t="s">
        <v>32</v>
      </c>
      <c r="C7" s="4">
        <v>6.4390000000000001</v>
      </c>
      <c r="D7" s="4">
        <v>29.24</v>
      </c>
      <c r="E7" s="8">
        <f t="shared" ref="E7:E14" si="0">C7*D7</f>
        <v>188.27635999999998</v>
      </c>
    </row>
    <row r="8" spans="1:5" x14ac:dyDescent="0.3">
      <c r="A8" t="s">
        <v>282</v>
      </c>
      <c r="B8" s="4" t="s">
        <v>33</v>
      </c>
      <c r="C8" s="4">
        <v>117.33799999999999</v>
      </c>
      <c r="D8" s="4">
        <v>9.1999999999999993</v>
      </c>
      <c r="E8" s="8">
        <f t="shared" si="0"/>
        <v>1079.5095999999999</v>
      </c>
    </row>
    <row r="9" spans="1:5" x14ac:dyDescent="0.3">
      <c r="B9" s="4" t="s">
        <v>33</v>
      </c>
      <c r="C9" s="4">
        <v>117.33799999999999</v>
      </c>
      <c r="D9" s="4">
        <v>9.1999999999999993</v>
      </c>
      <c r="E9" s="8">
        <f t="shared" si="0"/>
        <v>1079.5095999999999</v>
      </c>
    </row>
    <row r="10" spans="1:5" x14ac:dyDescent="0.3">
      <c r="B10" s="4" t="s">
        <v>289</v>
      </c>
      <c r="C10" s="4">
        <v>2</v>
      </c>
      <c r="D10" s="4">
        <v>6.72</v>
      </c>
      <c r="E10" s="8">
        <f t="shared" si="0"/>
        <v>13.44</v>
      </c>
    </row>
    <row r="11" spans="1:5" x14ac:dyDescent="0.3">
      <c r="B11" s="4" t="s">
        <v>290</v>
      </c>
      <c r="C11" s="4">
        <v>2</v>
      </c>
      <c r="D11" s="4">
        <v>6.72</v>
      </c>
      <c r="E11" s="4">
        <f t="shared" si="0"/>
        <v>13.44</v>
      </c>
    </row>
    <row r="12" spans="1:5" x14ac:dyDescent="0.3">
      <c r="B12" s="4" t="s">
        <v>34</v>
      </c>
      <c r="C12" s="4">
        <v>4.7300000000000004</v>
      </c>
      <c r="D12" s="4">
        <v>12.43</v>
      </c>
      <c r="E12" s="8">
        <f t="shared" si="0"/>
        <v>58.793900000000001</v>
      </c>
    </row>
    <row r="13" spans="1:5" x14ac:dyDescent="0.3">
      <c r="B13" s="4" t="s">
        <v>35</v>
      </c>
      <c r="C13" s="4">
        <v>8</v>
      </c>
      <c r="D13" s="4">
        <v>1.89</v>
      </c>
      <c r="E13" s="8">
        <f t="shared" si="0"/>
        <v>15.12</v>
      </c>
    </row>
    <row r="14" spans="1:5" x14ac:dyDescent="0.3">
      <c r="B14" s="4" t="s">
        <v>36</v>
      </c>
      <c r="C14" s="4">
        <v>4</v>
      </c>
      <c r="D14" s="4">
        <v>0.24</v>
      </c>
      <c r="E14" s="8">
        <f t="shared" si="0"/>
        <v>0.96</v>
      </c>
    </row>
    <row r="15" spans="1:5" x14ac:dyDescent="0.3">
      <c r="E15" s="9">
        <f>SUM(E7:E14)</f>
        <v>2449.0494599999997</v>
      </c>
    </row>
    <row r="16" spans="1:5" x14ac:dyDescent="0.3">
      <c r="B16" s="4" t="s">
        <v>37</v>
      </c>
      <c r="C16" t="s">
        <v>283</v>
      </c>
      <c r="D16">
        <v>85</v>
      </c>
      <c r="E16" s="8">
        <v>255</v>
      </c>
    </row>
    <row r="17" spans="1:5" x14ac:dyDescent="0.3">
      <c r="E17" s="9">
        <f>SUM(E15:E16)</f>
        <v>2704.0494599999997</v>
      </c>
    </row>
    <row r="21" spans="1:5" x14ac:dyDescent="0.3">
      <c r="A21" t="s">
        <v>284</v>
      </c>
      <c r="C21" s="4" t="s">
        <v>28</v>
      </c>
      <c r="D21" s="4" t="s">
        <v>29</v>
      </c>
      <c r="E21" s="4" t="s">
        <v>30</v>
      </c>
    </row>
    <row r="22" spans="1:5" x14ac:dyDescent="0.3">
      <c r="A22" t="s">
        <v>285</v>
      </c>
      <c r="B22" s="4" t="s">
        <v>32</v>
      </c>
      <c r="C22" s="4">
        <v>5.1790000000000003</v>
      </c>
      <c r="D22" s="4">
        <v>29.24</v>
      </c>
      <c r="E22" s="8">
        <f t="shared" ref="E22:E29" si="1">C22*D22</f>
        <v>151.43396000000001</v>
      </c>
    </row>
    <row r="23" spans="1:5" x14ac:dyDescent="0.3">
      <c r="A23" t="s">
        <v>286</v>
      </c>
      <c r="B23" s="4" t="s">
        <v>33</v>
      </c>
      <c r="C23" s="4">
        <v>75</v>
      </c>
      <c r="D23" s="4">
        <v>9.1999999999999993</v>
      </c>
      <c r="E23" s="8">
        <f t="shared" si="1"/>
        <v>690</v>
      </c>
    </row>
    <row r="24" spans="1:5" x14ac:dyDescent="0.3">
      <c r="B24" s="4" t="s">
        <v>33</v>
      </c>
      <c r="C24" s="4">
        <v>75</v>
      </c>
      <c r="D24" s="4">
        <v>9.1999999999999993</v>
      </c>
      <c r="E24" s="8">
        <f t="shared" si="1"/>
        <v>690</v>
      </c>
    </row>
    <row r="25" spans="1:5" x14ac:dyDescent="0.3">
      <c r="B25" s="4" t="s">
        <v>95</v>
      </c>
      <c r="C25" s="4">
        <v>2</v>
      </c>
      <c r="D25" s="4">
        <v>6.72</v>
      </c>
      <c r="E25" s="8">
        <f t="shared" si="1"/>
        <v>13.44</v>
      </c>
    </row>
    <row r="26" spans="1:5" x14ac:dyDescent="0.3">
      <c r="B26" s="4" t="s">
        <v>101</v>
      </c>
      <c r="C26" s="4">
        <v>2</v>
      </c>
      <c r="D26" s="4">
        <v>6.72</v>
      </c>
      <c r="E26" s="4">
        <f t="shared" si="1"/>
        <v>13.44</v>
      </c>
    </row>
    <row r="27" spans="1:5" x14ac:dyDescent="0.3">
      <c r="B27" s="4" t="s">
        <v>34</v>
      </c>
      <c r="C27" s="4">
        <v>4.7300000000000004</v>
      </c>
      <c r="D27" s="4">
        <v>12.43</v>
      </c>
      <c r="E27" s="8">
        <f t="shared" si="1"/>
        <v>58.793900000000001</v>
      </c>
    </row>
    <row r="28" spans="1:5" x14ac:dyDescent="0.3">
      <c r="B28" s="4" t="s">
        <v>35</v>
      </c>
      <c r="C28" s="4">
        <v>8</v>
      </c>
      <c r="D28" s="4">
        <v>1.89</v>
      </c>
      <c r="E28" s="8">
        <f t="shared" si="1"/>
        <v>15.12</v>
      </c>
    </row>
    <row r="29" spans="1:5" x14ac:dyDescent="0.3">
      <c r="B29" s="4" t="s">
        <v>36</v>
      </c>
      <c r="C29" s="4">
        <v>4</v>
      </c>
      <c r="D29" s="4">
        <v>0.24</v>
      </c>
      <c r="E29" s="8">
        <f t="shared" si="1"/>
        <v>0.96</v>
      </c>
    </row>
    <row r="30" spans="1:5" x14ac:dyDescent="0.3">
      <c r="E30" s="9">
        <f>SUM(E22:E29)</f>
        <v>1633.18786</v>
      </c>
    </row>
    <row r="31" spans="1:5" x14ac:dyDescent="0.3">
      <c r="B31" s="4" t="s">
        <v>37</v>
      </c>
      <c r="C31" t="s">
        <v>283</v>
      </c>
      <c r="D31">
        <v>85</v>
      </c>
      <c r="E31" s="8">
        <v>255</v>
      </c>
    </row>
    <row r="32" spans="1:5" x14ac:dyDescent="0.3">
      <c r="E32" s="9">
        <f>SUM(E30:E31)</f>
        <v>1888.18786</v>
      </c>
    </row>
    <row r="35" spans="1:5" x14ac:dyDescent="0.3">
      <c r="C35" s="4" t="s">
        <v>28</v>
      </c>
      <c r="D35" s="4" t="s">
        <v>29</v>
      </c>
      <c r="E35" s="4" t="s">
        <v>30</v>
      </c>
    </row>
    <row r="36" spans="1:5" x14ac:dyDescent="0.3">
      <c r="A36" t="s">
        <v>311</v>
      </c>
      <c r="B36" s="4" t="s">
        <v>32</v>
      </c>
      <c r="C36" s="4">
        <v>2.0289999999999999</v>
      </c>
      <c r="D36" s="4">
        <v>30.59</v>
      </c>
      <c r="E36" s="8">
        <f t="shared" ref="E36:E43" si="2">C36*D36</f>
        <v>62.06711</v>
      </c>
    </row>
    <row r="37" spans="1:5" x14ac:dyDescent="0.3">
      <c r="A37" t="s">
        <v>312</v>
      </c>
      <c r="B37" s="4" t="s">
        <v>33</v>
      </c>
      <c r="C37" s="4">
        <v>10.648</v>
      </c>
      <c r="D37" s="4">
        <v>9.83</v>
      </c>
      <c r="E37" s="8">
        <f t="shared" si="2"/>
        <v>104.66983999999999</v>
      </c>
    </row>
    <row r="38" spans="1:5" x14ac:dyDescent="0.3">
      <c r="A38" t="s">
        <v>313</v>
      </c>
      <c r="B38" s="4" t="s">
        <v>33</v>
      </c>
      <c r="C38" s="4">
        <v>10.648</v>
      </c>
      <c r="D38" s="4">
        <v>9.83</v>
      </c>
      <c r="E38" s="8">
        <f t="shared" si="2"/>
        <v>104.66983999999999</v>
      </c>
    </row>
    <row r="39" spans="1:5" x14ac:dyDescent="0.3">
      <c r="B39" s="4" t="s">
        <v>87</v>
      </c>
      <c r="C39" s="4">
        <v>2</v>
      </c>
      <c r="D39" s="4">
        <v>1.98</v>
      </c>
      <c r="E39" s="8">
        <f t="shared" si="2"/>
        <v>3.96</v>
      </c>
    </row>
    <row r="40" spans="1:5" x14ac:dyDescent="0.3">
      <c r="B40" s="4" t="s">
        <v>87</v>
      </c>
      <c r="C40" s="4">
        <v>2</v>
      </c>
      <c r="D40" s="4">
        <v>1.98</v>
      </c>
      <c r="E40" s="4">
        <f t="shared" si="2"/>
        <v>3.96</v>
      </c>
    </row>
    <row r="41" spans="1:5" x14ac:dyDescent="0.3">
      <c r="B41" s="4" t="s">
        <v>34</v>
      </c>
      <c r="C41" s="4"/>
      <c r="D41" s="4"/>
      <c r="E41" s="8">
        <f t="shared" si="2"/>
        <v>0</v>
      </c>
    </row>
    <row r="42" spans="1:5" x14ac:dyDescent="0.3">
      <c r="B42" s="4" t="s">
        <v>35</v>
      </c>
      <c r="C42" s="4">
        <v>4</v>
      </c>
      <c r="D42" s="4">
        <v>1.89</v>
      </c>
      <c r="E42" s="8">
        <f t="shared" si="2"/>
        <v>7.56</v>
      </c>
    </row>
    <row r="43" spans="1:5" x14ac:dyDescent="0.3">
      <c r="B43" s="4" t="s">
        <v>36</v>
      </c>
      <c r="C43" s="4">
        <v>4</v>
      </c>
      <c r="D43" s="4">
        <v>0.24</v>
      </c>
      <c r="E43" s="8">
        <f t="shared" si="2"/>
        <v>0.96</v>
      </c>
    </row>
    <row r="44" spans="1:5" x14ac:dyDescent="0.3">
      <c r="E44" s="8">
        <f>SUM(E36:E43)</f>
        <v>287.84678999999994</v>
      </c>
    </row>
    <row r="45" spans="1:5" x14ac:dyDescent="0.3">
      <c r="B45" s="4" t="s">
        <v>37</v>
      </c>
      <c r="C45">
        <v>30</v>
      </c>
      <c r="D45">
        <v>1.41</v>
      </c>
      <c r="E45" s="8">
        <f>C45*D45</f>
        <v>42.3</v>
      </c>
    </row>
    <row r="46" spans="1:5" x14ac:dyDescent="0.3">
      <c r="E46" s="8">
        <f>SUM(E44:E45)</f>
        <v>330.14678999999995</v>
      </c>
    </row>
    <row r="49" spans="1:5" x14ac:dyDescent="0.3">
      <c r="C49" s="4" t="s">
        <v>28</v>
      </c>
      <c r="D49" s="4" t="s">
        <v>29</v>
      </c>
      <c r="E49" s="4" t="s">
        <v>30</v>
      </c>
    </row>
    <row r="50" spans="1:5" x14ac:dyDescent="0.3">
      <c r="A50" t="s">
        <v>316</v>
      </c>
      <c r="B50" s="4" t="s">
        <v>32</v>
      </c>
      <c r="C50" s="4">
        <v>1.609</v>
      </c>
      <c r="D50" s="4">
        <v>30.59</v>
      </c>
      <c r="E50" s="8">
        <f t="shared" ref="E50:E57" si="3">C50*D50</f>
        <v>49.21931</v>
      </c>
    </row>
    <row r="51" spans="1:5" x14ac:dyDescent="0.3">
      <c r="A51" t="s">
        <v>314</v>
      </c>
      <c r="B51" s="4" t="s">
        <v>33</v>
      </c>
      <c r="C51" s="4">
        <v>6.3579999999999997</v>
      </c>
      <c r="D51" s="4">
        <v>9.83</v>
      </c>
      <c r="E51" s="8">
        <f t="shared" si="3"/>
        <v>62.499139999999997</v>
      </c>
    </row>
    <row r="52" spans="1:5" x14ac:dyDescent="0.3">
      <c r="A52" t="s">
        <v>315</v>
      </c>
      <c r="B52" s="4" t="s">
        <v>33</v>
      </c>
      <c r="C52" s="4">
        <v>6.3579999999999997</v>
      </c>
      <c r="D52" s="4">
        <v>9.83</v>
      </c>
      <c r="E52" s="8">
        <f t="shared" si="3"/>
        <v>62.499139999999997</v>
      </c>
    </row>
    <row r="53" spans="1:5" x14ac:dyDescent="0.3">
      <c r="B53" s="4" t="s">
        <v>87</v>
      </c>
      <c r="C53" s="4">
        <v>2</v>
      </c>
      <c r="D53" s="4">
        <v>1.98</v>
      </c>
      <c r="E53" s="8">
        <f t="shared" si="3"/>
        <v>3.96</v>
      </c>
    </row>
    <row r="54" spans="1:5" x14ac:dyDescent="0.3">
      <c r="B54" s="4" t="s">
        <v>87</v>
      </c>
      <c r="C54" s="4">
        <v>2</v>
      </c>
      <c r="D54" s="4">
        <v>1.98</v>
      </c>
      <c r="E54" s="4">
        <f t="shared" si="3"/>
        <v>3.96</v>
      </c>
    </row>
    <row r="55" spans="1:5" x14ac:dyDescent="0.3">
      <c r="B55" s="4" t="s">
        <v>34</v>
      </c>
      <c r="C55" s="4"/>
      <c r="D55" s="4"/>
      <c r="E55" s="8">
        <f t="shared" si="3"/>
        <v>0</v>
      </c>
    </row>
    <row r="56" spans="1:5" x14ac:dyDescent="0.3">
      <c r="B56" s="4" t="s">
        <v>35</v>
      </c>
      <c r="C56" s="4">
        <v>4</v>
      </c>
      <c r="D56" s="4">
        <v>1.89</v>
      </c>
      <c r="E56" s="8">
        <f t="shared" si="3"/>
        <v>7.56</v>
      </c>
    </row>
    <row r="57" spans="1:5" x14ac:dyDescent="0.3">
      <c r="B57" s="4" t="s">
        <v>36</v>
      </c>
      <c r="C57" s="4">
        <v>4</v>
      </c>
      <c r="D57" s="4">
        <v>0.24</v>
      </c>
      <c r="E57" s="8">
        <f t="shared" si="3"/>
        <v>0.96</v>
      </c>
    </row>
    <row r="58" spans="1:5" x14ac:dyDescent="0.3">
      <c r="E58" s="8">
        <f>SUM(E50:E57)</f>
        <v>190.65759</v>
      </c>
    </row>
    <row r="59" spans="1:5" x14ac:dyDescent="0.3">
      <c r="B59" s="4" t="s">
        <v>37</v>
      </c>
      <c r="C59">
        <v>30</v>
      </c>
      <c r="D59">
        <v>1.41</v>
      </c>
      <c r="E59" s="8">
        <f>C59*D59</f>
        <v>42.3</v>
      </c>
    </row>
    <row r="60" spans="1:5" x14ac:dyDescent="0.3">
      <c r="E60" s="8">
        <f>SUM(E58:E59)</f>
        <v>232.95758999999998</v>
      </c>
    </row>
    <row r="62" spans="1:5" x14ac:dyDescent="0.3">
      <c r="C62" s="4" t="s">
        <v>28</v>
      </c>
      <c r="D62" s="4" t="s">
        <v>29</v>
      </c>
      <c r="E62" s="4" t="s">
        <v>30</v>
      </c>
    </row>
    <row r="63" spans="1:5" x14ac:dyDescent="0.3">
      <c r="A63" t="s">
        <v>196</v>
      </c>
      <c r="B63" s="4" t="s">
        <v>32</v>
      </c>
      <c r="C63" s="4">
        <v>1.95</v>
      </c>
      <c r="D63" s="4">
        <v>30.59</v>
      </c>
      <c r="E63" s="8">
        <f>C63*D63</f>
        <v>59.650500000000001</v>
      </c>
    </row>
    <row r="64" spans="1:5" x14ac:dyDescent="0.3">
      <c r="A64" t="s">
        <v>387</v>
      </c>
      <c r="B64" s="4" t="s">
        <v>33</v>
      </c>
      <c r="C64" s="4">
        <v>3.7949999999999999</v>
      </c>
      <c r="D64" s="4">
        <v>9.83</v>
      </c>
      <c r="E64" s="8">
        <f>C64*D64</f>
        <v>37.304850000000002</v>
      </c>
    </row>
    <row r="65" spans="1:5" x14ac:dyDescent="0.3">
      <c r="A65" t="s">
        <v>57</v>
      </c>
      <c r="B65" s="4" t="s">
        <v>33</v>
      </c>
      <c r="C65" s="4">
        <v>4.1139999999999999</v>
      </c>
      <c r="D65" s="4">
        <v>9.83</v>
      </c>
      <c r="E65" s="8">
        <f>C65*D65</f>
        <v>40.440619999999996</v>
      </c>
    </row>
    <row r="66" spans="1:5" x14ac:dyDescent="0.3">
      <c r="B66" s="4" t="s">
        <v>43</v>
      </c>
      <c r="C66" s="4">
        <v>2</v>
      </c>
      <c r="D66" s="4">
        <v>1.24</v>
      </c>
      <c r="E66" s="8">
        <f>C66*D66</f>
        <v>2.48</v>
      </c>
    </row>
    <row r="67" spans="1:5" x14ac:dyDescent="0.3">
      <c r="B67" s="4" t="s">
        <v>91</v>
      </c>
      <c r="C67" s="10">
        <v>4</v>
      </c>
      <c r="D67" s="4">
        <v>1.24</v>
      </c>
      <c r="E67" s="4">
        <v>7.68</v>
      </c>
    </row>
    <row r="68" spans="1:5" x14ac:dyDescent="0.3">
      <c r="B68" s="4" t="s">
        <v>34</v>
      </c>
      <c r="C68" s="4">
        <v>0.1</v>
      </c>
      <c r="D68" s="4">
        <v>13.67</v>
      </c>
      <c r="E68" s="8">
        <f>C68*D68</f>
        <v>1.367</v>
      </c>
    </row>
    <row r="69" spans="1:5" x14ac:dyDescent="0.3">
      <c r="B69" s="4" t="s">
        <v>35</v>
      </c>
      <c r="C69" s="4">
        <v>4</v>
      </c>
      <c r="D69" s="4">
        <v>1.89</v>
      </c>
      <c r="E69" s="8">
        <f>C69*D69</f>
        <v>7.56</v>
      </c>
    </row>
    <row r="70" spans="1:5" x14ac:dyDescent="0.3">
      <c r="B70" s="4" t="s">
        <v>36</v>
      </c>
      <c r="C70" s="4">
        <v>4</v>
      </c>
      <c r="D70" s="4">
        <v>0.24</v>
      </c>
      <c r="E70" s="8">
        <f>C70*D70</f>
        <v>0.96</v>
      </c>
    </row>
    <row r="71" spans="1:5" x14ac:dyDescent="0.3">
      <c r="E71" s="9">
        <f>SUM(E63:E70)</f>
        <v>157.44297</v>
      </c>
    </row>
    <row r="72" spans="1:5" x14ac:dyDescent="0.3">
      <c r="B72" s="4" t="s">
        <v>37</v>
      </c>
      <c r="C72">
        <v>0.5</v>
      </c>
      <c r="D72">
        <v>1.41</v>
      </c>
      <c r="E72" s="8">
        <v>42.5</v>
      </c>
    </row>
    <row r="73" spans="1:5" x14ac:dyDescent="0.3">
      <c r="E73" s="8">
        <f>SUM(E71:E72)</f>
        <v>199.94297</v>
      </c>
    </row>
    <row r="75" spans="1:5" x14ac:dyDescent="0.3">
      <c r="C75" s="4" t="s">
        <v>28</v>
      </c>
      <c r="D75" s="4" t="s">
        <v>29</v>
      </c>
      <c r="E75" s="4" t="s">
        <v>30</v>
      </c>
    </row>
    <row r="76" spans="1:5" x14ac:dyDescent="0.3">
      <c r="A76" t="s">
        <v>291</v>
      </c>
      <c r="B76" s="4" t="s">
        <v>32</v>
      </c>
      <c r="C76" s="4">
        <v>2.786</v>
      </c>
      <c r="D76" s="4">
        <v>30.59</v>
      </c>
      <c r="E76" s="8">
        <f t="shared" ref="E76:E83" si="4">C76*D76</f>
        <v>85.223740000000006</v>
      </c>
    </row>
    <row r="77" spans="1:5" x14ac:dyDescent="0.3">
      <c r="A77" t="s">
        <v>126</v>
      </c>
      <c r="B77" s="4" t="s">
        <v>33</v>
      </c>
      <c r="C77" s="4">
        <v>18.821000000000002</v>
      </c>
      <c r="D77" s="4">
        <v>14.94</v>
      </c>
      <c r="E77" s="8">
        <f t="shared" si="4"/>
        <v>281.18574000000001</v>
      </c>
    </row>
    <row r="78" spans="1:5" x14ac:dyDescent="0.3">
      <c r="A78" t="s">
        <v>126</v>
      </c>
      <c r="B78" s="4" t="s">
        <v>33</v>
      </c>
      <c r="C78" s="4">
        <v>18.821000000000002</v>
      </c>
      <c r="D78" s="4">
        <v>14.94</v>
      </c>
      <c r="E78" s="8">
        <f t="shared" si="4"/>
        <v>281.18574000000001</v>
      </c>
    </row>
    <row r="79" spans="1:5" x14ac:dyDescent="0.3">
      <c r="B79" s="4" t="s">
        <v>87</v>
      </c>
      <c r="C79" s="4">
        <v>2</v>
      </c>
      <c r="D79" s="4">
        <v>3.65</v>
      </c>
      <c r="E79" s="8">
        <f t="shared" si="4"/>
        <v>7.3</v>
      </c>
    </row>
    <row r="80" spans="1:5" x14ac:dyDescent="0.3">
      <c r="B80" s="4" t="s">
        <v>98</v>
      </c>
      <c r="C80" s="4">
        <v>2</v>
      </c>
      <c r="D80" s="4">
        <v>3.65</v>
      </c>
      <c r="E80" s="4">
        <f t="shared" si="4"/>
        <v>7.3</v>
      </c>
    </row>
    <row r="81" spans="1:5" x14ac:dyDescent="0.3">
      <c r="B81" s="4" t="s">
        <v>34</v>
      </c>
      <c r="C81" s="4">
        <v>0.8</v>
      </c>
      <c r="D81" s="4">
        <v>12.43</v>
      </c>
      <c r="E81" s="8">
        <f t="shared" si="4"/>
        <v>9.9440000000000008</v>
      </c>
    </row>
    <row r="82" spans="1:5" x14ac:dyDescent="0.3">
      <c r="B82" s="4" t="s">
        <v>35</v>
      </c>
      <c r="C82" s="4">
        <v>4</v>
      </c>
      <c r="D82" s="4">
        <v>1.89</v>
      </c>
      <c r="E82" s="8">
        <f t="shared" si="4"/>
        <v>7.56</v>
      </c>
    </row>
    <row r="83" spans="1:5" x14ac:dyDescent="0.3">
      <c r="B83" s="4" t="s">
        <v>36</v>
      </c>
      <c r="C83" s="4">
        <v>4</v>
      </c>
      <c r="D83" s="4">
        <v>0.24</v>
      </c>
      <c r="E83" s="8">
        <f t="shared" si="4"/>
        <v>0.96</v>
      </c>
    </row>
    <row r="84" spans="1:5" x14ac:dyDescent="0.3">
      <c r="E84" s="8">
        <f>SUM(E76:E83)</f>
        <v>680.65921999999989</v>
      </c>
    </row>
    <row r="85" spans="1:5" x14ac:dyDescent="0.3">
      <c r="B85" s="4" t="s">
        <v>37</v>
      </c>
      <c r="C85">
        <v>63.9</v>
      </c>
      <c r="E85" s="8">
        <v>63.9</v>
      </c>
    </row>
    <row r="86" spans="1:5" x14ac:dyDescent="0.3">
      <c r="E86" s="8">
        <f>SUM(E84:E85)</f>
        <v>744.55921999999987</v>
      </c>
    </row>
    <row r="89" spans="1:5" x14ac:dyDescent="0.3">
      <c r="C89" s="4" t="s">
        <v>28</v>
      </c>
      <c r="D89" s="4" t="s">
        <v>29</v>
      </c>
      <c r="E89" s="4" t="s">
        <v>30</v>
      </c>
    </row>
    <row r="90" spans="1:5" x14ac:dyDescent="0.3">
      <c r="A90" t="s">
        <v>490</v>
      </c>
      <c r="B90" s="4" t="s">
        <v>32</v>
      </c>
      <c r="C90" s="4">
        <v>5.6459999999999999</v>
      </c>
      <c r="D90" s="4">
        <v>30.59</v>
      </c>
      <c r="E90" s="8">
        <f t="shared" ref="E90:E97" si="5">C90*D90</f>
        <v>172.71114</v>
      </c>
    </row>
    <row r="91" spans="1:5" x14ac:dyDescent="0.3">
      <c r="A91" t="s">
        <v>125</v>
      </c>
      <c r="B91" s="4" t="s">
        <v>33</v>
      </c>
      <c r="C91" s="4">
        <v>52.536000000000001</v>
      </c>
      <c r="D91" s="4">
        <v>14.94</v>
      </c>
      <c r="E91" s="8">
        <f t="shared" si="5"/>
        <v>784.88783999999998</v>
      </c>
    </row>
    <row r="92" spans="1:5" x14ac:dyDescent="0.3">
      <c r="A92" t="s">
        <v>581</v>
      </c>
      <c r="B92" s="4" t="s">
        <v>33</v>
      </c>
      <c r="C92" s="4">
        <v>52.822000000000003</v>
      </c>
      <c r="D92" s="4">
        <v>14.94</v>
      </c>
      <c r="E92" s="8">
        <f t="shared" si="5"/>
        <v>789.16068000000007</v>
      </c>
    </row>
    <row r="93" spans="1:5" x14ac:dyDescent="0.3">
      <c r="A93" t="s">
        <v>583</v>
      </c>
      <c r="B93" s="4" t="s">
        <v>113</v>
      </c>
      <c r="C93" s="4">
        <v>2</v>
      </c>
      <c r="D93" s="4">
        <v>2.89</v>
      </c>
      <c r="E93" s="8">
        <f t="shared" si="5"/>
        <v>5.78</v>
      </c>
    </row>
    <row r="94" spans="1:5" x14ac:dyDescent="0.3">
      <c r="B94" s="4" t="s">
        <v>582</v>
      </c>
      <c r="C94" s="4">
        <v>2</v>
      </c>
      <c r="D94" s="4">
        <v>23.12</v>
      </c>
      <c r="E94" s="4">
        <f t="shared" si="5"/>
        <v>46.24</v>
      </c>
    </row>
    <row r="95" spans="1:5" x14ac:dyDescent="0.3">
      <c r="B95" s="4" t="s">
        <v>34</v>
      </c>
      <c r="C95" s="4">
        <v>0.8</v>
      </c>
      <c r="D95" s="4">
        <v>12.43</v>
      </c>
      <c r="E95" s="8">
        <f t="shared" si="5"/>
        <v>9.9440000000000008</v>
      </c>
    </row>
    <row r="96" spans="1:5" x14ac:dyDescent="0.3">
      <c r="B96" s="4" t="s">
        <v>35</v>
      </c>
      <c r="C96" s="4">
        <v>8</v>
      </c>
      <c r="D96" s="4">
        <v>1.89</v>
      </c>
      <c r="E96" s="8">
        <f t="shared" si="5"/>
        <v>15.12</v>
      </c>
    </row>
    <row r="97" spans="2:5" x14ac:dyDescent="0.3">
      <c r="B97" s="4" t="s">
        <v>36</v>
      </c>
      <c r="C97" s="4">
        <v>4</v>
      </c>
      <c r="D97" s="4">
        <v>0.24</v>
      </c>
      <c r="E97" s="8">
        <f t="shared" si="5"/>
        <v>0.96</v>
      </c>
    </row>
    <row r="98" spans="2:5" x14ac:dyDescent="0.3">
      <c r="E98" s="8">
        <f>SUM(E90:E97)</f>
        <v>1824.80366</v>
      </c>
    </row>
    <row r="99" spans="2:5" x14ac:dyDescent="0.3">
      <c r="B99" s="4" t="s">
        <v>37</v>
      </c>
      <c r="C99" t="s">
        <v>360</v>
      </c>
      <c r="E99" s="8">
        <v>340</v>
      </c>
    </row>
    <row r="100" spans="2:5" x14ac:dyDescent="0.3">
      <c r="E100" s="8">
        <f>SUM(E98:E99)</f>
        <v>2164.80366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E219"/>
  <sheetViews>
    <sheetView topLeftCell="A187" workbookViewId="0">
      <selection activeCell="L214" sqref="L214"/>
    </sheetView>
  </sheetViews>
  <sheetFormatPr baseColWidth="10" defaultRowHeight="14.4" x14ac:dyDescent="0.3"/>
  <sheetData>
    <row r="3" spans="1:5" x14ac:dyDescent="0.3">
      <c r="A3" t="s">
        <v>288</v>
      </c>
    </row>
    <row r="6" spans="1:5" x14ac:dyDescent="0.3">
      <c r="A6" t="s">
        <v>281</v>
      </c>
      <c r="C6" s="4" t="s">
        <v>28</v>
      </c>
      <c r="D6" s="4" t="s">
        <v>29</v>
      </c>
      <c r="E6" s="4" t="s">
        <v>30</v>
      </c>
    </row>
    <row r="7" spans="1:5" x14ac:dyDescent="0.3">
      <c r="A7" t="s">
        <v>282</v>
      </c>
      <c r="B7" s="4" t="s">
        <v>32</v>
      </c>
      <c r="C7" s="4">
        <v>6.4390000000000001</v>
      </c>
      <c r="D7" s="4">
        <v>31.41</v>
      </c>
      <c r="E7" s="8">
        <f t="shared" ref="E7:E14" si="0">C7*D7</f>
        <v>202.24898999999999</v>
      </c>
    </row>
    <row r="8" spans="1:5" x14ac:dyDescent="0.3">
      <c r="A8" t="s">
        <v>282</v>
      </c>
      <c r="B8" s="4" t="s">
        <v>33</v>
      </c>
      <c r="C8" s="4">
        <v>117.33799999999999</v>
      </c>
      <c r="D8" s="4">
        <v>10.1</v>
      </c>
      <c r="E8" s="8">
        <f t="shared" si="0"/>
        <v>1185.1137999999999</v>
      </c>
    </row>
    <row r="9" spans="1:5" x14ac:dyDescent="0.3">
      <c r="B9" s="4" t="s">
        <v>33</v>
      </c>
      <c r="C9" s="4">
        <v>117.33799999999999</v>
      </c>
      <c r="D9" s="4">
        <v>10.1</v>
      </c>
      <c r="E9" s="8">
        <f t="shared" si="0"/>
        <v>1185.1137999999999</v>
      </c>
    </row>
    <row r="10" spans="1:5" x14ac:dyDescent="0.3">
      <c r="B10" s="4" t="s">
        <v>289</v>
      </c>
      <c r="C10" s="4">
        <v>2</v>
      </c>
      <c r="D10" s="4">
        <v>6.72</v>
      </c>
      <c r="E10" s="8">
        <f t="shared" si="0"/>
        <v>13.44</v>
      </c>
    </row>
    <row r="11" spans="1:5" x14ac:dyDescent="0.3">
      <c r="B11" s="4" t="s">
        <v>101</v>
      </c>
      <c r="C11" s="4">
        <v>2</v>
      </c>
      <c r="D11" s="4">
        <v>6.72</v>
      </c>
      <c r="E11" s="4">
        <f t="shared" si="0"/>
        <v>13.44</v>
      </c>
    </row>
    <row r="12" spans="1:5" x14ac:dyDescent="0.3">
      <c r="B12" s="4" t="s">
        <v>34</v>
      </c>
      <c r="C12" s="4">
        <v>4.7300000000000004</v>
      </c>
      <c r="D12" s="4">
        <v>12.43</v>
      </c>
      <c r="E12" s="8">
        <f t="shared" si="0"/>
        <v>58.793900000000001</v>
      </c>
    </row>
    <row r="13" spans="1:5" x14ac:dyDescent="0.3">
      <c r="B13" s="4" t="s">
        <v>35</v>
      </c>
      <c r="C13" s="4">
        <v>8</v>
      </c>
      <c r="D13" s="4">
        <v>1.89</v>
      </c>
      <c r="E13" s="8">
        <f t="shared" si="0"/>
        <v>15.12</v>
      </c>
    </row>
    <row r="14" spans="1:5" x14ac:dyDescent="0.3">
      <c r="B14" s="4" t="s">
        <v>36</v>
      </c>
      <c r="C14" s="4">
        <v>4</v>
      </c>
      <c r="D14" s="4">
        <v>0.24</v>
      </c>
      <c r="E14" s="8">
        <f t="shared" si="0"/>
        <v>0.96</v>
      </c>
    </row>
    <row r="15" spans="1:5" x14ac:dyDescent="0.3">
      <c r="E15" s="9">
        <f>SUM(E7:E14)</f>
        <v>2674.2304899999999</v>
      </c>
    </row>
    <row r="16" spans="1:5" x14ac:dyDescent="0.3">
      <c r="B16" s="4" t="s">
        <v>37</v>
      </c>
      <c r="C16" t="s">
        <v>283</v>
      </c>
      <c r="D16">
        <v>85</v>
      </c>
      <c r="E16" s="8">
        <v>255</v>
      </c>
    </row>
    <row r="17" spans="1:5" x14ac:dyDescent="0.3">
      <c r="E17" s="9">
        <f>SUM(E15:E16)</f>
        <v>2929.2304899999999</v>
      </c>
    </row>
    <row r="19" spans="1:5" x14ac:dyDescent="0.3">
      <c r="C19" s="4" t="s">
        <v>28</v>
      </c>
      <c r="D19" s="4" t="s">
        <v>29</v>
      </c>
      <c r="E19" s="4" t="s">
        <v>30</v>
      </c>
    </row>
    <row r="20" spans="1:5" x14ac:dyDescent="0.3">
      <c r="A20" t="s">
        <v>292</v>
      </c>
      <c r="B20" s="4" t="s">
        <v>32</v>
      </c>
      <c r="C20" s="4">
        <v>3.2890000000000001</v>
      </c>
      <c r="D20" s="4">
        <v>31.41</v>
      </c>
      <c r="E20" s="8">
        <f t="shared" ref="E20:E27" si="1">C20*D20</f>
        <v>103.30749</v>
      </c>
    </row>
    <row r="21" spans="1:5" x14ac:dyDescent="0.3">
      <c r="A21" t="s">
        <v>293</v>
      </c>
      <c r="B21" s="4" t="s">
        <v>33</v>
      </c>
      <c r="C21" s="4">
        <v>24.948</v>
      </c>
      <c r="D21" s="4">
        <v>11.03</v>
      </c>
      <c r="E21" s="8">
        <f t="shared" si="1"/>
        <v>275.17644000000001</v>
      </c>
    </row>
    <row r="22" spans="1:5" x14ac:dyDescent="0.3">
      <c r="A22" t="s">
        <v>60</v>
      </c>
      <c r="B22" s="4" t="s">
        <v>33</v>
      </c>
      <c r="C22" s="4">
        <v>25.210999999999999</v>
      </c>
      <c r="D22" s="4">
        <v>11.03</v>
      </c>
      <c r="E22" s="8">
        <f t="shared" si="1"/>
        <v>278.07732999999996</v>
      </c>
    </row>
    <row r="23" spans="1:5" x14ac:dyDescent="0.3">
      <c r="B23" s="4" t="s">
        <v>128</v>
      </c>
      <c r="C23" s="4">
        <v>2</v>
      </c>
      <c r="D23" s="4">
        <v>1.98</v>
      </c>
      <c r="E23" s="8">
        <f t="shared" si="1"/>
        <v>3.96</v>
      </c>
    </row>
    <row r="24" spans="1:5" x14ac:dyDescent="0.3">
      <c r="B24" s="4" t="s">
        <v>100</v>
      </c>
      <c r="C24" s="4">
        <v>2</v>
      </c>
      <c r="D24" s="4">
        <v>4.5</v>
      </c>
      <c r="E24" s="4">
        <f t="shared" si="1"/>
        <v>9</v>
      </c>
    </row>
    <row r="25" spans="1:5" x14ac:dyDescent="0.3">
      <c r="B25" s="4" t="s">
        <v>34</v>
      </c>
      <c r="C25" s="4">
        <v>0.8</v>
      </c>
      <c r="D25" s="4">
        <v>12.43</v>
      </c>
      <c r="E25" s="8">
        <f t="shared" si="1"/>
        <v>9.9440000000000008</v>
      </c>
    </row>
    <row r="26" spans="1:5" x14ac:dyDescent="0.3">
      <c r="B26" s="4" t="s">
        <v>35</v>
      </c>
      <c r="C26" s="4">
        <v>4</v>
      </c>
      <c r="D26" s="4">
        <v>1.89</v>
      </c>
      <c r="E26" s="8">
        <f t="shared" si="1"/>
        <v>7.56</v>
      </c>
    </row>
    <row r="27" spans="1:5" x14ac:dyDescent="0.3">
      <c r="B27" s="4" t="s">
        <v>36</v>
      </c>
      <c r="C27" s="4">
        <v>4</v>
      </c>
      <c r="D27" s="4">
        <v>0.24</v>
      </c>
      <c r="E27" s="8">
        <f t="shared" si="1"/>
        <v>0.96</v>
      </c>
    </row>
    <row r="28" spans="1:5" x14ac:dyDescent="0.3">
      <c r="E28" s="9">
        <f>SUM(E20:E27)</f>
        <v>687.98525999999993</v>
      </c>
    </row>
    <row r="29" spans="1:5" x14ac:dyDescent="0.3">
      <c r="B29" s="4" t="s">
        <v>37</v>
      </c>
      <c r="C29">
        <v>45</v>
      </c>
      <c r="D29">
        <v>1.41</v>
      </c>
      <c r="E29" s="8">
        <f>C29*D29</f>
        <v>63.449999999999996</v>
      </c>
    </row>
    <row r="30" spans="1:5" x14ac:dyDescent="0.3">
      <c r="E30" s="8">
        <f>SUM(E28:E29)</f>
        <v>751.43525999999997</v>
      </c>
    </row>
    <row r="32" spans="1:5" x14ac:dyDescent="0.3">
      <c r="C32" s="4" t="s">
        <v>28</v>
      </c>
      <c r="D32" s="4" t="s">
        <v>29</v>
      </c>
      <c r="E32" s="4" t="s">
        <v>30</v>
      </c>
    </row>
    <row r="33" spans="1:5" x14ac:dyDescent="0.3">
      <c r="A33" t="s">
        <v>294</v>
      </c>
      <c r="B33" s="4" t="s">
        <v>32</v>
      </c>
      <c r="C33" s="4">
        <v>3.7090000000000001</v>
      </c>
      <c r="D33" s="4">
        <v>31.41</v>
      </c>
      <c r="E33" s="8">
        <f t="shared" ref="E33:E40" si="2">C33*D33</f>
        <v>116.49969</v>
      </c>
    </row>
    <row r="34" spans="1:5" x14ac:dyDescent="0.3">
      <c r="A34" t="s">
        <v>293</v>
      </c>
      <c r="B34" s="4" t="s">
        <v>33</v>
      </c>
      <c r="C34" s="4">
        <v>29.988</v>
      </c>
      <c r="D34" s="4">
        <v>11.03</v>
      </c>
      <c r="E34" s="8">
        <f t="shared" si="2"/>
        <v>330.76763999999997</v>
      </c>
    </row>
    <row r="35" spans="1:5" x14ac:dyDescent="0.3">
      <c r="A35" t="s">
        <v>61</v>
      </c>
      <c r="B35" s="4" t="s">
        <v>33</v>
      </c>
      <c r="C35" s="4">
        <v>30.355</v>
      </c>
      <c r="D35" s="4">
        <v>11.03</v>
      </c>
      <c r="E35" s="8">
        <f t="shared" si="2"/>
        <v>334.81565000000001</v>
      </c>
    </row>
    <row r="36" spans="1:5" x14ac:dyDescent="0.3">
      <c r="B36" s="4" t="s">
        <v>128</v>
      </c>
      <c r="C36" s="4">
        <v>2</v>
      </c>
      <c r="D36" s="4">
        <v>1.98</v>
      </c>
      <c r="E36" s="8">
        <f t="shared" si="2"/>
        <v>3.96</v>
      </c>
    </row>
    <row r="37" spans="1:5" x14ac:dyDescent="0.3">
      <c r="B37" s="4" t="s">
        <v>101</v>
      </c>
      <c r="C37" s="4">
        <v>2</v>
      </c>
      <c r="D37" s="4">
        <v>6</v>
      </c>
      <c r="E37" s="4">
        <f t="shared" si="2"/>
        <v>12</v>
      </c>
    </row>
    <row r="38" spans="1:5" x14ac:dyDescent="0.3">
      <c r="B38" s="4" t="s">
        <v>34</v>
      </c>
      <c r="C38" s="4">
        <v>0.8</v>
      </c>
      <c r="D38" s="4">
        <v>12.43</v>
      </c>
      <c r="E38" s="8">
        <f t="shared" si="2"/>
        <v>9.9440000000000008</v>
      </c>
    </row>
    <row r="39" spans="1:5" x14ac:dyDescent="0.3">
      <c r="B39" s="4" t="s">
        <v>35</v>
      </c>
      <c r="C39" s="4">
        <v>4</v>
      </c>
      <c r="D39" s="4">
        <v>1.89</v>
      </c>
      <c r="E39" s="8">
        <f t="shared" si="2"/>
        <v>7.56</v>
      </c>
    </row>
    <row r="40" spans="1:5" x14ac:dyDescent="0.3">
      <c r="B40" s="4" t="s">
        <v>36</v>
      </c>
      <c r="C40" s="4">
        <v>4</v>
      </c>
      <c r="D40" s="4">
        <v>0.24</v>
      </c>
      <c r="E40" s="8">
        <f t="shared" si="2"/>
        <v>0.96</v>
      </c>
    </row>
    <row r="41" spans="1:5" x14ac:dyDescent="0.3">
      <c r="E41" s="9">
        <f>SUM(E33:E40)</f>
        <v>816.50697999999988</v>
      </c>
    </row>
    <row r="42" spans="1:5" x14ac:dyDescent="0.3">
      <c r="B42" s="4" t="s">
        <v>37</v>
      </c>
      <c r="C42">
        <v>45</v>
      </c>
      <c r="D42">
        <v>1.41</v>
      </c>
      <c r="E42" s="8">
        <f>C42*D42</f>
        <v>63.449999999999996</v>
      </c>
    </row>
    <row r="43" spans="1:5" x14ac:dyDescent="0.3">
      <c r="E43" s="8">
        <f>SUM(E41:E42)</f>
        <v>879.95697999999993</v>
      </c>
    </row>
    <row r="46" spans="1:5" x14ac:dyDescent="0.3">
      <c r="C46" s="4" t="s">
        <v>28</v>
      </c>
      <c r="D46" s="4" t="s">
        <v>29</v>
      </c>
      <c r="E46" s="4" t="s">
        <v>30</v>
      </c>
    </row>
    <row r="47" spans="1:5" x14ac:dyDescent="0.3">
      <c r="A47" t="s">
        <v>295</v>
      </c>
      <c r="B47" s="4" t="s">
        <v>32</v>
      </c>
      <c r="C47" s="4">
        <v>5.2629999999999999</v>
      </c>
      <c r="D47" s="4">
        <v>31.41</v>
      </c>
      <c r="E47" s="8">
        <f t="shared" ref="E47:E54" si="3">C47*D47</f>
        <v>165.31083000000001</v>
      </c>
    </row>
    <row r="48" spans="1:5" x14ac:dyDescent="0.3">
      <c r="A48" t="s">
        <v>168</v>
      </c>
      <c r="B48" s="4" t="s">
        <v>33</v>
      </c>
      <c r="C48" s="4">
        <v>55.723999999999997</v>
      </c>
      <c r="D48" s="4">
        <v>11.03</v>
      </c>
      <c r="E48" s="8">
        <f t="shared" si="3"/>
        <v>614.63571999999988</v>
      </c>
    </row>
    <row r="49" spans="1:5" x14ac:dyDescent="0.3">
      <c r="A49" t="s">
        <v>296</v>
      </c>
      <c r="B49" s="4" t="s">
        <v>33</v>
      </c>
      <c r="C49" s="4">
        <v>55.755000000000003</v>
      </c>
      <c r="D49" s="4">
        <v>11.03</v>
      </c>
      <c r="E49" s="8">
        <f t="shared" si="3"/>
        <v>614.97765000000004</v>
      </c>
    </row>
    <row r="50" spans="1:5" x14ac:dyDescent="0.3">
      <c r="B50" s="4" t="s">
        <v>128</v>
      </c>
      <c r="C50" s="4">
        <v>2</v>
      </c>
      <c r="D50" s="4">
        <v>1.98</v>
      </c>
      <c r="E50" s="8">
        <f t="shared" si="3"/>
        <v>3.96</v>
      </c>
    </row>
    <row r="51" spans="1:5" x14ac:dyDescent="0.3">
      <c r="B51" s="4" t="s">
        <v>101</v>
      </c>
      <c r="C51" s="4">
        <v>2</v>
      </c>
      <c r="D51" s="4">
        <v>6</v>
      </c>
      <c r="E51" s="4">
        <f t="shared" si="3"/>
        <v>12</v>
      </c>
    </row>
    <row r="52" spans="1:5" x14ac:dyDescent="0.3">
      <c r="B52" s="4" t="s">
        <v>34</v>
      </c>
      <c r="C52" s="4">
        <v>0.8</v>
      </c>
      <c r="D52" s="4">
        <v>12.43</v>
      </c>
      <c r="E52" s="8">
        <f t="shared" si="3"/>
        <v>9.9440000000000008</v>
      </c>
    </row>
    <row r="53" spans="1:5" x14ac:dyDescent="0.3">
      <c r="B53" s="4" t="s">
        <v>35</v>
      </c>
      <c r="C53" s="4">
        <v>4</v>
      </c>
      <c r="D53" s="4">
        <v>1.89</v>
      </c>
      <c r="E53" s="8">
        <f t="shared" si="3"/>
        <v>7.56</v>
      </c>
    </row>
    <row r="54" spans="1:5" x14ac:dyDescent="0.3">
      <c r="B54" s="4" t="s">
        <v>36</v>
      </c>
      <c r="C54" s="4">
        <v>4</v>
      </c>
      <c r="D54" s="4">
        <v>0.24</v>
      </c>
      <c r="E54" s="8">
        <f t="shared" si="3"/>
        <v>0.96</v>
      </c>
    </row>
    <row r="55" spans="1:5" x14ac:dyDescent="0.3">
      <c r="E55" s="9">
        <f>SUM(E47:E54)</f>
        <v>1429.3481999999999</v>
      </c>
    </row>
    <row r="56" spans="1:5" x14ac:dyDescent="0.3">
      <c r="B56" s="4" t="s">
        <v>37</v>
      </c>
      <c r="C56">
        <v>90</v>
      </c>
      <c r="D56">
        <v>1.41</v>
      </c>
      <c r="E56" s="8">
        <v>127.5</v>
      </c>
    </row>
    <row r="57" spans="1:5" x14ac:dyDescent="0.3">
      <c r="E57" s="8">
        <f>SUM(E55:E56)</f>
        <v>1556.8481999999999</v>
      </c>
    </row>
    <row r="59" spans="1:5" x14ac:dyDescent="0.3">
      <c r="C59" s="4" t="s">
        <v>28</v>
      </c>
      <c r="D59" s="4" t="s">
        <v>29</v>
      </c>
      <c r="E59" s="4" t="s">
        <v>30</v>
      </c>
    </row>
    <row r="60" spans="1:5" x14ac:dyDescent="0.3">
      <c r="A60" t="s">
        <v>301</v>
      </c>
      <c r="B60" s="4" t="s">
        <v>32</v>
      </c>
      <c r="C60" s="4">
        <v>2.4910000000000001</v>
      </c>
      <c r="D60" s="4">
        <v>31.41</v>
      </c>
      <c r="E60" s="8">
        <f t="shared" ref="E60:E67" si="4">C60*D60</f>
        <v>78.242310000000003</v>
      </c>
    </row>
    <row r="61" spans="1:5" x14ac:dyDescent="0.3">
      <c r="A61" t="s">
        <v>168</v>
      </c>
      <c r="B61" s="4" t="s">
        <v>33</v>
      </c>
      <c r="C61" s="4">
        <v>16.748000000000001</v>
      </c>
      <c r="D61" s="4">
        <v>11.03</v>
      </c>
      <c r="E61" s="8">
        <f t="shared" si="4"/>
        <v>184.73043999999999</v>
      </c>
    </row>
    <row r="62" spans="1:5" x14ac:dyDescent="0.3">
      <c r="A62" t="s">
        <v>56</v>
      </c>
      <c r="B62" s="4" t="s">
        <v>33</v>
      </c>
      <c r="C62" s="4">
        <v>16.748000000000001</v>
      </c>
      <c r="D62" s="4">
        <v>11.03</v>
      </c>
      <c r="E62" s="8">
        <f t="shared" si="4"/>
        <v>184.73043999999999</v>
      </c>
    </row>
    <row r="63" spans="1:5" x14ac:dyDescent="0.3">
      <c r="B63" s="4" t="s">
        <v>303</v>
      </c>
      <c r="C63" s="4">
        <v>4</v>
      </c>
      <c r="D63" s="4">
        <v>1.98</v>
      </c>
      <c r="E63" s="8">
        <f t="shared" si="4"/>
        <v>7.92</v>
      </c>
    </row>
    <row r="64" spans="1:5" x14ac:dyDescent="0.3">
      <c r="B64" s="4" t="s">
        <v>302</v>
      </c>
      <c r="C64" s="4">
        <v>4</v>
      </c>
      <c r="D64" s="4">
        <v>1.98</v>
      </c>
      <c r="E64" s="4">
        <f t="shared" si="4"/>
        <v>7.92</v>
      </c>
    </row>
    <row r="65" spans="1:5" x14ac:dyDescent="0.3">
      <c r="B65" s="4" t="s">
        <v>34</v>
      </c>
      <c r="C65" s="4">
        <v>0.8</v>
      </c>
      <c r="D65" s="4">
        <v>12.43</v>
      </c>
      <c r="E65" s="8">
        <f t="shared" si="4"/>
        <v>9.9440000000000008</v>
      </c>
    </row>
    <row r="66" spans="1:5" x14ac:dyDescent="0.3">
      <c r="B66" s="4" t="s">
        <v>35</v>
      </c>
      <c r="C66" s="4">
        <v>4</v>
      </c>
      <c r="D66" s="4">
        <v>1.89</v>
      </c>
      <c r="E66" s="8">
        <f t="shared" si="4"/>
        <v>7.56</v>
      </c>
    </row>
    <row r="67" spans="1:5" x14ac:dyDescent="0.3">
      <c r="B67" s="4" t="s">
        <v>36</v>
      </c>
      <c r="C67" s="4">
        <v>4</v>
      </c>
      <c r="D67" s="4">
        <v>0.24</v>
      </c>
      <c r="E67" s="8">
        <f t="shared" si="4"/>
        <v>0.96</v>
      </c>
    </row>
    <row r="68" spans="1:5" x14ac:dyDescent="0.3">
      <c r="E68" s="9">
        <f>SUM(E60:E67)</f>
        <v>482.00719000000004</v>
      </c>
    </row>
    <row r="69" spans="1:5" x14ac:dyDescent="0.3">
      <c r="B69" s="4" t="s">
        <v>37</v>
      </c>
      <c r="C69">
        <v>90</v>
      </c>
      <c r="D69">
        <v>1.41</v>
      </c>
      <c r="E69" s="8">
        <v>127.5</v>
      </c>
    </row>
    <row r="70" spans="1:5" x14ac:dyDescent="0.3">
      <c r="E70" s="8">
        <f>SUM(E68:E69)</f>
        <v>609.50719000000004</v>
      </c>
    </row>
    <row r="73" spans="1:5" x14ac:dyDescent="0.3">
      <c r="C73" s="4" t="s">
        <v>28</v>
      </c>
      <c r="D73" s="4" t="s">
        <v>29</v>
      </c>
      <c r="E73" s="4" t="s">
        <v>30</v>
      </c>
    </row>
    <row r="74" spans="1:5" x14ac:dyDescent="0.3">
      <c r="A74" t="s">
        <v>358</v>
      </c>
      <c r="B74" s="4" t="s">
        <v>32</v>
      </c>
      <c r="C74" s="4">
        <v>4.1059999999999999</v>
      </c>
      <c r="D74" s="4">
        <v>31.41</v>
      </c>
      <c r="E74" s="8">
        <f t="shared" ref="E74:E81" si="5">C74*D74</f>
        <v>128.96946</v>
      </c>
    </row>
    <row r="75" spans="1:5" x14ac:dyDescent="0.3">
      <c r="A75" t="s">
        <v>346</v>
      </c>
      <c r="B75" s="4" t="s">
        <v>33</v>
      </c>
      <c r="C75" s="4">
        <v>43.56</v>
      </c>
      <c r="D75" s="4">
        <v>11.03</v>
      </c>
      <c r="E75" s="8">
        <f t="shared" si="5"/>
        <v>480.46679999999998</v>
      </c>
    </row>
    <row r="76" spans="1:5" x14ac:dyDescent="0.3">
      <c r="A76" t="s">
        <v>60</v>
      </c>
      <c r="B76" s="4" t="s">
        <v>33</v>
      </c>
      <c r="C76" s="4">
        <v>42.581000000000003</v>
      </c>
      <c r="D76" s="4">
        <v>11.03</v>
      </c>
      <c r="E76" s="8">
        <f t="shared" si="5"/>
        <v>469.66843</v>
      </c>
    </row>
    <row r="77" spans="1:5" x14ac:dyDescent="0.3">
      <c r="B77" s="4" t="s">
        <v>359</v>
      </c>
      <c r="C77" s="4">
        <v>4</v>
      </c>
      <c r="D77" s="4">
        <v>1.98</v>
      </c>
      <c r="E77" s="8">
        <f t="shared" si="5"/>
        <v>7.92</v>
      </c>
    </row>
    <row r="78" spans="1:5" x14ac:dyDescent="0.3">
      <c r="B78" s="4" t="s">
        <v>100</v>
      </c>
      <c r="C78" s="4">
        <v>2</v>
      </c>
      <c r="D78" s="4">
        <v>4.5</v>
      </c>
      <c r="E78" s="4">
        <f t="shared" si="5"/>
        <v>9</v>
      </c>
    </row>
    <row r="79" spans="1:5" x14ac:dyDescent="0.3">
      <c r="B79" s="4" t="s">
        <v>34</v>
      </c>
      <c r="C79" s="4">
        <v>2.4</v>
      </c>
      <c r="D79" s="4">
        <v>12.43</v>
      </c>
      <c r="E79" s="8">
        <f t="shared" si="5"/>
        <v>29.831999999999997</v>
      </c>
    </row>
    <row r="80" spans="1:5" x14ac:dyDescent="0.3">
      <c r="B80" s="4" t="s">
        <v>35</v>
      </c>
      <c r="C80" s="4">
        <v>4</v>
      </c>
      <c r="D80" s="4">
        <v>1.89</v>
      </c>
      <c r="E80" s="8">
        <f t="shared" si="5"/>
        <v>7.56</v>
      </c>
    </row>
    <row r="81" spans="1:5" x14ac:dyDescent="0.3">
      <c r="B81" s="4" t="s">
        <v>36</v>
      </c>
      <c r="C81" s="4">
        <v>4</v>
      </c>
      <c r="D81" s="4">
        <v>0.24</v>
      </c>
      <c r="E81" s="8">
        <f t="shared" si="5"/>
        <v>0.96</v>
      </c>
    </row>
    <row r="82" spans="1:5" x14ac:dyDescent="0.3">
      <c r="E82" s="9">
        <f>SUM(E74:E81)</f>
        <v>1134.3766900000001</v>
      </c>
    </row>
    <row r="83" spans="1:5" x14ac:dyDescent="0.3">
      <c r="B83" s="4" t="s">
        <v>37</v>
      </c>
      <c r="C83" t="s">
        <v>360</v>
      </c>
      <c r="D83">
        <v>85</v>
      </c>
      <c r="E83" s="8">
        <v>340</v>
      </c>
    </row>
    <row r="84" spans="1:5" x14ac:dyDescent="0.3">
      <c r="E84" s="8">
        <f>SUM(E82:E83)</f>
        <v>1474.3766900000001</v>
      </c>
    </row>
    <row r="87" spans="1:5" x14ac:dyDescent="0.3">
      <c r="A87" t="s">
        <v>373</v>
      </c>
      <c r="C87" s="4" t="s">
        <v>28</v>
      </c>
      <c r="D87" s="4" t="s">
        <v>29</v>
      </c>
      <c r="E87" s="4" t="s">
        <v>30</v>
      </c>
    </row>
    <row r="88" spans="1:5" x14ac:dyDescent="0.3">
      <c r="A88" t="s">
        <v>374</v>
      </c>
      <c r="B88" s="4" t="s">
        <v>32</v>
      </c>
      <c r="C88" s="4">
        <v>5.1950000000000003</v>
      </c>
      <c r="D88" s="4">
        <v>31.41</v>
      </c>
      <c r="E88" s="8">
        <f t="shared" ref="E88:E95" si="6">C88*D88</f>
        <v>163.17495</v>
      </c>
    </row>
    <row r="89" spans="1:5" x14ac:dyDescent="0.3">
      <c r="A89" t="s">
        <v>375</v>
      </c>
      <c r="B89" s="4" t="s">
        <v>33</v>
      </c>
      <c r="C89" s="4">
        <v>69.200999999999993</v>
      </c>
      <c r="D89" s="4">
        <v>11.03</v>
      </c>
      <c r="E89" s="8">
        <f t="shared" si="6"/>
        <v>763.28702999999985</v>
      </c>
    </row>
    <row r="90" spans="1:5" x14ac:dyDescent="0.3">
      <c r="A90" t="s">
        <v>61</v>
      </c>
      <c r="B90" s="4" t="s">
        <v>33</v>
      </c>
      <c r="C90" s="4">
        <v>72.039000000000001</v>
      </c>
      <c r="D90" s="4">
        <v>11.03</v>
      </c>
      <c r="E90" s="8">
        <f t="shared" si="6"/>
        <v>794.59016999999994</v>
      </c>
    </row>
    <row r="91" spans="1:5" x14ac:dyDescent="0.3">
      <c r="B91" s="4" t="s">
        <v>88</v>
      </c>
      <c r="C91" s="4">
        <v>4</v>
      </c>
      <c r="D91" s="4">
        <v>1.98</v>
      </c>
      <c r="E91" s="8">
        <f t="shared" si="6"/>
        <v>7.92</v>
      </c>
    </row>
    <row r="92" spans="1:5" x14ac:dyDescent="0.3">
      <c r="B92" s="4" t="s">
        <v>100</v>
      </c>
      <c r="C92" s="4">
        <v>4</v>
      </c>
      <c r="D92" s="4">
        <v>4.5</v>
      </c>
      <c r="E92" s="4">
        <f t="shared" si="6"/>
        <v>18</v>
      </c>
    </row>
    <row r="93" spans="1:5" x14ac:dyDescent="0.3">
      <c r="B93" s="4" t="s">
        <v>34</v>
      </c>
      <c r="C93" s="4">
        <v>3.7</v>
      </c>
      <c r="D93" s="4">
        <v>12.43</v>
      </c>
      <c r="E93" s="8">
        <f t="shared" si="6"/>
        <v>45.991</v>
      </c>
    </row>
    <row r="94" spans="1:5" x14ac:dyDescent="0.3">
      <c r="B94" s="4" t="s">
        <v>35</v>
      </c>
      <c r="C94" s="4">
        <v>8</v>
      </c>
      <c r="D94" s="4">
        <v>1.89</v>
      </c>
      <c r="E94" s="8">
        <f t="shared" si="6"/>
        <v>15.12</v>
      </c>
    </row>
    <row r="95" spans="1:5" x14ac:dyDescent="0.3">
      <c r="B95" s="4" t="s">
        <v>36</v>
      </c>
      <c r="C95" s="4">
        <v>4</v>
      </c>
      <c r="D95" s="4">
        <v>0.24</v>
      </c>
      <c r="E95" s="8">
        <f t="shared" si="6"/>
        <v>0.96</v>
      </c>
    </row>
    <row r="96" spans="1:5" x14ac:dyDescent="0.3">
      <c r="E96" s="9">
        <f>SUM(E88:E95)</f>
        <v>1809.0431499999997</v>
      </c>
    </row>
    <row r="97" spans="1:5" x14ac:dyDescent="0.3">
      <c r="B97" s="4" t="s">
        <v>37</v>
      </c>
      <c r="C97" t="s">
        <v>360</v>
      </c>
      <c r="D97">
        <v>85</v>
      </c>
      <c r="E97" s="8">
        <v>340</v>
      </c>
    </row>
    <row r="98" spans="1:5" x14ac:dyDescent="0.3">
      <c r="E98" s="8">
        <f>SUM(E96:E97)</f>
        <v>2149.0431499999995</v>
      </c>
    </row>
    <row r="100" spans="1:5" x14ac:dyDescent="0.3">
      <c r="C100" s="4" t="s">
        <v>28</v>
      </c>
      <c r="D100" s="4" t="s">
        <v>29</v>
      </c>
      <c r="E100" s="4" t="s">
        <v>30</v>
      </c>
    </row>
    <row r="101" spans="1:5" x14ac:dyDescent="0.3">
      <c r="A101" t="s">
        <v>376</v>
      </c>
      <c r="B101" s="4" t="s">
        <v>32</v>
      </c>
      <c r="C101" s="4">
        <v>3.6659999999999999</v>
      </c>
      <c r="D101" s="4">
        <v>31.41</v>
      </c>
      <c r="E101" s="8">
        <f t="shared" ref="E101:E108" si="7">C101*D101</f>
        <v>115.14905999999999</v>
      </c>
    </row>
    <row r="102" spans="1:5" x14ac:dyDescent="0.3">
      <c r="A102" t="s">
        <v>168</v>
      </c>
      <c r="B102" s="4" t="s">
        <v>33</v>
      </c>
      <c r="C102" s="4">
        <v>31.581</v>
      </c>
      <c r="D102" s="4">
        <v>11.03</v>
      </c>
      <c r="E102" s="8">
        <f t="shared" si="7"/>
        <v>348.33842999999996</v>
      </c>
    </row>
    <row r="103" spans="1:5" x14ac:dyDescent="0.3">
      <c r="A103" t="s">
        <v>377</v>
      </c>
      <c r="B103" s="4" t="s">
        <v>33</v>
      </c>
      <c r="C103" s="4">
        <v>32.450000000000003</v>
      </c>
      <c r="D103" s="4">
        <v>11.03</v>
      </c>
      <c r="E103" s="8">
        <f t="shared" si="7"/>
        <v>357.92349999999999</v>
      </c>
    </row>
    <row r="104" spans="1:5" x14ac:dyDescent="0.3">
      <c r="B104" s="4" t="s">
        <v>89</v>
      </c>
      <c r="C104" s="4">
        <v>4</v>
      </c>
      <c r="D104" s="4">
        <v>1.98</v>
      </c>
      <c r="E104" s="8">
        <f t="shared" si="7"/>
        <v>7.92</v>
      </c>
    </row>
    <row r="105" spans="1:5" x14ac:dyDescent="0.3">
      <c r="B105" s="4" t="s">
        <v>100</v>
      </c>
      <c r="C105" s="4">
        <v>2</v>
      </c>
      <c r="D105" s="4">
        <v>4.5</v>
      </c>
      <c r="E105" s="4">
        <f t="shared" si="7"/>
        <v>9</v>
      </c>
    </row>
    <row r="106" spans="1:5" x14ac:dyDescent="0.3">
      <c r="B106" s="4" t="s">
        <v>34</v>
      </c>
      <c r="C106" s="4">
        <v>2.4</v>
      </c>
      <c r="D106" s="4">
        <v>12.43</v>
      </c>
      <c r="E106" s="8">
        <f t="shared" si="7"/>
        <v>29.831999999999997</v>
      </c>
    </row>
    <row r="107" spans="1:5" x14ac:dyDescent="0.3">
      <c r="B107" s="4" t="s">
        <v>35</v>
      </c>
      <c r="C107" s="4">
        <v>4</v>
      </c>
      <c r="D107" s="4">
        <v>1.89</v>
      </c>
      <c r="E107" s="8">
        <f t="shared" si="7"/>
        <v>7.56</v>
      </c>
    </row>
    <row r="108" spans="1:5" x14ac:dyDescent="0.3">
      <c r="B108" s="4" t="s">
        <v>36</v>
      </c>
      <c r="C108" s="4">
        <v>4</v>
      </c>
      <c r="D108" s="4">
        <v>0.24</v>
      </c>
      <c r="E108" s="8">
        <f t="shared" si="7"/>
        <v>0.96</v>
      </c>
    </row>
    <row r="109" spans="1:5" x14ac:dyDescent="0.3">
      <c r="E109" s="9">
        <f>SUM(E101:E108)</f>
        <v>876.6829899999999</v>
      </c>
    </row>
    <row r="110" spans="1:5" x14ac:dyDescent="0.3">
      <c r="B110" s="4" t="s">
        <v>37</v>
      </c>
      <c r="C110">
        <v>3</v>
      </c>
      <c r="D110">
        <v>85</v>
      </c>
      <c r="E110" s="8">
        <v>255</v>
      </c>
    </row>
    <row r="111" spans="1:5" x14ac:dyDescent="0.3">
      <c r="E111" s="8">
        <f>SUM(E109:E110)</f>
        <v>1131.6829899999998</v>
      </c>
    </row>
    <row r="113" spans="1:5" x14ac:dyDescent="0.3">
      <c r="C113" s="4" t="s">
        <v>28</v>
      </c>
      <c r="D113" s="4" t="s">
        <v>29</v>
      </c>
      <c r="E113" s="4" t="s">
        <v>30</v>
      </c>
    </row>
    <row r="114" spans="1:5" x14ac:dyDescent="0.3">
      <c r="A114" t="s">
        <v>392</v>
      </c>
      <c r="B114" s="4" t="s">
        <v>32</v>
      </c>
      <c r="C114" s="4">
        <v>2.7309999999999999</v>
      </c>
      <c r="D114" s="4">
        <v>31.41</v>
      </c>
      <c r="E114" s="8">
        <f t="shared" ref="E114:E121" si="8">C114*D114</f>
        <v>85.780709999999999</v>
      </c>
    </row>
    <row r="115" spans="1:5" x14ac:dyDescent="0.3">
      <c r="A115" t="s">
        <v>168</v>
      </c>
      <c r="B115" s="4" t="s">
        <v>33</v>
      </c>
      <c r="C115" s="4">
        <v>18.501999999999999</v>
      </c>
      <c r="D115" s="4">
        <v>11.03</v>
      </c>
      <c r="E115" s="8">
        <f t="shared" si="8"/>
        <v>204.07705999999999</v>
      </c>
    </row>
    <row r="116" spans="1:5" x14ac:dyDescent="0.3">
      <c r="A116" t="s">
        <v>56</v>
      </c>
      <c r="B116" s="4" t="s">
        <v>33</v>
      </c>
      <c r="C116" s="4">
        <v>18.501999999999999</v>
      </c>
      <c r="D116" s="4">
        <v>11.03</v>
      </c>
      <c r="E116" s="8">
        <f t="shared" si="8"/>
        <v>204.07705999999999</v>
      </c>
    </row>
    <row r="117" spans="1:5" x14ac:dyDescent="0.3">
      <c r="B117" s="4" t="s">
        <v>303</v>
      </c>
      <c r="C117" s="4">
        <v>4</v>
      </c>
      <c r="D117" s="4">
        <v>1.98</v>
      </c>
      <c r="E117" s="8">
        <f t="shared" si="8"/>
        <v>7.92</v>
      </c>
    </row>
    <row r="118" spans="1:5" x14ac:dyDescent="0.3">
      <c r="B118" s="4" t="s">
        <v>302</v>
      </c>
      <c r="C118" s="4">
        <v>4</v>
      </c>
      <c r="D118" s="4">
        <v>1.98</v>
      </c>
      <c r="E118" s="4">
        <f t="shared" si="8"/>
        <v>7.92</v>
      </c>
    </row>
    <row r="119" spans="1:5" x14ac:dyDescent="0.3">
      <c r="B119" s="4" t="s">
        <v>34</v>
      </c>
      <c r="C119" s="4">
        <v>0.8</v>
      </c>
      <c r="D119" s="4">
        <v>12.43</v>
      </c>
      <c r="E119" s="8">
        <f t="shared" si="8"/>
        <v>9.9440000000000008</v>
      </c>
    </row>
    <row r="120" spans="1:5" x14ac:dyDescent="0.3">
      <c r="B120" s="4" t="s">
        <v>35</v>
      </c>
      <c r="C120" s="4">
        <v>4</v>
      </c>
      <c r="D120" s="4">
        <v>1.89</v>
      </c>
      <c r="E120" s="8">
        <f t="shared" si="8"/>
        <v>7.56</v>
      </c>
    </row>
    <row r="121" spans="1:5" x14ac:dyDescent="0.3">
      <c r="B121" s="4" t="s">
        <v>36</v>
      </c>
      <c r="C121" s="4">
        <v>4</v>
      </c>
      <c r="D121" s="4">
        <v>0.24</v>
      </c>
      <c r="E121" s="8">
        <f t="shared" si="8"/>
        <v>0.96</v>
      </c>
    </row>
    <row r="122" spans="1:5" x14ac:dyDescent="0.3">
      <c r="E122" s="9">
        <f>SUM(E114:E121)</f>
        <v>528.23882999999989</v>
      </c>
    </row>
    <row r="123" spans="1:5" x14ac:dyDescent="0.3">
      <c r="B123" s="4" t="s">
        <v>37</v>
      </c>
      <c r="C123">
        <v>2</v>
      </c>
      <c r="D123" t="s">
        <v>393</v>
      </c>
      <c r="E123" s="8">
        <v>170</v>
      </c>
    </row>
    <row r="124" spans="1:5" x14ac:dyDescent="0.3">
      <c r="E124" s="8">
        <f>SUM(E122:E123)</f>
        <v>698.23882999999989</v>
      </c>
    </row>
    <row r="127" spans="1:5" x14ac:dyDescent="0.3">
      <c r="C127" s="4" t="s">
        <v>28</v>
      </c>
      <c r="D127" s="4" t="s">
        <v>29</v>
      </c>
      <c r="E127" s="4" t="s">
        <v>30</v>
      </c>
    </row>
    <row r="128" spans="1:5" x14ac:dyDescent="0.3">
      <c r="A128" t="s">
        <v>396</v>
      </c>
      <c r="B128" s="4" t="s">
        <v>32</v>
      </c>
      <c r="C128" s="4">
        <v>3.6659999999999999</v>
      </c>
      <c r="D128" s="4">
        <v>31.41</v>
      </c>
      <c r="E128" s="8">
        <f t="shared" ref="E128:E135" si="9">C128*D128</f>
        <v>115.14905999999999</v>
      </c>
    </row>
    <row r="129" spans="1:5" x14ac:dyDescent="0.3">
      <c r="A129" t="s">
        <v>346</v>
      </c>
      <c r="B129" s="4" t="s">
        <v>33</v>
      </c>
      <c r="C129" s="4">
        <v>34.76</v>
      </c>
      <c r="D129" s="4">
        <v>11.03</v>
      </c>
      <c r="E129" s="8">
        <f t="shared" si="9"/>
        <v>383.40279999999996</v>
      </c>
    </row>
    <row r="130" spans="1:5" x14ac:dyDescent="0.3">
      <c r="A130" t="s">
        <v>397</v>
      </c>
      <c r="B130" s="4" t="s">
        <v>33</v>
      </c>
      <c r="C130" s="4">
        <v>34.76</v>
      </c>
      <c r="D130" s="4">
        <v>11.03</v>
      </c>
      <c r="E130" s="8">
        <f t="shared" si="9"/>
        <v>383.40279999999996</v>
      </c>
    </row>
    <row r="131" spans="1:5" x14ac:dyDescent="0.3">
      <c r="B131" s="4" t="s">
        <v>359</v>
      </c>
      <c r="C131" s="4">
        <v>4</v>
      </c>
      <c r="D131" s="4">
        <v>1.98</v>
      </c>
      <c r="E131" s="8">
        <f t="shared" si="9"/>
        <v>7.92</v>
      </c>
    </row>
    <row r="132" spans="1:5" x14ac:dyDescent="0.3">
      <c r="B132" s="4" t="s">
        <v>92</v>
      </c>
      <c r="C132" s="4">
        <v>4</v>
      </c>
      <c r="D132" s="4">
        <v>1.98</v>
      </c>
      <c r="E132" s="4">
        <f t="shared" si="9"/>
        <v>7.92</v>
      </c>
    </row>
    <row r="133" spans="1:5" x14ac:dyDescent="0.3">
      <c r="B133" s="4" t="s">
        <v>34</v>
      </c>
      <c r="C133" s="4">
        <v>2</v>
      </c>
      <c r="D133" s="4">
        <v>12.43</v>
      </c>
      <c r="E133" s="8">
        <f t="shared" si="9"/>
        <v>24.86</v>
      </c>
    </row>
    <row r="134" spans="1:5" x14ac:dyDescent="0.3">
      <c r="B134" s="4" t="s">
        <v>35</v>
      </c>
      <c r="C134" s="4">
        <v>8</v>
      </c>
      <c r="D134" s="4">
        <v>1.89</v>
      </c>
      <c r="E134" s="8">
        <f t="shared" si="9"/>
        <v>15.12</v>
      </c>
    </row>
    <row r="135" spans="1:5" x14ac:dyDescent="0.3">
      <c r="B135" s="4" t="s">
        <v>36</v>
      </c>
      <c r="C135" s="4">
        <v>4</v>
      </c>
      <c r="D135" s="4">
        <v>0.24</v>
      </c>
      <c r="E135" s="8">
        <f t="shared" si="9"/>
        <v>0.96</v>
      </c>
    </row>
    <row r="136" spans="1:5" x14ac:dyDescent="0.3">
      <c r="E136" s="9">
        <f>SUM(E128:E135)</f>
        <v>938.73465999999985</v>
      </c>
    </row>
    <row r="137" spans="1:5" x14ac:dyDescent="0.3">
      <c r="B137" s="4" t="s">
        <v>37</v>
      </c>
      <c r="C137" t="s">
        <v>402</v>
      </c>
      <c r="D137">
        <v>85</v>
      </c>
      <c r="E137" s="8">
        <v>170</v>
      </c>
    </row>
    <row r="138" spans="1:5" x14ac:dyDescent="0.3">
      <c r="E138" s="8">
        <f>SUM(E136:E137)</f>
        <v>1108.7346599999998</v>
      </c>
    </row>
    <row r="141" spans="1:5" x14ac:dyDescent="0.3">
      <c r="C141" s="4" t="s">
        <v>28</v>
      </c>
      <c r="D141" s="4" t="s">
        <v>29</v>
      </c>
      <c r="E141" s="4" t="s">
        <v>30</v>
      </c>
    </row>
    <row r="142" spans="1:5" x14ac:dyDescent="0.3">
      <c r="A142" t="s">
        <v>291</v>
      </c>
      <c r="B142" s="4" t="s">
        <v>32</v>
      </c>
      <c r="C142" s="4">
        <v>2.7850000000000001</v>
      </c>
      <c r="D142" s="4">
        <v>31.41</v>
      </c>
      <c r="E142" s="8">
        <f t="shared" ref="E142:E149" si="10">C142*D142</f>
        <v>87.476849999999999</v>
      </c>
    </row>
    <row r="143" spans="1:5" x14ac:dyDescent="0.3">
      <c r="A143" t="s">
        <v>391</v>
      </c>
      <c r="B143" s="4" t="s">
        <v>33</v>
      </c>
      <c r="C143" s="4">
        <v>19.47</v>
      </c>
      <c r="D143" s="4">
        <v>11.03</v>
      </c>
      <c r="E143" s="8">
        <f t="shared" si="10"/>
        <v>214.75409999999997</v>
      </c>
    </row>
    <row r="144" spans="1:5" x14ac:dyDescent="0.3">
      <c r="A144" t="s">
        <v>398</v>
      </c>
      <c r="B144" s="4" t="s">
        <v>33</v>
      </c>
      <c r="C144" s="4">
        <v>19.47</v>
      </c>
      <c r="D144" s="4">
        <v>11.03</v>
      </c>
      <c r="E144" s="8">
        <f t="shared" si="10"/>
        <v>214.75409999999997</v>
      </c>
    </row>
    <row r="145" spans="1:5" x14ac:dyDescent="0.3">
      <c r="B145" s="4" t="s">
        <v>89</v>
      </c>
      <c r="C145" s="4">
        <v>4</v>
      </c>
      <c r="D145" s="4">
        <v>2.98</v>
      </c>
      <c r="E145" s="8">
        <f t="shared" si="10"/>
        <v>11.92</v>
      </c>
    </row>
    <row r="146" spans="1:5" x14ac:dyDescent="0.3">
      <c r="B146" s="4" t="s">
        <v>98</v>
      </c>
      <c r="C146" s="4">
        <v>4</v>
      </c>
      <c r="D146" s="4">
        <v>2.98</v>
      </c>
      <c r="E146" s="4">
        <f t="shared" si="10"/>
        <v>11.92</v>
      </c>
    </row>
    <row r="147" spans="1:5" x14ac:dyDescent="0.3">
      <c r="B147" s="4" t="s">
        <v>34</v>
      </c>
      <c r="C147" s="4">
        <v>1.2</v>
      </c>
      <c r="D147" s="4">
        <v>12.43</v>
      </c>
      <c r="E147" s="8">
        <f t="shared" si="10"/>
        <v>14.915999999999999</v>
      </c>
    </row>
    <row r="148" spans="1:5" x14ac:dyDescent="0.3">
      <c r="B148" s="4" t="s">
        <v>35</v>
      </c>
      <c r="C148" s="4">
        <v>6</v>
      </c>
      <c r="D148" s="4">
        <v>1.89</v>
      </c>
      <c r="E148" s="8">
        <f t="shared" si="10"/>
        <v>11.34</v>
      </c>
    </row>
    <row r="149" spans="1:5" x14ac:dyDescent="0.3">
      <c r="B149" s="4" t="s">
        <v>36</v>
      </c>
      <c r="C149" s="4">
        <v>4</v>
      </c>
      <c r="D149" s="4">
        <v>0.24</v>
      </c>
      <c r="E149" s="8">
        <f t="shared" si="10"/>
        <v>0.96</v>
      </c>
    </row>
    <row r="150" spans="1:5" x14ac:dyDescent="0.3">
      <c r="E150" s="9">
        <f>SUM(E142:E149)</f>
        <v>568.04104999999993</v>
      </c>
    </row>
    <row r="151" spans="1:5" x14ac:dyDescent="0.3">
      <c r="B151" s="4" t="s">
        <v>37</v>
      </c>
      <c r="E151" s="8">
        <v>255</v>
      </c>
    </row>
    <row r="152" spans="1:5" x14ac:dyDescent="0.3">
      <c r="E152" s="8">
        <f>SUM(E150:E151)</f>
        <v>823.04104999999993</v>
      </c>
    </row>
    <row r="154" spans="1:5" x14ac:dyDescent="0.3">
      <c r="C154" s="4" t="s">
        <v>28</v>
      </c>
      <c r="D154" s="4" t="s">
        <v>29</v>
      </c>
      <c r="E154" s="4" t="s">
        <v>30</v>
      </c>
    </row>
    <row r="155" spans="1:5" x14ac:dyDescent="0.3">
      <c r="A155" t="s">
        <v>421</v>
      </c>
      <c r="B155" s="4" t="s">
        <v>32</v>
      </c>
      <c r="C155" s="4">
        <v>4.5460000000000003</v>
      </c>
      <c r="D155" s="4">
        <v>31.41</v>
      </c>
      <c r="E155" s="8">
        <f t="shared" ref="E155:E162" si="11">C155*D155</f>
        <v>142.78986</v>
      </c>
    </row>
    <row r="156" spans="1:5" x14ac:dyDescent="0.3">
      <c r="A156" t="s">
        <v>464</v>
      </c>
      <c r="B156" s="4" t="s">
        <v>33</v>
      </c>
      <c r="C156" s="4">
        <v>27.225000000000001</v>
      </c>
      <c r="D156" s="4">
        <v>11.03</v>
      </c>
      <c r="E156" s="8">
        <f t="shared" si="11"/>
        <v>300.29174999999998</v>
      </c>
    </row>
    <row r="157" spans="1:5" x14ac:dyDescent="0.3">
      <c r="A157" t="s">
        <v>465</v>
      </c>
      <c r="B157" s="4" t="s">
        <v>33</v>
      </c>
      <c r="C157" s="4">
        <v>27.225000000000001</v>
      </c>
      <c r="D157" s="4">
        <v>11.03</v>
      </c>
      <c r="E157" s="8">
        <f t="shared" si="11"/>
        <v>300.29174999999998</v>
      </c>
    </row>
    <row r="158" spans="1:5" x14ac:dyDescent="0.3">
      <c r="B158" s="4" t="s">
        <v>88</v>
      </c>
      <c r="C158" s="4">
        <v>4</v>
      </c>
      <c r="D158" s="4">
        <v>1.98</v>
      </c>
      <c r="E158" s="8">
        <f t="shared" si="11"/>
        <v>7.92</v>
      </c>
    </row>
    <row r="159" spans="1:5" x14ac:dyDescent="0.3">
      <c r="B159" s="4" t="s">
        <v>113</v>
      </c>
      <c r="C159" s="4">
        <v>4</v>
      </c>
      <c r="D159" s="4">
        <v>1.98</v>
      </c>
      <c r="E159" s="4">
        <f t="shared" si="11"/>
        <v>7.92</v>
      </c>
    </row>
    <row r="160" spans="1:5" x14ac:dyDescent="0.3">
      <c r="B160" s="4" t="s">
        <v>34</v>
      </c>
      <c r="C160" s="4">
        <v>3</v>
      </c>
      <c r="D160" s="4">
        <v>12.43</v>
      </c>
      <c r="E160" s="8">
        <f t="shared" si="11"/>
        <v>37.29</v>
      </c>
    </row>
    <row r="161" spans="1:5" x14ac:dyDescent="0.3">
      <c r="B161" s="4" t="s">
        <v>35</v>
      </c>
      <c r="C161" s="4">
        <v>8</v>
      </c>
      <c r="D161" s="4">
        <v>1.89</v>
      </c>
      <c r="E161" s="8">
        <f t="shared" si="11"/>
        <v>15.12</v>
      </c>
    </row>
    <row r="162" spans="1:5" x14ac:dyDescent="0.3">
      <c r="B162" s="4" t="s">
        <v>36</v>
      </c>
      <c r="C162" s="4">
        <v>4</v>
      </c>
      <c r="D162" s="4">
        <v>0.24</v>
      </c>
      <c r="E162" s="8">
        <f t="shared" si="11"/>
        <v>0.96</v>
      </c>
    </row>
    <row r="163" spans="1:5" x14ac:dyDescent="0.3">
      <c r="E163" s="9">
        <f>SUM(E155:E162)</f>
        <v>812.58335999999986</v>
      </c>
    </row>
    <row r="164" spans="1:5" x14ac:dyDescent="0.3">
      <c r="B164" s="4" t="s">
        <v>37</v>
      </c>
      <c r="C164" t="s">
        <v>402</v>
      </c>
      <c r="D164">
        <v>85</v>
      </c>
      <c r="E164" s="8">
        <v>170</v>
      </c>
    </row>
    <row r="165" spans="1:5" x14ac:dyDescent="0.3">
      <c r="E165" s="8">
        <f>SUM(E163:E164)</f>
        <v>982.58335999999986</v>
      </c>
    </row>
    <row r="167" spans="1:5" x14ac:dyDescent="0.3">
      <c r="C167" s="4" t="s">
        <v>28</v>
      </c>
      <c r="D167" s="4" t="s">
        <v>29</v>
      </c>
      <c r="E167" s="4" t="s">
        <v>30</v>
      </c>
    </row>
    <row r="168" spans="1:5" x14ac:dyDescent="0.3">
      <c r="A168" t="s">
        <v>533</v>
      </c>
      <c r="B168" s="4" t="s">
        <v>32</v>
      </c>
      <c r="C168" s="4">
        <v>6.3940000000000001</v>
      </c>
      <c r="D168" s="4">
        <v>31.41</v>
      </c>
      <c r="E168" s="8">
        <f t="shared" ref="E168:E175" si="12">C168*D168</f>
        <v>200.83554000000001</v>
      </c>
    </row>
    <row r="169" spans="1:5" x14ac:dyDescent="0.3">
      <c r="A169" t="s">
        <v>168</v>
      </c>
      <c r="B169" s="4" t="s">
        <v>33</v>
      </c>
      <c r="C169" s="4">
        <v>73.688999999999993</v>
      </c>
      <c r="D169" s="4">
        <v>11.03</v>
      </c>
      <c r="E169" s="8">
        <f t="shared" si="12"/>
        <v>812.78966999999989</v>
      </c>
    </row>
    <row r="170" spans="1:5" x14ac:dyDescent="0.3">
      <c r="A170" t="s">
        <v>534</v>
      </c>
      <c r="B170" s="4" t="s">
        <v>33</v>
      </c>
      <c r="C170" s="4">
        <v>66.197999999999993</v>
      </c>
      <c r="D170" s="4">
        <v>11.03</v>
      </c>
      <c r="E170" s="8">
        <f t="shared" si="12"/>
        <v>730.16393999999991</v>
      </c>
    </row>
    <row r="171" spans="1:5" x14ac:dyDescent="0.3">
      <c r="A171" t="s">
        <v>535</v>
      </c>
      <c r="B171" s="4" t="s">
        <v>89</v>
      </c>
      <c r="C171" s="4">
        <v>4</v>
      </c>
      <c r="D171" s="4">
        <v>1.98</v>
      </c>
      <c r="E171" s="8">
        <f t="shared" si="12"/>
        <v>7.92</v>
      </c>
    </row>
    <row r="172" spans="1:5" x14ac:dyDescent="0.3">
      <c r="B172" s="4" t="s">
        <v>100</v>
      </c>
      <c r="C172" s="4">
        <v>2</v>
      </c>
      <c r="D172" s="4">
        <v>4.5</v>
      </c>
      <c r="E172" s="4">
        <f t="shared" si="12"/>
        <v>9</v>
      </c>
    </row>
    <row r="173" spans="1:5" x14ac:dyDescent="0.3">
      <c r="B173" s="4" t="s">
        <v>34</v>
      </c>
      <c r="C173" s="4">
        <v>2.4</v>
      </c>
      <c r="D173" s="4">
        <v>12.43</v>
      </c>
      <c r="E173" s="8">
        <f t="shared" si="12"/>
        <v>29.831999999999997</v>
      </c>
    </row>
    <row r="174" spans="1:5" x14ac:dyDescent="0.3">
      <c r="B174" s="4" t="s">
        <v>35</v>
      </c>
      <c r="C174" s="4">
        <v>4</v>
      </c>
      <c r="D174" s="4">
        <v>1.89</v>
      </c>
      <c r="E174" s="8">
        <f t="shared" si="12"/>
        <v>7.56</v>
      </c>
    </row>
    <row r="175" spans="1:5" x14ac:dyDescent="0.3">
      <c r="B175" s="4" t="s">
        <v>36</v>
      </c>
      <c r="C175" s="4">
        <v>4</v>
      </c>
      <c r="D175" s="4">
        <v>0.24</v>
      </c>
      <c r="E175" s="8">
        <f t="shared" si="12"/>
        <v>0.96</v>
      </c>
    </row>
    <row r="176" spans="1:5" x14ac:dyDescent="0.3">
      <c r="E176" s="9">
        <f>SUM(E168:E175)</f>
        <v>1799.06115</v>
      </c>
    </row>
    <row r="177" spans="1:5" x14ac:dyDescent="0.3">
      <c r="B177" s="4" t="s">
        <v>37</v>
      </c>
      <c r="C177">
        <v>4</v>
      </c>
      <c r="D177">
        <v>85</v>
      </c>
      <c r="E177" s="8">
        <v>340</v>
      </c>
    </row>
    <row r="178" spans="1:5" x14ac:dyDescent="0.3">
      <c r="E178" s="8">
        <f>SUM(E176:E177)</f>
        <v>2139.06115</v>
      </c>
    </row>
    <row r="182" spans="1:5" x14ac:dyDescent="0.3">
      <c r="C182" s="4" t="s">
        <v>28</v>
      </c>
      <c r="D182" s="4" t="s">
        <v>29</v>
      </c>
      <c r="E182" s="4" t="s">
        <v>30</v>
      </c>
    </row>
    <row r="183" spans="1:5" x14ac:dyDescent="0.3">
      <c r="A183" t="s">
        <v>376</v>
      </c>
      <c r="B183" s="4" t="s">
        <v>32</v>
      </c>
      <c r="C183" s="4">
        <v>3.6659999999999999</v>
      </c>
      <c r="D183" s="4">
        <v>31.41</v>
      </c>
      <c r="E183" s="8">
        <f t="shared" ref="E183:E190" si="13">C183*D183</f>
        <v>115.14905999999999</v>
      </c>
    </row>
    <row r="184" spans="1:5" x14ac:dyDescent="0.3">
      <c r="A184" t="s">
        <v>168</v>
      </c>
      <c r="B184" s="4" t="s">
        <v>33</v>
      </c>
      <c r="C184" s="4">
        <v>31.581</v>
      </c>
      <c r="D184" s="4">
        <v>11.03</v>
      </c>
      <c r="E184" s="8">
        <f t="shared" si="13"/>
        <v>348.33842999999996</v>
      </c>
    </row>
    <row r="185" spans="1:5" x14ac:dyDescent="0.3">
      <c r="A185" t="s">
        <v>377</v>
      </c>
      <c r="B185" s="4" t="s">
        <v>33</v>
      </c>
      <c r="C185" s="4">
        <v>32.450000000000003</v>
      </c>
      <c r="D185" s="4">
        <v>11.03</v>
      </c>
      <c r="E185" s="8">
        <f t="shared" si="13"/>
        <v>357.92349999999999</v>
      </c>
    </row>
    <row r="186" spans="1:5" x14ac:dyDescent="0.3">
      <c r="A186" t="s">
        <v>536</v>
      </c>
      <c r="B186" s="4" t="s">
        <v>89</v>
      </c>
      <c r="C186" s="4">
        <v>2</v>
      </c>
      <c r="D186" s="4">
        <v>1.98</v>
      </c>
      <c r="E186" s="8">
        <f t="shared" si="13"/>
        <v>3.96</v>
      </c>
    </row>
    <row r="187" spans="1:5" x14ac:dyDescent="0.3">
      <c r="B187" s="4" t="s">
        <v>100</v>
      </c>
      <c r="C187" s="4">
        <v>4</v>
      </c>
      <c r="D187" s="4">
        <v>4.5</v>
      </c>
      <c r="E187" s="4">
        <f t="shared" si="13"/>
        <v>18</v>
      </c>
    </row>
    <row r="188" spans="1:5" x14ac:dyDescent="0.3">
      <c r="B188" s="4" t="s">
        <v>34</v>
      </c>
      <c r="C188" s="4">
        <v>2</v>
      </c>
      <c r="D188" s="4">
        <v>12.43</v>
      </c>
      <c r="E188" s="8">
        <f t="shared" si="13"/>
        <v>24.86</v>
      </c>
    </row>
    <row r="189" spans="1:5" x14ac:dyDescent="0.3">
      <c r="B189" s="4" t="s">
        <v>35</v>
      </c>
      <c r="C189" s="4">
        <v>8</v>
      </c>
      <c r="D189" s="4">
        <v>1.89</v>
      </c>
      <c r="E189" s="8">
        <f t="shared" si="13"/>
        <v>15.12</v>
      </c>
    </row>
    <row r="190" spans="1:5" x14ac:dyDescent="0.3">
      <c r="B190" s="4" t="s">
        <v>36</v>
      </c>
      <c r="C190" s="4">
        <v>4</v>
      </c>
      <c r="D190" s="4">
        <v>0.24</v>
      </c>
      <c r="E190" s="8">
        <f t="shared" si="13"/>
        <v>0.96</v>
      </c>
    </row>
    <row r="191" spans="1:5" x14ac:dyDescent="0.3">
      <c r="E191" s="9">
        <f>SUM(E183:E190)</f>
        <v>884.31099000000006</v>
      </c>
    </row>
    <row r="192" spans="1:5" x14ac:dyDescent="0.3">
      <c r="B192" s="4" t="s">
        <v>37</v>
      </c>
      <c r="C192">
        <v>2</v>
      </c>
      <c r="D192">
        <v>85</v>
      </c>
      <c r="E192" s="8">
        <f>C192*D192</f>
        <v>170</v>
      </c>
    </row>
    <row r="193" spans="1:5" x14ac:dyDescent="0.3">
      <c r="E193" s="8">
        <f>SUM(E191:E192)</f>
        <v>1054.3109899999999</v>
      </c>
    </row>
    <row r="195" spans="1:5" x14ac:dyDescent="0.3">
      <c r="C195" s="4" t="s">
        <v>28</v>
      </c>
      <c r="D195" s="4" t="s">
        <v>29</v>
      </c>
      <c r="E195" s="4" t="s">
        <v>30</v>
      </c>
    </row>
    <row r="196" spans="1:5" x14ac:dyDescent="0.3">
      <c r="A196" t="s">
        <v>537</v>
      </c>
      <c r="B196" s="4" t="s">
        <v>32</v>
      </c>
      <c r="C196" s="4">
        <v>3.2250000000000001</v>
      </c>
      <c r="D196" s="4">
        <v>31.41</v>
      </c>
      <c r="E196" s="8">
        <f t="shared" ref="E196:E203" si="14">C196*D196</f>
        <v>101.29725000000001</v>
      </c>
    </row>
    <row r="197" spans="1:5" x14ac:dyDescent="0.3">
      <c r="A197" t="s">
        <v>345</v>
      </c>
      <c r="B197" s="4" t="s">
        <v>33</v>
      </c>
      <c r="C197" s="4">
        <v>26.565000000000001</v>
      </c>
      <c r="D197" s="4">
        <v>11.03</v>
      </c>
      <c r="E197" s="8">
        <f t="shared" si="14"/>
        <v>293.01195000000001</v>
      </c>
    </row>
    <row r="198" spans="1:5" x14ac:dyDescent="0.3">
      <c r="A198" t="s">
        <v>538</v>
      </c>
      <c r="B198" s="4" t="s">
        <v>33</v>
      </c>
      <c r="C198" s="4">
        <v>26.565000000000001</v>
      </c>
      <c r="D198" s="4">
        <v>11.03</v>
      </c>
      <c r="E198" s="8">
        <f t="shared" si="14"/>
        <v>293.01195000000001</v>
      </c>
    </row>
    <row r="199" spans="1:5" x14ac:dyDescent="0.3">
      <c r="A199" t="s">
        <v>539</v>
      </c>
      <c r="B199" s="4" t="s">
        <v>89</v>
      </c>
      <c r="C199" s="4">
        <v>2</v>
      </c>
      <c r="D199" s="4">
        <v>1.98</v>
      </c>
      <c r="E199" s="8">
        <f t="shared" si="14"/>
        <v>3.96</v>
      </c>
    </row>
    <row r="200" spans="1:5" x14ac:dyDescent="0.3">
      <c r="B200" s="4" t="s">
        <v>100</v>
      </c>
      <c r="C200" s="4">
        <v>4</v>
      </c>
      <c r="D200" s="4">
        <v>4.5</v>
      </c>
      <c r="E200" s="4">
        <f t="shared" si="14"/>
        <v>18</v>
      </c>
    </row>
    <row r="201" spans="1:5" x14ac:dyDescent="0.3">
      <c r="B201" s="4" t="s">
        <v>34</v>
      </c>
      <c r="C201" s="4">
        <v>2</v>
      </c>
      <c r="D201" s="4">
        <v>12.43</v>
      </c>
      <c r="E201" s="8">
        <f t="shared" si="14"/>
        <v>24.86</v>
      </c>
    </row>
    <row r="202" spans="1:5" x14ac:dyDescent="0.3">
      <c r="B202" s="4" t="s">
        <v>35</v>
      </c>
      <c r="C202" s="4">
        <v>8</v>
      </c>
      <c r="D202" s="4">
        <v>1.89</v>
      </c>
      <c r="E202" s="8">
        <f t="shared" si="14"/>
        <v>15.12</v>
      </c>
    </row>
    <row r="203" spans="1:5" x14ac:dyDescent="0.3">
      <c r="B203" s="4" t="s">
        <v>36</v>
      </c>
      <c r="C203" s="4">
        <v>4</v>
      </c>
      <c r="D203" s="4">
        <v>0.24</v>
      </c>
      <c r="E203" s="8">
        <f t="shared" si="14"/>
        <v>0.96</v>
      </c>
    </row>
    <row r="204" spans="1:5" x14ac:dyDescent="0.3">
      <c r="E204" s="9">
        <f>SUM(E196:E203)</f>
        <v>750.22115000000008</v>
      </c>
    </row>
    <row r="205" spans="1:5" x14ac:dyDescent="0.3">
      <c r="B205" s="4" t="s">
        <v>37</v>
      </c>
      <c r="C205">
        <v>1</v>
      </c>
      <c r="D205">
        <v>85</v>
      </c>
      <c r="E205" s="8">
        <v>85</v>
      </c>
    </row>
    <row r="206" spans="1:5" x14ac:dyDescent="0.3">
      <c r="E206" s="8">
        <f>SUM(E204:E205)</f>
        <v>835.22115000000008</v>
      </c>
    </row>
    <row r="208" spans="1:5" x14ac:dyDescent="0.3">
      <c r="C208" s="4" t="s">
        <v>28</v>
      </c>
      <c r="D208" s="4" t="s">
        <v>29</v>
      </c>
      <c r="E208" s="4" t="s">
        <v>30</v>
      </c>
    </row>
    <row r="209" spans="1:5" x14ac:dyDescent="0.3">
      <c r="A209" t="s">
        <v>291</v>
      </c>
      <c r="B209" s="4" t="s">
        <v>32</v>
      </c>
      <c r="C209" s="4">
        <v>2.786</v>
      </c>
      <c r="D209" s="4">
        <v>31.41</v>
      </c>
      <c r="E209" s="8">
        <f t="shared" ref="E209:E216" si="15">C209*D209</f>
        <v>87.508260000000007</v>
      </c>
    </row>
    <row r="210" spans="1:5" x14ac:dyDescent="0.3">
      <c r="A210" t="s">
        <v>168</v>
      </c>
      <c r="B210" s="4" t="s">
        <v>33</v>
      </c>
      <c r="C210" s="4">
        <v>18.821000000000002</v>
      </c>
      <c r="D210" s="4">
        <v>11.03</v>
      </c>
      <c r="E210" s="8">
        <f t="shared" si="15"/>
        <v>207.59563</v>
      </c>
    </row>
    <row r="211" spans="1:5" x14ac:dyDescent="0.3">
      <c r="A211" t="s">
        <v>56</v>
      </c>
      <c r="B211" s="4" t="s">
        <v>33</v>
      </c>
      <c r="C211" s="4">
        <v>18.821000000000002</v>
      </c>
      <c r="D211" s="4">
        <v>11.03</v>
      </c>
      <c r="E211" s="8">
        <f t="shared" si="15"/>
        <v>207.59563</v>
      </c>
    </row>
    <row r="212" spans="1:5" x14ac:dyDescent="0.3">
      <c r="A212" t="s">
        <v>540</v>
      </c>
      <c r="B212" s="4" t="s">
        <v>89</v>
      </c>
      <c r="C212" s="4">
        <v>2</v>
      </c>
      <c r="D212" s="4">
        <v>1.98</v>
      </c>
      <c r="E212" s="8">
        <f t="shared" si="15"/>
        <v>3.96</v>
      </c>
    </row>
    <row r="213" spans="1:5" x14ac:dyDescent="0.3">
      <c r="B213" s="4" t="s">
        <v>98</v>
      </c>
      <c r="C213" s="4">
        <v>2</v>
      </c>
      <c r="D213" s="4">
        <v>1.98</v>
      </c>
      <c r="E213" s="4">
        <f t="shared" si="15"/>
        <v>3.96</v>
      </c>
    </row>
    <row r="214" spans="1:5" x14ac:dyDescent="0.3">
      <c r="B214" s="4" t="s">
        <v>34</v>
      </c>
      <c r="C214" s="4">
        <v>0.6</v>
      </c>
      <c r="D214" s="4">
        <v>12.43</v>
      </c>
      <c r="E214" s="8">
        <f t="shared" si="15"/>
        <v>7.4579999999999993</v>
      </c>
    </row>
    <row r="215" spans="1:5" x14ac:dyDescent="0.3">
      <c r="B215" s="4" t="s">
        <v>35</v>
      </c>
      <c r="C215" s="4">
        <v>8</v>
      </c>
      <c r="D215" s="4">
        <v>1.89</v>
      </c>
      <c r="E215" s="8">
        <f t="shared" si="15"/>
        <v>15.12</v>
      </c>
    </row>
    <row r="216" spans="1:5" x14ac:dyDescent="0.3">
      <c r="B216" s="4" t="s">
        <v>36</v>
      </c>
      <c r="C216" s="4">
        <v>4</v>
      </c>
      <c r="D216" s="4">
        <v>0.24</v>
      </c>
      <c r="E216" s="8">
        <f t="shared" si="15"/>
        <v>0.96</v>
      </c>
    </row>
    <row r="217" spans="1:5" x14ac:dyDescent="0.3">
      <c r="E217" s="9">
        <f>SUM(E209:E216)</f>
        <v>534.15751999999998</v>
      </c>
    </row>
    <row r="218" spans="1:5" x14ac:dyDescent="0.3">
      <c r="B218" s="4" t="s">
        <v>37</v>
      </c>
      <c r="C218">
        <v>2</v>
      </c>
      <c r="D218">
        <v>85</v>
      </c>
      <c r="E218" s="8">
        <v>170</v>
      </c>
    </row>
    <row r="219" spans="1:5" x14ac:dyDescent="0.3">
      <c r="E219" s="8">
        <f>SUM(E217:E218)</f>
        <v>704.15751999999998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F0"/>
  </sheetPr>
  <dimension ref="A5:K735"/>
  <sheetViews>
    <sheetView topLeftCell="A711" workbookViewId="0">
      <selection activeCell="E736" sqref="E736"/>
    </sheetView>
  </sheetViews>
  <sheetFormatPr baseColWidth="10" defaultRowHeight="14.4" x14ac:dyDescent="0.3"/>
  <sheetData>
    <row r="5" spans="1:5" x14ac:dyDescent="0.3">
      <c r="C5" s="4" t="s">
        <v>28</v>
      </c>
      <c r="D5" s="4" t="s">
        <v>29</v>
      </c>
      <c r="E5" s="4" t="s">
        <v>30</v>
      </c>
    </row>
    <row r="6" spans="1:5" x14ac:dyDescent="0.3">
      <c r="A6" t="s">
        <v>295</v>
      </c>
      <c r="B6" s="4" t="s">
        <v>32</v>
      </c>
      <c r="C6" s="4">
        <v>5.2629999999999999</v>
      </c>
      <c r="D6" s="4">
        <v>19.89</v>
      </c>
      <c r="E6" s="8">
        <f t="shared" ref="E6:E11" si="0">C6*D6</f>
        <v>104.68107000000001</v>
      </c>
    </row>
    <row r="7" spans="1:5" x14ac:dyDescent="0.3">
      <c r="A7" t="s">
        <v>168</v>
      </c>
      <c r="B7" s="4" t="s">
        <v>33</v>
      </c>
      <c r="C7" s="4">
        <v>55.723999999999997</v>
      </c>
      <c r="D7" s="4">
        <v>11.03</v>
      </c>
      <c r="E7" s="8">
        <f t="shared" si="0"/>
        <v>614.63571999999988</v>
      </c>
    </row>
    <row r="8" spans="1:5" x14ac:dyDescent="0.3">
      <c r="B8" s="4" t="s">
        <v>87</v>
      </c>
      <c r="C8" s="4">
        <v>2</v>
      </c>
      <c r="D8" s="4">
        <v>1.98</v>
      </c>
      <c r="E8" s="8">
        <f t="shared" si="0"/>
        <v>3.96</v>
      </c>
    </row>
    <row r="9" spans="1:5" x14ac:dyDescent="0.3">
      <c r="B9" s="4" t="s">
        <v>34</v>
      </c>
      <c r="C9" s="4">
        <v>0.4</v>
      </c>
      <c r="D9" s="4">
        <v>12.43</v>
      </c>
      <c r="E9" s="8">
        <f t="shared" si="0"/>
        <v>4.9720000000000004</v>
      </c>
    </row>
    <row r="10" spans="1:5" x14ac:dyDescent="0.3">
      <c r="B10" s="4" t="s">
        <v>35</v>
      </c>
      <c r="C10" s="4">
        <v>4</v>
      </c>
      <c r="D10" s="4">
        <v>1.89</v>
      </c>
      <c r="E10" s="8">
        <f t="shared" si="0"/>
        <v>7.56</v>
      </c>
    </row>
    <row r="11" spans="1:5" x14ac:dyDescent="0.3">
      <c r="B11" s="4" t="s">
        <v>36</v>
      </c>
      <c r="C11" s="4">
        <v>4</v>
      </c>
      <c r="D11" s="4">
        <v>0.24</v>
      </c>
      <c r="E11" s="8">
        <f t="shared" si="0"/>
        <v>0.96</v>
      </c>
    </row>
    <row r="12" spans="1:5" x14ac:dyDescent="0.3">
      <c r="E12" s="8">
        <f>SUM(E6:E11)</f>
        <v>736.76878999999985</v>
      </c>
    </row>
    <row r="13" spans="1:5" x14ac:dyDescent="0.3">
      <c r="B13" s="4" t="s">
        <v>37</v>
      </c>
      <c r="C13">
        <v>45</v>
      </c>
      <c r="D13">
        <v>1.41</v>
      </c>
      <c r="E13" s="8">
        <f>C13*D13</f>
        <v>63.449999999999996</v>
      </c>
    </row>
    <row r="14" spans="1:5" x14ac:dyDescent="0.3">
      <c r="E14" s="8">
        <f>SUM(E12:E13)</f>
        <v>800.2187899999999</v>
      </c>
    </row>
    <row r="17" spans="1:5" x14ac:dyDescent="0.3">
      <c r="C17" s="4" t="s">
        <v>28</v>
      </c>
      <c r="D17" s="4" t="s">
        <v>29</v>
      </c>
      <c r="E17" s="4" t="s">
        <v>30</v>
      </c>
    </row>
    <row r="18" spans="1:5" x14ac:dyDescent="0.3">
      <c r="A18" t="s">
        <v>301</v>
      </c>
      <c r="B18" s="4" t="s">
        <v>32</v>
      </c>
      <c r="C18" s="4">
        <v>2.4900000000000002</v>
      </c>
      <c r="D18" s="4">
        <v>19.89</v>
      </c>
      <c r="E18" s="8">
        <f t="shared" ref="E18:E23" si="1">C18*D18</f>
        <v>49.526100000000007</v>
      </c>
    </row>
    <row r="19" spans="1:5" x14ac:dyDescent="0.3">
      <c r="A19" t="s">
        <v>168</v>
      </c>
      <c r="B19" s="4" t="s">
        <v>33</v>
      </c>
      <c r="C19" s="4">
        <v>16.748000000000001</v>
      </c>
      <c r="D19" s="4">
        <v>11.03</v>
      </c>
      <c r="E19" s="8">
        <f t="shared" si="1"/>
        <v>184.73043999999999</v>
      </c>
    </row>
    <row r="20" spans="1:5" x14ac:dyDescent="0.3">
      <c r="B20" s="4" t="s">
        <v>302</v>
      </c>
      <c r="C20" s="4">
        <v>1.24</v>
      </c>
      <c r="D20" s="4">
        <v>1.98</v>
      </c>
      <c r="E20" s="8">
        <f t="shared" si="1"/>
        <v>2.4552</v>
      </c>
    </row>
    <row r="21" spans="1:5" x14ac:dyDescent="0.3">
      <c r="B21" s="4" t="s">
        <v>34</v>
      </c>
      <c r="C21" s="4">
        <v>0.4</v>
      </c>
      <c r="D21" s="4">
        <v>12.43</v>
      </c>
      <c r="E21" s="8">
        <f t="shared" si="1"/>
        <v>4.9720000000000004</v>
      </c>
    </row>
    <row r="22" spans="1:5" x14ac:dyDescent="0.3">
      <c r="B22" s="4" t="s">
        <v>35</v>
      </c>
      <c r="C22" s="4">
        <v>4</v>
      </c>
      <c r="D22" s="4">
        <v>1.89</v>
      </c>
      <c r="E22" s="8">
        <f t="shared" si="1"/>
        <v>7.56</v>
      </c>
    </row>
    <row r="23" spans="1:5" x14ac:dyDescent="0.3">
      <c r="B23" s="4" t="s">
        <v>36</v>
      </c>
      <c r="C23" s="4">
        <v>4</v>
      </c>
      <c r="D23" s="4">
        <v>0.24</v>
      </c>
      <c r="E23" s="8">
        <f t="shared" si="1"/>
        <v>0.96</v>
      </c>
    </row>
    <row r="24" spans="1:5" x14ac:dyDescent="0.3">
      <c r="E24" s="8">
        <f>SUM(E18:E23)</f>
        <v>250.20374000000001</v>
      </c>
    </row>
    <row r="25" spans="1:5" x14ac:dyDescent="0.3">
      <c r="B25" s="4" t="s">
        <v>37</v>
      </c>
      <c r="C25">
        <v>45</v>
      </c>
      <c r="D25">
        <v>1.41</v>
      </c>
      <c r="E25" s="8">
        <f>C25*D25</f>
        <v>63.449999999999996</v>
      </c>
    </row>
    <row r="26" spans="1:5" x14ac:dyDescent="0.3">
      <c r="E26" s="8">
        <f>SUM(E24:E25)</f>
        <v>313.65374000000003</v>
      </c>
    </row>
    <row r="29" spans="1:5" x14ac:dyDescent="0.3">
      <c r="C29" s="4" t="s">
        <v>28</v>
      </c>
      <c r="D29" s="4" t="s">
        <v>29</v>
      </c>
      <c r="E29" s="4" t="s">
        <v>30</v>
      </c>
    </row>
    <row r="30" spans="1:5" x14ac:dyDescent="0.3">
      <c r="A30" t="s">
        <v>318</v>
      </c>
      <c r="B30" s="4" t="s">
        <v>32</v>
      </c>
      <c r="C30" s="4">
        <v>6.5</v>
      </c>
      <c r="D30" s="4">
        <v>19.89</v>
      </c>
      <c r="E30" s="8">
        <f t="shared" ref="E30:E35" si="2">C30*D30</f>
        <v>129.285</v>
      </c>
    </row>
    <row r="31" spans="1:5" x14ac:dyDescent="0.3">
      <c r="A31" t="s">
        <v>310</v>
      </c>
      <c r="B31" s="4" t="s">
        <v>33</v>
      </c>
      <c r="C31" s="4">
        <v>106.7</v>
      </c>
      <c r="D31" s="4">
        <v>11.03</v>
      </c>
      <c r="E31" s="8">
        <f t="shared" si="2"/>
        <v>1176.9010000000001</v>
      </c>
    </row>
    <row r="32" spans="1:5" x14ac:dyDescent="0.3">
      <c r="B32" s="4" t="s">
        <v>113</v>
      </c>
      <c r="C32" s="4">
        <v>4</v>
      </c>
      <c r="D32" s="4">
        <v>2.98</v>
      </c>
      <c r="E32" s="8">
        <f t="shared" si="2"/>
        <v>11.92</v>
      </c>
    </row>
    <row r="33" spans="1:5" x14ac:dyDescent="0.3">
      <c r="B33" s="4" t="s">
        <v>34</v>
      </c>
      <c r="C33" s="4">
        <v>3</v>
      </c>
      <c r="D33" s="4">
        <v>12.43</v>
      </c>
      <c r="E33" s="8">
        <f t="shared" si="2"/>
        <v>37.29</v>
      </c>
    </row>
    <row r="34" spans="1:5" x14ac:dyDescent="0.3">
      <c r="B34" s="4" t="s">
        <v>35</v>
      </c>
      <c r="C34" s="4">
        <v>4</v>
      </c>
      <c r="D34" s="4">
        <v>1.89</v>
      </c>
      <c r="E34" s="8">
        <f t="shared" si="2"/>
        <v>7.56</v>
      </c>
    </row>
    <row r="35" spans="1:5" x14ac:dyDescent="0.3">
      <c r="B35" s="4" t="s">
        <v>36</v>
      </c>
      <c r="C35" s="4">
        <v>4</v>
      </c>
      <c r="D35" s="4">
        <v>0.24</v>
      </c>
      <c r="E35" s="8">
        <f t="shared" si="2"/>
        <v>0.96</v>
      </c>
    </row>
    <row r="36" spans="1:5" x14ac:dyDescent="0.3">
      <c r="E36" s="8">
        <f>SUM(E30:E35)</f>
        <v>1363.9160000000002</v>
      </c>
    </row>
    <row r="37" spans="1:5" x14ac:dyDescent="0.3">
      <c r="B37" s="4" t="s">
        <v>37</v>
      </c>
      <c r="C37">
        <v>6</v>
      </c>
      <c r="D37">
        <v>85</v>
      </c>
      <c r="E37" s="8">
        <f>C37*D37</f>
        <v>510</v>
      </c>
    </row>
    <row r="38" spans="1:5" x14ac:dyDescent="0.3">
      <c r="E38" s="8">
        <f>SUM(E36:E37)</f>
        <v>1873.9160000000002</v>
      </c>
    </row>
    <row r="41" spans="1:5" x14ac:dyDescent="0.3">
      <c r="C41" s="4" t="s">
        <v>28</v>
      </c>
      <c r="D41" s="4" t="s">
        <v>29</v>
      </c>
      <c r="E41" s="4" t="s">
        <v>30</v>
      </c>
    </row>
    <row r="42" spans="1:5" x14ac:dyDescent="0.3">
      <c r="A42" t="s">
        <v>325</v>
      </c>
      <c r="B42" s="4" t="s">
        <v>32</v>
      </c>
      <c r="C42" s="4">
        <v>1.466</v>
      </c>
      <c r="D42" s="4">
        <v>19.89</v>
      </c>
      <c r="E42" s="8">
        <f t="shared" ref="E42:E47" si="3">C42*D42</f>
        <v>29.158740000000002</v>
      </c>
    </row>
    <row r="43" spans="1:5" x14ac:dyDescent="0.3">
      <c r="A43" t="s">
        <v>201</v>
      </c>
      <c r="B43" s="4" t="s">
        <v>33</v>
      </c>
      <c r="C43" s="4">
        <v>1.1879999999999999</v>
      </c>
      <c r="D43" s="4">
        <v>11.03</v>
      </c>
      <c r="E43" s="8">
        <f t="shared" si="3"/>
        <v>13.103639999999999</v>
      </c>
    </row>
    <row r="44" spans="1:5" x14ac:dyDescent="0.3">
      <c r="B44" s="4" t="s">
        <v>43</v>
      </c>
      <c r="C44" s="4">
        <v>2</v>
      </c>
      <c r="D44" s="4">
        <v>1.24</v>
      </c>
      <c r="E44" s="8">
        <f t="shared" si="3"/>
        <v>2.48</v>
      </c>
    </row>
    <row r="45" spans="1:5" x14ac:dyDescent="0.3">
      <c r="B45" s="4" t="s">
        <v>34</v>
      </c>
      <c r="C45" s="4"/>
      <c r="D45" s="4"/>
      <c r="E45" s="8">
        <f t="shared" si="3"/>
        <v>0</v>
      </c>
    </row>
    <row r="46" spans="1:5" x14ac:dyDescent="0.3">
      <c r="B46" s="4" t="s">
        <v>35</v>
      </c>
      <c r="C46" s="4">
        <v>4</v>
      </c>
      <c r="D46" s="4">
        <v>1.89</v>
      </c>
      <c r="E46" s="8">
        <f t="shared" si="3"/>
        <v>7.56</v>
      </c>
    </row>
    <row r="47" spans="1:5" x14ac:dyDescent="0.3">
      <c r="B47" s="4" t="s">
        <v>36</v>
      </c>
      <c r="C47" s="4">
        <v>4</v>
      </c>
      <c r="D47" s="4">
        <v>0.24</v>
      </c>
      <c r="E47" s="8">
        <f t="shared" si="3"/>
        <v>0.96</v>
      </c>
    </row>
    <row r="48" spans="1:5" x14ac:dyDescent="0.3">
      <c r="E48" s="9">
        <f>SUM(E42:E47)</f>
        <v>53.26238</v>
      </c>
    </row>
    <row r="49" spans="1:5" x14ac:dyDescent="0.3">
      <c r="B49" s="4" t="s">
        <v>37</v>
      </c>
      <c r="C49">
        <v>50</v>
      </c>
      <c r="D49">
        <v>1.41</v>
      </c>
      <c r="E49" s="8">
        <v>42.5</v>
      </c>
    </row>
    <row r="50" spans="1:5" x14ac:dyDescent="0.3">
      <c r="E50" s="8">
        <f>SUM(E48:E49)</f>
        <v>95.762380000000007</v>
      </c>
    </row>
    <row r="52" spans="1:5" x14ac:dyDescent="0.3">
      <c r="C52" s="4" t="s">
        <v>28</v>
      </c>
      <c r="D52" s="4" t="s">
        <v>29</v>
      </c>
      <c r="E52" s="4" t="s">
        <v>30</v>
      </c>
    </row>
    <row r="53" spans="1:5" x14ac:dyDescent="0.3">
      <c r="A53" t="s">
        <v>334</v>
      </c>
      <c r="B53" s="4" t="s">
        <v>32</v>
      </c>
      <c r="C53" s="4">
        <v>3.8860000000000001</v>
      </c>
      <c r="D53" s="4">
        <v>19.89</v>
      </c>
      <c r="E53" s="8">
        <f t="shared" ref="E53:E58" si="4">C53*D53</f>
        <v>77.292540000000002</v>
      </c>
    </row>
    <row r="54" spans="1:5" x14ac:dyDescent="0.3">
      <c r="A54" t="s">
        <v>168</v>
      </c>
      <c r="B54" s="4" t="s">
        <v>33</v>
      </c>
      <c r="C54" s="4">
        <v>34.771000000000001</v>
      </c>
      <c r="D54" s="4">
        <v>11.03</v>
      </c>
      <c r="E54" s="8">
        <f t="shared" si="4"/>
        <v>383.52413000000001</v>
      </c>
    </row>
    <row r="55" spans="1:5" x14ac:dyDescent="0.3">
      <c r="B55" s="4" t="s">
        <v>113</v>
      </c>
      <c r="C55" s="4">
        <v>4</v>
      </c>
      <c r="D55" s="4">
        <v>2.98</v>
      </c>
      <c r="E55" s="8">
        <f t="shared" si="4"/>
        <v>11.92</v>
      </c>
    </row>
    <row r="56" spans="1:5" x14ac:dyDescent="0.3">
      <c r="B56" s="4" t="s">
        <v>34</v>
      </c>
      <c r="C56" s="4">
        <v>3</v>
      </c>
      <c r="D56" s="4">
        <v>12.43</v>
      </c>
      <c r="E56" s="8">
        <f t="shared" si="4"/>
        <v>37.29</v>
      </c>
    </row>
    <row r="57" spans="1:5" x14ac:dyDescent="0.3">
      <c r="B57" s="4" t="s">
        <v>35</v>
      </c>
      <c r="C57" s="4">
        <v>4</v>
      </c>
      <c r="D57" s="4">
        <v>1.89</v>
      </c>
      <c r="E57" s="8">
        <f t="shared" si="4"/>
        <v>7.56</v>
      </c>
    </row>
    <row r="58" spans="1:5" x14ac:dyDescent="0.3">
      <c r="B58" s="4" t="s">
        <v>36</v>
      </c>
      <c r="C58" s="4">
        <v>4</v>
      </c>
      <c r="D58" s="4">
        <v>0.24</v>
      </c>
      <c r="E58" s="8">
        <f t="shared" si="4"/>
        <v>0.96</v>
      </c>
    </row>
    <row r="59" spans="1:5" x14ac:dyDescent="0.3">
      <c r="E59" s="8">
        <f>SUM(E53:E58)</f>
        <v>518.54667000000006</v>
      </c>
    </row>
    <row r="60" spans="1:5" x14ac:dyDescent="0.3">
      <c r="B60" s="4" t="s">
        <v>37</v>
      </c>
      <c r="C60">
        <v>2</v>
      </c>
      <c r="D60">
        <v>85</v>
      </c>
      <c r="E60" s="8">
        <f>C60*D60</f>
        <v>170</v>
      </c>
    </row>
    <row r="61" spans="1:5" x14ac:dyDescent="0.3">
      <c r="E61" s="8">
        <f>SUM(E59:E60)</f>
        <v>688.54667000000006</v>
      </c>
    </row>
    <row r="64" spans="1:5" x14ac:dyDescent="0.3">
      <c r="C64" s="4" t="s">
        <v>28</v>
      </c>
      <c r="D64" s="4" t="s">
        <v>29</v>
      </c>
      <c r="E64" s="4" t="s">
        <v>30</v>
      </c>
    </row>
    <row r="65" spans="1:5" x14ac:dyDescent="0.3">
      <c r="A65" t="s">
        <v>341</v>
      </c>
      <c r="B65" s="4" t="s">
        <v>32</v>
      </c>
      <c r="C65" s="4">
        <v>3.008</v>
      </c>
      <c r="D65" s="4">
        <v>19.89</v>
      </c>
      <c r="E65" s="8">
        <f t="shared" ref="E65:E70" si="5">C65*D65</f>
        <v>59.829120000000003</v>
      </c>
    </row>
    <row r="66" spans="1:5" x14ac:dyDescent="0.3">
      <c r="A66" t="s">
        <v>293</v>
      </c>
      <c r="B66" s="4" t="s">
        <v>33</v>
      </c>
      <c r="C66" s="4">
        <v>20.856000000000002</v>
      </c>
      <c r="D66" s="4">
        <v>11.03</v>
      </c>
      <c r="E66" s="8">
        <f t="shared" si="5"/>
        <v>230.04168000000001</v>
      </c>
    </row>
    <row r="67" spans="1:5" x14ac:dyDescent="0.3">
      <c r="B67" s="4" t="s">
        <v>113</v>
      </c>
      <c r="C67" s="4">
        <v>2</v>
      </c>
      <c r="D67" s="4">
        <v>2.98</v>
      </c>
      <c r="E67" s="8">
        <f t="shared" si="5"/>
        <v>5.96</v>
      </c>
    </row>
    <row r="68" spans="1:5" x14ac:dyDescent="0.3">
      <c r="B68" s="4" t="s">
        <v>34</v>
      </c>
      <c r="C68" s="4">
        <v>0.6</v>
      </c>
      <c r="D68" s="4">
        <v>12.43</v>
      </c>
      <c r="E68" s="8">
        <f t="shared" si="5"/>
        <v>7.4579999999999993</v>
      </c>
    </row>
    <row r="69" spans="1:5" x14ac:dyDescent="0.3">
      <c r="B69" s="4" t="s">
        <v>35</v>
      </c>
      <c r="C69" s="4">
        <v>4</v>
      </c>
      <c r="D69" s="4">
        <v>1.89</v>
      </c>
      <c r="E69" s="8">
        <f t="shared" si="5"/>
        <v>7.56</v>
      </c>
    </row>
    <row r="70" spans="1:5" x14ac:dyDescent="0.3">
      <c r="B70" s="4" t="s">
        <v>36</v>
      </c>
      <c r="C70" s="4">
        <v>4</v>
      </c>
      <c r="D70" s="4">
        <v>0.24</v>
      </c>
      <c r="E70" s="8">
        <f t="shared" si="5"/>
        <v>0.96</v>
      </c>
    </row>
    <row r="71" spans="1:5" x14ac:dyDescent="0.3">
      <c r="E71" s="8">
        <f>SUM(E65:E70)</f>
        <v>311.80880000000002</v>
      </c>
    </row>
    <row r="72" spans="1:5" x14ac:dyDescent="0.3">
      <c r="B72" s="4" t="s">
        <v>37</v>
      </c>
      <c r="C72">
        <v>85</v>
      </c>
      <c r="E72" s="8">
        <v>85</v>
      </c>
    </row>
    <row r="73" spans="1:5" x14ac:dyDescent="0.3">
      <c r="E73" s="8">
        <f>SUM(E71:E72)</f>
        <v>396.80880000000002</v>
      </c>
    </row>
    <row r="76" spans="1:5" x14ac:dyDescent="0.3">
      <c r="C76" s="4" t="s">
        <v>28</v>
      </c>
      <c r="D76" s="4" t="s">
        <v>29</v>
      </c>
      <c r="E76" s="4" t="s">
        <v>30</v>
      </c>
    </row>
    <row r="77" spans="1:5" x14ac:dyDescent="0.3">
      <c r="A77" t="s">
        <v>342</v>
      </c>
      <c r="B77" s="4" t="s">
        <v>32</v>
      </c>
      <c r="C77" s="4">
        <v>3.556</v>
      </c>
      <c r="D77" s="4">
        <v>19.89</v>
      </c>
      <c r="E77" s="8">
        <f t="shared" ref="E77:E82" si="6">C77*D77</f>
        <v>70.728840000000005</v>
      </c>
    </row>
    <row r="78" spans="1:5" x14ac:dyDescent="0.3">
      <c r="A78" t="s">
        <v>293</v>
      </c>
      <c r="B78" s="4" t="s">
        <v>33</v>
      </c>
      <c r="C78" s="4">
        <v>28.776</v>
      </c>
      <c r="D78" s="4">
        <v>11.03</v>
      </c>
      <c r="E78" s="8">
        <f t="shared" si="6"/>
        <v>317.39927999999998</v>
      </c>
    </row>
    <row r="79" spans="1:5" x14ac:dyDescent="0.3">
      <c r="B79" s="4" t="s">
        <v>113</v>
      </c>
      <c r="C79" s="4">
        <v>2</v>
      </c>
      <c r="D79" s="4">
        <v>2.98</v>
      </c>
      <c r="E79" s="8">
        <f t="shared" si="6"/>
        <v>5.96</v>
      </c>
    </row>
    <row r="80" spans="1:5" x14ac:dyDescent="0.3">
      <c r="B80" s="4" t="s">
        <v>34</v>
      </c>
      <c r="C80" s="4">
        <v>2.25</v>
      </c>
      <c r="D80" s="4">
        <v>12.43</v>
      </c>
      <c r="E80" s="8">
        <f t="shared" si="6"/>
        <v>27.967500000000001</v>
      </c>
    </row>
    <row r="81" spans="1:5" x14ac:dyDescent="0.3">
      <c r="B81" s="4" t="s">
        <v>35</v>
      </c>
      <c r="C81" s="4">
        <v>4</v>
      </c>
      <c r="D81" s="4">
        <v>1.89</v>
      </c>
      <c r="E81" s="8">
        <f t="shared" si="6"/>
        <v>7.56</v>
      </c>
    </row>
    <row r="82" spans="1:5" x14ac:dyDescent="0.3">
      <c r="B82" s="4" t="s">
        <v>36</v>
      </c>
      <c r="C82" s="4">
        <v>4</v>
      </c>
      <c r="D82" s="4">
        <v>0.24</v>
      </c>
      <c r="E82" s="8">
        <f t="shared" si="6"/>
        <v>0.96</v>
      </c>
    </row>
    <row r="83" spans="1:5" x14ac:dyDescent="0.3">
      <c r="E83" s="8">
        <f>SUM(E77:E82)</f>
        <v>430.57561999999996</v>
      </c>
    </row>
    <row r="84" spans="1:5" x14ac:dyDescent="0.3">
      <c r="B84" s="4" t="s">
        <v>37</v>
      </c>
      <c r="C84">
        <v>127.5</v>
      </c>
      <c r="E84" s="8">
        <v>127.5</v>
      </c>
    </row>
    <row r="85" spans="1:5" x14ac:dyDescent="0.3">
      <c r="E85" s="8">
        <f>SUM(E83:E84)</f>
        <v>558.07561999999996</v>
      </c>
    </row>
    <row r="88" spans="1:5" x14ac:dyDescent="0.3">
      <c r="C88" s="4" t="s">
        <v>28</v>
      </c>
      <c r="D88" s="4" t="s">
        <v>29</v>
      </c>
      <c r="E88" s="4" t="s">
        <v>30</v>
      </c>
    </row>
    <row r="89" spans="1:5" x14ac:dyDescent="0.3">
      <c r="A89" t="s">
        <v>343</v>
      </c>
      <c r="B89" s="4" t="s">
        <v>32</v>
      </c>
      <c r="C89" s="4">
        <v>3.4460000000000002</v>
      </c>
      <c r="D89" s="4">
        <v>19.89</v>
      </c>
      <c r="E89" s="8">
        <f t="shared" ref="E89:E94" si="7">C89*D89</f>
        <v>68.540940000000006</v>
      </c>
    </row>
    <row r="90" spans="1:5" x14ac:dyDescent="0.3">
      <c r="A90" t="s">
        <v>345</v>
      </c>
      <c r="B90" s="4" t="s">
        <v>33</v>
      </c>
      <c r="C90" s="4">
        <v>30.414999999999999</v>
      </c>
      <c r="D90" s="4">
        <v>11.03</v>
      </c>
      <c r="E90" s="8">
        <f t="shared" si="7"/>
        <v>335.47744999999998</v>
      </c>
    </row>
    <row r="91" spans="1:5" x14ac:dyDescent="0.3">
      <c r="B91" s="4" t="s">
        <v>99</v>
      </c>
      <c r="C91" s="4">
        <v>2</v>
      </c>
      <c r="D91" s="4">
        <v>4.9800000000000004</v>
      </c>
      <c r="E91" s="8">
        <f t="shared" si="7"/>
        <v>9.9600000000000009</v>
      </c>
    </row>
    <row r="92" spans="1:5" x14ac:dyDescent="0.3">
      <c r="B92" s="4" t="s">
        <v>34</v>
      </c>
      <c r="C92" s="4">
        <v>1.8</v>
      </c>
      <c r="D92" s="4">
        <v>12.43</v>
      </c>
      <c r="E92" s="8">
        <f t="shared" si="7"/>
        <v>22.373999999999999</v>
      </c>
    </row>
    <row r="93" spans="1:5" x14ac:dyDescent="0.3">
      <c r="B93" s="4" t="s">
        <v>35</v>
      </c>
      <c r="C93" s="4">
        <v>8</v>
      </c>
      <c r="D93" s="4">
        <v>1.89</v>
      </c>
      <c r="E93" s="8">
        <f t="shared" si="7"/>
        <v>15.12</v>
      </c>
    </row>
    <row r="94" spans="1:5" x14ac:dyDescent="0.3">
      <c r="B94" s="4" t="s">
        <v>36</v>
      </c>
      <c r="C94" s="4">
        <v>4</v>
      </c>
      <c r="D94" s="4">
        <v>0.24</v>
      </c>
      <c r="E94" s="8">
        <f t="shared" si="7"/>
        <v>0.96</v>
      </c>
    </row>
    <row r="95" spans="1:5" x14ac:dyDescent="0.3">
      <c r="E95" s="8">
        <f>SUM(E89:E94)</f>
        <v>452.43238999999994</v>
      </c>
    </row>
    <row r="96" spans="1:5" x14ac:dyDescent="0.3">
      <c r="B96" s="4" t="s">
        <v>37</v>
      </c>
      <c r="C96">
        <v>127.5</v>
      </c>
      <c r="E96" s="8">
        <v>127.5</v>
      </c>
    </row>
    <row r="97" spans="1:5" x14ac:dyDescent="0.3">
      <c r="E97" s="8">
        <f>SUM(E95:E96)</f>
        <v>579.93238999999994</v>
      </c>
    </row>
    <row r="100" spans="1:5" x14ac:dyDescent="0.3">
      <c r="C100" s="4" t="s">
        <v>28</v>
      </c>
      <c r="D100" s="4" t="s">
        <v>29</v>
      </c>
      <c r="E100" s="4" t="s">
        <v>30</v>
      </c>
    </row>
    <row r="101" spans="1:5" x14ac:dyDescent="0.3">
      <c r="A101" t="s">
        <v>344</v>
      </c>
      <c r="B101" s="4" t="s">
        <v>32</v>
      </c>
      <c r="C101" s="4">
        <v>3.8860000000000001</v>
      </c>
      <c r="D101" s="4">
        <v>19.89</v>
      </c>
      <c r="E101" s="8">
        <f t="shared" ref="E101:E106" si="8">C101*D101</f>
        <v>77.292540000000002</v>
      </c>
    </row>
    <row r="102" spans="1:5" x14ac:dyDescent="0.3">
      <c r="A102" t="s">
        <v>346</v>
      </c>
      <c r="B102" s="4" t="s">
        <v>33</v>
      </c>
      <c r="C102" s="4">
        <v>39.159999999999997</v>
      </c>
      <c r="D102" s="4">
        <v>11.03</v>
      </c>
      <c r="E102" s="8">
        <f t="shared" si="8"/>
        <v>431.93479999999994</v>
      </c>
    </row>
    <row r="103" spans="1:5" x14ac:dyDescent="0.3">
      <c r="B103" s="4" t="s">
        <v>92</v>
      </c>
      <c r="C103" s="4">
        <v>2</v>
      </c>
      <c r="D103" s="4">
        <v>4.9800000000000004</v>
      </c>
      <c r="E103" s="8">
        <f t="shared" si="8"/>
        <v>9.9600000000000009</v>
      </c>
    </row>
    <row r="104" spans="1:5" x14ac:dyDescent="0.3">
      <c r="B104" s="4" t="s">
        <v>34</v>
      </c>
      <c r="C104" s="4">
        <v>2</v>
      </c>
      <c r="D104" s="4">
        <v>12.43</v>
      </c>
      <c r="E104" s="8">
        <f t="shared" si="8"/>
        <v>24.86</v>
      </c>
    </row>
    <row r="105" spans="1:5" x14ac:dyDescent="0.3">
      <c r="B105" s="4" t="s">
        <v>35</v>
      </c>
      <c r="C105" s="4">
        <v>8</v>
      </c>
      <c r="D105" s="4">
        <v>1.89</v>
      </c>
      <c r="E105" s="8">
        <f t="shared" si="8"/>
        <v>15.12</v>
      </c>
    </row>
    <row r="106" spans="1:5" x14ac:dyDescent="0.3">
      <c r="B106" s="4" t="s">
        <v>36</v>
      </c>
      <c r="C106" s="4">
        <v>4</v>
      </c>
      <c r="D106" s="4">
        <v>0.24</v>
      </c>
      <c r="E106" s="8">
        <f t="shared" si="8"/>
        <v>0.96</v>
      </c>
    </row>
    <row r="107" spans="1:5" x14ac:dyDescent="0.3">
      <c r="E107" s="8">
        <f>SUM(E101:E106)</f>
        <v>560.12734</v>
      </c>
    </row>
    <row r="108" spans="1:5" x14ac:dyDescent="0.3">
      <c r="B108" s="4" t="s">
        <v>37</v>
      </c>
      <c r="C108">
        <v>127.5</v>
      </c>
      <c r="E108" s="8">
        <v>127.5</v>
      </c>
    </row>
    <row r="109" spans="1:5" x14ac:dyDescent="0.3">
      <c r="E109" s="8">
        <f>SUM(E107:E108)</f>
        <v>687.62734</v>
      </c>
    </row>
    <row r="112" spans="1:5" x14ac:dyDescent="0.3">
      <c r="C112" s="4" t="s">
        <v>28</v>
      </c>
      <c r="D112" s="4" t="s">
        <v>29</v>
      </c>
      <c r="E112" s="4" t="s">
        <v>30</v>
      </c>
    </row>
    <row r="113" spans="1:5" x14ac:dyDescent="0.3">
      <c r="A113" t="s">
        <v>349</v>
      </c>
      <c r="B113" s="4" t="s">
        <v>32</v>
      </c>
      <c r="C113" s="4">
        <v>3.8860000000000001</v>
      </c>
      <c r="D113" s="4">
        <v>19.89</v>
      </c>
      <c r="E113" s="8">
        <f t="shared" ref="E113:E118" si="9">C113*D113</f>
        <v>77.292540000000002</v>
      </c>
    </row>
    <row r="114" spans="1:5" x14ac:dyDescent="0.3">
      <c r="A114" t="s">
        <v>321</v>
      </c>
      <c r="B114" s="4" t="s">
        <v>33</v>
      </c>
      <c r="C114" s="4">
        <v>40</v>
      </c>
      <c r="D114" s="4">
        <v>11.03</v>
      </c>
      <c r="E114" s="8">
        <f t="shared" si="9"/>
        <v>441.2</v>
      </c>
    </row>
    <row r="115" spans="1:5" x14ac:dyDescent="0.3">
      <c r="B115" s="4" t="s">
        <v>115</v>
      </c>
      <c r="C115" s="4">
        <v>2</v>
      </c>
      <c r="D115" s="4">
        <v>5</v>
      </c>
      <c r="E115" s="8">
        <f t="shared" si="9"/>
        <v>10</v>
      </c>
    </row>
    <row r="116" spans="1:5" x14ac:dyDescent="0.3">
      <c r="B116" s="4" t="s">
        <v>34</v>
      </c>
      <c r="C116" s="4">
        <v>3</v>
      </c>
      <c r="D116" s="4">
        <v>12.43</v>
      </c>
      <c r="E116" s="8">
        <f t="shared" si="9"/>
        <v>37.29</v>
      </c>
    </row>
    <row r="117" spans="1:5" x14ac:dyDescent="0.3">
      <c r="B117" s="4" t="s">
        <v>35</v>
      </c>
      <c r="C117" s="4">
        <v>8</v>
      </c>
      <c r="D117" s="4">
        <v>1.89</v>
      </c>
      <c r="E117" s="8">
        <f t="shared" si="9"/>
        <v>15.12</v>
      </c>
    </row>
    <row r="118" spans="1:5" x14ac:dyDescent="0.3">
      <c r="B118" s="4" t="s">
        <v>36</v>
      </c>
      <c r="C118" s="4">
        <v>4</v>
      </c>
      <c r="D118" s="4">
        <v>0.24</v>
      </c>
      <c r="E118" s="8">
        <f t="shared" si="9"/>
        <v>0.96</v>
      </c>
    </row>
    <row r="119" spans="1:5" x14ac:dyDescent="0.3">
      <c r="E119" s="8">
        <f>SUM(E113:E118)</f>
        <v>581.86253999999997</v>
      </c>
    </row>
    <row r="120" spans="1:5" x14ac:dyDescent="0.3">
      <c r="B120" s="4" t="s">
        <v>37</v>
      </c>
      <c r="C120">
        <v>3</v>
      </c>
      <c r="E120" s="8">
        <v>255</v>
      </c>
    </row>
    <row r="121" spans="1:5" x14ac:dyDescent="0.3">
      <c r="E121" s="8">
        <f>SUM(E119:E120)</f>
        <v>836.86253999999997</v>
      </c>
    </row>
    <row r="123" spans="1:5" x14ac:dyDescent="0.3">
      <c r="C123" s="4" t="s">
        <v>28</v>
      </c>
      <c r="D123" s="4" t="s">
        <v>29</v>
      </c>
      <c r="E123" s="4" t="s">
        <v>30</v>
      </c>
    </row>
    <row r="124" spans="1:5" x14ac:dyDescent="0.3">
      <c r="A124" t="s">
        <v>350</v>
      </c>
      <c r="B124" s="4" t="s">
        <v>32</v>
      </c>
      <c r="C124" s="4">
        <v>3.798</v>
      </c>
      <c r="D124" s="4">
        <v>19.89</v>
      </c>
      <c r="E124" s="8">
        <f t="shared" ref="E124:E129" si="10">C124*D124</f>
        <v>75.54222</v>
      </c>
    </row>
    <row r="125" spans="1:5" x14ac:dyDescent="0.3">
      <c r="A125" t="s">
        <v>201</v>
      </c>
      <c r="B125" s="4" t="s">
        <v>33</v>
      </c>
      <c r="C125" s="4">
        <v>3.4980000000000002</v>
      </c>
      <c r="D125" s="4">
        <v>11.03</v>
      </c>
      <c r="E125" s="8">
        <f t="shared" si="10"/>
        <v>38.582940000000001</v>
      </c>
    </row>
    <row r="126" spans="1:5" x14ac:dyDescent="0.3">
      <c r="B126" s="4" t="s">
        <v>43</v>
      </c>
      <c r="C126" s="4">
        <v>2</v>
      </c>
      <c r="D126" s="4">
        <v>1.24</v>
      </c>
      <c r="E126" s="8">
        <f t="shared" si="10"/>
        <v>2.48</v>
      </c>
    </row>
    <row r="127" spans="1:5" x14ac:dyDescent="0.3">
      <c r="B127" s="4" t="s">
        <v>34</v>
      </c>
      <c r="C127" s="4">
        <v>0.24</v>
      </c>
      <c r="D127" s="4">
        <v>13.67</v>
      </c>
      <c r="E127" s="8">
        <f t="shared" si="10"/>
        <v>3.2807999999999997</v>
      </c>
    </row>
    <row r="128" spans="1:5" x14ac:dyDescent="0.3">
      <c r="B128" s="4" t="s">
        <v>35</v>
      </c>
      <c r="C128" s="4">
        <v>4</v>
      </c>
      <c r="D128" s="4">
        <v>1.89</v>
      </c>
      <c r="E128" s="8">
        <f t="shared" si="10"/>
        <v>7.56</v>
      </c>
    </row>
    <row r="129" spans="1:5" x14ac:dyDescent="0.3">
      <c r="B129" s="4" t="s">
        <v>36</v>
      </c>
      <c r="C129" s="4">
        <v>4</v>
      </c>
      <c r="D129" s="4">
        <v>0.24</v>
      </c>
      <c r="E129" s="8">
        <f t="shared" si="10"/>
        <v>0.96</v>
      </c>
    </row>
    <row r="130" spans="1:5" x14ac:dyDescent="0.3">
      <c r="E130" s="9">
        <f>SUM(E124:E129)</f>
        <v>128.40595999999999</v>
      </c>
    </row>
    <row r="131" spans="1:5" x14ac:dyDescent="0.3">
      <c r="B131" s="4" t="s">
        <v>37</v>
      </c>
      <c r="C131">
        <v>60</v>
      </c>
      <c r="D131">
        <v>1.41</v>
      </c>
      <c r="E131" s="8">
        <f>C131*D131</f>
        <v>84.6</v>
      </c>
    </row>
    <row r="132" spans="1:5" x14ac:dyDescent="0.3">
      <c r="E132" s="8">
        <f>SUM(E130:E131)</f>
        <v>213.00595999999999</v>
      </c>
    </row>
    <row r="135" spans="1:5" x14ac:dyDescent="0.3">
      <c r="C135" s="4" t="s">
        <v>28</v>
      </c>
      <c r="D135" s="4" t="s">
        <v>29</v>
      </c>
      <c r="E135" s="4" t="s">
        <v>30</v>
      </c>
    </row>
    <row r="136" spans="1:5" x14ac:dyDescent="0.3">
      <c r="A136" t="s">
        <v>351</v>
      </c>
      <c r="B136" s="4" t="s">
        <v>32</v>
      </c>
      <c r="C136" s="4">
        <v>5.9980000000000002</v>
      </c>
      <c r="D136" s="4">
        <v>19.89</v>
      </c>
      <c r="E136" s="8">
        <f t="shared" ref="E136:E141" si="11">C136*D136</f>
        <v>119.30022000000001</v>
      </c>
    </row>
    <row r="137" spans="1:5" x14ac:dyDescent="0.3">
      <c r="A137" t="s">
        <v>201</v>
      </c>
      <c r="B137" s="4" t="s">
        <v>33</v>
      </c>
      <c r="C137" s="4">
        <v>5.6980000000000004</v>
      </c>
      <c r="D137" s="4">
        <v>11.03</v>
      </c>
      <c r="E137" s="8">
        <f t="shared" si="11"/>
        <v>62.848939999999999</v>
      </c>
    </row>
    <row r="138" spans="1:5" x14ac:dyDescent="0.3">
      <c r="B138" s="4" t="s">
        <v>43</v>
      </c>
      <c r="C138" s="4">
        <v>2</v>
      </c>
      <c r="D138" s="4">
        <v>1.24</v>
      </c>
      <c r="E138" s="8">
        <f t="shared" si="11"/>
        <v>2.48</v>
      </c>
    </row>
    <row r="139" spans="1:5" x14ac:dyDescent="0.3">
      <c r="B139" s="4" t="s">
        <v>34</v>
      </c>
      <c r="C139" s="4">
        <v>0.36</v>
      </c>
      <c r="D139" s="4">
        <v>13.67</v>
      </c>
      <c r="E139" s="8">
        <f t="shared" si="11"/>
        <v>4.9211999999999998</v>
      </c>
    </row>
    <row r="140" spans="1:5" x14ac:dyDescent="0.3">
      <c r="B140" s="4" t="s">
        <v>35</v>
      </c>
      <c r="C140" s="4">
        <v>4</v>
      </c>
      <c r="D140" s="4">
        <v>1.89</v>
      </c>
      <c r="E140" s="8">
        <f t="shared" si="11"/>
        <v>7.56</v>
      </c>
    </row>
    <row r="141" spans="1:5" x14ac:dyDescent="0.3">
      <c r="B141" s="4" t="s">
        <v>36</v>
      </c>
      <c r="C141" s="4">
        <v>4</v>
      </c>
      <c r="D141" s="4">
        <v>0.24</v>
      </c>
      <c r="E141" s="8">
        <f t="shared" si="11"/>
        <v>0.96</v>
      </c>
    </row>
    <row r="142" spans="1:5" x14ac:dyDescent="0.3">
      <c r="E142" s="9">
        <f>SUM(E136:E141)</f>
        <v>198.07035999999999</v>
      </c>
    </row>
    <row r="143" spans="1:5" x14ac:dyDescent="0.3">
      <c r="B143" s="4" t="s">
        <v>37</v>
      </c>
      <c r="C143">
        <v>90</v>
      </c>
      <c r="D143">
        <v>1.41</v>
      </c>
      <c r="E143" s="8">
        <f>C143*D143</f>
        <v>126.89999999999999</v>
      </c>
    </row>
    <row r="144" spans="1:5" x14ac:dyDescent="0.3">
      <c r="E144" s="8">
        <f>SUM(E142:E143)</f>
        <v>324.97035999999997</v>
      </c>
    </row>
    <row r="147" spans="1:5" x14ac:dyDescent="0.3">
      <c r="C147" s="4" t="s">
        <v>28</v>
      </c>
      <c r="D147" s="4" t="s">
        <v>29</v>
      </c>
      <c r="E147" s="4" t="s">
        <v>30</v>
      </c>
    </row>
    <row r="148" spans="1:5" x14ac:dyDescent="0.3">
      <c r="A148" t="s">
        <v>353</v>
      </c>
      <c r="B148" s="4" t="s">
        <v>32</v>
      </c>
      <c r="C148" s="4">
        <v>1.998</v>
      </c>
      <c r="D148" s="4">
        <v>19.89</v>
      </c>
      <c r="E148" s="8">
        <f t="shared" ref="E148:E153" si="12">C148*D148</f>
        <v>39.740220000000001</v>
      </c>
    </row>
    <row r="149" spans="1:5" x14ac:dyDescent="0.3">
      <c r="A149" t="s">
        <v>285</v>
      </c>
      <c r="B149" s="4" t="s">
        <v>33</v>
      </c>
      <c r="C149" s="4">
        <v>18.149999999999999</v>
      </c>
      <c r="D149" s="4">
        <v>11.03</v>
      </c>
      <c r="E149" s="8">
        <f t="shared" si="12"/>
        <v>200.19449999999998</v>
      </c>
    </row>
    <row r="150" spans="1:5" x14ac:dyDescent="0.3">
      <c r="B150" s="4" t="s">
        <v>98</v>
      </c>
      <c r="C150" s="4">
        <v>2</v>
      </c>
      <c r="D150" s="4">
        <v>4.9800000000000004</v>
      </c>
      <c r="E150" s="8">
        <f t="shared" si="12"/>
        <v>9.9600000000000009</v>
      </c>
    </row>
    <row r="151" spans="1:5" x14ac:dyDescent="0.3">
      <c r="B151" s="4" t="s">
        <v>34</v>
      </c>
      <c r="C151" s="4">
        <v>0.66</v>
      </c>
      <c r="D151" s="4">
        <v>12.43</v>
      </c>
      <c r="E151" s="8">
        <f t="shared" si="12"/>
        <v>8.2037999999999993</v>
      </c>
    </row>
    <row r="152" spans="1:5" x14ac:dyDescent="0.3">
      <c r="B152" s="4" t="s">
        <v>35</v>
      </c>
      <c r="C152" s="4">
        <v>8</v>
      </c>
      <c r="D152" s="4">
        <v>1.89</v>
      </c>
      <c r="E152" s="8">
        <f t="shared" si="12"/>
        <v>15.12</v>
      </c>
    </row>
    <row r="153" spans="1:5" x14ac:dyDescent="0.3">
      <c r="B153" s="4" t="s">
        <v>36</v>
      </c>
      <c r="C153" s="4">
        <v>4</v>
      </c>
      <c r="D153" s="4">
        <v>0.24</v>
      </c>
      <c r="E153" s="8">
        <f t="shared" si="12"/>
        <v>0.96</v>
      </c>
    </row>
    <row r="154" spans="1:5" x14ac:dyDescent="0.3">
      <c r="E154" s="8">
        <f>SUM(E148:E153)</f>
        <v>274.17851999999993</v>
      </c>
    </row>
    <row r="155" spans="1:5" x14ac:dyDescent="0.3">
      <c r="B155" s="4" t="s">
        <v>37</v>
      </c>
      <c r="C155">
        <v>85</v>
      </c>
      <c r="E155" s="8">
        <v>85</v>
      </c>
    </row>
    <row r="156" spans="1:5" x14ac:dyDescent="0.3">
      <c r="E156" s="8">
        <f>SUM(E154:E155)</f>
        <v>359.17851999999993</v>
      </c>
    </row>
    <row r="158" spans="1:5" x14ac:dyDescent="0.3">
      <c r="C158" s="4" t="s">
        <v>28</v>
      </c>
      <c r="D158" s="4" t="s">
        <v>29</v>
      </c>
      <c r="E158" s="4" t="s">
        <v>30</v>
      </c>
    </row>
    <row r="159" spans="1:5" x14ac:dyDescent="0.3">
      <c r="A159" t="s">
        <v>354</v>
      </c>
      <c r="B159" s="4" t="s">
        <v>32</v>
      </c>
      <c r="C159" s="4">
        <v>1.998</v>
      </c>
      <c r="D159" s="4">
        <v>19.89</v>
      </c>
      <c r="E159" s="8">
        <f t="shared" ref="E159:E164" si="13">C159*D159</f>
        <v>39.740220000000001</v>
      </c>
    </row>
    <row r="160" spans="1:5" x14ac:dyDescent="0.3">
      <c r="A160" t="s">
        <v>168</v>
      </c>
      <c r="B160" s="4" t="s">
        <v>33</v>
      </c>
      <c r="C160" s="4">
        <v>8.7729999999999997</v>
      </c>
      <c r="D160" s="4">
        <v>11.03</v>
      </c>
      <c r="E160" s="8">
        <f t="shared" si="13"/>
        <v>96.766189999999995</v>
      </c>
    </row>
    <row r="161" spans="1:5" x14ac:dyDescent="0.3">
      <c r="B161" s="4" t="s">
        <v>98</v>
      </c>
      <c r="C161" s="4">
        <v>2</v>
      </c>
      <c r="D161" s="4">
        <v>4.9800000000000004</v>
      </c>
      <c r="E161" s="8">
        <f t="shared" si="13"/>
        <v>9.9600000000000009</v>
      </c>
    </row>
    <row r="162" spans="1:5" x14ac:dyDescent="0.3">
      <c r="B162" s="4" t="s">
        <v>34</v>
      </c>
      <c r="C162" s="4">
        <v>0.66</v>
      </c>
      <c r="D162" s="4">
        <v>12.43</v>
      </c>
      <c r="E162" s="8">
        <f t="shared" si="13"/>
        <v>8.2037999999999993</v>
      </c>
    </row>
    <row r="163" spans="1:5" x14ac:dyDescent="0.3">
      <c r="B163" s="4" t="s">
        <v>35</v>
      </c>
      <c r="C163" s="4">
        <v>8</v>
      </c>
      <c r="D163" s="4">
        <v>1.89</v>
      </c>
      <c r="E163" s="8">
        <f t="shared" si="13"/>
        <v>15.12</v>
      </c>
    </row>
    <row r="164" spans="1:5" x14ac:dyDescent="0.3">
      <c r="B164" s="4" t="s">
        <v>36</v>
      </c>
      <c r="C164" s="4">
        <v>4</v>
      </c>
      <c r="D164" s="4">
        <v>0.24</v>
      </c>
      <c r="E164" s="8">
        <f t="shared" si="13"/>
        <v>0.96</v>
      </c>
    </row>
    <row r="165" spans="1:5" x14ac:dyDescent="0.3">
      <c r="E165" s="8">
        <f>SUM(E159:E164)</f>
        <v>170.75021000000001</v>
      </c>
    </row>
    <row r="166" spans="1:5" x14ac:dyDescent="0.3">
      <c r="B166" s="4" t="s">
        <v>37</v>
      </c>
      <c r="C166">
        <v>85</v>
      </c>
      <c r="E166" s="8">
        <v>85</v>
      </c>
    </row>
    <row r="167" spans="1:5" x14ac:dyDescent="0.3">
      <c r="E167" s="8">
        <f>SUM(E165:E166)</f>
        <v>255.75021000000001</v>
      </c>
    </row>
    <row r="169" spans="1:5" x14ac:dyDescent="0.3">
      <c r="C169" s="4" t="s">
        <v>28</v>
      </c>
      <c r="D169" s="4" t="s">
        <v>29</v>
      </c>
      <c r="E169" s="4" t="s">
        <v>30</v>
      </c>
    </row>
    <row r="170" spans="1:5" x14ac:dyDescent="0.3">
      <c r="A170" t="s">
        <v>211</v>
      </c>
      <c r="B170" s="4" t="s">
        <v>32</v>
      </c>
      <c r="C170" s="4">
        <v>1.3779999999999999</v>
      </c>
      <c r="D170" s="4">
        <v>19.89</v>
      </c>
      <c r="E170" s="8">
        <f t="shared" ref="E170:E175" si="14">C170*D170</f>
        <v>27.40842</v>
      </c>
    </row>
    <row r="171" spans="1:5" x14ac:dyDescent="0.3">
      <c r="A171" t="s">
        <v>201</v>
      </c>
      <c r="B171" s="4" t="s">
        <v>33</v>
      </c>
      <c r="C171" s="4">
        <v>1.0780000000000001</v>
      </c>
      <c r="D171" s="4">
        <v>11.03</v>
      </c>
      <c r="E171" s="8">
        <f t="shared" si="14"/>
        <v>11.89034</v>
      </c>
    </row>
    <row r="172" spans="1:5" x14ac:dyDescent="0.3">
      <c r="B172" s="4" t="s">
        <v>43</v>
      </c>
      <c r="C172" s="4">
        <v>2</v>
      </c>
      <c r="D172" s="4">
        <v>1.24</v>
      </c>
      <c r="E172" s="8">
        <f t="shared" si="14"/>
        <v>2.48</v>
      </c>
    </row>
    <row r="173" spans="1:5" x14ac:dyDescent="0.3">
      <c r="B173" s="4" t="s">
        <v>34</v>
      </c>
      <c r="C173" s="4"/>
      <c r="D173" s="4"/>
      <c r="E173" s="8">
        <f t="shared" si="14"/>
        <v>0</v>
      </c>
    </row>
    <row r="174" spans="1:5" x14ac:dyDescent="0.3">
      <c r="B174" s="4" t="s">
        <v>35</v>
      </c>
      <c r="C174" s="4">
        <v>4</v>
      </c>
      <c r="D174" s="4">
        <v>1.89</v>
      </c>
      <c r="E174" s="8">
        <f t="shared" si="14"/>
        <v>7.56</v>
      </c>
    </row>
    <row r="175" spans="1:5" x14ac:dyDescent="0.3">
      <c r="B175" s="4" t="s">
        <v>36</v>
      </c>
      <c r="C175" s="4">
        <v>4</v>
      </c>
      <c r="D175" s="4">
        <v>0.24</v>
      </c>
      <c r="E175" s="8">
        <f t="shared" si="14"/>
        <v>0.96</v>
      </c>
    </row>
    <row r="176" spans="1:5" x14ac:dyDescent="0.3">
      <c r="E176" s="9">
        <f>SUM(E170:E175)</f>
        <v>50.298760000000001</v>
      </c>
    </row>
    <row r="177" spans="1:5" x14ac:dyDescent="0.3">
      <c r="B177" s="4" t="s">
        <v>37</v>
      </c>
      <c r="C177">
        <v>15</v>
      </c>
      <c r="D177">
        <v>1.41</v>
      </c>
      <c r="E177" s="8">
        <f>C177*D177</f>
        <v>21.15</v>
      </c>
    </row>
    <row r="178" spans="1:5" x14ac:dyDescent="0.3">
      <c r="E178" s="8">
        <f>SUM(E176:E177)</f>
        <v>71.448759999999993</v>
      </c>
    </row>
    <row r="181" spans="1:5" x14ac:dyDescent="0.3">
      <c r="C181" s="4" t="s">
        <v>28</v>
      </c>
      <c r="D181" s="4" t="s">
        <v>29</v>
      </c>
      <c r="E181" s="4" t="s">
        <v>30</v>
      </c>
    </row>
    <row r="182" spans="1:5" x14ac:dyDescent="0.3">
      <c r="A182" t="s">
        <v>169</v>
      </c>
      <c r="B182" s="4" t="s">
        <v>32</v>
      </c>
      <c r="C182" s="4">
        <v>1.33</v>
      </c>
      <c r="D182" s="4">
        <v>19.89</v>
      </c>
      <c r="E182" s="8">
        <f t="shared" ref="E182:E187" si="15">C182*D182</f>
        <v>26.453700000000001</v>
      </c>
    </row>
    <row r="183" spans="1:5" x14ac:dyDescent="0.3">
      <c r="A183" t="s">
        <v>246</v>
      </c>
      <c r="B183" s="4" t="s">
        <v>33</v>
      </c>
      <c r="C183" s="4">
        <v>0.53900000000000003</v>
      </c>
      <c r="D183" s="4">
        <v>11.03</v>
      </c>
      <c r="E183" s="8">
        <f t="shared" si="15"/>
        <v>5.9451700000000001</v>
      </c>
    </row>
    <row r="184" spans="1:5" x14ac:dyDescent="0.3">
      <c r="B184" s="4" t="s">
        <v>43</v>
      </c>
      <c r="C184" s="4">
        <v>2</v>
      </c>
      <c r="D184" s="4">
        <v>1.24</v>
      </c>
      <c r="E184" s="8">
        <f t="shared" si="15"/>
        <v>2.48</v>
      </c>
    </row>
    <row r="185" spans="1:5" x14ac:dyDescent="0.3">
      <c r="B185" s="4" t="s">
        <v>34</v>
      </c>
      <c r="C185" s="4"/>
      <c r="D185" s="4"/>
      <c r="E185" s="8">
        <f t="shared" si="15"/>
        <v>0</v>
      </c>
    </row>
    <row r="186" spans="1:5" x14ac:dyDescent="0.3">
      <c r="B186" s="4" t="s">
        <v>35</v>
      </c>
      <c r="C186" s="4">
        <v>4</v>
      </c>
      <c r="D186" s="4">
        <v>1.89</v>
      </c>
      <c r="E186" s="8">
        <f t="shared" si="15"/>
        <v>7.56</v>
      </c>
    </row>
    <row r="187" spans="1:5" x14ac:dyDescent="0.3">
      <c r="B187" s="4" t="s">
        <v>36</v>
      </c>
      <c r="C187" s="4">
        <v>4</v>
      </c>
      <c r="D187" s="4">
        <v>0.24</v>
      </c>
      <c r="E187" s="8">
        <f t="shared" si="15"/>
        <v>0.96</v>
      </c>
    </row>
    <row r="188" spans="1:5" x14ac:dyDescent="0.3">
      <c r="E188" s="9">
        <f>SUM(E182:E187)</f>
        <v>43.398870000000002</v>
      </c>
    </row>
    <row r="189" spans="1:5" x14ac:dyDescent="0.3">
      <c r="B189" s="4" t="s">
        <v>37</v>
      </c>
      <c r="C189">
        <v>15</v>
      </c>
      <c r="D189">
        <v>1.41</v>
      </c>
      <c r="E189" s="8">
        <f>C189*D189</f>
        <v>21.15</v>
      </c>
    </row>
    <row r="190" spans="1:5" x14ac:dyDescent="0.3">
      <c r="E190" s="8">
        <f>SUM(E188:E189)</f>
        <v>64.548869999999994</v>
      </c>
    </row>
    <row r="193" spans="1:5" x14ac:dyDescent="0.3">
      <c r="C193" s="4" t="s">
        <v>28</v>
      </c>
      <c r="D193" s="4" t="s">
        <v>29</v>
      </c>
      <c r="E193" s="4" t="s">
        <v>30</v>
      </c>
    </row>
    <row r="194" spans="1:5" x14ac:dyDescent="0.3">
      <c r="A194" t="s">
        <v>181</v>
      </c>
      <c r="B194" s="4" t="s">
        <v>32</v>
      </c>
      <c r="C194" s="4">
        <v>1.5529999999999999</v>
      </c>
      <c r="D194" s="4">
        <v>19.89</v>
      </c>
      <c r="E194" s="8">
        <f t="shared" ref="E194:E199" si="16">C194*D194</f>
        <v>30.88917</v>
      </c>
    </row>
    <row r="195" spans="1:5" x14ac:dyDescent="0.3">
      <c r="A195" t="s">
        <v>246</v>
      </c>
      <c r="B195" s="4" t="s">
        <v>33</v>
      </c>
      <c r="C195" s="4">
        <v>0.64900000000000002</v>
      </c>
      <c r="D195" s="4">
        <v>11.03</v>
      </c>
      <c r="E195" s="8">
        <f t="shared" si="16"/>
        <v>7.1584699999999994</v>
      </c>
    </row>
    <row r="196" spans="1:5" x14ac:dyDescent="0.3">
      <c r="B196" s="4" t="s">
        <v>43</v>
      </c>
      <c r="C196" s="4">
        <v>2</v>
      </c>
      <c r="D196" s="4">
        <v>1.24</v>
      </c>
      <c r="E196" s="8">
        <f t="shared" si="16"/>
        <v>2.48</v>
      </c>
    </row>
    <row r="197" spans="1:5" x14ac:dyDescent="0.3">
      <c r="B197" s="4" t="s">
        <v>34</v>
      </c>
      <c r="C197" s="4"/>
      <c r="D197" s="4"/>
      <c r="E197" s="8">
        <f t="shared" si="16"/>
        <v>0</v>
      </c>
    </row>
    <row r="198" spans="1:5" x14ac:dyDescent="0.3">
      <c r="B198" s="4" t="s">
        <v>35</v>
      </c>
      <c r="C198" s="4">
        <v>4</v>
      </c>
      <c r="D198" s="4">
        <v>1.89</v>
      </c>
      <c r="E198" s="8">
        <f t="shared" si="16"/>
        <v>7.56</v>
      </c>
    </row>
    <row r="199" spans="1:5" x14ac:dyDescent="0.3">
      <c r="B199" s="4" t="s">
        <v>36</v>
      </c>
      <c r="C199" s="4">
        <v>4</v>
      </c>
      <c r="D199" s="4">
        <v>0.24</v>
      </c>
      <c r="E199" s="8">
        <f t="shared" si="16"/>
        <v>0.96</v>
      </c>
    </row>
    <row r="200" spans="1:5" x14ac:dyDescent="0.3">
      <c r="E200" s="9">
        <f>SUM(E194:E199)</f>
        <v>49.047640000000001</v>
      </c>
    </row>
    <row r="201" spans="1:5" x14ac:dyDescent="0.3">
      <c r="B201" s="4" t="s">
        <v>37</v>
      </c>
      <c r="C201">
        <v>15</v>
      </c>
      <c r="D201">
        <v>1.41</v>
      </c>
      <c r="E201" s="8">
        <f>C201*D201</f>
        <v>21.15</v>
      </c>
    </row>
    <row r="202" spans="1:5" x14ac:dyDescent="0.3">
      <c r="E202" s="8">
        <f>SUM(E200:E201)</f>
        <v>70.197640000000007</v>
      </c>
    </row>
    <row r="204" spans="1:5" x14ac:dyDescent="0.3">
      <c r="C204" s="4" t="s">
        <v>28</v>
      </c>
      <c r="D204" s="4" t="s">
        <v>29</v>
      </c>
      <c r="E204" s="4" t="s">
        <v>30</v>
      </c>
    </row>
    <row r="205" spans="1:5" x14ac:dyDescent="0.3">
      <c r="A205" t="s">
        <v>364</v>
      </c>
      <c r="B205" s="4" t="s">
        <v>32</v>
      </c>
      <c r="C205" s="4">
        <v>3.226</v>
      </c>
      <c r="D205" s="4">
        <v>19.89</v>
      </c>
      <c r="E205" s="8">
        <f t="shared" ref="E205:E210" si="17">C205*D205</f>
        <v>64.165140000000008</v>
      </c>
    </row>
    <row r="206" spans="1:5" x14ac:dyDescent="0.3">
      <c r="A206" t="s">
        <v>365</v>
      </c>
      <c r="B206" s="4" t="s">
        <v>33</v>
      </c>
      <c r="C206" s="4">
        <v>24.254999999999999</v>
      </c>
      <c r="D206" s="4">
        <v>11.03</v>
      </c>
      <c r="E206" s="8">
        <f t="shared" si="17"/>
        <v>267.53264999999999</v>
      </c>
    </row>
    <row r="207" spans="1:5" x14ac:dyDescent="0.3">
      <c r="B207" s="4" t="s">
        <v>115</v>
      </c>
      <c r="C207" s="4">
        <v>2</v>
      </c>
      <c r="D207" s="4">
        <v>4.9800000000000004</v>
      </c>
      <c r="E207" s="8">
        <f t="shared" si="17"/>
        <v>9.9600000000000009</v>
      </c>
    </row>
    <row r="208" spans="1:5" x14ac:dyDescent="0.3">
      <c r="B208" s="4" t="s">
        <v>34</v>
      </c>
      <c r="C208" s="4">
        <v>2</v>
      </c>
      <c r="D208" s="4">
        <v>12.43</v>
      </c>
      <c r="E208" s="8">
        <f t="shared" si="17"/>
        <v>24.86</v>
      </c>
    </row>
    <row r="209" spans="1:5" x14ac:dyDescent="0.3">
      <c r="B209" s="4" t="s">
        <v>35</v>
      </c>
      <c r="C209" s="4">
        <v>8</v>
      </c>
      <c r="D209" s="4">
        <v>1.89</v>
      </c>
      <c r="E209" s="8">
        <f t="shared" si="17"/>
        <v>15.12</v>
      </c>
    </row>
    <row r="210" spans="1:5" x14ac:dyDescent="0.3">
      <c r="B210" s="4" t="s">
        <v>36</v>
      </c>
      <c r="C210" s="4">
        <v>4</v>
      </c>
      <c r="D210" s="4">
        <v>0.24</v>
      </c>
      <c r="E210" s="8">
        <f t="shared" si="17"/>
        <v>0.96</v>
      </c>
    </row>
    <row r="211" spans="1:5" x14ac:dyDescent="0.3">
      <c r="E211" s="8">
        <f>SUM(E205:E210)</f>
        <v>382.59778999999997</v>
      </c>
    </row>
    <row r="212" spans="1:5" x14ac:dyDescent="0.3">
      <c r="B212" s="4" t="s">
        <v>37</v>
      </c>
      <c r="C212">
        <v>127.5</v>
      </c>
      <c r="E212" s="8">
        <v>127.5</v>
      </c>
    </row>
    <row r="213" spans="1:5" x14ac:dyDescent="0.3">
      <c r="E213" s="8">
        <f>SUM(E211:E212)</f>
        <v>510.09778999999997</v>
      </c>
    </row>
    <row r="216" spans="1:5" x14ac:dyDescent="0.3">
      <c r="A216" t="s">
        <v>366</v>
      </c>
      <c r="C216" s="4" t="s">
        <v>28</v>
      </c>
      <c r="D216" s="4" t="s">
        <v>29</v>
      </c>
      <c r="E216" s="4" t="s">
        <v>30</v>
      </c>
    </row>
    <row r="217" spans="1:5" x14ac:dyDescent="0.3">
      <c r="A217" t="s">
        <v>284</v>
      </c>
      <c r="B217" s="4" t="s">
        <v>32</v>
      </c>
      <c r="C217" s="4">
        <v>5.4260000000000002</v>
      </c>
      <c r="D217" s="4">
        <v>19.89</v>
      </c>
      <c r="E217" s="8">
        <f t="shared" ref="E217:E222" si="18">C217*D217</f>
        <v>107.92314</v>
      </c>
    </row>
    <row r="218" spans="1:5" x14ac:dyDescent="0.3">
      <c r="A218" t="s">
        <v>285</v>
      </c>
      <c r="B218" s="4" t="s">
        <v>33</v>
      </c>
      <c r="C218" s="4">
        <v>78.540000000000006</v>
      </c>
      <c r="D218" s="4">
        <v>11.03</v>
      </c>
      <c r="E218" s="8">
        <f t="shared" si="18"/>
        <v>866.2962</v>
      </c>
    </row>
    <row r="219" spans="1:5" x14ac:dyDescent="0.3">
      <c r="B219" s="4" t="s">
        <v>368</v>
      </c>
      <c r="C219" s="4">
        <v>4</v>
      </c>
      <c r="D219" s="4">
        <v>4</v>
      </c>
      <c r="E219" s="8">
        <f t="shared" si="18"/>
        <v>16</v>
      </c>
    </row>
    <row r="220" spans="1:5" x14ac:dyDescent="0.3">
      <c r="B220" s="4" t="s">
        <v>34</v>
      </c>
      <c r="C220" s="4">
        <v>5</v>
      </c>
      <c r="D220" s="4">
        <v>12.43</v>
      </c>
      <c r="E220" s="8">
        <f t="shared" si="18"/>
        <v>62.15</v>
      </c>
    </row>
    <row r="221" spans="1:5" x14ac:dyDescent="0.3">
      <c r="B221" s="4" t="s">
        <v>35</v>
      </c>
      <c r="C221" s="4">
        <v>4</v>
      </c>
      <c r="D221" s="4">
        <v>1.89</v>
      </c>
      <c r="E221" s="8">
        <f t="shared" si="18"/>
        <v>7.56</v>
      </c>
    </row>
    <row r="222" spans="1:5" x14ac:dyDescent="0.3">
      <c r="B222" s="4" t="s">
        <v>36</v>
      </c>
      <c r="C222" s="4">
        <v>4</v>
      </c>
      <c r="D222" s="4">
        <v>0.24</v>
      </c>
      <c r="E222" s="8">
        <f t="shared" si="18"/>
        <v>0.96</v>
      </c>
    </row>
    <row r="223" spans="1:5" x14ac:dyDescent="0.3">
      <c r="E223" s="8">
        <f>SUM(E217:E222)</f>
        <v>1060.8893399999999</v>
      </c>
    </row>
    <row r="224" spans="1:5" x14ac:dyDescent="0.3">
      <c r="B224" s="4" t="s">
        <v>37</v>
      </c>
      <c r="C224" t="s">
        <v>367</v>
      </c>
      <c r="E224" s="8">
        <v>340</v>
      </c>
    </row>
    <row r="225" spans="1:5" x14ac:dyDescent="0.3">
      <c r="E225" s="8">
        <f>SUM(E223:E224)</f>
        <v>1400.8893399999999</v>
      </c>
    </row>
    <row r="229" spans="1:5" x14ac:dyDescent="0.3">
      <c r="C229" s="4" t="s">
        <v>28</v>
      </c>
      <c r="D229" s="4" t="s">
        <v>29</v>
      </c>
      <c r="E229" s="4" t="s">
        <v>30</v>
      </c>
    </row>
    <row r="230" spans="1:5" x14ac:dyDescent="0.3">
      <c r="A230" t="s">
        <v>358</v>
      </c>
      <c r="B230" s="4" t="s">
        <v>32</v>
      </c>
      <c r="C230" s="4">
        <v>4.1059999999999999</v>
      </c>
      <c r="D230" s="4">
        <v>19.89</v>
      </c>
      <c r="E230" s="8">
        <f t="shared" ref="E230:E235" si="19">C230*D230</f>
        <v>81.668340000000001</v>
      </c>
    </row>
    <row r="231" spans="1:5" x14ac:dyDescent="0.3">
      <c r="A231" t="s">
        <v>346</v>
      </c>
      <c r="B231" s="4" t="s">
        <v>33</v>
      </c>
      <c r="C231" s="4">
        <v>43.56</v>
      </c>
      <c r="D231" s="4">
        <v>11.03</v>
      </c>
      <c r="E231" s="8">
        <f t="shared" si="19"/>
        <v>480.46679999999998</v>
      </c>
    </row>
    <row r="232" spans="1:5" x14ac:dyDescent="0.3">
      <c r="B232" s="4" t="s">
        <v>369</v>
      </c>
      <c r="C232" s="4">
        <v>4</v>
      </c>
      <c r="D232" s="4">
        <v>4</v>
      </c>
      <c r="E232" s="8">
        <f t="shared" si="19"/>
        <v>16</v>
      </c>
    </row>
    <row r="233" spans="1:5" x14ac:dyDescent="0.3">
      <c r="B233" s="4" t="s">
        <v>34</v>
      </c>
      <c r="C233" s="4">
        <v>4</v>
      </c>
      <c r="D233" s="4">
        <v>12.43</v>
      </c>
      <c r="E233" s="8">
        <f t="shared" si="19"/>
        <v>49.72</v>
      </c>
    </row>
    <row r="234" spans="1:5" x14ac:dyDescent="0.3">
      <c r="B234" s="4" t="s">
        <v>35</v>
      </c>
      <c r="C234" s="4">
        <v>8</v>
      </c>
      <c r="D234" s="4">
        <v>1.89</v>
      </c>
      <c r="E234" s="8">
        <f t="shared" si="19"/>
        <v>15.12</v>
      </c>
    </row>
    <row r="235" spans="1:5" x14ac:dyDescent="0.3">
      <c r="B235" s="4" t="s">
        <v>36</v>
      </c>
      <c r="C235" s="4">
        <v>4</v>
      </c>
      <c r="D235" s="4">
        <v>0.24</v>
      </c>
      <c r="E235" s="8">
        <f t="shared" si="19"/>
        <v>0.96</v>
      </c>
    </row>
    <row r="236" spans="1:5" x14ac:dyDescent="0.3">
      <c r="E236" s="8">
        <f>SUM(E230:E235)</f>
        <v>643.93514000000005</v>
      </c>
    </row>
    <row r="237" spans="1:5" x14ac:dyDescent="0.3">
      <c r="B237" s="4" t="s">
        <v>37</v>
      </c>
      <c r="C237" t="s">
        <v>367</v>
      </c>
      <c r="E237" s="8">
        <v>340</v>
      </c>
    </row>
    <row r="238" spans="1:5" x14ac:dyDescent="0.3">
      <c r="E238" s="8">
        <f>SUM(E236:E237)</f>
        <v>983.93514000000005</v>
      </c>
    </row>
    <row r="240" spans="1:5" x14ac:dyDescent="0.3">
      <c r="D240" t="s">
        <v>370</v>
      </c>
      <c r="E240" t="s">
        <v>371</v>
      </c>
    </row>
    <row r="241" spans="1:5" x14ac:dyDescent="0.3">
      <c r="E241">
        <v>1480</v>
      </c>
    </row>
    <row r="243" spans="1:5" x14ac:dyDescent="0.3">
      <c r="C243" s="4" t="s">
        <v>28</v>
      </c>
      <c r="D243" s="4" t="s">
        <v>29</v>
      </c>
      <c r="E243" s="4" t="s">
        <v>30</v>
      </c>
    </row>
    <row r="244" spans="1:5" x14ac:dyDescent="0.3">
      <c r="A244" t="s">
        <v>380</v>
      </c>
      <c r="B244" s="4" t="s">
        <v>32</v>
      </c>
      <c r="C244" s="4">
        <v>2.72</v>
      </c>
      <c r="D244" s="4">
        <v>19.89</v>
      </c>
      <c r="E244" s="8">
        <f t="shared" ref="E244:E249" si="20">C244*D244</f>
        <v>54.100800000000007</v>
      </c>
    </row>
    <row r="245" spans="1:5" x14ac:dyDescent="0.3">
      <c r="A245" t="s">
        <v>262</v>
      </c>
      <c r="B245" s="4" t="s">
        <v>33</v>
      </c>
      <c r="C245" s="4">
        <v>5.7750000000000004</v>
      </c>
      <c r="D245" s="4">
        <v>11.03</v>
      </c>
      <c r="E245" s="8">
        <f t="shared" si="20"/>
        <v>63.698250000000002</v>
      </c>
    </row>
    <row r="246" spans="1:5" x14ac:dyDescent="0.3">
      <c r="B246" s="4" t="s">
        <v>43</v>
      </c>
      <c r="C246" s="4">
        <v>2</v>
      </c>
      <c r="D246" s="4">
        <v>1.24</v>
      </c>
      <c r="E246" s="8">
        <f t="shared" si="20"/>
        <v>2.48</v>
      </c>
    </row>
    <row r="247" spans="1:5" x14ac:dyDescent="0.3">
      <c r="B247" s="4" t="s">
        <v>34</v>
      </c>
      <c r="C247" s="4">
        <v>0.33</v>
      </c>
      <c r="D247" s="4">
        <v>12.43</v>
      </c>
      <c r="E247" s="8">
        <f t="shared" si="20"/>
        <v>4.1018999999999997</v>
      </c>
    </row>
    <row r="248" spans="1:5" x14ac:dyDescent="0.3">
      <c r="B248" s="4" t="s">
        <v>35</v>
      </c>
      <c r="C248" s="4">
        <v>4</v>
      </c>
      <c r="D248" s="4">
        <v>1.89</v>
      </c>
      <c r="E248" s="8">
        <f t="shared" si="20"/>
        <v>7.56</v>
      </c>
    </row>
    <row r="249" spans="1:5" x14ac:dyDescent="0.3">
      <c r="B249" s="4" t="s">
        <v>36</v>
      </c>
      <c r="C249" s="4">
        <v>4</v>
      </c>
      <c r="D249" s="4">
        <v>0.24</v>
      </c>
      <c r="E249" s="8">
        <f t="shared" si="20"/>
        <v>0.96</v>
      </c>
    </row>
    <row r="250" spans="1:5" x14ac:dyDescent="0.3">
      <c r="E250" s="9">
        <f>SUM(E244:E249)</f>
        <v>132.90095000000002</v>
      </c>
    </row>
    <row r="251" spans="1:5" x14ac:dyDescent="0.3">
      <c r="B251" s="4" t="s">
        <v>37</v>
      </c>
      <c r="C251">
        <v>42.5</v>
      </c>
      <c r="E251" s="8">
        <v>63.9</v>
      </c>
    </row>
    <row r="252" spans="1:5" x14ac:dyDescent="0.3">
      <c r="E252" s="8">
        <f>SUM(E250:E251)</f>
        <v>196.80095000000003</v>
      </c>
    </row>
    <row r="255" spans="1:5" x14ac:dyDescent="0.3">
      <c r="C255" s="4" t="s">
        <v>28</v>
      </c>
      <c r="D255" s="4" t="s">
        <v>29</v>
      </c>
      <c r="E255" s="4" t="s">
        <v>30</v>
      </c>
    </row>
    <row r="256" spans="1:5" x14ac:dyDescent="0.3">
      <c r="A256" t="s">
        <v>381</v>
      </c>
      <c r="B256" s="4" t="s">
        <v>32</v>
      </c>
      <c r="C256" s="4">
        <v>3.6659999999999999</v>
      </c>
      <c r="D256" s="4">
        <v>19.89</v>
      </c>
      <c r="E256" s="8">
        <f t="shared" ref="E256:E261" si="21">C256*D256</f>
        <v>72.916740000000004</v>
      </c>
    </row>
    <row r="257" spans="1:5" x14ac:dyDescent="0.3">
      <c r="A257" t="s">
        <v>345</v>
      </c>
      <c r="B257" s="4" t="s">
        <v>33</v>
      </c>
      <c r="C257" s="4">
        <v>34.265000000000001</v>
      </c>
      <c r="D257" s="4">
        <v>11.03</v>
      </c>
      <c r="E257" s="8">
        <f t="shared" si="21"/>
        <v>377.94295</v>
      </c>
    </row>
    <row r="258" spans="1:5" x14ac:dyDescent="0.3">
      <c r="B258" s="4" t="s">
        <v>87</v>
      </c>
      <c r="C258" s="4">
        <v>4</v>
      </c>
      <c r="D258" s="4">
        <v>1.98</v>
      </c>
      <c r="E258" s="8">
        <f t="shared" si="21"/>
        <v>7.92</v>
      </c>
    </row>
    <row r="259" spans="1:5" x14ac:dyDescent="0.3">
      <c r="B259" s="4" t="s">
        <v>34</v>
      </c>
      <c r="C259" s="4">
        <v>1.4</v>
      </c>
      <c r="D259" s="4">
        <v>12.43</v>
      </c>
      <c r="E259" s="8">
        <f t="shared" si="21"/>
        <v>17.401999999999997</v>
      </c>
    </row>
    <row r="260" spans="1:5" x14ac:dyDescent="0.3">
      <c r="B260" s="4" t="s">
        <v>35</v>
      </c>
      <c r="C260" s="4">
        <v>8</v>
      </c>
      <c r="D260" s="4">
        <v>1.89</v>
      </c>
      <c r="E260" s="8">
        <f t="shared" si="21"/>
        <v>15.12</v>
      </c>
    </row>
    <row r="261" spans="1:5" x14ac:dyDescent="0.3">
      <c r="B261" s="4" t="s">
        <v>36</v>
      </c>
      <c r="C261" s="4">
        <v>4</v>
      </c>
      <c r="D261" s="4">
        <v>0.24</v>
      </c>
      <c r="E261" s="8">
        <f t="shared" si="21"/>
        <v>0.96</v>
      </c>
    </row>
    <row r="262" spans="1:5" x14ac:dyDescent="0.3">
      <c r="E262" s="8">
        <f>SUM(E256:E261)</f>
        <v>492.26168999999999</v>
      </c>
    </row>
    <row r="263" spans="1:5" x14ac:dyDescent="0.3">
      <c r="B263" s="4" t="s">
        <v>37</v>
      </c>
      <c r="C263">
        <v>2</v>
      </c>
      <c r="E263" s="8">
        <v>170</v>
      </c>
    </row>
    <row r="264" spans="1:5" x14ac:dyDescent="0.3">
      <c r="E264" s="8">
        <f>SUM(E262:E263)</f>
        <v>662.26169000000004</v>
      </c>
    </row>
    <row r="267" spans="1:5" x14ac:dyDescent="0.3">
      <c r="C267" s="4" t="s">
        <v>28</v>
      </c>
      <c r="D267" s="4" t="s">
        <v>29</v>
      </c>
      <c r="E267" s="4" t="s">
        <v>30</v>
      </c>
    </row>
    <row r="268" spans="1:5" x14ac:dyDescent="0.3">
      <c r="A268" t="s">
        <v>382</v>
      </c>
      <c r="B268" s="4" t="s">
        <v>32</v>
      </c>
      <c r="C268" s="4">
        <v>4.5449999999999999</v>
      </c>
      <c r="D268" s="4">
        <v>19.89</v>
      </c>
      <c r="E268" s="8">
        <f t="shared" ref="E268:E273" si="22">C268*D268</f>
        <v>90.400050000000007</v>
      </c>
    </row>
    <row r="269" spans="1:5" x14ac:dyDescent="0.3">
      <c r="A269" t="s">
        <v>293</v>
      </c>
      <c r="B269" s="4" t="s">
        <v>33</v>
      </c>
      <c r="C269" s="4">
        <v>39.335999999999999</v>
      </c>
      <c r="D269" s="4">
        <v>11.03</v>
      </c>
      <c r="E269" s="8">
        <f t="shared" si="22"/>
        <v>433.87607999999994</v>
      </c>
    </row>
    <row r="270" spans="1:5" x14ac:dyDescent="0.3">
      <c r="B270" s="4" t="s">
        <v>113</v>
      </c>
      <c r="C270" s="4">
        <v>2</v>
      </c>
      <c r="D270" s="4">
        <v>1.98</v>
      </c>
      <c r="E270" s="8">
        <f t="shared" si="22"/>
        <v>3.96</v>
      </c>
    </row>
    <row r="271" spans="1:5" x14ac:dyDescent="0.3">
      <c r="B271" s="4" t="s">
        <v>34</v>
      </c>
      <c r="C271" s="4">
        <v>1.5</v>
      </c>
      <c r="D271" s="4">
        <v>12.43</v>
      </c>
      <c r="E271" s="8">
        <f t="shared" si="22"/>
        <v>18.645</v>
      </c>
    </row>
    <row r="272" spans="1:5" x14ac:dyDescent="0.3">
      <c r="B272" s="4" t="s">
        <v>35</v>
      </c>
      <c r="C272" s="4">
        <v>8</v>
      </c>
      <c r="D272" s="4">
        <v>1.89</v>
      </c>
      <c r="E272" s="8">
        <f t="shared" si="22"/>
        <v>15.12</v>
      </c>
    </row>
    <row r="273" spans="1:5" x14ac:dyDescent="0.3">
      <c r="B273" s="4" t="s">
        <v>36</v>
      </c>
      <c r="C273" s="4">
        <v>4</v>
      </c>
      <c r="D273" s="4">
        <v>0.24</v>
      </c>
      <c r="E273" s="8">
        <f t="shared" si="22"/>
        <v>0.96</v>
      </c>
    </row>
    <row r="274" spans="1:5" x14ac:dyDescent="0.3">
      <c r="E274" s="8">
        <f>SUM(E268:E273)</f>
        <v>562.96113000000003</v>
      </c>
    </row>
    <row r="275" spans="1:5" x14ac:dyDescent="0.3">
      <c r="B275" s="4" t="s">
        <v>37</v>
      </c>
      <c r="C275">
        <v>2</v>
      </c>
      <c r="E275" s="8">
        <v>170</v>
      </c>
    </row>
    <row r="276" spans="1:5" x14ac:dyDescent="0.3">
      <c r="E276" s="8">
        <f>SUM(E274:E275)</f>
        <v>732.96113000000003</v>
      </c>
    </row>
    <row r="279" spans="1:5" x14ac:dyDescent="0.3">
      <c r="C279" s="4" t="s">
        <v>28</v>
      </c>
      <c r="D279" s="4" t="s">
        <v>29</v>
      </c>
      <c r="E279" s="4" t="s">
        <v>30</v>
      </c>
    </row>
    <row r="280" spans="1:5" x14ac:dyDescent="0.3">
      <c r="A280" t="s">
        <v>383</v>
      </c>
      <c r="B280" s="4" t="s">
        <v>32</v>
      </c>
      <c r="C280" s="4">
        <v>4.7649999999999997</v>
      </c>
      <c r="D280" s="4">
        <v>19.89</v>
      </c>
      <c r="E280" s="8">
        <f t="shared" ref="E280:E285" si="23">C280*D280</f>
        <v>94.775849999999991</v>
      </c>
    </row>
    <row r="281" spans="1:5" x14ac:dyDescent="0.3">
      <c r="A281" t="s">
        <v>310</v>
      </c>
      <c r="B281" s="4" t="s">
        <v>33</v>
      </c>
      <c r="C281" s="4">
        <v>59.95</v>
      </c>
      <c r="D281" s="4">
        <v>11.03</v>
      </c>
      <c r="E281" s="8">
        <f t="shared" si="23"/>
        <v>661.24850000000004</v>
      </c>
    </row>
    <row r="282" spans="1:5" x14ac:dyDescent="0.3">
      <c r="B282" s="4" t="s">
        <v>100</v>
      </c>
      <c r="C282" s="4">
        <v>4</v>
      </c>
      <c r="D282" s="4">
        <v>1.98</v>
      </c>
      <c r="E282" s="8">
        <f t="shared" si="23"/>
        <v>7.92</v>
      </c>
    </row>
    <row r="283" spans="1:5" x14ac:dyDescent="0.3">
      <c r="B283" s="4" t="s">
        <v>34</v>
      </c>
      <c r="C283" s="4">
        <v>2</v>
      </c>
      <c r="D283" s="4">
        <v>12.43</v>
      </c>
      <c r="E283" s="8">
        <f t="shared" si="23"/>
        <v>24.86</v>
      </c>
    </row>
    <row r="284" spans="1:5" x14ac:dyDescent="0.3">
      <c r="B284" s="4" t="s">
        <v>35</v>
      </c>
      <c r="C284" s="4">
        <v>8</v>
      </c>
      <c r="D284" s="4">
        <v>1.89</v>
      </c>
      <c r="E284" s="8">
        <f t="shared" si="23"/>
        <v>15.12</v>
      </c>
    </row>
    <row r="285" spans="1:5" x14ac:dyDescent="0.3">
      <c r="B285" s="4" t="s">
        <v>36</v>
      </c>
      <c r="C285" s="4">
        <v>4</v>
      </c>
      <c r="D285" s="4">
        <v>0.24</v>
      </c>
      <c r="E285" s="8">
        <f t="shared" si="23"/>
        <v>0.96</v>
      </c>
    </row>
    <row r="286" spans="1:5" x14ac:dyDescent="0.3">
      <c r="E286" s="8">
        <f>SUM(E280:E285)</f>
        <v>804.88435000000004</v>
      </c>
    </row>
    <row r="287" spans="1:5" x14ac:dyDescent="0.3">
      <c r="B287" s="4" t="s">
        <v>37</v>
      </c>
      <c r="C287">
        <v>3</v>
      </c>
      <c r="E287" s="8">
        <v>355</v>
      </c>
    </row>
    <row r="288" spans="1:5" x14ac:dyDescent="0.3">
      <c r="E288" s="8">
        <f>SUM(E286:E287)</f>
        <v>1159.88435</v>
      </c>
    </row>
    <row r="291" spans="1:5" x14ac:dyDescent="0.3">
      <c r="C291" s="4" t="s">
        <v>28</v>
      </c>
      <c r="D291" s="4" t="s">
        <v>29</v>
      </c>
      <c r="E291" s="4" t="s">
        <v>30</v>
      </c>
    </row>
    <row r="292" spans="1:5" x14ac:dyDescent="0.3">
      <c r="A292" t="s">
        <v>358</v>
      </c>
      <c r="B292" s="4" t="s">
        <v>32</v>
      </c>
      <c r="C292" s="4">
        <v>4.1050000000000004</v>
      </c>
      <c r="D292" s="4">
        <v>19.89</v>
      </c>
      <c r="E292" s="8">
        <f t="shared" ref="E292:E297" si="24">C292*D292</f>
        <v>81.648450000000011</v>
      </c>
    </row>
    <row r="293" spans="1:5" x14ac:dyDescent="0.3">
      <c r="A293" t="s">
        <v>346</v>
      </c>
      <c r="B293" s="4" t="s">
        <v>33</v>
      </c>
      <c r="C293" s="4">
        <v>43.56</v>
      </c>
      <c r="D293" s="4">
        <v>11.03</v>
      </c>
      <c r="E293" s="8">
        <f t="shared" si="24"/>
        <v>480.46679999999998</v>
      </c>
    </row>
    <row r="294" spans="1:5" x14ac:dyDescent="0.3">
      <c r="B294" s="4" t="s">
        <v>92</v>
      </c>
      <c r="C294" s="4">
        <v>4</v>
      </c>
      <c r="D294" s="4">
        <v>1.98</v>
      </c>
      <c r="E294" s="8">
        <f t="shared" si="24"/>
        <v>7.92</v>
      </c>
    </row>
    <row r="295" spans="1:5" x14ac:dyDescent="0.3">
      <c r="B295" s="4" t="s">
        <v>34</v>
      </c>
      <c r="C295" s="4">
        <v>1.8</v>
      </c>
      <c r="D295" s="4">
        <v>12.43</v>
      </c>
      <c r="E295" s="8">
        <f t="shared" si="24"/>
        <v>22.373999999999999</v>
      </c>
    </row>
    <row r="296" spans="1:5" x14ac:dyDescent="0.3">
      <c r="B296" s="4" t="s">
        <v>35</v>
      </c>
      <c r="C296" s="4">
        <v>8</v>
      </c>
      <c r="D296" s="4">
        <v>1.89</v>
      </c>
      <c r="E296" s="8">
        <f t="shared" si="24"/>
        <v>15.12</v>
      </c>
    </row>
    <row r="297" spans="1:5" x14ac:dyDescent="0.3">
      <c r="B297" s="4" t="s">
        <v>36</v>
      </c>
      <c r="C297" s="4">
        <v>4</v>
      </c>
      <c r="D297" s="4">
        <v>0.24</v>
      </c>
      <c r="E297" s="8">
        <f t="shared" si="24"/>
        <v>0.96</v>
      </c>
    </row>
    <row r="298" spans="1:5" x14ac:dyDescent="0.3">
      <c r="E298" s="8">
        <f>SUM(E292:E297)</f>
        <v>608.48924999999997</v>
      </c>
    </row>
    <row r="299" spans="1:5" x14ac:dyDescent="0.3">
      <c r="B299" s="4" t="s">
        <v>37</v>
      </c>
      <c r="C299">
        <v>3</v>
      </c>
      <c r="E299" s="8">
        <v>255</v>
      </c>
    </row>
    <row r="300" spans="1:5" x14ac:dyDescent="0.3">
      <c r="E300" s="8">
        <f>SUM(E298:E299)</f>
        <v>863.48924999999997</v>
      </c>
    </row>
    <row r="303" spans="1:5" x14ac:dyDescent="0.3">
      <c r="C303" s="4" t="s">
        <v>28</v>
      </c>
      <c r="D303" s="4" t="s">
        <v>29</v>
      </c>
      <c r="E303" s="4" t="s">
        <v>30</v>
      </c>
    </row>
    <row r="304" spans="1:5" x14ac:dyDescent="0.3">
      <c r="A304" t="s">
        <v>384</v>
      </c>
      <c r="B304" s="4" t="s">
        <v>32</v>
      </c>
      <c r="C304" s="4">
        <v>6.11</v>
      </c>
      <c r="D304" s="4">
        <v>19.89</v>
      </c>
      <c r="E304" s="8">
        <f t="shared" ref="E304:E309" si="25">C304*D304</f>
        <v>121.52790000000002</v>
      </c>
    </row>
    <row r="305" spans="1:5" x14ac:dyDescent="0.3">
      <c r="A305" t="s">
        <v>385</v>
      </c>
      <c r="B305" s="4" t="s">
        <v>33</v>
      </c>
      <c r="C305" s="4">
        <v>98</v>
      </c>
      <c r="D305" s="4">
        <v>11.03</v>
      </c>
      <c r="E305" s="8">
        <f t="shared" si="25"/>
        <v>1080.9399999999998</v>
      </c>
    </row>
    <row r="306" spans="1:5" x14ac:dyDescent="0.3">
      <c r="B306" s="4" t="s">
        <v>92</v>
      </c>
      <c r="C306" s="4">
        <v>4</v>
      </c>
      <c r="D306" s="4">
        <v>1.98</v>
      </c>
      <c r="E306" s="8">
        <f t="shared" si="25"/>
        <v>7.92</v>
      </c>
    </row>
    <row r="307" spans="1:5" x14ac:dyDescent="0.3">
      <c r="B307" s="4" t="s">
        <v>34</v>
      </c>
      <c r="C307" s="4">
        <v>1.8</v>
      </c>
      <c r="D307" s="4">
        <v>12.43</v>
      </c>
      <c r="E307" s="8">
        <f t="shared" si="25"/>
        <v>22.373999999999999</v>
      </c>
    </row>
    <row r="308" spans="1:5" x14ac:dyDescent="0.3">
      <c r="B308" s="4" t="s">
        <v>35</v>
      </c>
      <c r="C308" s="4">
        <v>8</v>
      </c>
      <c r="D308" s="4">
        <v>1.89</v>
      </c>
      <c r="E308" s="8">
        <f t="shared" si="25"/>
        <v>15.12</v>
      </c>
    </row>
    <row r="309" spans="1:5" x14ac:dyDescent="0.3">
      <c r="B309" s="4" t="s">
        <v>36</v>
      </c>
      <c r="C309" s="4">
        <v>4</v>
      </c>
      <c r="D309" s="4">
        <v>0.24</v>
      </c>
      <c r="E309" s="8">
        <f t="shared" si="25"/>
        <v>0.96</v>
      </c>
    </row>
    <row r="310" spans="1:5" x14ac:dyDescent="0.3">
      <c r="E310" s="8">
        <f>SUM(E304:E309)</f>
        <v>1248.8418999999999</v>
      </c>
    </row>
    <row r="311" spans="1:5" x14ac:dyDescent="0.3">
      <c r="B311" s="4" t="s">
        <v>37</v>
      </c>
      <c r="C311">
        <v>4</v>
      </c>
      <c r="E311" s="8">
        <v>340</v>
      </c>
    </row>
    <row r="312" spans="1:5" x14ac:dyDescent="0.3">
      <c r="E312" s="8">
        <f>SUM(E310:E311)</f>
        <v>1588.8418999999999</v>
      </c>
    </row>
    <row r="314" spans="1:5" x14ac:dyDescent="0.3">
      <c r="C314" s="4" t="s">
        <v>28</v>
      </c>
      <c r="D314" s="4" t="s">
        <v>29</v>
      </c>
      <c r="E314" s="4" t="s">
        <v>30</v>
      </c>
    </row>
    <row r="315" spans="1:5" x14ac:dyDescent="0.3">
      <c r="A315" t="s">
        <v>388</v>
      </c>
      <c r="B315" s="4" t="s">
        <v>32</v>
      </c>
      <c r="C315" s="4">
        <v>3.16</v>
      </c>
      <c r="D315" s="4">
        <v>19.89</v>
      </c>
      <c r="E315" s="8">
        <f t="shared" ref="E315:E320" si="26">C315*D315</f>
        <v>62.852400000000003</v>
      </c>
    </row>
    <row r="316" spans="1:5" x14ac:dyDescent="0.3">
      <c r="A316" t="s">
        <v>390</v>
      </c>
      <c r="B316" s="4" t="s">
        <v>33</v>
      </c>
      <c r="C316" s="4">
        <v>20.378</v>
      </c>
      <c r="D316" s="4">
        <v>11.03</v>
      </c>
      <c r="E316" s="8">
        <f t="shared" si="26"/>
        <v>224.76934</v>
      </c>
    </row>
    <row r="317" spans="1:5" x14ac:dyDescent="0.3">
      <c r="B317" s="4" t="s">
        <v>128</v>
      </c>
      <c r="C317" s="4">
        <v>4</v>
      </c>
      <c r="D317" s="4">
        <v>1.98</v>
      </c>
      <c r="E317" s="8">
        <f t="shared" si="26"/>
        <v>7.92</v>
      </c>
    </row>
    <row r="318" spans="1:5" x14ac:dyDescent="0.3">
      <c r="B318" s="4" t="s">
        <v>34</v>
      </c>
      <c r="C318" s="4">
        <v>1.5</v>
      </c>
      <c r="D318" s="4">
        <v>12.43</v>
      </c>
      <c r="E318" s="8">
        <f t="shared" si="26"/>
        <v>18.645</v>
      </c>
    </row>
    <row r="319" spans="1:5" x14ac:dyDescent="0.3">
      <c r="B319" s="4" t="s">
        <v>35</v>
      </c>
      <c r="C319" s="4">
        <v>8</v>
      </c>
      <c r="D319" s="4">
        <v>1.89</v>
      </c>
      <c r="E319" s="8">
        <f t="shared" si="26"/>
        <v>15.12</v>
      </c>
    </row>
    <row r="320" spans="1:5" x14ac:dyDescent="0.3">
      <c r="B320" s="4" t="s">
        <v>36</v>
      </c>
      <c r="C320" s="4">
        <v>4</v>
      </c>
      <c r="D320" s="4">
        <v>0.24</v>
      </c>
      <c r="E320" s="8">
        <f t="shared" si="26"/>
        <v>0.96</v>
      </c>
    </row>
    <row r="321" spans="1:5" x14ac:dyDescent="0.3">
      <c r="E321" s="8">
        <f>SUM(E315:E320)</f>
        <v>330.26673999999997</v>
      </c>
    </row>
    <row r="322" spans="1:5" x14ac:dyDescent="0.3">
      <c r="B322" s="4" t="s">
        <v>37</v>
      </c>
      <c r="C322">
        <v>3</v>
      </c>
      <c r="E322" s="8">
        <v>355</v>
      </c>
    </row>
    <row r="323" spans="1:5" x14ac:dyDescent="0.3">
      <c r="E323" s="8">
        <f>SUM(E321:E322)</f>
        <v>685.26674000000003</v>
      </c>
    </row>
    <row r="326" spans="1:5" x14ac:dyDescent="0.3">
      <c r="C326" s="4" t="s">
        <v>28</v>
      </c>
      <c r="D326" s="4" t="s">
        <v>29</v>
      </c>
      <c r="E326" s="4" t="s">
        <v>30</v>
      </c>
    </row>
    <row r="327" spans="1:5" x14ac:dyDescent="0.3">
      <c r="A327" t="s">
        <v>389</v>
      </c>
      <c r="B327" s="4" t="s">
        <v>32</v>
      </c>
      <c r="C327" s="4">
        <v>2.4</v>
      </c>
      <c r="D327" s="4">
        <v>19.89</v>
      </c>
      <c r="E327" s="8">
        <f t="shared" ref="E327:E332" si="27">C327*D327</f>
        <v>47.735999999999997</v>
      </c>
    </row>
    <row r="328" spans="1:5" x14ac:dyDescent="0.3">
      <c r="A328" t="s">
        <v>391</v>
      </c>
      <c r="B328" s="4" t="s">
        <v>33</v>
      </c>
      <c r="C328" s="4">
        <v>14.19</v>
      </c>
      <c r="D328" s="4">
        <v>11.03</v>
      </c>
      <c r="E328" s="8">
        <f t="shared" si="27"/>
        <v>156.51569999999998</v>
      </c>
    </row>
    <row r="329" spans="1:5" x14ac:dyDescent="0.3">
      <c r="B329" s="4" t="s">
        <v>87</v>
      </c>
      <c r="C329" s="4">
        <v>4</v>
      </c>
      <c r="D329" s="4">
        <v>1.98</v>
      </c>
      <c r="E329" s="8">
        <f t="shared" si="27"/>
        <v>7.92</v>
      </c>
    </row>
    <row r="330" spans="1:5" x14ac:dyDescent="0.3">
      <c r="B330" s="4" t="s">
        <v>34</v>
      </c>
      <c r="C330" s="4">
        <v>1.5</v>
      </c>
      <c r="D330" s="4">
        <v>12.43</v>
      </c>
      <c r="E330" s="8">
        <f t="shared" si="27"/>
        <v>18.645</v>
      </c>
    </row>
    <row r="331" spans="1:5" x14ac:dyDescent="0.3">
      <c r="B331" s="4" t="s">
        <v>35</v>
      </c>
      <c r="C331" s="4">
        <v>8</v>
      </c>
      <c r="D331" s="4">
        <v>1.89</v>
      </c>
      <c r="E331" s="8">
        <f t="shared" si="27"/>
        <v>15.12</v>
      </c>
    </row>
    <row r="332" spans="1:5" x14ac:dyDescent="0.3">
      <c r="B332" s="4" t="s">
        <v>36</v>
      </c>
      <c r="C332" s="4">
        <v>4</v>
      </c>
      <c r="D332" s="4">
        <v>0.24</v>
      </c>
      <c r="E332" s="8">
        <f t="shared" si="27"/>
        <v>0.96</v>
      </c>
    </row>
    <row r="333" spans="1:5" x14ac:dyDescent="0.3">
      <c r="E333" s="8">
        <f>SUM(E327:E332)</f>
        <v>246.89669999999998</v>
      </c>
    </row>
    <row r="334" spans="1:5" x14ac:dyDescent="0.3">
      <c r="B334" s="4" t="s">
        <v>37</v>
      </c>
      <c r="C334">
        <v>3</v>
      </c>
      <c r="E334" s="8">
        <v>355</v>
      </c>
    </row>
    <row r="335" spans="1:5" x14ac:dyDescent="0.3">
      <c r="E335" s="8">
        <f>SUM(E333:E334)</f>
        <v>601.89670000000001</v>
      </c>
    </row>
    <row r="337" spans="1:5" x14ac:dyDescent="0.3">
      <c r="C337" s="4" t="s">
        <v>28</v>
      </c>
      <c r="D337" s="4" t="s">
        <v>29</v>
      </c>
      <c r="E337" s="4" t="s">
        <v>30</v>
      </c>
    </row>
    <row r="338" spans="1:5" x14ac:dyDescent="0.3">
      <c r="A338" t="s">
        <v>392</v>
      </c>
      <c r="B338" s="4" t="s">
        <v>32</v>
      </c>
      <c r="C338" s="4">
        <v>2.73</v>
      </c>
      <c r="D338" s="4">
        <v>19.89</v>
      </c>
      <c r="E338" s="8">
        <f t="shared" ref="E338:E343" si="28">C338*D338</f>
        <v>54.299700000000001</v>
      </c>
    </row>
    <row r="339" spans="1:5" x14ac:dyDescent="0.3">
      <c r="A339" t="s">
        <v>168</v>
      </c>
      <c r="B339" s="4" t="s">
        <v>33</v>
      </c>
      <c r="C339" s="4">
        <v>18.501999999999999</v>
      </c>
      <c r="D339" s="4">
        <v>11.03</v>
      </c>
      <c r="E339" s="8">
        <f t="shared" si="28"/>
        <v>204.07705999999999</v>
      </c>
    </row>
    <row r="340" spans="1:5" x14ac:dyDescent="0.3">
      <c r="B340" s="4" t="s">
        <v>88</v>
      </c>
      <c r="C340" s="4">
        <v>4</v>
      </c>
      <c r="D340" s="4">
        <v>2.98</v>
      </c>
      <c r="E340" s="8">
        <f t="shared" si="28"/>
        <v>11.92</v>
      </c>
    </row>
    <row r="341" spans="1:5" x14ac:dyDescent="0.3">
      <c r="B341" s="4" t="s">
        <v>34</v>
      </c>
      <c r="C341" s="4">
        <v>1.5</v>
      </c>
      <c r="D341" s="4">
        <v>12.43</v>
      </c>
      <c r="E341" s="8">
        <f t="shared" si="28"/>
        <v>18.645</v>
      </c>
    </row>
    <row r="342" spans="1:5" x14ac:dyDescent="0.3">
      <c r="B342" s="4" t="s">
        <v>35</v>
      </c>
      <c r="C342" s="4">
        <v>8</v>
      </c>
      <c r="D342" s="4">
        <v>1.89</v>
      </c>
      <c r="E342" s="8">
        <f t="shared" si="28"/>
        <v>15.12</v>
      </c>
    </row>
    <row r="343" spans="1:5" x14ac:dyDescent="0.3">
      <c r="B343" s="4" t="s">
        <v>36</v>
      </c>
      <c r="C343" s="4">
        <v>4</v>
      </c>
      <c r="D343" s="4">
        <v>0.24</v>
      </c>
      <c r="E343" s="8">
        <f t="shared" si="28"/>
        <v>0.96</v>
      </c>
    </row>
    <row r="344" spans="1:5" x14ac:dyDescent="0.3">
      <c r="E344" s="8">
        <f>SUM(E338:E343)</f>
        <v>305.02175999999997</v>
      </c>
    </row>
    <row r="345" spans="1:5" x14ac:dyDescent="0.3">
      <c r="B345" s="4" t="s">
        <v>37</v>
      </c>
      <c r="C345">
        <v>2</v>
      </c>
      <c r="D345" t="s">
        <v>393</v>
      </c>
      <c r="E345" s="8">
        <v>170</v>
      </c>
    </row>
    <row r="346" spans="1:5" x14ac:dyDescent="0.3">
      <c r="E346" s="8">
        <f>SUM(E344:E345)</f>
        <v>475.02175999999997</v>
      </c>
    </row>
    <row r="349" spans="1:5" x14ac:dyDescent="0.3">
      <c r="C349" s="4" t="s">
        <v>28</v>
      </c>
      <c r="D349" s="4" t="s">
        <v>29</v>
      </c>
      <c r="E349" s="4" t="s">
        <v>30</v>
      </c>
    </row>
    <row r="350" spans="1:5" x14ac:dyDescent="0.3">
      <c r="A350" t="s">
        <v>309</v>
      </c>
      <c r="B350" s="4" t="s">
        <v>32</v>
      </c>
      <c r="C350" s="4">
        <v>3.4460000000000002</v>
      </c>
      <c r="D350" s="4">
        <v>19.89</v>
      </c>
      <c r="E350" s="8">
        <f t="shared" ref="E350:E355" si="29">C350*D350</f>
        <v>68.540940000000006</v>
      </c>
    </row>
    <row r="351" spans="1:5" x14ac:dyDescent="0.3">
      <c r="A351" t="s">
        <v>310</v>
      </c>
      <c r="B351" s="4" t="s">
        <v>33</v>
      </c>
      <c r="C351" s="4">
        <v>26.95</v>
      </c>
      <c r="D351" s="4">
        <v>11.03</v>
      </c>
      <c r="E351" s="8">
        <f t="shared" si="29"/>
        <v>297.25849999999997</v>
      </c>
    </row>
    <row r="352" spans="1:5" x14ac:dyDescent="0.3">
      <c r="B352" s="4" t="s">
        <v>88</v>
      </c>
      <c r="C352" s="4">
        <v>4</v>
      </c>
      <c r="D352" s="4">
        <v>2.98</v>
      </c>
      <c r="E352" s="8">
        <f t="shared" si="29"/>
        <v>11.92</v>
      </c>
    </row>
    <row r="353" spans="1:5" x14ac:dyDescent="0.3">
      <c r="B353" s="4" t="s">
        <v>34</v>
      </c>
      <c r="C353" s="4">
        <v>2</v>
      </c>
      <c r="D353" s="4">
        <v>12.43</v>
      </c>
      <c r="E353" s="8">
        <f t="shared" si="29"/>
        <v>24.86</v>
      </c>
    </row>
    <row r="354" spans="1:5" x14ac:dyDescent="0.3">
      <c r="B354" s="4" t="s">
        <v>35</v>
      </c>
      <c r="C354" s="4">
        <v>8</v>
      </c>
      <c r="D354" s="4">
        <v>1.89</v>
      </c>
      <c r="E354" s="8">
        <f t="shared" si="29"/>
        <v>15.12</v>
      </c>
    </row>
    <row r="355" spans="1:5" x14ac:dyDescent="0.3">
      <c r="B355" s="4" t="s">
        <v>36</v>
      </c>
      <c r="C355" s="4">
        <v>4</v>
      </c>
      <c r="D355" s="4">
        <v>0.24</v>
      </c>
      <c r="E355" s="8">
        <f t="shared" si="29"/>
        <v>0.96</v>
      </c>
    </row>
    <row r="356" spans="1:5" x14ac:dyDescent="0.3">
      <c r="E356" s="8">
        <f>SUM(E350:E355)</f>
        <v>418.65944000000002</v>
      </c>
    </row>
    <row r="357" spans="1:5" x14ac:dyDescent="0.3">
      <c r="B357" s="4" t="s">
        <v>37</v>
      </c>
      <c r="C357">
        <v>3</v>
      </c>
      <c r="D357" t="s">
        <v>393</v>
      </c>
      <c r="E357" s="8">
        <v>255</v>
      </c>
    </row>
    <row r="358" spans="1:5" x14ac:dyDescent="0.3">
      <c r="E358" s="8">
        <f>SUM(E356:E357)</f>
        <v>673.65944000000002</v>
      </c>
    </row>
    <row r="360" spans="1:5" x14ac:dyDescent="0.3">
      <c r="C360" s="4" t="s">
        <v>28</v>
      </c>
      <c r="D360" s="4" t="s">
        <v>29</v>
      </c>
      <c r="E360" s="4" t="s">
        <v>30</v>
      </c>
    </row>
    <row r="361" spans="1:5" x14ac:dyDescent="0.3">
      <c r="A361" t="s">
        <v>405</v>
      </c>
      <c r="B361" s="4" t="s">
        <v>32</v>
      </c>
      <c r="C361" s="4">
        <v>4.7649999999999997</v>
      </c>
      <c r="D361" s="4">
        <v>19.89</v>
      </c>
      <c r="E361" s="8">
        <f t="shared" ref="E361:E366" si="30">C361*D361</f>
        <v>94.775849999999991</v>
      </c>
    </row>
    <row r="362" spans="1:5" x14ac:dyDescent="0.3">
      <c r="A362" t="s">
        <v>285</v>
      </c>
      <c r="B362" s="4" t="s">
        <v>33</v>
      </c>
      <c r="C362" s="4">
        <v>58.74</v>
      </c>
      <c r="D362" s="4">
        <v>11.03</v>
      </c>
      <c r="E362" s="8">
        <f t="shared" si="30"/>
        <v>647.90219999999999</v>
      </c>
    </row>
    <row r="363" spans="1:5" x14ac:dyDescent="0.3">
      <c r="B363" s="4" t="s">
        <v>89</v>
      </c>
      <c r="C363" s="4">
        <v>6</v>
      </c>
      <c r="D363" s="4">
        <v>2.98</v>
      </c>
      <c r="E363" s="8">
        <f t="shared" si="30"/>
        <v>17.88</v>
      </c>
    </row>
    <row r="364" spans="1:5" x14ac:dyDescent="0.3">
      <c r="B364" s="4" t="s">
        <v>34</v>
      </c>
      <c r="C364" s="4">
        <v>2.7</v>
      </c>
      <c r="D364" s="4">
        <v>12.43</v>
      </c>
      <c r="E364" s="8">
        <f t="shared" si="30"/>
        <v>33.561</v>
      </c>
    </row>
    <row r="365" spans="1:5" x14ac:dyDescent="0.3">
      <c r="B365" s="4" t="s">
        <v>35</v>
      </c>
      <c r="C365" s="4">
        <v>8</v>
      </c>
      <c r="D365" s="4">
        <v>1.89</v>
      </c>
      <c r="E365" s="8">
        <f t="shared" si="30"/>
        <v>15.12</v>
      </c>
    </row>
    <row r="366" spans="1:5" x14ac:dyDescent="0.3">
      <c r="B366" s="4" t="s">
        <v>36</v>
      </c>
      <c r="C366" s="4">
        <v>4</v>
      </c>
      <c r="D366" s="4">
        <v>0.24</v>
      </c>
      <c r="E366" s="8">
        <f t="shared" si="30"/>
        <v>0.96</v>
      </c>
    </row>
    <row r="367" spans="1:5" x14ac:dyDescent="0.3">
      <c r="E367" s="8">
        <f>SUM(E361:E366)</f>
        <v>810.19905000000006</v>
      </c>
    </row>
    <row r="368" spans="1:5" x14ac:dyDescent="0.3">
      <c r="B368" s="4" t="s">
        <v>37</v>
      </c>
      <c r="C368">
        <v>6</v>
      </c>
      <c r="D368" t="s">
        <v>393</v>
      </c>
      <c r="E368" s="8">
        <v>510</v>
      </c>
    </row>
    <row r="369" spans="1:5" x14ac:dyDescent="0.3">
      <c r="E369" s="8">
        <f>SUM(E367:E368)</f>
        <v>1320.1990500000002</v>
      </c>
    </row>
    <row r="371" spans="1:5" x14ac:dyDescent="0.3">
      <c r="C371" s="4" t="s">
        <v>28</v>
      </c>
      <c r="D371" s="4" t="s">
        <v>29</v>
      </c>
      <c r="E371" s="4" t="s">
        <v>30</v>
      </c>
    </row>
    <row r="372" spans="1:5" x14ac:dyDescent="0.3">
      <c r="A372" t="s">
        <v>406</v>
      </c>
      <c r="B372" s="4" t="s">
        <v>32</v>
      </c>
      <c r="C372" s="4">
        <v>2.73</v>
      </c>
      <c r="D372" s="4">
        <v>19.89</v>
      </c>
      <c r="E372" s="8">
        <f t="shared" ref="E372:E377" si="31">C372*D372</f>
        <v>54.299700000000001</v>
      </c>
    </row>
    <row r="373" spans="1:5" x14ac:dyDescent="0.3">
      <c r="A373" t="s">
        <v>168</v>
      </c>
      <c r="B373" s="4" t="s">
        <v>33</v>
      </c>
      <c r="C373" s="4">
        <v>18.501999999999999</v>
      </c>
      <c r="D373" s="4">
        <v>11.03</v>
      </c>
      <c r="E373" s="8">
        <f t="shared" si="31"/>
        <v>204.07705999999999</v>
      </c>
    </row>
    <row r="374" spans="1:5" x14ac:dyDescent="0.3">
      <c r="B374" s="4" t="s">
        <v>88</v>
      </c>
      <c r="C374" s="4">
        <v>4</v>
      </c>
      <c r="D374" s="4">
        <v>2.98</v>
      </c>
      <c r="E374" s="8">
        <f t="shared" si="31"/>
        <v>11.92</v>
      </c>
    </row>
    <row r="375" spans="1:5" x14ac:dyDescent="0.3">
      <c r="B375" s="4" t="s">
        <v>34</v>
      </c>
      <c r="C375" s="4">
        <v>1.5</v>
      </c>
      <c r="D375" s="4">
        <v>12.43</v>
      </c>
      <c r="E375" s="8">
        <f t="shared" si="31"/>
        <v>18.645</v>
      </c>
    </row>
    <row r="376" spans="1:5" x14ac:dyDescent="0.3">
      <c r="B376" s="4" t="s">
        <v>35</v>
      </c>
      <c r="C376" s="4">
        <v>8</v>
      </c>
      <c r="D376" s="4">
        <v>1.89</v>
      </c>
      <c r="E376" s="8">
        <f t="shared" si="31"/>
        <v>15.12</v>
      </c>
    </row>
    <row r="377" spans="1:5" x14ac:dyDescent="0.3">
      <c r="B377" s="4" t="s">
        <v>36</v>
      </c>
      <c r="C377" s="4">
        <v>4</v>
      </c>
      <c r="D377" s="4">
        <v>0.24</v>
      </c>
      <c r="E377" s="8">
        <f t="shared" si="31"/>
        <v>0.96</v>
      </c>
    </row>
    <row r="378" spans="1:5" x14ac:dyDescent="0.3">
      <c r="E378" s="8">
        <f>SUM(E372:E377)</f>
        <v>305.02175999999997</v>
      </c>
    </row>
    <row r="379" spans="1:5" x14ac:dyDescent="0.3">
      <c r="B379" s="4" t="s">
        <v>37</v>
      </c>
      <c r="C379">
        <v>2</v>
      </c>
      <c r="D379" t="s">
        <v>393</v>
      </c>
      <c r="E379" s="8">
        <v>170</v>
      </c>
    </row>
    <row r="380" spans="1:5" x14ac:dyDescent="0.3">
      <c r="E380" s="8">
        <f>SUM(E378:E379)</f>
        <v>475.02175999999997</v>
      </c>
    </row>
    <row r="382" spans="1:5" x14ac:dyDescent="0.3">
      <c r="C382" s="4" t="s">
        <v>28</v>
      </c>
      <c r="D382" s="4" t="s">
        <v>29</v>
      </c>
      <c r="E382" s="4" t="s">
        <v>30</v>
      </c>
    </row>
    <row r="383" spans="1:5" x14ac:dyDescent="0.3">
      <c r="A383" t="s">
        <v>414</v>
      </c>
      <c r="B383" s="4" t="s">
        <v>32</v>
      </c>
      <c r="C383" s="4">
        <v>3.34</v>
      </c>
      <c r="D383" s="4">
        <v>19.38</v>
      </c>
      <c r="E383" s="8">
        <f t="shared" ref="E383:E388" si="32">C383*D383</f>
        <v>64.729199999999992</v>
      </c>
    </row>
    <row r="384" spans="1:5" x14ac:dyDescent="0.3">
      <c r="A384" t="s">
        <v>415</v>
      </c>
      <c r="B384" s="4" t="s">
        <v>33</v>
      </c>
      <c r="C384" s="4">
        <v>30</v>
      </c>
      <c r="D384" s="4">
        <v>9.83</v>
      </c>
      <c r="E384" s="8">
        <f t="shared" si="32"/>
        <v>294.89999999999998</v>
      </c>
    </row>
    <row r="385" spans="1:5" x14ac:dyDescent="0.3">
      <c r="B385" s="4" t="s">
        <v>87</v>
      </c>
      <c r="C385" s="4">
        <v>4</v>
      </c>
      <c r="D385" s="4">
        <v>1.98</v>
      </c>
      <c r="E385" s="8">
        <f t="shared" si="32"/>
        <v>7.92</v>
      </c>
    </row>
    <row r="386" spans="1:5" x14ac:dyDescent="0.3">
      <c r="B386" s="4" t="s">
        <v>34</v>
      </c>
      <c r="C386" s="4">
        <v>2</v>
      </c>
      <c r="D386" s="4">
        <v>12.43</v>
      </c>
      <c r="E386" s="8">
        <f t="shared" si="32"/>
        <v>24.86</v>
      </c>
    </row>
    <row r="387" spans="1:5" x14ac:dyDescent="0.3">
      <c r="B387" s="4" t="s">
        <v>35</v>
      </c>
      <c r="C387" s="4">
        <v>8</v>
      </c>
      <c r="D387" s="4">
        <v>1.89</v>
      </c>
      <c r="E387" s="8">
        <f t="shared" si="32"/>
        <v>15.12</v>
      </c>
    </row>
    <row r="388" spans="1:5" x14ac:dyDescent="0.3">
      <c r="B388" s="4" t="s">
        <v>36</v>
      </c>
      <c r="C388" s="4">
        <v>4</v>
      </c>
      <c r="D388" s="4">
        <v>0.24</v>
      </c>
      <c r="E388" s="8">
        <f t="shared" si="32"/>
        <v>0.96</v>
      </c>
    </row>
    <row r="389" spans="1:5" x14ac:dyDescent="0.3">
      <c r="E389" s="8">
        <f>SUM(E383:E388)</f>
        <v>408.48919999999998</v>
      </c>
    </row>
    <row r="390" spans="1:5" x14ac:dyDescent="0.3">
      <c r="B390" s="4" t="s">
        <v>37</v>
      </c>
      <c r="C390">
        <v>4</v>
      </c>
      <c r="D390">
        <v>85</v>
      </c>
      <c r="E390" s="8">
        <v>340</v>
      </c>
    </row>
    <row r="391" spans="1:5" x14ac:dyDescent="0.3">
      <c r="E391" s="8">
        <f>SUM(E389:E390)</f>
        <v>748.48919999999998</v>
      </c>
    </row>
    <row r="394" spans="1:5" x14ac:dyDescent="0.3">
      <c r="C394" s="4" t="s">
        <v>28</v>
      </c>
      <c r="D394" s="4" t="s">
        <v>29</v>
      </c>
      <c r="E394" s="4" t="s">
        <v>30</v>
      </c>
    </row>
    <row r="395" spans="1:5" x14ac:dyDescent="0.3">
      <c r="A395" t="s">
        <v>416</v>
      </c>
      <c r="B395" s="4" t="s">
        <v>32</v>
      </c>
      <c r="C395" s="4">
        <v>3.3</v>
      </c>
      <c r="D395" s="4">
        <v>19.38</v>
      </c>
      <c r="E395" s="8">
        <f t="shared" ref="E395:E400" si="33">C395*D395</f>
        <v>63.953999999999994</v>
      </c>
    </row>
    <row r="396" spans="1:5" x14ac:dyDescent="0.3">
      <c r="A396" t="s">
        <v>168</v>
      </c>
      <c r="B396" s="4" t="s">
        <v>33</v>
      </c>
      <c r="C396" s="4">
        <v>26</v>
      </c>
      <c r="D396" s="4">
        <v>9.83</v>
      </c>
      <c r="E396" s="8">
        <f t="shared" si="33"/>
        <v>255.58</v>
      </c>
    </row>
    <row r="397" spans="1:5" x14ac:dyDescent="0.3">
      <c r="B397" s="4" t="s">
        <v>86</v>
      </c>
      <c r="C397" s="4">
        <v>4</v>
      </c>
      <c r="D397" s="4">
        <v>1.98</v>
      </c>
      <c r="E397" s="8">
        <f t="shared" si="33"/>
        <v>7.92</v>
      </c>
    </row>
    <row r="398" spans="1:5" x14ac:dyDescent="0.3">
      <c r="B398" s="4" t="s">
        <v>34</v>
      </c>
      <c r="C398" s="4">
        <v>1.5</v>
      </c>
      <c r="D398" s="4">
        <v>12.43</v>
      </c>
      <c r="E398" s="8">
        <f t="shared" si="33"/>
        <v>18.645</v>
      </c>
    </row>
    <row r="399" spans="1:5" x14ac:dyDescent="0.3">
      <c r="B399" s="4" t="s">
        <v>35</v>
      </c>
      <c r="C399" s="4">
        <v>8</v>
      </c>
      <c r="D399" s="4">
        <v>1.89</v>
      </c>
      <c r="E399" s="8">
        <f t="shared" si="33"/>
        <v>15.12</v>
      </c>
    </row>
    <row r="400" spans="1:5" x14ac:dyDescent="0.3">
      <c r="B400" s="4" t="s">
        <v>36</v>
      </c>
      <c r="C400" s="4">
        <v>4</v>
      </c>
      <c r="D400" s="4">
        <v>0.24</v>
      </c>
      <c r="E400" s="8">
        <f t="shared" si="33"/>
        <v>0.96</v>
      </c>
    </row>
    <row r="401" spans="1:5" x14ac:dyDescent="0.3">
      <c r="E401" s="8">
        <f>SUM(E395:E400)</f>
        <v>362.17899999999997</v>
      </c>
    </row>
    <row r="402" spans="1:5" x14ac:dyDescent="0.3">
      <c r="B402" s="4" t="s">
        <v>37</v>
      </c>
      <c r="C402">
        <v>2.5</v>
      </c>
      <c r="D402">
        <v>85</v>
      </c>
      <c r="E402" s="8">
        <v>212.5</v>
      </c>
    </row>
    <row r="403" spans="1:5" x14ac:dyDescent="0.3">
      <c r="E403" s="8">
        <f>SUM(E401:E402)</f>
        <v>574.67899999999997</v>
      </c>
    </row>
    <row r="405" spans="1:5" x14ac:dyDescent="0.3">
      <c r="C405" s="4" t="s">
        <v>28</v>
      </c>
      <c r="D405" s="4" t="s">
        <v>29</v>
      </c>
      <c r="E405" s="4" t="s">
        <v>30</v>
      </c>
    </row>
    <row r="406" spans="1:5" x14ac:dyDescent="0.3">
      <c r="A406" t="s">
        <v>417</v>
      </c>
      <c r="B406" s="4" t="s">
        <v>32</v>
      </c>
      <c r="C406" s="4">
        <v>2.6</v>
      </c>
      <c r="D406" s="4">
        <v>19.38</v>
      </c>
      <c r="E406" s="8">
        <f t="shared" ref="E406:E411" si="34">C406*D406</f>
        <v>50.387999999999998</v>
      </c>
    </row>
    <row r="407" spans="1:5" x14ac:dyDescent="0.3">
      <c r="A407" t="s">
        <v>293</v>
      </c>
      <c r="B407" s="4" t="s">
        <v>33</v>
      </c>
      <c r="C407" s="4">
        <v>15.6</v>
      </c>
      <c r="D407" s="4">
        <v>9.83</v>
      </c>
      <c r="E407" s="8">
        <f t="shared" si="34"/>
        <v>153.34799999999998</v>
      </c>
    </row>
    <row r="408" spans="1:5" x14ac:dyDescent="0.3">
      <c r="B408" s="4" t="s">
        <v>86</v>
      </c>
      <c r="C408" s="4">
        <v>4</v>
      </c>
      <c r="D408" s="4">
        <v>1.98</v>
      </c>
      <c r="E408" s="8">
        <f t="shared" si="34"/>
        <v>7.92</v>
      </c>
    </row>
    <row r="409" spans="1:5" x14ac:dyDescent="0.3">
      <c r="B409" s="4" t="s">
        <v>34</v>
      </c>
      <c r="C409" s="4">
        <v>0.6</v>
      </c>
      <c r="D409" s="4">
        <v>12.43</v>
      </c>
      <c r="E409" s="8">
        <f t="shared" si="34"/>
        <v>7.4579999999999993</v>
      </c>
    </row>
    <row r="410" spans="1:5" x14ac:dyDescent="0.3">
      <c r="B410" s="4" t="s">
        <v>35</v>
      </c>
      <c r="C410" s="4">
        <v>8</v>
      </c>
      <c r="D410" s="4">
        <v>1.89</v>
      </c>
      <c r="E410" s="8">
        <f t="shared" si="34"/>
        <v>15.12</v>
      </c>
    </row>
    <row r="411" spans="1:5" x14ac:dyDescent="0.3">
      <c r="B411" s="4" t="s">
        <v>36</v>
      </c>
      <c r="C411" s="4">
        <v>4</v>
      </c>
      <c r="D411" s="4">
        <v>0.24</v>
      </c>
      <c r="E411" s="8">
        <f t="shared" si="34"/>
        <v>0.96</v>
      </c>
    </row>
    <row r="412" spans="1:5" x14ac:dyDescent="0.3">
      <c r="E412" s="8">
        <f>SUM(E406:E411)</f>
        <v>235.19399999999999</v>
      </c>
    </row>
    <row r="413" spans="1:5" x14ac:dyDescent="0.3">
      <c r="B413" s="4" t="s">
        <v>37</v>
      </c>
      <c r="C413">
        <v>2</v>
      </c>
      <c r="D413">
        <v>85</v>
      </c>
      <c r="E413" s="8">
        <v>170</v>
      </c>
    </row>
    <row r="414" spans="1:5" x14ac:dyDescent="0.3">
      <c r="E414" s="8">
        <f>SUM(E412:E413)</f>
        <v>405.19399999999996</v>
      </c>
    </row>
    <row r="416" spans="1:5" x14ac:dyDescent="0.3">
      <c r="C416" s="4" t="s">
        <v>28</v>
      </c>
      <c r="D416" s="4" t="s">
        <v>29</v>
      </c>
      <c r="E416" s="4" t="s">
        <v>30</v>
      </c>
    </row>
    <row r="417" spans="1:5" x14ac:dyDescent="0.3">
      <c r="A417" t="s">
        <v>416</v>
      </c>
      <c r="B417" s="4" t="s">
        <v>32</v>
      </c>
      <c r="C417" s="4">
        <v>3.226</v>
      </c>
      <c r="D417" s="4">
        <v>19.89</v>
      </c>
      <c r="E417" s="8">
        <f t="shared" ref="E417:E422" si="35">C417*D417</f>
        <v>64.165140000000008</v>
      </c>
    </row>
    <row r="418" spans="1:5" x14ac:dyDescent="0.3">
      <c r="A418" t="s">
        <v>168</v>
      </c>
      <c r="B418" s="4" t="s">
        <v>33</v>
      </c>
      <c r="C418" s="4">
        <v>26</v>
      </c>
      <c r="D418" s="4">
        <v>11.03</v>
      </c>
      <c r="E418" s="8">
        <f t="shared" si="35"/>
        <v>286.77999999999997</v>
      </c>
    </row>
    <row r="419" spans="1:5" x14ac:dyDescent="0.3">
      <c r="B419" s="4" t="s">
        <v>88</v>
      </c>
      <c r="C419" s="4">
        <v>4</v>
      </c>
      <c r="D419" s="4">
        <v>2.98</v>
      </c>
      <c r="E419" s="8">
        <f t="shared" si="35"/>
        <v>11.92</v>
      </c>
    </row>
    <row r="420" spans="1:5" x14ac:dyDescent="0.3">
      <c r="B420" s="4" t="s">
        <v>34</v>
      </c>
      <c r="C420" s="4">
        <v>1.5</v>
      </c>
      <c r="D420" s="4">
        <v>12.43</v>
      </c>
      <c r="E420" s="8">
        <f t="shared" si="35"/>
        <v>18.645</v>
      </c>
    </row>
    <row r="421" spans="1:5" x14ac:dyDescent="0.3">
      <c r="B421" s="4" t="s">
        <v>35</v>
      </c>
      <c r="C421" s="4">
        <v>8</v>
      </c>
      <c r="D421" s="4">
        <v>1.89</v>
      </c>
      <c r="E421" s="8">
        <f t="shared" si="35"/>
        <v>15.12</v>
      </c>
    </row>
    <row r="422" spans="1:5" x14ac:dyDescent="0.3">
      <c r="B422" s="4" t="s">
        <v>36</v>
      </c>
      <c r="C422" s="4">
        <v>4</v>
      </c>
      <c r="D422" s="4">
        <v>0.24</v>
      </c>
      <c r="E422" s="8">
        <f t="shared" si="35"/>
        <v>0.96</v>
      </c>
    </row>
    <row r="423" spans="1:5" x14ac:dyDescent="0.3">
      <c r="E423" s="8">
        <f>SUM(E417:E422)</f>
        <v>397.59013999999996</v>
      </c>
    </row>
    <row r="424" spans="1:5" x14ac:dyDescent="0.3">
      <c r="B424" s="4" t="s">
        <v>37</v>
      </c>
      <c r="C424">
        <v>1.5</v>
      </c>
      <c r="D424" t="s">
        <v>393</v>
      </c>
      <c r="E424" s="8">
        <v>127.5</v>
      </c>
    </row>
    <row r="425" spans="1:5" x14ac:dyDescent="0.3">
      <c r="E425" s="8">
        <f>SUM(E423:E424)</f>
        <v>525.09014000000002</v>
      </c>
    </row>
    <row r="428" spans="1:5" x14ac:dyDescent="0.3">
      <c r="C428" s="4" t="s">
        <v>28</v>
      </c>
      <c r="D428" s="4" t="s">
        <v>29</v>
      </c>
      <c r="E428" s="4" t="s">
        <v>30</v>
      </c>
    </row>
    <row r="429" spans="1:5" x14ac:dyDescent="0.3">
      <c r="A429" t="s">
        <v>421</v>
      </c>
      <c r="B429" s="4" t="s">
        <v>32</v>
      </c>
      <c r="C429" s="4">
        <v>4.5460000000000003</v>
      </c>
      <c r="D429" s="4">
        <v>19.89</v>
      </c>
      <c r="E429" s="8">
        <f t="shared" ref="E429:E434" si="36">C429*D429</f>
        <v>90.419940000000011</v>
      </c>
    </row>
    <row r="430" spans="1:5" x14ac:dyDescent="0.3">
      <c r="A430" t="s">
        <v>310</v>
      </c>
      <c r="B430" s="4" t="s">
        <v>33</v>
      </c>
      <c r="C430" s="4">
        <v>54.45</v>
      </c>
      <c r="D430" s="4">
        <v>11.03</v>
      </c>
      <c r="E430" s="8">
        <f t="shared" si="36"/>
        <v>600.58349999999996</v>
      </c>
    </row>
    <row r="431" spans="1:5" x14ac:dyDescent="0.3">
      <c r="B431" s="4" t="s">
        <v>88</v>
      </c>
      <c r="C431" s="4">
        <v>4</v>
      </c>
      <c r="D431" s="4">
        <v>2.98</v>
      </c>
      <c r="E431" s="8">
        <f t="shared" si="36"/>
        <v>11.92</v>
      </c>
    </row>
    <row r="432" spans="1:5" x14ac:dyDescent="0.3">
      <c r="B432" s="4" t="s">
        <v>34</v>
      </c>
      <c r="C432" s="4">
        <v>1.5</v>
      </c>
      <c r="D432" s="4">
        <v>12.43</v>
      </c>
      <c r="E432" s="8">
        <f t="shared" si="36"/>
        <v>18.645</v>
      </c>
    </row>
    <row r="433" spans="1:5" x14ac:dyDescent="0.3">
      <c r="B433" s="4" t="s">
        <v>35</v>
      </c>
      <c r="C433" s="4">
        <v>8</v>
      </c>
      <c r="D433" s="4">
        <v>1.89</v>
      </c>
      <c r="E433" s="8">
        <f t="shared" si="36"/>
        <v>15.12</v>
      </c>
    </row>
    <row r="434" spans="1:5" x14ac:dyDescent="0.3">
      <c r="B434" s="4" t="s">
        <v>36</v>
      </c>
      <c r="C434" s="4">
        <v>4</v>
      </c>
      <c r="D434" s="4">
        <v>0.24</v>
      </c>
      <c r="E434" s="8">
        <f t="shared" si="36"/>
        <v>0.96</v>
      </c>
    </row>
    <row r="435" spans="1:5" x14ac:dyDescent="0.3">
      <c r="E435" s="8">
        <f>SUM(E429:E434)</f>
        <v>737.64843999999994</v>
      </c>
    </row>
    <row r="436" spans="1:5" x14ac:dyDescent="0.3">
      <c r="B436" s="4" t="s">
        <v>37</v>
      </c>
      <c r="C436">
        <v>2</v>
      </c>
      <c r="D436" t="s">
        <v>393</v>
      </c>
      <c r="E436" s="8">
        <v>170</v>
      </c>
    </row>
    <row r="437" spans="1:5" x14ac:dyDescent="0.3">
      <c r="E437" s="8">
        <f>SUM(E435:E436)</f>
        <v>907.64843999999994</v>
      </c>
    </row>
    <row r="440" spans="1:5" x14ac:dyDescent="0.3">
      <c r="C440" s="4" t="s">
        <v>28</v>
      </c>
      <c r="D440" s="4" t="s">
        <v>29</v>
      </c>
      <c r="E440" s="4" t="s">
        <v>30</v>
      </c>
    </row>
    <row r="441" spans="1:5" x14ac:dyDescent="0.3">
      <c r="A441" t="s">
        <v>405</v>
      </c>
      <c r="B441" s="4" t="s">
        <v>32</v>
      </c>
      <c r="C441" s="4">
        <v>4.766</v>
      </c>
      <c r="D441" s="4">
        <v>19.89</v>
      </c>
      <c r="E441" s="8">
        <f t="shared" ref="E441:E446" si="37">C441*D441</f>
        <v>94.795740000000009</v>
      </c>
    </row>
    <row r="442" spans="1:5" x14ac:dyDescent="0.3">
      <c r="A442" t="s">
        <v>285</v>
      </c>
      <c r="B442" s="4" t="s">
        <v>33</v>
      </c>
      <c r="C442" s="4">
        <v>58.74</v>
      </c>
      <c r="D442" s="4">
        <v>11.03</v>
      </c>
      <c r="E442" s="8">
        <f t="shared" si="37"/>
        <v>647.90219999999999</v>
      </c>
    </row>
    <row r="443" spans="1:5" x14ac:dyDescent="0.3">
      <c r="B443" s="4" t="s">
        <v>88</v>
      </c>
      <c r="C443" s="4">
        <v>8</v>
      </c>
      <c r="D443" s="4">
        <v>1.86</v>
      </c>
      <c r="E443" s="8">
        <f t="shared" si="37"/>
        <v>14.88</v>
      </c>
    </row>
    <row r="444" spans="1:5" x14ac:dyDescent="0.3">
      <c r="B444" s="4" t="s">
        <v>34</v>
      </c>
      <c r="C444" s="4">
        <v>3.96</v>
      </c>
      <c r="D444" s="4">
        <v>12.43</v>
      </c>
      <c r="E444" s="8">
        <f t="shared" si="37"/>
        <v>49.222799999999999</v>
      </c>
    </row>
    <row r="445" spans="1:5" x14ac:dyDescent="0.3">
      <c r="B445" s="4" t="s">
        <v>35</v>
      </c>
      <c r="C445" s="4">
        <v>8</v>
      </c>
      <c r="D445" s="4">
        <v>1.89</v>
      </c>
      <c r="E445" s="8">
        <f t="shared" si="37"/>
        <v>15.12</v>
      </c>
    </row>
    <row r="446" spans="1:5" x14ac:dyDescent="0.3">
      <c r="B446" s="4" t="s">
        <v>36</v>
      </c>
      <c r="C446" s="4">
        <v>4</v>
      </c>
      <c r="D446" s="4">
        <v>0.24</v>
      </c>
      <c r="E446" s="8">
        <f t="shared" si="37"/>
        <v>0.96</v>
      </c>
    </row>
    <row r="447" spans="1:5" x14ac:dyDescent="0.3">
      <c r="E447" s="8">
        <f>SUM(E441:E446)</f>
        <v>822.88074000000006</v>
      </c>
    </row>
    <row r="448" spans="1:5" x14ac:dyDescent="0.3">
      <c r="B448" s="4" t="s">
        <v>37</v>
      </c>
      <c r="C448">
        <v>8</v>
      </c>
      <c r="D448" t="s">
        <v>393</v>
      </c>
      <c r="E448" s="8">
        <v>680</v>
      </c>
    </row>
    <row r="449" spans="1:11" x14ac:dyDescent="0.3">
      <c r="E449" s="8">
        <f>SUM(E447:E448)</f>
        <v>1502.8807400000001</v>
      </c>
    </row>
    <row r="451" spans="1:11" x14ac:dyDescent="0.3">
      <c r="C451" s="4" t="s">
        <v>28</v>
      </c>
      <c r="D451" s="4" t="s">
        <v>29</v>
      </c>
      <c r="E451" s="4" t="s">
        <v>30</v>
      </c>
      <c r="I451" s="4" t="s">
        <v>28</v>
      </c>
      <c r="J451" s="4" t="s">
        <v>29</v>
      </c>
      <c r="K451" s="4" t="s">
        <v>30</v>
      </c>
    </row>
    <row r="452" spans="1:11" x14ac:dyDescent="0.3">
      <c r="A452" t="s">
        <v>291</v>
      </c>
      <c r="B452" s="4" t="s">
        <v>32</v>
      </c>
      <c r="C452" s="4">
        <v>2.7850000000000001</v>
      </c>
      <c r="D452" s="4">
        <v>19.89</v>
      </c>
      <c r="E452" s="8">
        <f t="shared" ref="E452:E457" si="38">C452*D452</f>
        <v>55.393650000000001</v>
      </c>
      <c r="G452" t="s">
        <v>543</v>
      </c>
      <c r="H452" s="4" t="s">
        <v>32</v>
      </c>
      <c r="I452" s="4">
        <v>2.742</v>
      </c>
      <c r="J452" s="4">
        <v>19.89</v>
      </c>
      <c r="K452" s="8">
        <f t="shared" ref="K452:K457" si="39">I452*J452</f>
        <v>54.538380000000004</v>
      </c>
    </row>
    <row r="453" spans="1:11" x14ac:dyDescent="0.3">
      <c r="A453" t="s">
        <v>168</v>
      </c>
      <c r="B453" s="4" t="s">
        <v>33</v>
      </c>
      <c r="C453" s="4">
        <v>18.821000000000002</v>
      </c>
      <c r="D453" s="4">
        <v>11.03</v>
      </c>
      <c r="E453" s="8">
        <f t="shared" si="38"/>
        <v>207.59563</v>
      </c>
      <c r="G453" t="s">
        <v>168</v>
      </c>
      <c r="H453" s="4" t="s">
        <v>33</v>
      </c>
      <c r="I453" s="4">
        <v>18.501999999999999</v>
      </c>
      <c r="J453" s="4">
        <v>11.03</v>
      </c>
      <c r="K453" s="8">
        <f t="shared" si="39"/>
        <v>204.07705999999999</v>
      </c>
    </row>
    <row r="454" spans="1:11" x14ac:dyDescent="0.3">
      <c r="B454" s="4" t="s">
        <v>88</v>
      </c>
      <c r="C454" s="4">
        <v>4</v>
      </c>
      <c r="D454" s="4">
        <v>2.98</v>
      </c>
      <c r="E454" s="8">
        <f t="shared" si="38"/>
        <v>11.92</v>
      </c>
      <c r="G454">
        <v>0.34799999999999998</v>
      </c>
      <c r="H454" s="4" t="s">
        <v>88</v>
      </c>
      <c r="I454" s="4">
        <v>4</v>
      </c>
      <c r="J454" s="4">
        <v>2.98</v>
      </c>
      <c r="K454" s="8">
        <f t="shared" si="39"/>
        <v>11.92</v>
      </c>
    </row>
    <row r="455" spans="1:11" x14ac:dyDescent="0.3">
      <c r="B455" s="4" t="s">
        <v>34</v>
      </c>
      <c r="C455" s="4">
        <v>1.5</v>
      </c>
      <c r="D455" s="4">
        <v>12.43</v>
      </c>
      <c r="E455" s="8">
        <f t="shared" si="38"/>
        <v>18.645</v>
      </c>
      <c r="H455" s="4" t="s">
        <v>34</v>
      </c>
      <c r="I455" s="4">
        <v>0.6</v>
      </c>
      <c r="J455" s="4">
        <v>12.43</v>
      </c>
      <c r="K455" s="8">
        <f t="shared" si="39"/>
        <v>7.4579999999999993</v>
      </c>
    </row>
    <row r="456" spans="1:11" x14ac:dyDescent="0.3">
      <c r="B456" s="4" t="s">
        <v>35</v>
      </c>
      <c r="C456" s="4">
        <v>8</v>
      </c>
      <c r="D456" s="4">
        <v>1.89</v>
      </c>
      <c r="E456" s="8">
        <f t="shared" si="38"/>
        <v>15.12</v>
      </c>
      <c r="H456" s="4" t="s">
        <v>35</v>
      </c>
      <c r="I456" s="4">
        <v>4</v>
      </c>
      <c r="J456" s="4">
        <v>1.89</v>
      </c>
      <c r="K456" s="8">
        <f t="shared" si="39"/>
        <v>7.56</v>
      </c>
    </row>
    <row r="457" spans="1:11" x14ac:dyDescent="0.3">
      <c r="B457" s="4" t="s">
        <v>36</v>
      </c>
      <c r="C457" s="4">
        <v>4</v>
      </c>
      <c r="D457" s="4">
        <v>0.24</v>
      </c>
      <c r="E457" s="8">
        <f t="shared" si="38"/>
        <v>0.96</v>
      </c>
      <c r="H457" s="4" t="s">
        <v>36</v>
      </c>
      <c r="I457" s="4">
        <v>4</v>
      </c>
      <c r="J457" s="4">
        <v>0.24</v>
      </c>
      <c r="K457" s="8">
        <f t="shared" si="39"/>
        <v>0.96</v>
      </c>
    </row>
    <row r="458" spans="1:11" x14ac:dyDescent="0.3">
      <c r="E458" s="8">
        <f>SUM(E452:E457)</f>
        <v>309.63427999999999</v>
      </c>
      <c r="K458" s="8">
        <f>SUM(K452:K457)</f>
        <v>286.51344</v>
      </c>
    </row>
    <row r="459" spans="1:11" x14ac:dyDescent="0.3">
      <c r="B459" s="4" t="s">
        <v>37</v>
      </c>
      <c r="C459">
        <v>85</v>
      </c>
      <c r="D459" t="s">
        <v>393</v>
      </c>
      <c r="E459" s="8">
        <v>127.5</v>
      </c>
      <c r="H459" s="4" t="s">
        <v>37</v>
      </c>
      <c r="I459">
        <v>85</v>
      </c>
      <c r="J459" t="s">
        <v>393</v>
      </c>
      <c r="K459" s="8">
        <v>85</v>
      </c>
    </row>
    <row r="460" spans="1:11" x14ac:dyDescent="0.3">
      <c r="E460" s="8">
        <f>SUM(E458:E459)</f>
        <v>437.13427999999999</v>
      </c>
      <c r="K460" s="8">
        <f>SUM(K458:K459)</f>
        <v>371.51344</v>
      </c>
    </row>
    <row r="461" spans="1:11" x14ac:dyDescent="0.3">
      <c r="E461">
        <v>590</v>
      </c>
    </row>
    <row r="463" spans="1:11" x14ac:dyDescent="0.3">
      <c r="C463" s="4" t="s">
        <v>28</v>
      </c>
      <c r="D463" s="4" t="s">
        <v>29</v>
      </c>
      <c r="E463" s="4" t="s">
        <v>30</v>
      </c>
    </row>
    <row r="464" spans="1:11" x14ac:dyDescent="0.3">
      <c r="A464" t="s">
        <v>460</v>
      </c>
      <c r="B464" s="4" t="s">
        <v>32</v>
      </c>
      <c r="C464" s="4">
        <v>4.1710000000000003</v>
      </c>
      <c r="D464" s="4">
        <v>19.89</v>
      </c>
      <c r="E464" s="8">
        <f t="shared" ref="E464:E469" si="40">C464*D464</f>
        <v>82.961190000000002</v>
      </c>
    </row>
    <row r="465" spans="1:5" x14ac:dyDescent="0.3">
      <c r="A465" t="s">
        <v>168</v>
      </c>
      <c r="B465" s="4" t="s">
        <v>33</v>
      </c>
      <c r="C465" s="4">
        <v>39.875</v>
      </c>
      <c r="D465" s="4">
        <v>11.03</v>
      </c>
      <c r="E465" s="8">
        <f t="shared" si="40"/>
        <v>439.82124999999996</v>
      </c>
    </row>
    <row r="466" spans="1:5" x14ac:dyDescent="0.3">
      <c r="B466" s="4" t="s">
        <v>88</v>
      </c>
      <c r="C466" s="4">
        <v>4</v>
      </c>
      <c r="D466" s="4">
        <v>2.98</v>
      </c>
      <c r="E466" s="8">
        <f t="shared" si="40"/>
        <v>11.92</v>
      </c>
    </row>
    <row r="467" spans="1:5" x14ac:dyDescent="0.3">
      <c r="B467" s="4" t="s">
        <v>34</v>
      </c>
      <c r="C467" s="4">
        <v>3.6</v>
      </c>
      <c r="D467" s="4">
        <v>12.43</v>
      </c>
      <c r="E467" s="8">
        <f t="shared" si="40"/>
        <v>44.747999999999998</v>
      </c>
    </row>
    <row r="468" spans="1:5" x14ac:dyDescent="0.3">
      <c r="B468" s="4" t="s">
        <v>35</v>
      </c>
      <c r="C468" s="4">
        <v>8</v>
      </c>
      <c r="D468" s="4">
        <v>1.89</v>
      </c>
      <c r="E468" s="8">
        <f t="shared" si="40"/>
        <v>15.12</v>
      </c>
    </row>
    <row r="469" spans="1:5" x14ac:dyDescent="0.3">
      <c r="B469" s="4" t="s">
        <v>36</v>
      </c>
      <c r="C469" s="4">
        <v>4</v>
      </c>
      <c r="D469" s="4">
        <v>0.24</v>
      </c>
      <c r="E469" s="8">
        <f t="shared" si="40"/>
        <v>0.96</v>
      </c>
    </row>
    <row r="470" spans="1:5" x14ac:dyDescent="0.3">
      <c r="E470" s="8">
        <f>SUM(E464:E469)</f>
        <v>595.53044</v>
      </c>
    </row>
    <row r="471" spans="1:5" x14ac:dyDescent="0.3">
      <c r="B471" s="4" t="s">
        <v>37</v>
      </c>
      <c r="C471" t="s">
        <v>461</v>
      </c>
      <c r="D471" t="s">
        <v>393</v>
      </c>
      <c r="E471" s="8">
        <v>170</v>
      </c>
    </row>
    <row r="472" spans="1:5" x14ac:dyDescent="0.3">
      <c r="E472" s="8">
        <f>SUM(E470:E471)</f>
        <v>765.53044</v>
      </c>
    </row>
    <row r="474" spans="1:5" x14ac:dyDescent="0.3">
      <c r="C474" s="4" t="s">
        <v>28</v>
      </c>
      <c r="D474" s="4" t="s">
        <v>29</v>
      </c>
      <c r="E474" s="4" t="s">
        <v>30</v>
      </c>
    </row>
    <row r="475" spans="1:5" x14ac:dyDescent="0.3">
      <c r="A475" t="s">
        <v>424</v>
      </c>
      <c r="B475" s="4" t="s">
        <v>32</v>
      </c>
      <c r="C475" s="4">
        <v>2.3450000000000002</v>
      </c>
      <c r="D475" s="4">
        <v>19.89</v>
      </c>
      <c r="E475" s="8">
        <f t="shared" ref="E475:E480" si="41">C475*D475</f>
        <v>46.642050000000005</v>
      </c>
    </row>
    <row r="476" spans="1:5" x14ac:dyDescent="0.3">
      <c r="A476" t="s">
        <v>293</v>
      </c>
      <c r="B476" s="4" t="s">
        <v>33</v>
      </c>
      <c r="C476" s="4">
        <v>12.936</v>
      </c>
      <c r="D476" s="4">
        <v>11.03</v>
      </c>
      <c r="E476" s="8">
        <f t="shared" si="41"/>
        <v>142.68407999999999</v>
      </c>
    </row>
    <row r="477" spans="1:5" x14ac:dyDescent="0.3">
      <c r="B477" s="4" t="s">
        <v>88</v>
      </c>
      <c r="C477" s="4">
        <v>4</v>
      </c>
      <c r="D477" s="4">
        <v>2.98</v>
      </c>
      <c r="E477" s="8">
        <f t="shared" si="41"/>
        <v>11.92</v>
      </c>
    </row>
    <row r="478" spans="1:5" x14ac:dyDescent="0.3">
      <c r="B478" s="4" t="s">
        <v>34</v>
      </c>
      <c r="C478" s="4">
        <v>1.5</v>
      </c>
      <c r="D478" s="4">
        <v>12.43</v>
      </c>
      <c r="E478" s="8">
        <f t="shared" si="41"/>
        <v>18.645</v>
      </c>
    </row>
    <row r="479" spans="1:5" x14ac:dyDescent="0.3">
      <c r="B479" s="4" t="s">
        <v>35</v>
      </c>
      <c r="C479" s="4">
        <v>8</v>
      </c>
      <c r="D479" s="4">
        <v>1.89</v>
      </c>
      <c r="E479" s="8">
        <f t="shared" si="41"/>
        <v>15.12</v>
      </c>
    </row>
    <row r="480" spans="1:5" x14ac:dyDescent="0.3">
      <c r="B480" s="4" t="s">
        <v>36</v>
      </c>
      <c r="C480" s="4">
        <v>4</v>
      </c>
      <c r="D480" s="4">
        <v>0.24</v>
      </c>
      <c r="E480" s="8">
        <f t="shared" si="41"/>
        <v>0.96</v>
      </c>
    </row>
    <row r="481" spans="1:5" x14ac:dyDescent="0.3">
      <c r="E481" s="8">
        <f>SUM(E475:E480)</f>
        <v>235.97113000000002</v>
      </c>
    </row>
    <row r="482" spans="1:5" x14ac:dyDescent="0.3">
      <c r="B482" s="4" t="s">
        <v>37</v>
      </c>
      <c r="C482">
        <v>1</v>
      </c>
      <c r="D482" t="s">
        <v>393</v>
      </c>
      <c r="E482" s="8">
        <v>85</v>
      </c>
    </row>
    <row r="483" spans="1:5" x14ac:dyDescent="0.3">
      <c r="E483" s="8">
        <f>SUM(E481:E482)</f>
        <v>320.97113000000002</v>
      </c>
    </row>
    <row r="485" spans="1:5" x14ac:dyDescent="0.3">
      <c r="C485" s="4" t="s">
        <v>28</v>
      </c>
      <c r="D485" s="4" t="s">
        <v>29</v>
      </c>
      <c r="E485" s="4" t="s">
        <v>30</v>
      </c>
    </row>
    <row r="486" spans="1:5" x14ac:dyDescent="0.3">
      <c r="A486" t="s">
        <v>376</v>
      </c>
      <c r="B486" s="4" t="s">
        <v>32</v>
      </c>
      <c r="C486" s="4">
        <v>3.6659999999999999</v>
      </c>
      <c r="D486" s="4">
        <v>19.89</v>
      </c>
      <c r="E486" s="8">
        <f t="shared" ref="E486:E491" si="42">C486*D486</f>
        <v>72.916740000000004</v>
      </c>
    </row>
    <row r="487" spans="1:5" x14ac:dyDescent="0.3">
      <c r="A487" t="s">
        <v>168</v>
      </c>
      <c r="B487" s="4" t="s">
        <v>33</v>
      </c>
      <c r="C487" s="4">
        <v>31.581</v>
      </c>
      <c r="D487" s="4">
        <v>11.03</v>
      </c>
      <c r="E487" s="8">
        <f t="shared" si="42"/>
        <v>348.33842999999996</v>
      </c>
    </row>
    <row r="488" spans="1:5" x14ac:dyDescent="0.3">
      <c r="B488" s="4" t="s">
        <v>89</v>
      </c>
      <c r="C488" s="4">
        <v>4</v>
      </c>
      <c r="D488" s="4">
        <v>2.98</v>
      </c>
      <c r="E488" s="8">
        <f t="shared" si="42"/>
        <v>11.92</v>
      </c>
    </row>
    <row r="489" spans="1:5" x14ac:dyDescent="0.3">
      <c r="B489" s="4" t="s">
        <v>34</v>
      </c>
      <c r="C489" s="4">
        <v>2</v>
      </c>
      <c r="D489" s="4">
        <v>12.43</v>
      </c>
      <c r="E489" s="8">
        <f t="shared" si="42"/>
        <v>24.86</v>
      </c>
    </row>
    <row r="490" spans="1:5" x14ac:dyDescent="0.3">
      <c r="B490" s="4" t="s">
        <v>35</v>
      </c>
      <c r="C490" s="4">
        <v>8</v>
      </c>
      <c r="D490" s="4">
        <v>1.89</v>
      </c>
      <c r="E490" s="8">
        <f t="shared" si="42"/>
        <v>15.12</v>
      </c>
    </row>
    <row r="491" spans="1:5" x14ac:dyDescent="0.3">
      <c r="B491" s="4" t="s">
        <v>36</v>
      </c>
      <c r="C491" s="4">
        <v>4</v>
      </c>
      <c r="D491" s="4">
        <v>0.24</v>
      </c>
      <c r="E491" s="8">
        <f t="shared" si="42"/>
        <v>0.96</v>
      </c>
    </row>
    <row r="492" spans="1:5" x14ac:dyDescent="0.3">
      <c r="E492" s="8">
        <f>SUM(E486:E491)</f>
        <v>474.11516999999998</v>
      </c>
    </row>
    <row r="493" spans="1:5" x14ac:dyDescent="0.3">
      <c r="B493" s="4" t="s">
        <v>37</v>
      </c>
      <c r="C493" t="s">
        <v>462</v>
      </c>
      <c r="D493" t="s">
        <v>393</v>
      </c>
      <c r="E493" s="8">
        <v>255</v>
      </c>
    </row>
    <row r="494" spans="1:5" x14ac:dyDescent="0.3">
      <c r="E494" s="8">
        <f>SUM(E492:E493)</f>
        <v>729.11517000000003</v>
      </c>
    </row>
    <row r="497" spans="1:5" x14ac:dyDescent="0.3">
      <c r="C497" s="4" t="s">
        <v>28</v>
      </c>
      <c r="D497" s="4" t="s">
        <v>29</v>
      </c>
      <c r="E497" s="4" t="s">
        <v>30</v>
      </c>
    </row>
    <row r="498" spans="1:5" x14ac:dyDescent="0.3">
      <c r="A498" t="s">
        <v>421</v>
      </c>
      <c r="B498" s="4" t="s">
        <v>32</v>
      </c>
      <c r="C498" s="4">
        <v>3.6659999999999999</v>
      </c>
      <c r="D498" s="4">
        <v>19.89</v>
      </c>
      <c r="E498" s="8">
        <f t="shared" ref="E498:E503" si="43">C498*D498</f>
        <v>72.916740000000004</v>
      </c>
    </row>
    <row r="499" spans="1:5" x14ac:dyDescent="0.3">
      <c r="A499" t="s">
        <v>464</v>
      </c>
      <c r="B499" s="4" t="s">
        <v>33</v>
      </c>
      <c r="C499" s="4">
        <v>31.581</v>
      </c>
      <c r="D499" s="4">
        <v>11.03</v>
      </c>
      <c r="E499" s="8">
        <f t="shared" si="43"/>
        <v>348.33842999999996</v>
      </c>
    </row>
    <row r="500" spans="1:5" x14ac:dyDescent="0.3">
      <c r="B500" s="4" t="s">
        <v>89</v>
      </c>
      <c r="C500" s="4">
        <v>4</v>
      </c>
      <c r="D500" s="4">
        <v>2.98</v>
      </c>
      <c r="E500" s="8">
        <f t="shared" si="43"/>
        <v>11.92</v>
      </c>
    </row>
    <row r="501" spans="1:5" x14ac:dyDescent="0.3">
      <c r="B501" s="4" t="s">
        <v>34</v>
      </c>
      <c r="C501" s="4">
        <v>2</v>
      </c>
      <c r="D501" s="4">
        <v>12.43</v>
      </c>
      <c r="E501" s="8">
        <f t="shared" si="43"/>
        <v>24.86</v>
      </c>
    </row>
    <row r="502" spans="1:5" x14ac:dyDescent="0.3">
      <c r="B502" s="4" t="s">
        <v>35</v>
      </c>
      <c r="C502" s="4">
        <v>8</v>
      </c>
      <c r="D502" s="4">
        <v>1.89</v>
      </c>
      <c r="E502" s="8">
        <f t="shared" si="43"/>
        <v>15.12</v>
      </c>
    </row>
    <row r="503" spans="1:5" x14ac:dyDescent="0.3">
      <c r="B503" s="4" t="s">
        <v>36</v>
      </c>
      <c r="C503" s="4">
        <v>4</v>
      </c>
      <c r="D503" s="4">
        <v>0.24</v>
      </c>
      <c r="E503" s="8">
        <f t="shared" si="43"/>
        <v>0.96</v>
      </c>
    </row>
    <row r="504" spans="1:5" x14ac:dyDescent="0.3">
      <c r="E504" s="8">
        <f>SUM(E498:E503)</f>
        <v>474.11516999999998</v>
      </c>
    </row>
    <row r="505" spans="1:5" x14ac:dyDescent="0.3">
      <c r="B505" s="4" t="s">
        <v>37</v>
      </c>
      <c r="C505" t="s">
        <v>462</v>
      </c>
      <c r="D505" t="s">
        <v>393</v>
      </c>
      <c r="E505" s="8">
        <v>255</v>
      </c>
    </row>
    <row r="506" spans="1:5" x14ac:dyDescent="0.3">
      <c r="E506" s="8">
        <f>SUM(E504:E505)</f>
        <v>729.11517000000003</v>
      </c>
    </row>
    <row r="509" spans="1:5" x14ac:dyDescent="0.3">
      <c r="C509" s="4" t="s">
        <v>28</v>
      </c>
      <c r="D509" s="4" t="s">
        <v>29</v>
      </c>
      <c r="E509" s="4" t="s">
        <v>30</v>
      </c>
    </row>
    <row r="510" spans="1:5" x14ac:dyDescent="0.3">
      <c r="A510" t="s">
        <v>467</v>
      </c>
      <c r="B510" s="4" t="s">
        <v>32</v>
      </c>
      <c r="C510" s="4">
        <v>4.4580000000000002</v>
      </c>
      <c r="D510" s="4">
        <v>19.89</v>
      </c>
      <c r="E510" s="8">
        <f t="shared" ref="E510:E515" si="44">C510*D510</f>
        <v>88.669620000000009</v>
      </c>
    </row>
    <row r="511" spans="1:5" x14ac:dyDescent="0.3">
      <c r="A511" t="s">
        <v>468</v>
      </c>
      <c r="B511" s="4" t="s">
        <v>33</v>
      </c>
      <c r="C511" s="4">
        <v>54.417000000000002</v>
      </c>
      <c r="D511" s="4">
        <v>11.03</v>
      </c>
      <c r="E511" s="8">
        <f t="shared" si="44"/>
        <v>600.21951000000001</v>
      </c>
    </row>
    <row r="512" spans="1:5" x14ac:dyDescent="0.3">
      <c r="B512" s="4" t="s">
        <v>88</v>
      </c>
      <c r="C512" s="4">
        <v>4</v>
      </c>
      <c r="D512" s="4">
        <v>2.98</v>
      </c>
      <c r="E512" s="8">
        <f t="shared" si="44"/>
        <v>11.92</v>
      </c>
    </row>
    <row r="513" spans="1:5" x14ac:dyDescent="0.3">
      <c r="B513" s="4" t="s">
        <v>34</v>
      </c>
      <c r="C513" s="4">
        <v>2</v>
      </c>
      <c r="D513" s="4">
        <v>12.43</v>
      </c>
      <c r="E513" s="8">
        <f t="shared" si="44"/>
        <v>24.86</v>
      </c>
    </row>
    <row r="514" spans="1:5" x14ac:dyDescent="0.3">
      <c r="B514" s="4" t="s">
        <v>35</v>
      </c>
      <c r="C514" s="4">
        <v>8</v>
      </c>
      <c r="D514" s="4">
        <v>1.89</v>
      </c>
      <c r="E514" s="8">
        <f t="shared" si="44"/>
        <v>15.12</v>
      </c>
    </row>
    <row r="515" spans="1:5" x14ac:dyDescent="0.3">
      <c r="B515" s="4" t="s">
        <v>36</v>
      </c>
      <c r="C515" s="4">
        <v>4</v>
      </c>
      <c r="D515" s="4">
        <v>0.24</v>
      </c>
      <c r="E515" s="8">
        <f t="shared" si="44"/>
        <v>0.96</v>
      </c>
    </row>
    <row r="516" spans="1:5" x14ac:dyDescent="0.3">
      <c r="E516" s="8">
        <f>SUM(E510:E515)</f>
        <v>741.74913000000004</v>
      </c>
    </row>
    <row r="517" spans="1:5" x14ac:dyDescent="0.3">
      <c r="B517" s="4" t="s">
        <v>37</v>
      </c>
      <c r="C517" t="s">
        <v>462</v>
      </c>
      <c r="D517" t="s">
        <v>393</v>
      </c>
      <c r="E517" s="8">
        <v>255</v>
      </c>
    </row>
    <row r="518" spans="1:5" x14ac:dyDescent="0.3">
      <c r="E518" s="8">
        <f>SUM(E516:E517)</f>
        <v>996.74913000000004</v>
      </c>
    </row>
    <row r="521" spans="1:5" x14ac:dyDescent="0.3">
      <c r="C521" s="4" t="s">
        <v>28</v>
      </c>
      <c r="D521" s="4" t="s">
        <v>29</v>
      </c>
      <c r="E521" s="4" t="s">
        <v>30</v>
      </c>
    </row>
    <row r="522" spans="1:5" x14ac:dyDescent="0.3">
      <c r="A522" t="s">
        <v>469</v>
      </c>
      <c r="B522" s="4" t="s">
        <v>32</v>
      </c>
      <c r="C522" s="4">
        <v>5.2050000000000001</v>
      </c>
      <c r="D522" s="4">
        <v>19.89</v>
      </c>
      <c r="E522" s="8">
        <f t="shared" ref="E522:E527" si="45">C522*D522</f>
        <v>103.52745</v>
      </c>
    </row>
    <row r="523" spans="1:5" x14ac:dyDescent="0.3">
      <c r="A523" t="s">
        <v>468</v>
      </c>
      <c r="B523" s="4" t="s">
        <v>33</v>
      </c>
      <c r="C523" s="4">
        <v>63.954000000000001</v>
      </c>
      <c r="D523" s="4">
        <v>11.03</v>
      </c>
      <c r="E523" s="8">
        <f t="shared" si="45"/>
        <v>705.41261999999995</v>
      </c>
    </row>
    <row r="524" spans="1:5" x14ac:dyDescent="0.3">
      <c r="B524" s="4" t="s">
        <v>88</v>
      </c>
      <c r="C524" s="4">
        <v>4</v>
      </c>
      <c r="D524" s="4">
        <v>2.98</v>
      </c>
      <c r="E524" s="8">
        <f t="shared" si="45"/>
        <v>11.92</v>
      </c>
    </row>
    <row r="525" spans="1:5" x14ac:dyDescent="0.3">
      <c r="B525" s="4" t="s">
        <v>34</v>
      </c>
      <c r="C525" s="4">
        <v>2</v>
      </c>
      <c r="D525" s="4">
        <v>12.43</v>
      </c>
      <c r="E525" s="8">
        <f t="shared" si="45"/>
        <v>24.86</v>
      </c>
    </row>
    <row r="526" spans="1:5" x14ac:dyDescent="0.3">
      <c r="B526" s="4" t="s">
        <v>35</v>
      </c>
      <c r="C526" s="4">
        <v>8</v>
      </c>
      <c r="D526" s="4">
        <v>1.89</v>
      </c>
      <c r="E526" s="8">
        <f t="shared" si="45"/>
        <v>15.12</v>
      </c>
    </row>
    <row r="527" spans="1:5" x14ac:dyDescent="0.3">
      <c r="B527" s="4" t="s">
        <v>36</v>
      </c>
      <c r="C527" s="4">
        <v>4</v>
      </c>
      <c r="D527" s="4">
        <v>0.24</v>
      </c>
      <c r="E527" s="8">
        <f t="shared" si="45"/>
        <v>0.96</v>
      </c>
    </row>
    <row r="528" spans="1:5" x14ac:dyDescent="0.3">
      <c r="E528" s="8">
        <f>SUM(E522:E527)</f>
        <v>861.80007000000001</v>
      </c>
    </row>
    <row r="529" spans="1:5" x14ac:dyDescent="0.3">
      <c r="B529" s="4" t="s">
        <v>37</v>
      </c>
      <c r="C529" t="s">
        <v>470</v>
      </c>
      <c r="D529" t="s">
        <v>393</v>
      </c>
      <c r="E529" s="8">
        <v>297.5</v>
      </c>
    </row>
    <row r="530" spans="1:5" x14ac:dyDescent="0.3">
      <c r="E530" s="8">
        <f>SUM(E528:E529)</f>
        <v>1159.30007</v>
      </c>
    </row>
    <row r="533" spans="1:5" x14ac:dyDescent="0.3">
      <c r="C533" s="4" t="s">
        <v>28</v>
      </c>
      <c r="D533" s="4" t="s">
        <v>29</v>
      </c>
      <c r="E533" s="4" t="s">
        <v>30</v>
      </c>
    </row>
    <row r="534" spans="1:5" x14ac:dyDescent="0.3">
      <c r="A534" t="s">
        <v>472</v>
      </c>
      <c r="B534" s="4" t="s">
        <v>32</v>
      </c>
      <c r="C534" s="4">
        <v>1.355</v>
      </c>
      <c r="D534" s="4">
        <v>19.89</v>
      </c>
      <c r="E534" s="8">
        <f t="shared" ref="E534:E539" si="46">C534*D534</f>
        <v>26.950949999999999</v>
      </c>
    </row>
    <row r="535" spans="1:5" x14ac:dyDescent="0.3">
      <c r="A535" t="s">
        <v>212</v>
      </c>
      <c r="B535" s="4" t="s">
        <v>33</v>
      </c>
      <c r="C535" s="4">
        <v>3.4649999999999999</v>
      </c>
      <c r="D535" s="4">
        <v>11.03</v>
      </c>
      <c r="E535" s="8">
        <f t="shared" si="46"/>
        <v>38.21895</v>
      </c>
    </row>
    <row r="536" spans="1:5" x14ac:dyDescent="0.3">
      <c r="B536" s="4" t="s">
        <v>85</v>
      </c>
      <c r="C536" s="4">
        <v>2</v>
      </c>
      <c r="D536" s="4">
        <v>1.54</v>
      </c>
      <c r="E536" s="8">
        <f t="shared" si="46"/>
        <v>3.08</v>
      </c>
    </row>
    <row r="537" spans="1:5" x14ac:dyDescent="0.3">
      <c r="B537" s="4" t="s">
        <v>34</v>
      </c>
      <c r="C537" s="4"/>
      <c r="D537" s="4"/>
      <c r="E537" s="8">
        <f t="shared" si="46"/>
        <v>0</v>
      </c>
    </row>
    <row r="538" spans="1:5" x14ac:dyDescent="0.3">
      <c r="B538" s="4" t="s">
        <v>35</v>
      </c>
      <c r="C538" s="4">
        <v>4</v>
      </c>
      <c r="D538" s="4">
        <v>1.89</v>
      </c>
      <c r="E538" s="8">
        <f t="shared" si="46"/>
        <v>7.56</v>
      </c>
    </row>
    <row r="539" spans="1:5" x14ac:dyDescent="0.3">
      <c r="B539" s="4" t="s">
        <v>36</v>
      </c>
      <c r="C539" s="4">
        <v>4</v>
      </c>
      <c r="D539" s="4">
        <v>0.24</v>
      </c>
      <c r="E539" s="8">
        <f t="shared" si="46"/>
        <v>0.96</v>
      </c>
    </row>
    <row r="540" spans="1:5" x14ac:dyDescent="0.3">
      <c r="E540" s="9">
        <f>SUM(E534:E539)</f>
        <v>76.769899999999993</v>
      </c>
    </row>
    <row r="541" spans="1:5" x14ac:dyDescent="0.3">
      <c r="B541" s="4" t="s">
        <v>37</v>
      </c>
      <c r="C541">
        <v>42.5</v>
      </c>
      <c r="E541" s="8">
        <v>42.5</v>
      </c>
    </row>
    <row r="542" spans="1:5" x14ac:dyDescent="0.3">
      <c r="E542" s="8">
        <f>SUM(E540:E541)</f>
        <v>119.26989999999999</v>
      </c>
    </row>
    <row r="545" spans="1:5" x14ac:dyDescent="0.3">
      <c r="C545" s="4" t="s">
        <v>28</v>
      </c>
      <c r="D545" s="4" t="s">
        <v>29</v>
      </c>
      <c r="E545" s="4" t="s">
        <v>30</v>
      </c>
    </row>
    <row r="546" spans="1:5" x14ac:dyDescent="0.3">
      <c r="A546" t="s">
        <v>473</v>
      </c>
      <c r="B546" s="4" t="s">
        <v>32</v>
      </c>
      <c r="C546" s="4">
        <v>1.796</v>
      </c>
      <c r="D546" s="4">
        <v>19.89</v>
      </c>
      <c r="E546" s="8">
        <f t="shared" ref="E546:E551" si="47">C546*D546</f>
        <v>35.722439999999999</v>
      </c>
    </row>
    <row r="547" spans="1:5" x14ac:dyDescent="0.3">
      <c r="A547" t="s">
        <v>212</v>
      </c>
      <c r="B547" s="4" t="s">
        <v>33</v>
      </c>
      <c r="C547" s="4">
        <v>5.665</v>
      </c>
      <c r="D547" s="4">
        <v>11.03</v>
      </c>
      <c r="E547" s="8">
        <f t="shared" si="47"/>
        <v>62.484949999999998</v>
      </c>
    </row>
    <row r="548" spans="1:5" x14ac:dyDescent="0.3">
      <c r="B548" s="4" t="s">
        <v>85</v>
      </c>
      <c r="C548" s="4">
        <v>2</v>
      </c>
      <c r="D548" s="4">
        <v>1.54</v>
      </c>
      <c r="E548" s="8">
        <f t="shared" si="47"/>
        <v>3.08</v>
      </c>
    </row>
    <row r="549" spans="1:5" x14ac:dyDescent="0.3">
      <c r="B549" s="4" t="s">
        <v>34</v>
      </c>
      <c r="C549" s="4"/>
      <c r="D549" s="4"/>
      <c r="E549" s="8">
        <f t="shared" si="47"/>
        <v>0</v>
      </c>
    </row>
    <row r="550" spans="1:5" x14ac:dyDescent="0.3">
      <c r="B550" s="4" t="s">
        <v>35</v>
      </c>
      <c r="C550" s="4">
        <v>4</v>
      </c>
      <c r="D550" s="4">
        <v>1.89</v>
      </c>
      <c r="E550" s="8">
        <f t="shared" si="47"/>
        <v>7.56</v>
      </c>
    </row>
    <row r="551" spans="1:5" x14ac:dyDescent="0.3">
      <c r="B551" s="4" t="s">
        <v>36</v>
      </c>
      <c r="C551" s="4">
        <v>4</v>
      </c>
      <c r="D551" s="4">
        <v>0.24</v>
      </c>
      <c r="E551" s="8">
        <f t="shared" si="47"/>
        <v>0.96</v>
      </c>
    </row>
    <row r="552" spans="1:5" x14ac:dyDescent="0.3">
      <c r="E552" s="9">
        <f>SUM(E546:E551)</f>
        <v>109.80739</v>
      </c>
    </row>
    <row r="553" spans="1:5" x14ac:dyDescent="0.3">
      <c r="B553" s="4" t="s">
        <v>37</v>
      </c>
      <c r="C553">
        <v>42.5</v>
      </c>
      <c r="E553" s="8">
        <v>42.5</v>
      </c>
    </row>
    <row r="554" spans="1:5" x14ac:dyDescent="0.3">
      <c r="E554" s="8">
        <f>SUM(E552:E553)</f>
        <v>152.30739</v>
      </c>
    </row>
    <row r="556" spans="1:5" x14ac:dyDescent="0.3">
      <c r="C556" s="4" t="s">
        <v>28</v>
      </c>
      <c r="D556" s="4" t="s">
        <v>29</v>
      </c>
      <c r="E556" s="4" t="s">
        <v>30</v>
      </c>
    </row>
    <row r="557" spans="1:5" x14ac:dyDescent="0.3">
      <c r="A557" t="s">
        <v>474</v>
      </c>
      <c r="B557" s="4" t="s">
        <v>32</v>
      </c>
      <c r="C557" s="4">
        <v>2.0150000000000001</v>
      </c>
      <c r="D557" s="4">
        <v>19.89</v>
      </c>
      <c r="E557" s="8">
        <f t="shared" ref="E557:E562" si="48">C557*D557</f>
        <v>40.07835</v>
      </c>
    </row>
    <row r="558" spans="1:5" x14ac:dyDescent="0.3">
      <c r="A558" t="s">
        <v>212</v>
      </c>
      <c r="B558" s="4" t="s">
        <v>33</v>
      </c>
      <c r="C558" s="4">
        <v>6.7649999999999997</v>
      </c>
      <c r="D558" s="4">
        <v>11.03</v>
      </c>
      <c r="E558" s="8">
        <f t="shared" si="48"/>
        <v>74.617949999999993</v>
      </c>
    </row>
    <row r="559" spans="1:5" x14ac:dyDescent="0.3">
      <c r="B559" s="4" t="s">
        <v>85</v>
      </c>
      <c r="C559" s="4">
        <v>2</v>
      </c>
      <c r="D559" s="4">
        <v>1.54</v>
      </c>
      <c r="E559" s="8">
        <f t="shared" si="48"/>
        <v>3.08</v>
      </c>
    </row>
    <row r="560" spans="1:5" x14ac:dyDescent="0.3">
      <c r="B560" s="4" t="s">
        <v>34</v>
      </c>
      <c r="C560" s="4"/>
      <c r="D560" s="4"/>
      <c r="E560" s="8">
        <f t="shared" si="48"/>
        <v>0</v>
      </c>
    </row>
    <row r="561" spans="1:5" x14ac:dyDescent="0.3">
      <c r="B561" s="4" t="s">
        <v>35</v>
      </c>
      <c r="C561" s="4">
        <v>4</v>
      </c>
      <c r="D561" s="4">
        <v>1.89</v>
      </c>
      <c r="E561" s="8">
        <f t="shared" si="48"/>
        <v>7.56</v>
      </c>
    </row>
    <row r="562" spans="1:5" x14ac:dyDescent="0.3">
      <c r="B562" s="4" t="s">
        <v>36</v>
      </c>
      <c r="C562" s="4">
        <v>4</v>
      </c>
      <c r="D562" s="4">
        <v>0.24</v>
      </c>
      <c r="E562" s="8">
        <f t="shared" si="48"/>
        <v>0.96</v>
      </c>
    </row>
    <row r="563" spans="1:5" x14ac:dyDescent="0.3">
      <c r="E563" s="9">
        <f>SUM(E557:E562)</f>
        <v>126.29629999999999</v>
      </c>
    </row>
    <row r="564" spans="1:5" x14ac:dyDescent="0.3">
      <c r="B564" s="4" t="s">
        <v>37</v>
      </c>
      <c r="C564">
        <v>42.5</v>
      </c>
      <c r="E564" s="8">
        <v>42.5</v>
      </c>
    </row>
    <row r="565" spans="1:5" x14ac:dyDescent="0.3">
      <c r="E565" s="8">
        <f>SUM(E563:E564)</f>
        <v>168.79629999999997</v>
      </c>
    </row>
    <row r="567" spans="1:5" x14ac:dyDescent="0.3">
      <c r="C567" s="4" t="s">
        <v>28</v>
      </c>
      <c r="D567" s="4" t="s">
        <v>29</v>
      </c>
      <c r="E567" s="4" t="s">
        <v>30</v>
      </c>
    </row>
    <row r="568" spans="1:5" x14ac:dyDescent="0.3">
      <c r="A568" t="s">
        <v>477</v>
      </c>
      <c r="B568" s="4" t="s">
        <v>32</v>
      </c>
      <c r="C568" s="4">
        <v>1.353</v>
      </c>
      <c r="D568" s="4">
        <v>19.89</v>
      </c>
      <c r="E568" s="8">
        <f t="shared" ref="E568:E573" si="49">C568*D568</f>
        <v>26.911170000000002</v>
      </c>
    </row>
    <row r="569" spans="1:5" x14ac:dyDescent="0.3">
      <c r="A569" t="s">
        <v>262</v>
      </c>
      <c r="B569" s="4" t="s">
        <v>33</v>
      </c>
      <c r="C569" s="4">
        <v>2.2770000000000001</v>
      </c>
      <c r="D569" s="4">
        <v>11.03</v>
      </c>
      <c r="E569" s="8">
        <f t="shared" si="49"/>
        <v>25.115310000000001</v>
      </c>
    </row>
    <row r="570" spans="1:5" x14ac:dyDescent="0.3">
      <c r="B570" s="4" t="s">
        <v>85</v>
      </c>
      <c r="C570" s="4">
        <v>2</v>
      </c>
      <c r="D570" s="4">
        <v>1.54</v>
      </c>
      <c r="E570" s="8">
        <f t="shared" si="49"/>
        <v>3.08</v>
      </c>
    </row>
    <row r="571" spans="1:5" x14ac:dyDescent="0.3">
      <c r="B571" s="4" t="s">
        <v>34</v>
      </c>
      <c r="C571" s="4"/>
      <c r="D571" s="4"/>
      <c r="E571" s="8">
        <f t="shared" si="49"/>
        <v>0</v>
      </c>
    </row>
    <row r="572" spans="1:5" x14ac:dyDescent="0.3">
      <c r="B572" s="4" t="s">
        <v>35</v>
      </c>
      <c r="C572" s="4">
        <v>4</v>
      </c>
      <c r="D572" s="4">
        <v>1.89</v>
      </c>
      <c r="E572" s="8">
        <f t="shared" si="49"/>
        <v>7.56</v>
      </c>
    </row>
    <row r="573" spans="1:5" x14ac:dyDescent="0.3">
      <c r="B573" s="4" t="s">
        <v>36</v>
      </c>
      <c r="C573" s="4">
        <v>4</v>
      </c>
      <c r="D573" s="4">
        <v>0.24</v>
      </c>
      <c r="E573" s="8">
        <f t="shared" si="49"/>
        <v>0.96</v>
      </c>
    </row>
    <row r="574" spans="1:5" x14ac:dyDescent="0.3">
      <c r="E574" s="9">
        <f>SUM(E568:E573)</f>
        <v>63.626480000000008</v>
      </c>
    </row>
    <row r="575" spans="1:5" x14ac:dyDescent="0.3">
      <c r="B575" s="4" t="s">
        <v>37</v>
      </c>
      <c r="C575">
        <v>42.5</v>
      </c>
      <c r="E575" s="8">
        <v>42.5</v>
      </c>
    </row>
    <row r="576" spans="1:5" x14ac:dyDescent="0.3">
      <c r="E576" s="8">
        <f>SUM(E574:E575)</f>
        <v>106.12648000000002</v>
      </c>
    </row>
    <row r="578" spans="1:5" x14ac:dyDescent="0.3">
      <c r="C578" s="4" t="s">
        <v>28</v>
      </c>
      <c r="D578" s="4" t="s">
        <v>29</v>
      </c>
      <c r="E578" s="4" t="s">
        <v>30</v>
      </c>
    </row>
    <row r="579" spans="1:5" x14ac:dyDescent="0.3">
      <c r="A579" t="s">
        <v>476</v>
      </c>
      <c r="B579" s="4" t="s">
        <v>32</v>
      </c>
      <c r="C579" s="4">
        <v>2.456</v>
      </c>
      <c r="D579" s="4">
        <v>19.89</v>
      </c>
      <c r="E579" s="8">
        <f t="shared" ref="E579:E584" si="50">C579*D579</f>
        <v>48.84984</v>
      </c>
    </row>
    <row r="580" spans="1:5" x14ac:dyDescent="0.3">
      <c r="A580" t="s">
        <v>212</v>
      </c>
      <c r="B580" s="4" t="s">
        <v>33</v>
      </c>
      <c r="C580" s="4">
        <v>8.9649999999999999</v>
      </c>
      <c r="D580" s="4">
        <v>11.03</v>
      </c>
      <c r="E580" s="8">
        <f t="shared" si="50"/>
        <v>98.883949999999999</v>
      </c>
    </row>
    <row r="581" spans="1:5" x14ac:dyDescent="0.3">
      <c r="B581" s="4" t="s">
        <v>85</v>
      </c>
      <c r="C581" s="4">
        <v>2</v>
      </c>
      <c r="D581" s="4">
        <v>1.54</v>
      </c>
      <c r="E581" s="8">
        <f t="shared" si="50"/>
        <v>3.08</v>
      </c>
    </row>
    <row r="582" spans="1:5" x14ac:dyDescent="0.3">
      <c r="B582" s="4" t="s">
        <v>34</v>
      </c>
      <c r="C582" s="4"/>
      <c r="D582" s="4"/>
      <c r="E582" s="8">
        <f t="shared" si="50"/>
        <v>0</v>
      </c>
    </row>
    <row r="583" spans="1:5" x14ac:dyDescent="0.3">
      <c r="B583" s="4" t="s">
        <v>35</v>
      </c>
      <c r="C583" s="4">
        <v>4</v>
      </c>
      <c r="D583" s="4">
        <v>1.89</v>
      </c>
      <c r="E583" s="8">
        <f t="shared" si="50"/>
        <v>7.56</v>
      </c>
    </row>
    <row r="584" spans="1:5" x14ac:dyDescent="0.3">
      <c r="B584" s="4" t="s">
        <v>36</v>
      </c>
      <c r="C584" s="4">
        <v>4</v>
      </c>
      <c r="D584" s="4">
        <v>0.24</v>
      </c>
      <c r="E584" s="8">
        <f t="shared" si="50"/>
        <v>0.96</v>
      </c>
    </row>
    <row r="585" spans="1:5" x14ac:dyDescent="0.3">
      <c r="E585" s="9">
        <f>SUM(E579:E584)</f>
        <v>159.33379000000002</v>
      </c>
    </row>
    <row r="586" spans="1:5" x14ac:dyDescent="0.3">
      <c r="B586" s="4" t="s">
        <v>37</v>
      </c>
      <c r="C586">
        <v>42.5</v>
      </c>
      <c r="E586" s="8">
        <v>42.5</v>
      </c>
    </row>
    <row r="587" spans="1:5" x14ac:dyDescent="0.3">
      <c r="E587" s="8">
        <f>SUM(E585:E586)</f>
        <v>201.83379000000002</v>
      </c>
    </row>
    <row r="589" spans="1:5" x14ac:dyDescent="0.3">
      <c r="C589" s="4" t="s">
        <v>28</v>
      </c>
      <c r="D589" s="4" t="s">
        <v>29</v>
      </c>
      <c r="E589" s="4" t="s">
        <v>30</v>
      </c>
    </row>
    <row r="590" spans="1:5" x14ac:dyDescent="0.3">
      <c r="A590" t="s">
        <v>475</v>
      </c>
      <c r="B590" s="4" t="s">
        <v>32</v>
      </c>
      <c r="C590" s="4">
        <v>1.575</v>
      </c>
      <c r="D590" s="4">
        <v>19.89</v>
      </c>
      <c r="E590" s="8">
        <f t="shared" ref="E590:E595" si="51">C590*D590</f>
        <v>31.326750000000001</v>
      </c>
    </row>
    <row r="591" spans="1:5" x14ac:dyDescent="0.3">
      <c r="A591" t="s">
        <v>212</v>
      </c>
      <c r="B591" s="4" t="s">
        <v>33</v>
      </c>
      <c r="C591" s="4">
        <v>4.5650000000000004</v>
      </c>
      <c r="D591" s="4">
        <v>11.03</v>
      </c>
      <c r="E591" s="8">
        <f t="shared" si="51"/>
        <v>50.351950000000002</v>
      </c>
    </row>
    <row r="592" spans="1:5" x14ac:dyDescent="0.3">
      <c r="B592" s="4" t="s">
        <v>85</v>
      </c>
      <c r="C592" s="4">
        <v>2</v>
      </c>
      <c r="D592" s="4">
        <v>1.54</v>
      </c>
      <c r="E592" s="8">
        <f t="shared" si="51"/>
        <v>3.08</v>
      </c>
    </row>
    <row r="593" spans="1:5" x14ac:dyDescent="0.3">
      <c r="B593" s="4" t="s">
        <v>34</v>
      </c>
      <c r="C593" s="4"/>
      <c r="D593" s="4"/>
      <c r="E593" s="8">
        <f t="shared" si="51"/>
        <v>0</v>
      </c>
    </row>
    <row r="594" spans="1:5" x14ac:dyDescent="0.3">
      <c r="B594" s="4" t="s">
        <v>35</v>
      </c>
      <c r="C594" s="4">
        <v>4</v>
      </c>
      <c r="D594" s="4">
        <v>1.89</v>
      </c>
      <c r="E594" s="8">
        <f t="shared" si="51"/>
        <v>7.56</v>
      </c>
    </row>
    <row r="595" spans="1:5" x14ac:dyDescent="0.3">
      <c r="B595" s="4" t="s">
        <v>36</v>
      </c>
      <c r="C595" s="4">
        <v>4</v>
      </c>
      <c r="D595" s="4">
        <v>0.24</v>
      </c>
      <c r="E595" s="8">
        <f t="shared" si="51"/>
        <v>0.96</v>
      </c>
    </row>
    <row r="596" spans="1:5" x14ac:dyDescent="0.3">
      <c r="E596" s="9">
        <f>SUM(E590:E595)</f>
        <v>93.278700000000001</v>
      </c>
    </row>
    <row r="597" spans="1:5" x14ac:dyDescent="0.3">
      <c r="B597" s="4" t="s">
        <v>37</v>
      </c>
      <c r="C597">
        <v>42.5</v>
      </c>
      <c r="E597" s="8">
        <v>42.5</v>
      </c>
    </row>
    <row r="598" spans="1:5" x14ac:dyDescent="0.3">
      <c r="E598" s="8">
        <f>SUM(E596:E597)</f>
        <v>135.77870000000001</v>
      </c>
    </row>
    <row r="600" spans="1:5" x14ac:dyDescent="0.3">
      <c r="C600" s="4" t="s">
        <v>28</v>
      </c>
      <c r="D600" s="4" t="s">
        <v>29</v>
      </c>
      <c r="E600" s="4" t="s">
        <v>30</v>
      </c>
    </row>
    <row r="601" spans="1:5" x14ac:dyDescent="0.3">
      <c r="A601" t="s">
        <v>478</v>
      </c>
      <c r="B601" s="4" t="s">
        <v>32</v>
      </c>
      <c r="C601" s="4">
        <v>2.2360000000000002</v>
      </c>
      <c r="D601" s="4">
        <v>19.89</v>
      </c>
      <c r="E601" s="8">
        <f t="shared" ref="E601:E606" si="52">C601*D601</f>
        <v>44.474040000000002</v>
      </c>
    </row>
    <row r="602" spans="1:5" x14ac:dyDescent="0.3">
      <c r="A602" t="s">
        <v>479</v>
      </c>
      <c r="B602" s="4" t="s">
        <v>33</v>
      </c>
      <c r="C602" s="4">
        <v>10.147</v>
      </c>
      <c r="D602" s="4">
        <v>11.03</v>
      </c>
      <c r="E602" s="8">
        <f t="shared" si="52"/>
        <v>111.92140999999999</v>
      </c>
    </row>
    <row r="603" spans="1:5" x14ac:dyDescent="0.3">
      <c r="B603" s="4" t="s">
        <v>85</v>
      </c>
      <c r="C603" s="4">
        <v>2</v>
      </c>
      <c r="D603" s="4">
        <v>1.54</v>
      </c>
      <c r="E603" s="8">
        <f t="shared" si="52"/>
        <v>3.08</v>
      </c>
    </row>
    <row r="604" spans="1:5" x14ac:dyDescent="0.3">
      <c r="B604" s="4" t="s">
        <v>34</v>
      </c>
      <c r="C604" s="4"/>
      <c r="D604" s="4"/>
      <c r="E604" s="8">
        <f t="shared" si="52"/>
        <v>0</v>
      </c>
    </row>
    <row r="605" spans="1:5" x14ac:dyDescent="0.3">
      <c r="B605" s="4" t="s">
        <v>35</v>
      </c>
      <c r="C605" s="4">
        <v>4</v>
      </c>
      <c r="D605" s="4">
        <v>1.89</v>
      </c>
      <c r="E605" s="8">
        <f t="shared" si="52"/>
        <v>7.56</v>
      </c>
    </row>
    <row r="606" spans="1:5" x14ac:dyDescent="0.3">
      <c r="B606" s="4" t="s">
        <v>36</v>
      </c>
      <c r="C606" s="4">
        <v>4</v>
      </c>
      <c r="D606" s="4">
        <v>0.24</v>
      </c>
      <c r="E606" s="8">
        <f t="shared" si="52"/>
        <v>0.96</v>
      </c>
    </row>
    <row r="607" spans="1:5" x14ac:dyDescent="0.3">
      <c r="E607" s="9">
        <f>SUM(E601:E606)</f>
        <v>167.99545000000001</v>
      </c>
    </row>
    <row r="608" spans="1:5" x14ac:dyDescent="0.3">
      <c r="B608" s="4" t="s">
        <v>37</v>
      </c>
      <c r="C608">
        <v>42.5</v>
      </c>
      <c r="E608" s="8">
        <v>42.5</v>
      </c>
    </row>
    <row r="609" spans="1:5" x14ac:dyDescent="0.3">
      <c r="E609" s="8">
        <f>SUM(E607:E608)</f>
        <v>210.49545000000001</v>
      </c>
    </row>
    <row r="612" spans="1:5" x14ac:dyDescent="0.3">
      <c r="C612" s="4" t="s">
        <v>28</v>
      </c>
      <c r="D612" s="4" t="s">
        <v>29</v>
      </c>
      <c r="E612" s="4" t="s">
        <v>30</v>
      </c>
    </row>
    <row r="613" spans="1:5" x14ac:dyDescent="0.3">
      <c r="A613" t="s">
        <v>396</v>
      </c>
      <c r="B613" s="4" t="s">
        <v>32</v>
      </c>
      <c r="C613" s="4">
        <v>3.6659999999999999</v>
      </c>
      <c r="D613" s="4">
        <v>19.89</v>
      </c>
      <c r="E613" s="8">
        <f t="shared" ref="E613:E618" si="53">C613*D613</f>
        <v>72.916740000000004</v>
      </c>
    </row>
    <row r="614" spans="1:5" x14ac:dyDescent="0.3">
      <c r="A614" t="s">
        <v>346</v>
      </c>
      <c r="B614" s="4" t="s">
        <v>33</v>
      </c>
      <c r="C614" s="4">
        <v>34.76</v>
      </c>
      <c r="D614" s="4">
        <v>11.03</v>
      </c>
      <c r="E614" s="8">
        <f t="shared" si="53"/>
        <v>383.40279999999996</v>
      </c>
    </row>
    <row r="615" spans="1:5" x14ac:dyDescent="0.3">
      <c r="B615" s="4" t="s">
        <v>88</v>
      </c>
      <c r="C615" s="4">
        <v>4</v>
      </c>
      <c r="D615" s="4">
        <v>2.98</v>
      </c>
      <c r="E615" s="8">
        <f t="shared" si="53"/>
        <v>11.92</v>
      </c>
    </row>
    <row r="616" spans="1:5" x14ac:dyDescent="0.3">
      <c r="B616" s="4" t="s">
        <v>34</v>
      </c>
      <c r="C616" s="4">
        <v>2</v>
      </c>
      <c r="D616" s="4">
        <v>12.43</v>
      </c>
      <c r="E616" s="8">
        <f t="shared" si="53"/>
        <v>24.86</v>
      </c>
    </row>
    <row r="617" spans="1:5" x14ac:dyDescent="0.3">
      <c r="B617" s="4" t="s">
        <v>35</v>
      </c>
      <c r="C617" s="4">
        <v>8</v>
      </c>
      <c r="D617" s="4">
        <v>1.89</v>
      </c>
      <c r="E617" s="8">
        <f t="shared" si="53"/>
        <v>15.12</v>
      </c>
    </row>
    <row r="618" spans="1:5" x14ac:dyDescent="0.3">
      <c r="B618" s="4" t="s">
        <v>36</v>
      </c>
      <c r="C618" s="4">
        <v>4</v>
      </c>
      <c r="D618" s="4">
        <v>0.24</v>
      </c>
      <c r="E618" s="8">
        <f t="shared" si="53"/>
        <v>0.96</v>
      </c>
    </row>
    <row r="619" spans="1:5" x14ac:dyDescent="0.3">
      <c r="E619" s="8">
        <f>SUM(E613:E618)</f>
        <v>509.17953999999997</v>
      </c>
    </row>
    <row r="620" spans="1:5" x14ac:dyDescent="0.3">
      <c r="B620" s="4" t="s">
        <v>37</v>
      </c>
      <c r="C620" t="s">
        <v>462</v>
      </c>
      <c r="D620" t="s">
        <v>393</v>
      </c>
      <c r="E620" s="8">
        <v>255</v>
      </c>
    </row>
    <row r="621" spans="1:5" x14ac:dyDescent="0.3">
      <c r="E621" s="8">
        <f>SUM(E619:E620)</f>
        <v>764.17953999999997</v>
      </c>
    </row>
    <row r="624" spans="1:5" x14ac:dyDescent="0.3">
      <c r="C624" s="4" t="s">
        <v>28</v>
      </c>
      <c r="D624" s="4" t="s">
        <v>29</v>
      </c>
      <c r="E624" s="4" t="s">
        <v>30</v>
      </c>
    </row>
    <row r="625" spans="1:5" x14ac:dyDescent="0.3">
      <c r="A625" t="s">
        <v>417</v>
      </c>
      <c r="B625" s="4" t="s">
        <v>32</v>
      </c>
      <c r="C625" s="4">
        <v>2.5659999999999998</v>
      </c>
      <c r="D625" s="4">
        <v>19.89</v>
      </c>
      <c r="E625" s="8">
        <f t="shared" ref="E625:E630" si="54">C625*D625</f>
        <v>51.037739999999999</v>
      </c>
    </row>
    <row r="626" spans="1:5" x14ac:dyDescent="0.3">
      <c r="A626" t="s">
        <v>293</v>
      </c>
      <c r="B626" s="4" t="s">
        <v>33</v>
      </c>
      <c r="C626" s="4">
        <v>15.576000000000001</v>
      </c>
      <c r="D626" s="4">
        <v>11.03</v>
      </c>
      <c r="E626" s="8">
        <f t="shared" si="54"/>
        <v>171.80328</v>
      </c>
    </row>
    <row r="627" spans="1:5" x14ac:dyDescent="0.3">
      <c r="B627" s="4" t="s">
        <v>88</v>
      </c>
      <c r="C627" s="4">
        <v>4</v>
      </c>
      <c r="D627" s="4">
        <v>2.98</v>
      </c>
      <c r="E627" s="8">
        <f t="shared" si="54"/>
        <v>11.92</v>
      </c>
    </row>
    <row r="628" spans="1:5" x14ac:dyDescent="0.3">
      <c r="B628" s="4" t="s">
        <v>34</v>
      </c>
      <c r="C628" s="4">
        <v>2</v>
      </c>
      <c r="D628" s="4">
        <v>12.43</v>
      </c>
      <c r="E628" s="8">
        <f t="shared" si="54"/>
        <v>24.86</v>
      </c>
    </row>
    <row r="629" spans="1:5" x14ac:dyDescent="0.3">
      <c r="B629" s="4" t="s">
        <v>35</v>
      </c>
      <c r="C629" s="4">
        <v>8</v>
      </c>
      <c r="D629" s="4">
        <v>1.89</v>
      </c>
      <c r="E629" s="8">
        <f t="shared" si="54"/>
        <v>15.12</v>
      </c>
    </row>
    <row r="630" spans="1:5" x14ac:dyDescent="0.3">
      <c r="B630" s="4" t="s">
        <v>36</v>
      </c>
      <c r="C630" s="4">
        <v>4</v>
      </c>
      <c r="D630" s="4">
        <v>0.24</v>
      </c>
      <c r="E630" s="8">
        <f t="shared" si="54"/>
        <v>0.96</v>
      </c>
    </row>
    <row r="631" spans="1:5" x14ac:dyDescent="0.3">
      <c r="E631" s="8">
        <f>SUM(E625:E630)</f>
        <v>275.70101999999997</v>
      </c>
    </row>
    <row r="632" spans="1:5" x14ac:dyDescent="0.3">
      <c r="B632" s="4" t="s">
        <v>37</v>
      </c>
      <c r="C632" t="s">
        <v>482</v>
      </c>
      <c r="D632" t="s">
        <v>393</v>
      </c>
      <c r="E632" s="8">
        <v>170</v>
      </c>
    </row>
    <row r="633" spans="1:5" x14ac:dyDescent="0.3">
      <c r="E633" s="8">
        <f>SUM(E631:E632)</f>
        <v>445.70101999999997</v>
      </c>
    </row>
    <row r="635" spans="1:5" x14ac:dyDescent="0.3">
      <c r="C635" s="4" t="s">
        <v>28</v>
      </c>
      <c r="D635" s="4" t="s">
        <v>29</v>
      </c>
      <c r="E635" s="4" t="s">
        <v>30</v>
      </c>
    </row>
    <row r="636" spans="1:5" x14ac:dyDescent="0.3">
      <c r="A636" t="s">
        <v>490</v>
      </c>
      <c r="B636" s="4" t="s">
        <v>32</v>
      </c>
      <c r="C636" s="4">
        <v>5.6459999999999999</v>
      </c>
      <c r="D636" s="4">
        <v>19.89</v>
      </c>
      <c r="E636" s="8">
        <f t="shared" ref="E636:E641" si="55">C636*D636</f>
        <v>112.29894</v>
      </c>
    </row>
    <row r="637" spans="1:5" x14ac:dyDescent="0.3">
      <c r="A637" t="s">
        <v>293</v>
      </c>
      <c r="B637" s="4" t="s">
        <v>33</v>
      </c>
      <c r="C637" s="4">
        <v>52.536000000000001</v>
      </c>
      <c r="D637" s="4">
        <v>11.03</v>
      </c>
      <c r="E637" s="8">
        <f t="shared" si="55"/>
        <v>579.47208000000001</v>
      </c>
    </row>
    <row r="638" spans="1:5" x14ac:dyDescent="0.3">
      <c r="B638" s="4" t="s">
        <v>88</v>
      </c>
      <c r="C638" s="4">
        <v>4</v>
      </c>
      <c r="D638" s="4">
        <v>2.98</v>
      </c>
      <c r="E638" s="8">
        <f t="shared" si="55"/>
        <v>11.92</v>
      </c>
    </row>
    <row r="639" spans="1:5" x14ac:dyDescent="0.3">
      <c r="B639" s="4" t="s">
        <v>34</v>
      </c>
      <c r="C639" s="4">
        <v>3</v>
      </c>
      <c r="D639" s="4">
        <v>12.43</v>
      </c>
      <c r="E639" s="8">
        <f t="shared" si="55"/>
        <v>37.29</v>
      </c>
    </row>
    <row r="640" spans="1:5" x14ac:dyDescent="0.3">
      <c r="B640" s="4" t="s">
        <v>35</v>
      </c>
      <c r="C640" s="4">
        <v>8</v>
      </c>
      <c r="D640" s="4">
        <v>1.89</v>
      </c>
      <c r="E640" s="8">
        <f t="shared" si="55"/>
        <v>15.12</v>
      </c>
    </row>
    <row r="641" spans="1:5" x14ac:dyDescent="0.3">
      <c r="B641" s="4" t="s">
        <v>36</v>
      </c>
      <c r="C641" s="4">
        <v>4</v>
      </c>
      <c r="D641" s="4">
        <v>0.24</v>
      </c>
      <c r="E641" s="8">
        <f t="shared" si="55"/>
        <v>0.96</v>
      </c>
    </row>
    <row r="642" spans="1:5" x14ac:dyDescent="0.3">
      <c r="E642" s="8">
        <f>SUM(E636:E641)</f>
        <v>757.06101999999998</v>
      </c>
    </row>
    <row r="643" spans="1:5" x14ac:dyDescent="0.3">
      <c r="B643" s="4" t="s">
        <v>37</v>
      </c>
      <c r="C643" t="s">
        <v>491</v>
      </c>
      <c r="D643" t="s">
        <v>393</v>
      </c>
      <c r="E643" s="8">
        <v>510</v>
      </c>
    </row>
    <row r="644" spans="1:5" x14ac:dyDescent="0.3">
      <c r="E644" s="8">
        <f>SUM(E642:E643)</f>
        <v>1267.0610200000001</v>
      </c>
    </row>
    <row r="646" spans="1:5" x14ac:dyDescent="0.3">
      <c r="C646" s="4" t="s">
        <v>28</v>
      </c>
      <c r="D646" s="4" t="s">
        <v>29</v>
      </c>
      <c r="E646" s="4" t="s">
        <v>30</v>
      </c>
    </row>
    <row r="647" spans="1:5" x14ac:dyDescent="0.3">
      <c r="A647" t="s">
        <v>523</v>
      </c>
      <c r="B647" s="4" t="s">
        <v>32</v>
      </c>
      <c r="C647" s="4">
        <v>7.1859999999999999</v>
      </c>
      <c r="D647" s="4">
        <v>19.89</v>
      </c>
      <c r="E647" s="8">
        <f t="shared" ref="E647:E652" si="56">C647*D647</f>
        <v>142.92954</v>
      </c>
    </row>
    <row r="648" spans="1:5" x14ac:dyDescent="0.3">
      <c r="A648" t="s">
        <v>346</v>
      </c>
      <c r="B648" s="4" t="s">
        <v>33</v>
      </c>
      <c r="C648" s="4">
        <v>105.16</v>
      </c>
      <c r="D648" s="4">
        <v>11.03</v>
      </c>
      <c r="E648" s="8">
        <f t="shared" si="56"/>
        <v>1159.9147999999998</v>
      </c>
    </row>
    <row r="649" spans="1:5" x14ac:dyDescent="0.3">
      <c r="A649" t="s">
        <v>524</v>
      </c>
      <c r="B649" s="4" t="s">
        <v>359</v>
      </c>
      <c r="C649" s="4">
        <v>4</v>
      </c>
      <c r="D649" s="4">
        <v>2.57</v>
      </c>
      <c r="E649" s="8">
        <f t="shared" si="56"/>
        <v>10.28</v>
      </c>
    </row>
    <row r="650" spans="1:5" x14ac:dyDescent="0.3">
      <c r="B650" s="4" t="s">
        <v>34</v>
      </c>
      <c r="C650" s="4">
        <v>4.8</v>
      </c>
      <c r="D650" s="4">
        <v>12.43</v>
      </c>
      <c r="E650" s="8">
        <f t="shared" si="56"/>
        <v>59.663999999999994</v>
      </c>
    </row>
    <row r="651" spans="1:5" x14ac:dyDescent="0.3">
      <c r="B651" s="4" t="s">
        <v>35</v>
      </c>
      <c r="C651" s="4">
        <v>8</v>
      </c>
      <c r="D651" s="4">
        <v>1.89</v>
      </c>
      <c r="E651" s="8">
        <f t="shared" si="56"/>
        <v>15.12</v>
      </c>
    </row>
    <row r="652" spans="1:5" x14ac:dyDescent="0.3">
      <c r="B652" s="4" t="s">
        <v>36</v>
      </c>
      <c r="C652" s="4">
        <v>4</v>
      </c>
      <c r="D652" s="4">
        <v>0.24</v>
      </c>
      <c r="E652" s="8">
        <f t="shared" si="56"/>
        <v>0.96</v>
      </c>
    </row>
    <row r="653" spans="1:5" x14ac:dyDescent="0.3">
      <c r="E653" s="8">
        <f>SUM(E647:E652)</f>
        <v>1388.8683399999998</v>
      </c>
    </row>
    <row r="654" spans="1:5" x14ac:dyDescent="0.3">
      <c r="B654" s="4" t="s">
        <v>37</v>
      </c>
      <c r="C654" t="s">
        <v>491</v>
      </c>
      <c r="D654" t="s">
        <v>393</v>
      </c>
      <c r="E654" s="8">
        <v>510</v>
      </c>
    </row>
    <row r="655" spans="1:5" x14ac:dyDescent="0.3">
      <c r="E655" s="8">
        <v>1989</v>
      </c>
    </row>
    <row r="657" spans="1:5" x14ac:dyDescent="0.3">
      <c r="C657" s="4" t="s">
        <v>28</v>
      </c>
      <c r="D657" s="4" t="s">
        <v>29</v>
      </c>
      <c r="E657" s="4" t="s">
        <v>30</v>
      </c>
    </row>
    <row r="658" spans="1:5" x14ac:dyDescent="0.3">
      <c r="A658" t="s">
        <v>291</v>
      </c>
      <c r="B658" s="4" t="s">
        <v>32</v>
      </c>
      <c r="C658" s="4">
        <v>2.786</v>
      </c>
      <c r="D658" s="4">
        <v>19.89</v>
      </c>
      <c r="E658" s="8">
        <f t="shared" ref="E658:E663" si="57">C658*D658</f>
        <v>55.413540000000005</v>
      </c>
    </row>
    <row r="659" spans="1:5" x14ac:dyDescent="0.3">
      <c r="A659" t="s">
        <v>541</v>
      </c>
      <c r="B659" s="4" t="s">
        <v>33</v>
      </c>
      <c r="C659" s="4">
        <v>18.821000000000002</v>
      </c>
      <c r="D659" s="4">
        <v>11.03</v>
      </c>
      <c r="E659" s="8">
        <f t="shared" si="57"/>
        <v>207.59563</v>
      </c>
    </row>
    <row r="660" spans="1:5" x14ac:dyDescent="0.3">
      <c r="B660" s="4" t="s">
        <v>85</v>
      </c>
      <c r="C660" s="4">
        <v>2</v>
      </c>
      <c r="D660" s="4">
        <v>1.54</v>
      </c>
      <c r="E660" s="8">
        <f t="shared" si="57"/>
        <v>3.08</v>
      </c>
    </row>
    <row r="661" spans="1:5" x14ac:dyDescent="0.3">
      <c r="B661" s="4" t="s">
        <v>34</v>
      </c>
      <c r="C661" s="4">
        <v>0.6</v>
      </c>
      <c r="D661" s="4">
        <v>12.43</v>
      </c>
      <c r="E661" s="8">
        <f t="shared" si="57"/>
        <v>7.4579999999999993</v>
      </c>
    </row>
    <row r="662" spans="1:5" x14ac:dyDescent="0.3">
      <c r="B662" s="4" t="s">
        <v>35</v>
      </c>
      <c r="C662" s="4">
        <v>4</v>
      </c>
      <c r="D662" s="4">
        <v>1.89</v>
      </c>
      <c r="E662" s="8">
        <f t="shared" si="57"/>
        <v>7.56</v>
      </c>
    </row>
    <row r="663" spans="1:5" x14ac:dyDescent="0.3">
      <c r="B663" s="4" t="s">
        <v>36</v>
      </c>
      <c r="C663" s="4">
        <v>4</v>
      </c>
      <c r="D663" s="4">
        <v>0.24</v>
      </c>
      <c r="E663" s="8">
        <f t="shared" si="57"/>
        <v>0.96</v>
      </c>
    </row>
    <row r="664" spans="1:5" x14ac:dyDescent="0.3">
      <c r="E664" s="9">
        <f>SUM(E658:E663)</f>
        <v>282.06716999999998</v>
      </c>
    </row>
    <row r="665" spans="1:5" x14ac:dyDescent="0.3">
      <c r="B665" s="4" t="s">
        <v>37</v>
      </c>
      <c r="C665">
        <v>1</v>
      </c>
      <c r="D665">
        <v>85</v>
      </c>
      <c r="E665" s="8">
        <v>85</v>
      </c>
    </row>
    <row r="666" spans="1:5" x14ac:dyDescent="0.3">
      <c r="E666" s="8">
        <f>SUM(E664:E665)</f>
        <v>367.06716999999998</v>
      </c>
    </row>
    <row r="668" spans="1:5" x14ac:dyDescent="0.3">
      <c r="C668" s="4" t="s">
        <v>28</v>
      </c>
      <c r="D668" s="4" t="s">
        <v>29</v>
      </c>
      <c r="E668" s="4" t="s">
        <v>30</v>
      </c>
    </row>
    <row r="669" spans="1:5" x14ac:dyDescent="0.3">
      <c r="A669" t="s">
        <v>537</v>
      </c>
      <c r="B669" s="4" t="s">
        <v>32</v>
      </c>
      <c r="C669" s="4">
        <v>3.226</v>
      </c>
      <c r="D669" s="4">
        <v>19.89</v>
      </c>
      <c r="E669" s="8">
        <f t="shared" ref="E669:E674" si="58">C669*D669</f>
        <v>64.165140000000008</v>
      </c>
    </row>
    <row r="670" spans="1:5" x14ac:dyDescent="0.3">
      <c r="A670" t="s">
        <v>542</v>
      </c>
      <c r="B670" s="4" t="s">
        <v>33</v>
      </c>
      <c r="C670" s="4">
        <v>26.565000000000001</v>
      </c>
      <c r="D670" s="4">
        <v>11.03</v>
      </c>
      <c r="E670" s="8">
        <f t="shared" si="58"/>
        <v>293.01195000000001</v>
      </c>
    </row>
    <row r="671" spans="1:5" x14ac:dyDescent="0.3">
      <c r="A671">
        <v>0.49</v>
      </c>
      <c r="B671" s="4" t="s">
        <v>85</v>
      </c>
      <c r="C671" s="4">
        <v>2</v>
      </c>
      <c r="D671" s="4">
        <v>1.54</v>
      </c>
      <c r="E671" s="8">
        <f t="shared" si="58"/>
        <v>3.08</v>
      </c>
    </row>
    <row r="672" spans="1:5" x14ac:dyDescent="0.3">
      <c r="B672" s="4" t="s">
        <v>34</v>
      </c>
      <c r="C672" s="4">
        <v>0.8</v>
      </c>
      <c r="D672" s="4">
        <v>12.43</v>
      </c>
      <c r="E672" s="8">
        <f t="shared" si="58"/>
        <v>9.9440000000000008</v>
      </c>
    </row>
    <row r="673" spans="1:5" x14ac:dyDescent="0.3">
      <c r="B673" s="4" t="s">
        <v>35</v>
      </c>
      <c r="C673" s="4">
        <v>4</v>
      </c>
      <c r="D673" s="4">
        <v>1.89</v>
      </c>
      <c r="E673" s="8">
        <f t="shared" si="58"/>
        <v>7.56</v>
      </c>
    </row>
    <row r="674" spans="1:5" x14ac:dyDescent="0.3">
      <c r="B674" s="4" t="s">
        <v>36</v>
      </c>
      <c r="C674" s="4">
        <v>4</v>
      </c>
      <c r="D674" s="4">
        <v>0.24</v>
      </c>
      <c r="E674" s="8">
        <f t="shared" si="58"/>
        <v>0.96</v>
      </c>
    </row>
    <row r="675" spans="1:5" x14ac:dyDescent="0.3">
      <c r="E675" s="9">
        <f>SUM(E669:E674)</f>
        <v>378.72109</v>
      </c>
    </row>
    <row r="676" spans="1:5" x14ac:dyDescent="0.3">
      <c r="B676" s="4" t="s">
        <v>37</v>
      </c>
      <c r="C676">
        <v>1</v>
      </c>
      <c r="D676">
        <v>85</v>
      </c>
      <c r="E676" s="8">
        <v>85</v>
      </c>
    </row>
    <row r="677" spans="1:5" x14ac:dyDescent="0.3">
      <c r="E677" s="8">
        <f>SUM(E675:E676)</f>
        <v>463.72109</v>
      </c>
    </row>
    <row r="679" spans="1:5" x14ac:dyDescent="0.3">
      <c r="C679" s="4" t="s">
        <v>28</v>
      </c>
      <c r="D679" s="4" t="s">
        <v>29</v>
      </c>
      <c r="E679" s="4" t="s">
        <v>30</v>
      </c>
    </row>
    <row r="680" spans="1:5" x14ac:dyDescent="0.3">
      <c r="A680" t="s">
        <v>515</v>
      </c>
      <c r="B680" s="4" t="s">
        <v>32</v>
      </c>
      <c r="C680" s="4">
        <v>4.766</v>
      </c>
      <c r="D680" s="4">
        <v>19.89</v>
      </c>
      <c r="E680" s="8">
        <f t="shared" ref="E680:E685" si="59">C680*D680</f>
        <v>94.795740000000009</v>
      </c>
    </row>
    <row r="681" spans="1:5" x14ac:dyDescent="0.3">
      <c r="A681" t="s">
        <v>560</v>
      </c>
      <c r="B681" s="4" t="s">
        <v>33</v>
      </c>
      <c r="C681" s="4">
        <v>85.084999999999994</v>
      </c>
      <c r="D681" s="4">
        <v>11.03</v>
      </c>
      <c r="E681" s="8">
        <f t="shared" si="59"/>
        <v>938.48754999999983</v>
      </c>
    </row>
    <row r="682" spans="1:5" x14ac:dyDescent="0.3">
      <c r="A682">
        <v>1.08</v>
      </c>
      <c r="B682" s="4" t="s">
        <v>85</v>
      </c>
      <c r="C682" s="4">
        <v>2</v>
      </c>
      <c r="D682" s="4">
        <v>1.54</v>
      </c>
      <c r="E682" s="8">
        <f t="shared" si="59"/>
        <v>3.08</v>
      </c>
    </row>
    <row r="683" spans="1:5" x14ac:dyDescent="0.3">
      <c r="B683" s="4" t="s">
        <v>34</v>
      </c>
      <c r="C683" s="4">
        <v>4</v>
      </c>
      <c r="D683" s="4">
        <v>12.43</v>
      </c>
      <c r="E683" s="8">
        <f t="shared" si="59"/>
        <v>49.72</v>
      </c>
    </row>
    <row r="684" spans="1:5" x14ac:dyDescent="0.3">
      <c r="B684" s="4" t="s">
        <v>35</v>
      </c>
      <c r="C684" s="4">
        <v>8</v>
      </c>
      <c r="D684" s="4">
        <v>1.89</v>
      </c>
      <c r="E684" s="8">
        <f t="shared" si="59"/>
        <v>15.12</v>
      </c>
    </row>
    <row r="685" spans="1:5" x14ac:dyDescent="0.3">
      <c r="B685" s="4" t="s">
        <v>36</v>
      </c>
      <c r="C685" s="4">
        <v>4</v>
      </c>
      <c r="D685" s="4">
        <v>0.24</v>
      </c>
      <c r="E685" s="8">
        <f t="shared" si="59"/>
        <v>0.96</v>
      </c>
    </row>
    <row r="686" spans="1:5" x14ac:dyDescent="0.3">
      <c r="E686" s="9">
        <f>SUM(E680:E685)</f>
        <v>1102.1632899999997</v>
      </c>
    </row>
    <row r="687" spans="1:5" x14ac:dyDescent="0.3">
      <c r="B687" s="4" t="s">
        <v>37</v>
      </c>
      <c r="C687">
        <v>4</v>
      </c>
      <c r="D687">
        <v>85</v>
      </c>
      <c r="E687" s="8">
        <v>340</v>
      </c>
    </row>
    <row r="688" spans="1:5" x14ac:dyDescent="0.3">
      <c r="E688" s="8">
        <f>SUM(E686:E687)</f>
        <v>1442.1632899999997</v>
      </c>
    </row>
    <row r="690" spans="1:5" x14ac:dyDescent="0.3">
      <c r="C690" s="4" t="s">
        <v>28</v>
      </c>
      <c r="D690" s="4" t="s">
        <v>29</v>
      </c>
      <c r="E690" s="4" t="s">
        <v>30</v>
      </c>
    </row>
    <row r="691" spans="1:5" x14ac:dyDescent="0.3">
      <c r="A691" t="s">
        <v>562</v>
      </c>
      <c r="B691" s="4" t="s">
        <v>32</v>
      </c>
      <c r="C691" s="4">
        <v>2.423</v>
      </c>
      <c r="D691" s="4">
        <v>19.89</v>
      </c>
      <c r="E691" s="8">
        <f t="shared" ref="E691:E696" si="60">C691*D691</f>
        <v>48.193470000000005</v>
      </c>
    </row>
    <row r="692" spans="1:5" x14ac:dyDescent="0.3">
      <c r="A692" t="s">
        <v>52</v>
      </c>
      <c r="B692" s="4" t="s">
        <v>33</v>
      </c>
      <c r="C692" s="4">
        <v>8.1679999999999993</v>
      </c>
      <c r="D692" s="4">
        <v>11.03</v>
      </c>
      <c r="E692" s="8">
        <f t="shared" si="60"/>
        <v>90.093039999999988</v>
      </c>
    </row>
    <row r="693" spans="1:5" x14ac:dyDescent="0.3">
      <c r="B693" s="4" t="s">
        <v>97</v>
      </c>
      <c r="C693" s="4">
        <v>2</v>
      </c>
      <c r="D693" s="4">
        <v>1.54</v>
      </c>
      <c r="E693" s="8">
        <f t="shared" si="60"/>
        <v>3.08</v>
      </c>
    </row>
    <row r="694" spans="1:5" x14ac:dyDescent="0.3">
      <c r="B694" s="4" t="s">
        <v>34</v>
      </c>
      <c r="C694" s="4">
        <v>0.2</v>
      </c>
      <c r="D694" s="4">
        <v>13.67</v>
      </c>
      <c r="E694" s="8">
        <f t="shared" si="60"/>
        <v>2.734</v>
      </c>
    </row>
    <row r="695" spans="1:5" x14ac:dyDescent="0.3">
      <c r="B695" s="4" t="s">
        <v>35</v>
      </c>
      <c r="C695" s="4">
        <v>4</v>
      </c>
      <c r="D695" s="4">
        <v>1.89</v>
      </c>
      <c r="E695" s="8">
        <f t="shared" si="60"/>
        <v>7.56</v>
      </c>
    </row>
    <row r="696" spans="1:5" x14ac:dyDescent="0.3">
      <c r="B696" s="4" t="s">
        <v>36</v>
      </c>
      <c r="C696" s="4">
        <v>4</v>
      </c>
      <c r="D696" s="4">
        <v>0.24</v>
      </c>
      <c r="E696" s="8">
        <f t="shared" si="60"/>
        <v>0.96</v>
      </c>
    </row>
    <row r="697" spans="1:5" x14ac:dyDescent="0.3">
      <c r="E697" s="9">
        <f>SUM(E691:E696)</f>
        <v>152.62051000000002</v>
      </c>
    </row>
    <row r="698" spans="1:5" x14ac:dyDescent="0.3">
      <c r="B698" s="4" t="s">
        <v>37</v>
      </c>
      <c r="C698">
        <v>42.5</v>
      </c>
      <c r="E698" s="8">
        <v>42.5</v>
      </c>
    </row>
    <row r="699" spans="1:5" x14ac:dyDescent="0.3">
      <c r="E699" s="8">
        <f>SUM(E697:E698)</f>
        <v>195.12051000000002</v>
      </c>
    </row>
    <row r="703" spans="1:5" x14ac:dyDescent="0.3">
      <c r="C703" s="4" t="s">
        <v>28</v>
      </c>
      <c r="D703" s="4" t="s">
        <v>29</v>
      </c>
      <c r="E703" s="4" t="s">
        <v>30</v>
      </c>
    </row>
    <row r="704" spans="1:5" x14ac:dyDescent="0.3">
      <c r="A704" t="s">
        <v>565</v>
      </c>
      <c r="B704" s="4" t="s">
        <v>32</v>
      </c>
      <c r="C704" s="4">
        <v>3.5779999999999998</v>
      </c>
      <c r="D704" s="4">
        <v>19.89</v>
      </c>
      <c r="E704" s="8">
        <f t="shared" ref="E704:E709" si="61">C704*D704</f>
        <v>71.166420000000002</v>
      </c>
    </row>
    <row r="705" spans="1:5" x14ac:dyDescent="0.3">
      <c r="A705" t="s">
        <v>114</v>
      </c>
      <c r="B705" s="4" t="s">
        <v>33</v>
      </c>
      <c r="C705" s="4">
        <v>31.943999999999999</v>
      </c>
      <c r="D705" s="4">
        <v>11.03</v>
      </c>
      <c r="E705" s="8">
        <f t="shared" si="61"/>
        <v>352.34231999999997</v>
      </c>
    </row>
    <row r="706" spans="1:5" x14ac:dyDescent="0.3">
      <c r="A706">
        <v>0.59699999999999998</v>
      </c>
      <c r="B706" s="4" t="s">
        <v>88</v>
      </c>
      <c r="C706" s="4">
        <v>2</v>
      </c>
      <c r="D706" s="4">
        <v>2.89</v>
      </c>
      <c r="E706" s="8">
        <f t="shared" si="61"/>
        <v>5.78</v>
      </c>
    </row>
    <row r="707" spans="1:5" x14ac:dyDescent="0.3">
      <c r="B707" s="4" t="s">
        <v>34</v>
      </c>
      <c r="C707" s="4">
        <v>2</v>
      </c>
      <c r="D707" s="4">
        <v>13.67</v>
      </c>
      <c r="E707" s="8">
        <f t="shared" si="61"/>
        <v>27.34</v>
      </c>
    </row>
    <row r="708" spans="1:5" x14ac:dyDescent="0.3">
      <c r="B708" s="4" t="s">
        <v>35</v>
      </c>
      <c r="C708" s="4">
        <v>4</v>
      </c>
      <c r="D708" s="4">
        <v>1.89</v>
      </c>
      <c r="E708" s="8">
        <f t="shared" si="61"/>
        <v>7.56</v>
      </c>
    </row>
    <row r="709" spans="1:5" x14ac:dyDescent="0.3">
      <c r="B709" s="4" t="s">
        <v>36</v>
      </c>
      <c r="C709" s="4">
        <v>4</v>
      </c>
      <c r="D709" s="4">
        <v>0.24</v>
      </c>
      <c r="E709" s="8">
        <f t="shared" si="61"/>
        <v>0.96</v>
      </c>
    </row>
    <row r="710" spans="1:5" x14ac:dyDescent="0.3">
      <c r="E710" s="9">
        <f>SUM(E704:E709)</f>
        <v>465.14873999999992</v>
      </c>
    </row>
    <row r="711" spans="1:5" x14ac:dyDescent="0.3">
      <c r="B711" s="4" t="s">
        <v>37</v>
      </c>
      <c r="C711">
        <v>4</v>
      </c>
      <c r="E711" s="8">
        <v>340</v>
      </c>
    </row>
    <row r="712" spans="1:5" x14ac:dyDescent="0.3">
      <c r="E712" s="8">
        <f>SUM(E710:E711)</f>
        <v>805.14873999999986</v>
      </c>
    </row>
    <row r="714" spans="1:5" x14ac:dyDescent="0.3">
      <c r="C714" s="4" t="s">
        <v>28</v>
      </c>
      <c r="D714" s="4" t="s">
        <v>29</v>
      </c>
      <c r="E714" s="4" t="s">
        <v>30</v>
      </c>
    </row>
    <row r="715" spans="1:5" x14ac:dyDescent="0.3">
      <c r="A715" t="s">
        <v>584</v>
      </c>
      <c r="B715" s="4" t="s">
        <v>32</v>
      </c>
      <c r="C715" s="4">
        <v>2.8839999999999999</v>
      </c>
      <c r="D715" s="4">
        <v>19.38</v>
      </c>
      <c r="E715" s="8">
        <f t="shared" ref="E715:E720" si="62">C715*D715</f>
        <v>55.891919999999992</v>
      </c>
    </row>
    <row r="716" spans="1:5" x14ac:dyDescent="0.3">
      <c r="A716" t="s">
        <v>39</v>
      </c>
      <c r="B716" s="4" t="s">
        <v>33</v>
      </c>
      <c r="C716" s="4">
        <v>5.0599999999999996</v>
      </c>
      <c r="D716" s="4">
        <v>9.83</v>
      </c>
      <c r="E716" s="8">
        <f t="shared" si="62"/>
        <v>49.739799999999995</v>
      </c>
    </row>
    <row r="717" spans="1:5" x14ac:dyDescent="0.3">
      <c r="B717" s="4" t="s">
        <v>43</v>
      </c>
      <c r="C717" s="4">
        <v>2</v>
      </c>
      <c r="D717" s="4">
        <v>1.24</v>
      </c>
      <c r="E717" s="8">
        <f t="shared" si="62"/>
        <v>2.48</v>
      </c>
    </row>
    <row r="718" spans="1:5" x14ac:dyDescent="0.3">
      <c r="B718" s="4" t="s">
        <v>34</v>
      </c>
      <c r="C718" s="4">
        <v>0.6</v>
      </c>
      <c r="D718" s="4">
        <v>13.67</v>
      </c>
      <c r="E718" s="8">
        <f t="shared" si="62"/>
        <v>8.202</v>
      </c>
    </row>
    <row r="719" spans="1:5" x14ac:dyDescent="0.3">
      <c r="B719" s="4" t="s">
        <v>35</v>
      </c>
      <c r="C719" s="4">
        <v>4</v>
      </c>
      <c r="D719" s="4">
        <v>1.89</v>
      </c>
      <c r="E719" s="8">
        <f t="shared" si="62"/>
        <v>7.56</v>
      </c>
    </row>
    <row r="720" spans="1:5" x14ac:dyDescent="0.3">
      <c r="B720" s="4" t="s">
        <v>36</v>
      </c>
      <c r="C720" s="4">
        <v>4</v>
      </c>
      <c r="D720" s="4">
        <v>0.24</v>
      </c>
      <c r="E720" s="8">
        <f t="shared" si="62"/>
        <v>0.96</v>
      </c>
    </row>
    <row r="721" spans="1:5" x14ac:dyDescent="0.3">
      <c r="E721" s="9">
        <f>SUM(E715:E720)</f>
        <v>124.83371999999999</v>
      </c>
    </row>
    <row r="722" spans="1:5" x14ac:dyDescent="0.3">
      <c r="B722" s="4" t="s">
        <v>37</v>
      </c>
      <c r="C722">
        <v>85</v>
      </c>
      <c r="E722" s="8">
        <v>85</v>
      </c>
    </row>
    <row r="723" spans="1:5" x14ac:dyDescent="0.3">
      <c r="E723" s="8">
        <f>SUM(E721:E722)</f>
        <v>209.83371999999997</v>
      </c>
    </row>
    <row r="726" spans="1:5" x14ac:dyDescent="0.3">
      <c r="C726" s="4" t="s">
        <v>28</v>
      </c>
      <c r="D726" s="4" t="s">
        <v>29</v>
      </c>
      <c r="E726" s="4" t="s">
        <v>30</v>
      </c>
    </row>
    <row r="727" spans="1:5" x14ac:dyDescent="0.3">
      <c r="A727" t="s">
        <v>585</v>
      </c>
      <c r="B727" s="4" t="s">
        <v>32</v>
      </c>
      <c r="C727" s="4">
        <v>4.1059999999999999</v>
      </c>
      <c r="D727" s="4">
        <v>19.38</v>
      </c>
      <c r="E727" s="8">
        <f t="shared" ref="E727:E732" si="63">C727*D727</f>
        <v>79.574279999999987</v>
      </c>
    </row>
    <row r="728" spans="1:5" x14ac:dyDescent="0.3">
      <c r="A728" t="s">
        <v>117</v>
      </c>
      <c r="B728" s="4" t="s">
        <v>33</v>
      </c>
      <c r="C728" s="4">
        <v>29.050999999999998</v>
      </c>
      <c r="D728" s="4">
        <v>9.83</v>
      </c>
      <c r="E728" s="8">
        <f t="shared" si="63"/>
        <v>285.57132999999999</v>
      </c>
    </row>
    <row r="729" spans="1:5" x14ac:dyDescent="0.3">
      <c r="A729" s="62" t="s">
        <v>586</v>
      </c>
      <c r="B729" s="4" t="s">
        <v>43</v>
      </c>
      <c r="C729" s="4">
        <v>2</v>
      </c>
      <c r="D729" s="4">
        <v>2.57</v>
      </c>
      <c r="E729" s="8">
        <f t="shared" si="63"/>
        <v>5.14</v>
      </c>
    </row>
    <row r="730" spans="1:5" x14ac:dyDescent="0.3">
      <c r="B730" s="4" t="s">
        <v>34</v>
      </c>
      <c r="C730" s="4">
        <v>2.4</v>
      </c>
      <c r="D730" s="4">
        <v>13.67</v>
      </c>
      <c r="E730" s="8">
        <f t="shared" si="63"/>
        <v>32.808</v>
      </c>
    </row>
    <row r="731" spans="1:5" x14ac:dyDescent="0.3">
      <c r="B731" s="4" t="s">
        <v>35</v>
      </c>
      <c r="C731" s="4">
        <v>8</v>
      </c>
      <c r="D731" s="4">
        <v>1.89</v>
      </c>
      <c r="E731" s="8">
        <f t="shared" si="63"/>
        <v>15.12</v>
      </c>
    </row>
    <row r="732" spans="1:5" x14ac:dyDescent="0.3">
      <c r="B732" s="4" t="s">
        <v>36</v>
      </c>
      <c r="C732" s="4">
        <v>4</v>
      </c>
      <c r="D732" s="4">
        <v>0.24</v>
      </c>
      <c r="E732" s="8">
        <f t="shared" si="63"/>
        <v>0.96</v>
      </c>
    </row>
    <row r="733" spans="1:5" x14ac:dyDescent="0.3">
      <c r="E733" s="9">
        <f>SUM(E727:E732)</f>
        <v>419.17360999999994</v>
      </c>
    </row>
    <row r="734" spans="1:5" x14ac:dyDescent="0.3">
      <c r="B734" s="4" t="s">
        <v>37</v>
      </c>
      <c r="C734">
        <v>2</v>
      </c>
      <c r="E734" s="8">
        <v>202.64</v>
      </c>
    </row>
    <row r="735" spans="1:5" x14ac:dyDescent="0.3">
      <c r="E735" s="8">
        <v>625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/>
  </sheetPr>
  <dimension ref="A4:E22"/>
  <sheetViews>
    <sheetView workbookViewId="0">
      <selection activeCell="A24" sqref="A24"/>
    </sheetView>
  </sheetViews>
  <sheetFormatPr baseColWidth="10" defaultRowHeight="14.4" x14ac:dyDescent="0.3"/>
  <cols>
    <col min="1" max="1" width="16.44140625" customWidth="1"/>
  </cols>
  <sheetData>
    <row r="4" spans="1:5" x14ac:dyDescent="0.3">
      <c r="C4" s="4" t="s">
        <v>28</v>
      </c>
      <c r="D4" s="4" t="s">
        <v>29</v>
      </c>
      <c r="E4" s="4" t="s">
        <v>30</v>
      </c>
    </row>
    <row r="5" spans="1:5" x14ac:dyDescent="0.3">
      <c r="A5" t="s">
        <v>291</v>
      </c>
      <c r="B5" s="4" t="s">
        <v>32</v>
      </c>
      <c r="C5" s="4">
        <v>2.786</v>
      </c>
      <c r="D5" s="4">
        <v>19.38</v>
      </c>
      <c r="E5" s="8">
        <f>C5*D5</f>
        <v>53.99268</v>
      </c>
    </row>
    <row r="6" spans="1:5" x14ac:dyDescent="0.3">
      <c r="A6" t="s">
        <v>321</v>
      </c>
      <c r="B6" s="4" t="s">
        <v>33</v>
      </c>
      <c r="C6" s="4">
        <v>30.503</v>
      </c>
      <c r="D6" s="4">
        <v>10.11</v>
      </c>
      <c r="E6" s="8">
        <f>C6*D6</f>
        <v>308.38533000000001</v>
      </c>
    </row>
    <row r="7" spans="1:5" x14ac:dyDescent="0.3">
      <c r="A7" t="s">
        <v>270</v>
      </c>
      <c r="B7" s="4" t="s">
        <v>137</v>
      </c>
      <c r="C7" s="4">
        <v>1.9470000000000001</v>
      </c>
      <c r="D7" s="4">
        <v>12.92</v>
      </c>
      <c r="E7" s="8">
        <f>C7*D7</f>
        <v>25.155239999999999</v>
      </c>
    </row>
    <row r="8" spans="1:5" x14ac:dyDescent="0.3">
      <c r="B8" s="4" t="s">
        <v>35</v>
      </c>
      <c r="C8" s="4">
        <v>4</v>
      </c>
      <c r="D8" s="4">
        <v>1.89</v>
      </c>
      <c r="E8" s="8">
        <f>C8*D8</f>
        <v>7.56</v>
      </c>
    </row>
    <row r="9" spans="1:5" x14ac:dyDescent="0.3">
      <c r="B9" s="4" t="s">
        <v>36</v>
      </c>
      <c r="C9" s="4">
        <v>4</v>
      </c>
      <c r="D9" s="4">
        <v>0.24</v>
      </c>
      <c r="E9" s="8">
        <f>C9*D9</f>
        <v>0.96</v>
      </c>
    </row>
    <row r="10" spans="1:5" x14ac:dyDescent="0.3">
      <c r="B10" s="4" t="s">
        <v>37</v>
      </c>
      <c r="C10">
        <v>85</v>
      </c>
      <c r="D10" s="61">
        <v>1.5</v>
      </c>
      <c r="E10" s="8">
        <v>127</v>
      </c>
    </row>
    <row r="11" spans="1:5" x14ac:dyDescent="0.3">
      <c r="E11" s="8">
        <f>SUM(E5:E10)</f>
        <v>523.05324999999993</v>
      </c>
    </row>
    <row r="15" spans="1:5" x14ac:dyDescent="0.3">
      <c r="C15" s="4" t="s">
        <v>28</v>
      </c>
      <c r="D15" s="4" t="s">
        <v>29</v>
      </c>
      <c r="E15" s="4" t="s">
        <v>30</v>
      </c>
    </row>
    <row r="16" spans="1:5" x14ac:dyDescent="0.3">
      <c r="A16" t="s">
        <v>521</v>
      </c>
      <c r="B16" s="4" t="s">
        <v>32</v>
      </c>
      <c r="C16" s="4">
        <v>5.3159999999999998</v>
      </c>
      <c r="D16" s="4">
        <v>19.38</v>
      </c>
      <c r="E16" s="8">
        <f>C16*D16</f>
        <v>103.02408</v>
      </c>
    </row>
    <row r="17" spans="1:5" x14ac:dyDescent="0.3">
      <c r="A17" t="s">
        <v>346</v>
      </c>
      <c r="B17" s="4" t="s">
        <v>33</v>
      </c>
      <c r="C17" s="4">
        <v>78.760000000000005</v>
      </c>
      <c r="D17" s="4">
        <v>10.11</v>
      </c>
      <c r="E17" s="8">
        <f>C17*D17</f>
        <v>796.2636</v>
      </c>
    </row>
    <row r="18" spans="1:5" x14ac:dyDescent="0.3">
      <c r="A18" t="s">
        <v>270</v>
      </c>
      <c r="B18" s="4" t="s">
        <v>137</v>
      </c>
      <c r="C18" s="4">
        <v>1.82</v>
      </c>
      <c r="D18" s="4">
        <v>12.92</v>
      </c>
      <c r="E18" s="8">
        <f>C18*D18</f>
        <v>23.514400000000002</v>
      </c>
    </row>
    <row r="19" spans="1:5" x14ac:dyDescent="0.3">
      <c r="B19" s="4" t="s">
        <v>35</v>
      </c>
      <c r="C19" s="4">
        <v>4</v>
      </c>
      <c r="D19" s="4">
        <v>1.89</v>
      </c>
      <c r="E19" s="8">
        <f>C19*D19</f>
        <v>7.56</v>
      </c>
    </row>
    <row r="20" spans="1:5" x14ac:dyDescent="0.3">
      <c r="B20" s="4" t="s">
        <v>36</v>
      </c>
      <c r="C20" s="4">
        <v>4</v>
      </c>
      <c r="D20" s="4">
        <v>0.24</v>
      </c>
      <c r="E20" s="8">
        <f>C20*D20</f>
        <v>0.96</v>
      </c>
    </row>
    <row r="21" spans="1:5" x14ac:dyDescent="0.3">
      <c r="B21" s="4" t="s">
        <v>37</v>
      </c>
      <c r="C21">
        <v>85</v>
      </c>
      <c r="D21" s="61">
        <v>3</v>
      </c>
      <c r="E21" s="8">
        <v>255</v>
      </c>
    </row>
    <row r="22" spans="1:5" x14ac:dyDescent="0.3">
      <c r="E22" s="8">
        <f>SUM(E16:E21)</f>
        <v>1186.3220799999999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F143"/>
  <sheetViews>
    <sheetView topLeftCell="A101" workbookViewId="0">
      <selection activeCell="A134" sqref="A134"/>
    </sheetView>
  </sheetViews>
  <sheetFormatPr baseColWidth="10" defaultRowHeight="14.4" x14ac:dyDescent="0.3"/>
  <sheetData>
    <row r="5" spans="1:5" x14ac:dyDescent="0.3">
      <c r="C5" s="4" t="s">
        <v>28</v>
      </c>
      <c r="D5" s="4" t="s">
        <v>29</v>
      </c>
      <c r="E5" s="4" t="s">
        <v>30</v>
      </c>
    </row>
    <row r="6" spans="1:5" x14ac:dyDescent="0.3">
      <c r="A6" t="s">
        <v>309</v>
      </c>
      <c r="B6" s="4" t="s">
        <v>32</v>
      </c>
      <c r="C6" s="4">
        <v>3.2890000000000001</v>
      </c>
      <c r="D6" s="4">
        <v>19.38</v>
      </c>
      <c r="E6" s="8">
        <f t="shared" ref="E6:E11" si="0">C6*D6</f>
        <v>63.740819999999999</v>
      </c>
    </row>
    <row r="7" spans="1:5" x14ac:dyDescent="0.3">
      <c r="A7" t="s">
        <v>310</v>
      </c>
      <c r="B7" s="4" t="s">
        <v>33</v>
      </c>
      <c r="C7" s="4">
        <v>26.95</v>
      </c>
      <c r="D7" s="4">
        <v>9.83</v>
      </c>
      <c r="E7" s="8">
        <f t="shared" si="0"/>
        <v>264.91849999999999</v>
      </c>
    </row>
    <row r="8" spans="1:5" x14ac:dyDescent="0.3">
      <c r="B8" s="4" t="s">
        <v>113</v>
      </c>
      <c r="C8" s="4">
        <v>4</v>
      </c>
      <c r="D8" s="4">
        <v>2.98</v>
      </c>
      <c r="E8" s="8">
        <f t="shared" si="0"/>
        <v>11.92</v>
      </c>
    </row>
    <row r="9" spans="1:5" x14ac:dyDescent="0.3">
      <c r="B9" s="4" t="s">
        <v>34</v>
      </c>
      <c r="C9" s="4">
        <v>1</v>
      </c>
      <c r="D9" s="4">
        <v>12.43</v>
      </c>
      <c r="E9" s="8">
        <f t="shared" si="0"/>
        <v>12.43</v>
      </c>
    </row>
    <row r="10" spans="1:5" x14ac:dyDescent="0.3">
      <c r="B10" s="4" t="s">
        <v>35</v>
      </c>
      <c r="C10" s="4">
        <v>8</v>
      </c>
      <c r="D10" s="4">
        <v>1.89</v>
      </c>
      <c r="E10" s="8">
        <f t="shared" si="0"/>
        <v>15.12</v>
      </c>
    </row>
    <row r="11" spans="1:5" x14ac:dyDescent="0.3">
      <c r="B11" s="4" t="s">
        <v>36</v>
      </c>
      <c r="C11" s="4">
        <v>4</v>
      </c>
      <c r="D11" s="4">
        <v>0.24</v>
      </c>
      <c r="E11" s="8">
        <f t="shared" si="0"/>
        <v>0.96</v>
      </c>
    </row>
    <row r="12" spans="1:5" x14ac:dyDescent="0.3">
      <c r="E12" s="8">
        <f>SUM(E6:E11)</f>
        <v>369.08931999999999</v>
      </c>
    </row>
    <row r="13" spans="1:5" x14ac:dyDescent="0.3">
      <c r="B13" s="4" t="s">
        <v>37</v>
      </c>
      <c r="C13">
        <v>60</v>
      </c>
      <c r="D13">
        <v>1.41</v>
      </c>
      <c r="E13" s="8">
        <v>85</v>
      </c>
    </row>
    <row r="14" spans="1:5" x14ac:dyDescent="0.3">
      <c r="E14" s="8">
        <f>SUM(E12:E13)</f>
        <v>454.08931999999999</v>
      </c>
    </row>
    <row r="17" spans="1:5" x14ac:dyDescent="0.3">
      <c r="C17" s="4" t="s">
        <v>28</v>
      </c>
      <c r="D17" s="4" t="s">
        <v>29</v>
      </c>
      <c r="E17" s="4" t="s">
        <v>30</v>
      </c>
    </row>
    <row r="18" spans="1:5" x14ac:dyDescent="0.3">
      <c r="A18" t="s">
        <v>196</v>
      </c>
      <c r="B18" s="4" t="s">
        <v>32</v>
      </c>
      <c r="C18" s="4">
        <v>1.95</v>
      </c>
      <c r="D18" s="4">
        <v>19.38</v>
      </c>
      <c r="E18" s="8">
        <f t="shared" ref="E18:E23" si="1">C18*D18</f>
        <v>37.790999999999997</v>
      </c>
    </row>
    <row r="19" spans="1:5" x14ac:dyDescent="0.3">
      <c r="A19" t="s">
        <v>262</v>
      </c>
      <c r="B19" s="4" t="s">
        <v>33</v>
      </c>
      <c r="C19" s="4">
        <v>3.7949999999999999</v>
      </c>
      <c r="D19" s="4">
        <v>9.83</v>
      </c>
      <c r="E19" s="8">
        <f t="shared" si="1"/>
        <v>37.304850000000002</v>
      </c>
    </row>
    <row r="20" spans="1:5" x14ac:dyDescent="0.3">
      <c r="B20" s="4" t="s">
        <v>43</v>
      </c>
      <c r="C20" s="4">
        <v>2</v>
      </c>
      <c r="D20" s="4">
        <v>1.24</v>
      </c>
      <c r="E20" s="8">
        <f t="shared" si="1"/>
        <v>2.48</v>
      </c>
    </row>
    <row r="21" spans="1:5" x14ac:dyDescent="0.3">
      <c r="B21" s="4" t="s">
        <v>34</v>
      </c>
      <c r="C21" s="4">
        <v>0.1</v>
      </c>
      <c r="D21" s="4">
        <v>13.67</v>
      </c>
      <c r="E21" s="8">
        <f t="shared" si="1"/>
        <v>1.367</v>
      </c>
    </row>
    <row r="22" spans="1:5" x14ac:dyDescent="0.3">
      <c r="B22" s="4" t="s">
        <v>35</v>
      </c>
      <c r="C22" s="4">
        <v>4</v>
      </c>
      <c r="D22" s="4">
        <v>1.89</v>
      </c>
      <c r="E22" s="8">
        <f t="shared" si="1"/>
        <v>7.56</v>
      </c>
    </row>
    <row r="23" spans="1:5" x14ac:dyDescent="0.3">
      <c r="B23" s="4" t="s">
        <v>36</v>
      </c>
      <c r="C23" s="4">
        <v>4</v>
      </c>
      <c r="D23" s="4">
        <v>0.24</v>
      </c>
      <c r="E23" s="8">
        <f t="shared" si="1"/>
        <v>0.96</v>
      </c>
    </row>
    <row r="24" spans="1:5" x14ac:dyDescent="0.3">
      <c r="E24" s="9">
        <f>SUM(E18:E23)</f>
        <v>87.462850000000003</v>
      </c>
    </row>
    <row r="25" spans="1:5" x14ac:dyDescent="0.3">
      <c r="B25" s="4" t="s">
        <v>37</v>
      </c>
      <c r="C25">
        <v>20</v>
      </c>
      <c r="D25">
        <v>1.41</v>
      </c>
      <c r="E25" s="8">
        <f>C25*D25</f>
        <v>28.2</v>
      </c>
    </row>
    <row r="26" spans="1:5" x14ac:dyDescent="0.3">
      <c r="E26" s="8">
        <f>SUM(E24:E25)</f>
        <v>115.66285000000001</v>
      </c>
    </row>
    <row r="29" spans="1:5" x14ac:dyDescent="0.3">
      <c r="C29" s="4" t="s">
        <v>28</v>
      </c>
      <c r="D29" s="4" t="s">
        <v>29</v>
      </c>
      <c r="E29" s="4" t="s">
        <v>30</v>
      </c>
    </row>
    <row r="30" spans="1:5" x14ac:dyDescent="0.3">
      <c r="A30" t="s">
        <v>394</v>
      </c>
      <c r="B30" s="4" t="s">
        <v>32</v>
      </c>
      <c r="C30" s="4">
        <v>7.8010000000000002</v>
      </c>
      <c r="D30" s="4">
        <v>19.38</v>
      </c>
      <c r="E30" s="8">
        <f t="shared" ref="E30:E36" si="2">C30*D30</f>
        <v>151.18338</v>
      </c>
    </row>
    <row r="31" spans="1:5" x14ac:dyDescent="0.3">
      <c r="A31" t="s">
        <v>395</v>
      </c>
      <c r="B31" s="4" t="s">
        <v>33</v>
      </c>
      <c r="C31" s="4">
        <v>156</v>
      </c>
      <c r="D31" s="4">
        <v>9.83</v>
      </c>
      <c r="E31" s="8">
        <f t="shared" si="2"/>
        <v>1533.48</v>
      </c>
    </row>
    <row r="32" spans="1:5" x14ac:dyDescent="0.3">
      <c r="B32" s="4" t="s">
        <v>88</v>
      </c>
      <c r="C32" s="4">
        <v>4</v>
      </c>
      <c r="D32" s="4">
        <v>2.2400000000000002</v>
      </c>
      <c r="E32" s="8">
        <f t="shared" si="2"/>
        <v>8.9600000000000009</v>
      </c>
    </row>
    <row r="33" spans="1:5" x14ac:dyDescent="0.3">
      <c r="B33" s="4" t="s">
        <v>84</v>
      </c>
      <c r="C33" s="4">
        <v>2</v>
      </c>
      <c r="D33" s="4">
        <v>0.77</v>
      </c>
      <c r="E33" s="8">
        <f t="shared" si="2"/>
        <v>1.54</v>
      </c>
    </row>
    <row r="34" spans="1:5" x14ac:dyDescent="0.3">
      <c r="B34" s="4" t="s">
        <v>34</v>
      </c>
      <c r="C34" s="4">
        <v>0.1</v>
      </c>
      <c r="D34" s="4">
        <v>13.67</v>
      </c>
      <c r="E34" s="8">
        <f t="shared" si="2"/>
        <v>1.367</v>
      </c>
    </row>
    <row r="35" spans="1:5" x14ac:dyDescent="0.3">
      <c r="B35" s="4" t="s">
        <v>35</v>
      </c>
      <c r="C35" s="4">
        <v>4</v>
      </c>
      <c r="D35" s="4">
        <v>1.89</v>
      </c>
      <c r="E35" s="8">
        <f t="shared" si="2"/>
        <v>7.56</v>
      </c>
    </row>
    <row r="36" spans="1:5" x14ac:dyDescent="0.3">
      <c r="B36" s="4" t="s">
        <v>36</v>
      </c>
      <c r="C36" s="4">
        <v>4</v>
      </c>
      <c r="D36" s="4">
        <v>0.24</v>
      </c>
      <c r="E36" s="8">
        <f t="shared" si="2"/>
        <v>0.96</v>
      </c>
    </row>
    <row r="37" spans="1:5" x14ac:dyDescent="0.3">
      <c r="E37" s="9">
        <f>SUM(E30:E36)</f>
        <v>1705.0503799999999</v>
      </c>
    </row>
    <row r="38" spans="1:5" x14ac:dyDescent="0.3">
      <c r="B38" s="4" t="s">
        <v>37</v>
      </c>
      <c r="C38">
        <v>6</v>
      </c>
      <c r="D38">
        <v>85</v>
      </c>
      <c r="E38" s="8">
        <f>C38*D38</f>
        <v>510</v>
      </c>
    </row>
    <row r="39" spans="1:5" x14ac:dyDescent="0.3">
      <c r="E39" s="8">
        <f>SUM(E37:E38)</f>
        <v>2215.0503799999997</v>
      </c>
    </row>
    <row r="42" spans="1:5" x14ac:dyDescent="0.3">
      <c r="C42" s="4" t="s">
        <v>28</v>
      </c>
      <c r="D42" s="4" t="s">
        <v>29</v>
      </c>
      <c r="E42" s="4" t="s">
        <v>30</v>
      </c>
    </row>
    <row r="43" spans="1:5" x14ac:dyDescent="0.3">
      <c r="A43" t="s">
        <v>407</v>
      </c>
      <c r="B43" s="4" t="s">
        <v>32</v>
      </c>
      <c r="C43" s="4">
        <v>1.796</v>
      </c>
      <c r="D43" s="4">
        <v>19.38</v>
      </c>
      <c r="E43" s="8">
        <f t="shared" ref="E43:E48" si="3">C43*D43</f>
        <v>34.806480000000001</v>
      </c>
    </row>
    <row r="44" spans="1:5" x14ac:dyDescent="0.3">
      <c r="A44" t="s">
        <v>408</v>
      </c>
      <c r="B44" s="4" t="s">
        <v>33</v>
      </c>
      <c r="C44" s="4">
        <v>6.8639999999999999</v>
      </c>
      <c r="D44" s="4">
        <v>9.83</v>
      </c>
      <c r="E44" s="8">
        <f t="shared" si="3"/>
        <v>67.473119999999994</v>
      </c>
    </row>
    <row r="45" spans="1:5" x14ac:dyDescent="0.3">
      <c r="B45" s="4" t="s">
        <v>86</v>
      </c>
      <c r="C45" s="4">
        <v>2</v>
      </c>
      <c r="D45" s="4">
        <v>1.86</v>
      </c>
      <c r="E45" s="8">
        <f t="shared" si="3"/>
        <v>3.72</v>
      </c>
    </row>
    <row r="46" spans="1:5" x14ac:dyDescent="0.3">
      <c r="B46" s="4" t="s">
        <v>34</v>
      </c>
      <c r="C46" s="4"/>
      <c r="D46" s="4"/>
      <c r="E46" s="8">
        <f t="shared" si="3"/>
        <v>0</v>
      </c>
    </row>
    <row r="47" spans="1:5" x14ac:dyDescent="0.3">
      <c r="B47" s="4" t="s">
        <v>35</v>
      </c>
      <c r="C47" s="4">
        <v>4</v>
      </c>
      <c r="D47" s="4">
        <v>1.89</v>
      </c>
      <c r="E47" s="8">
        <f t="shared" si="3"/>
        <v>7.56</v>
      </c>
    </row>
    <row r="48" spans="1:5" x14ac:dyDescent="0.3">
      <c r="B48" s="4" t="s">
        <v>36</v>
      </c>
      <c r="C48" s="4">
        <v>4</v>
      </c>
      <c r="D48" s="4">
        <v>0.24</v>
      </c>
      <c r="E48" s="8">
        <f t="shared" si="3"/>
        <v>0.96</v>
      </c>
    </row>
    <row r="49" spans="1:5" x14ac:dyDescent="0.3">
      <c r="E49" s="9">
        <f>SUM(E43:E48)</f>
        <v>114.51959999999998</v>
      </c>
    </row>
    <row r="50" spans="1:5" x14ac:dyDescent="0.3">
      <c r="B50" s="4" t="s">
        <v>37</v>
      </c>
      <c r="C50">
        <v>30</v>
      </c>
      <c r="D50">
        <v>1.41</v>
      </c>
      <c r="E50" s="8">
        <f>C50*D50</f>
        <v>42.3</v>
      </c>
    </row>
    <row r="51" spans="1:5" x14ac:dyDescent="0.3">
      <c r="E51" s="8">
        <f>SUM(E49:E50)</f>
        <v>156.81959999999998</v>
      </c>
    </row>
    <row r="53" spans="1:5" x14ac:dyDescent="0.3">
      <c r="C53" s="4" t="s">
        <v>28</v>
      </c>
      <c r="D53" s="4" t="s">
        <v>29</v>
      </c>
      <c r="E53" s="4" t="s">
        <v>30</v>
      </c>
    </row>
    <row r="54" spans="1:5" x14ac:dyDescent="0.3">
      <c r="A54" t="s">
        <v>409</v>
      </c>
      <c r="B54" s="4" t="s">
        <v>32</v>
      </c>
      <c r="C54" s="4">
        <v>4.1059999999999999</v>
      </c>
      <c r="D54" s="4">
        <v>19.38</v>
      </c>
      <c r="E54" s="8">
        <f t="shared" ref="E54:E59" si="4">C54*D54</f>
        <v>79.574279999999987</v>
      </c>
    </row>
    <row r="55" spans="1:5" x14ac:dyDescent="0.3">
      <c r="A55" t="s">
        <v>168</v>
      </c>
      <c r="B55" s="4" t="s">
        <v>33</v>
      </c>
      <c r="C55" s="4">
        <v>37.960999999999999</v>
      </c>
      <c r="D55" s="4">
        <v>9.83</v>
      </c>
      <c r="E55" s="8">
        <f t="shared" si="4"/>
        <v>373.15663000000001</v>
      </c>
    </row>
    <row r="56" spans="1:5" x14ac:dyDescent="0.3">
      <c r="B56" s="4" t="s">
        <v>86</v>
      </c>
      <c r="C56" s="4">
        <v>4</v>
      </c>
      <c r="D56" s="4">
        <v>1.86</v>
      </c>
      <c r="E56" s="8">
        <f t="shared" si="4"/>
        <v>7.44</v>
      </c>
    </row>
    <row r="57" spans="1:5" x14ac:dyDescent="0.3">
      <c r="B57" s="4" t="s">
        <v>34</v>
      </c>
      <c r="C57" s="4">
        <v>2.4</v>
      </c>
      <c r="D57" s="4">
        <v>13.67</v>
      </c>
      <c r="E57" s="8">
        <f t="shared" si="4"/>
        <v>32.808</v>
      </c>
    </row>
    <row r="58" spans="1:5" x14ac:dyDescent="0.3">
      <c r="B58" s="4" t="s">
        <v>35</v>
      </c>
      <c r="C58" s="4">
        <v>4</v>
      </c>
      <c r="D58" s="4">
        <v>1.89</v>
      </c>
      <c r="E58" s="8">
        <f t="shared" si="4"/>
        <v>7.56</v>
      </c>
    </row>
    <row r="59" spans="1:5" x14ac:dyDescent="0.3">
      <c r="B59" s="4" t="s">
        <v>36</v>
      </c>
      <c r="C59" s="4">
        <v>4</v>
      </c>
      <c r="D59" s="4">
        <v>0.24</v>
      </c>
      <c r="E59" s="8">
        <f t="shared" si="4"/>
        <v>0.96</v>
      </c>
    </row>
    <row r="60" spans="1:5" x14ac:dyDescent="0.3">
      <c r="E60" s="9">
        <f>SUM(E54:E59)</f>
        <v>501.49890999999997</v>
      </c>
    </row>
    <row r="61" spans="1:5" x14ac:dyDescent="0.3">
      <c r="B61" s="4" t="s">
        <v>37</v>
      </c>
      <c r="C61">
        <v>60</v>
      </c>
      <c r="D61">
        <v>1.41</v>
      </c>
      <c r="E61" s="8">
        <v>85</v>
      </c>
    </row>
    <row r="62" spans="1:5" x14ac:dyDescent="0.3">
      <c r="E62" s="8">
        <f>SUM(E60:E61)</f>
        <v>586.49891000000002</v>
      </c>
    </row>
    <row r="64" spans="1:5" x14ac:dyDescent="0.3">
      <c r="C64" s="4" t="s">
        <v>28</v>
      </c>
      <c r="D64" s="4" t="s">
        <v>29</v>
      </c>
      <c r="E64" s="4" t="s">
        <v>30</v>
      </c>
    </row>
    <row r="65" spans="1:5" x14ac:dyDescent="0.3">
      <c r="A65" t="s">
        <v>410</v>
      </c>
      <c r="B65" s="4" t="s">
        <v>32</v>
      </c>
      <c r="C65" s="4">
        <v>2.0150000000000001</v>
      </c>
      <c r="D65" s="4">
        <v>19.38</v>
      </c>
      <c r="E65" s="8">
        <f t="shared" ref="E65:E70" si="5">C65*D65</f>
        <v>39.050699999999999</v>
      </c>
    </row>
    <row r="66" spans="1:5" x14ac:dyDescent="0.3">
      <c r="A66" t="s">
        <v>117</v>
      </c>
      <c r="B66" s="4" t="s">
        <v>33</v>
      </c>
      <c r="C66" s="4">
        <v>9.1959999999999997</v>
      </c>
      <c r="D66" s="4">
        <v>9.83</v>
      </c>
      <c r="E66" s="8">
        <f t="shared" si="5"/>
        <v>90.396680000000003</v>
      </c>
    </row>
    <row r="67" spans="1:5" x14ac:dyDescent="0.3">
      <c r="B67" s="4" t="s">
        <v>87</v>
      </c>
      <c r="C67" s="4">
        <v>2</v>
      </c>
      <c r="D67" s="4">
        <v>1.98</v>
      </c>
      <c r="E67" s="8">
        <f t="shared" si="5"/>
        <v>3.96</v>
      </c>
    </row>
    <row r="68" spans="1:5" x14ac:dyDescent="0.3">
      <c r="B68" s="4" t="s">
        <v>34</v>
      </c>
      <c r="C68" s="4"/>
      <c r="D68" s="4"/>
      <c r="E68" s="8">
        <f t="shared" si="5"/>
        <v>0</v>
      </c>
    </row>
    <row r="69" spans="1:5" x14ac:dyDescent="0.3">
      <c r="B69" s="4" t="s">
        <v>35</v>
      </c>
      <c r="C69" s="4">
        <v>4</v>
      </c>
      <c r="D69" s="4">
        <v>1.89</v>
      </c>
      <c r="E69" s="8">
        <f t="shared" si="5"/>
        <v>7.56</v>
      </c>
    </row>
    <row r="70" spans="1:5" x14ac:dyDescent="0.3">
      <c r="B70" s="4" t="s">
        <v>36</v>
      </c>
      <c r="C70" s="4">
        <v>4</v>
      </c>
      <c r="D70" s="4">
        <v>0.24</v>
      </c>
      <c r="E70" s="8">
        <f t="shared" si="5"/>
        <v>0.96</v>
      </c>
    </row>
    <row r="71" spans="1:5" x14ac:dyDescent="0.3">
      <c r="E71" s="8">
        <f>SUM(E65:E70)</f>
        <v>141.92738000000003</v>
      </c>
    </row>
    <row r="72" spans="1:5" x14ac:dyDescent="0.3">
      <c r="B72" s="4" t="s">
        <v>37</v>
      </c>
      <c r="C72">
        <v>85</v>
      </c>
      <c r="D72">
        <v>1.41</v>
      </c>
      <c r="E72" s="8">
        <f>C72*D72</f>
        <v>119.85</v>
      </c>
    </row>
    <row r="73" spans="1:5" x14ac:dyDescent="0.3">
      <c r="E73" s="8">
        <f>SUM(E71:E72)</f>
        <v>261.77737999999999</v>
      </c>
    </row>
    <row r="75" spans="1:5" x14ac:dyDescent="0.3">
      <c r="C75" s="4" t="s">
        <v>28</v>
      </c>
      <c r="D75" s="4" t="s">
        <v>29</v>
      </c>
      <c r="E75" s="4" t="s">
        <v>30</v>
      </c>
    </row>
    <row r="76" spans="1:5" x14ac:dyDescent="0.3">
      <c r="A76" t="s">
        <v>311</v>
      </c>
      <c r="B76" s="4" t="s">
        <v>32</v>
      </c>
      <c r="C76" s="4">
        <v>2.125</v>
      </c>
      <c r="D76" s="4">
        <v>19.38</v>
      </c>
      <c r="E76" s="8">
        <f t="shared" ref="E76:E81" si="6">C76*D76</f>
        <v>41.182499999999997</v>
      </c>
    </row>
    <row r="77" spans="1:5" x14ac:dyDescent="0.3">
      <c r="A77" t="s">
        <v>411</v>
      </c>
      <c r="B77" s="4" t="s">
        <v>33</v>
      </c>
      <c r="C77" s="4">
        <v>10.648</v>
      </c>
      <c r="D77" s="4">
        <v>9.83</v>
      </c>
      <c r="E77" s="8">
        <f t="shared" si="6"/>
        <v>104.66983999999999</v>
      </c>
    </row>
    <row r="78" spans="1:5" x14ac:dyDescent="0.3">
      <c r="B78" s="4" t="s">
        <v>87</v>
      </c>
      <c r="C78" s="4">
        <v>2</v>
      </c>
      <c r="D78" s="4">
        <v>1.98</v>
      </c>
      <c r="E78" s="8">
        <f t="shared" si="6"/>
        <v>3.96</v>
      </c>
    </row>
    <row r="79" spans="1:5" x14ac:dyDescent="0.3">
      <c r="B79" s="4" t="s">
        <v>34</v>
      </c>
      <c r="C79" s="4"/>
      <c r="D79" s="4"/>
      <c r="E79" s="8">
        <f t="shared" si="6"/>
        <v>0</v>
      </c>
    </row>
    <row r="80" spans="1:5" x14ac:dyDescent="0.3">
      <c r="B80" s="4" t="s">
        <v>35</v>
      </c>
      <c r="C80" s="4">
        <v>4</v>
      </c>
      <c r="D80" s="4">
        <v>1.89</v>
      </c>
      <c r="E80" s="8">
        <f t="shared" si="6"/>
        <v>7.56</v>
      </c>
    </row>
    <row r="81" spans="1:5" x14ac:dyDescent="0.3">
      <c r="B81" s="4" t="s">
        <v>36</v>
      </c>
      <c r="C81" s="4">
        <v>4</v>
      </c>
      <c r="D81" s="4">
        <v>0.24</v>
      </c>
      <c r="E81" s="8">
        <f t="shared" si="6"/>
        <v>0.96</v>
      </c>
    </row>
    <row r="82" spans="1:5" x14ac:dyDescent="0.3">
      <c r="E82" s="8">
        <f>SUM(E76:E81)</f>
        <v>158.33234000000002</v>
      </c>
    </row>
    <row r="83" spans="1:5" x14ac:dyDescent="0.3">
      <c r="B83" s="4" t="s">
        <v>37</v>
      </c>
      <c r="C83">
        <v>85</v>
      </c>
      <c r="D83">
        <v>1.41</v>
      </c>
      <c r="E83" s="8">
        <v>85</v>
      </c>
    </row>
    <row r="84" spans="1:5" x14ac:dyDescent="0.3">
      <c r="E84" s="8">
        <f>SUM(E82:E83)</f>
        <v>243.33234000000002</v>
      </c>
    </row>
    <row r="86" spans="1:5" x14ac:dyDescent="0.3">
      <c r="C86" s="4" t="s">
        <v>28</v>
      </c>
      <c r="D86" s="4" t="s">
        <v>29</v>
      </c>
      <c r="E86" s="4" t="s">
        <v>30</v>
      </c>
    </row>
    <row r="87" spans="1:5" x14ac:dyDescent="0.3">
      <c r="A87" t="s">
        <v>396</v>
      </c>
      <c r="B87" s="4" t="s">
        <v>32</v>
      </c>
      <c r="C87" s="4">
        <v>3.6659999999999999</v>
      </c>
      <c r="D87" s="4">
        <v>19.38</v>
      </c>
      <c r="E87" s="8">
        <f t="shared" ref="E87:E92" si="7">C87*D87</f>
        <v>71.047079999999994</v>
      </c>
    </row>
    <row r="88" spans="1:5" x14ac:dyDescent="0.3">
      <c r="A88" t="s">
        <v>346</v>
      </c>
      <c r="B88" s="4" t="s">
        <v>33</v>
      </c>
      <c r="C88" s="4">
        <v>34.76</v>
      </c>
      <c r="D88" s="4">
        <v>9.83</v>
      </c>
      <c r="E88" s="8">
        <f t="shared" si="7"/>
        <v>341.69079999999997</v>
      </c>
    </row>
    <row r="89" spans="1:5" x14ac:dyDescent="0.3">
      <c r="B89" s="4" t="s">
        <v>87</v>
      </c>
      <c r="C89" s="4">
        <v>4</v>
      </c>
      <c r="D89" s="4">
        <v>1.98</v>
      </c>
      <c r="E89" s="8">
        <f t="shared" si="7"/>
        <v>7.92</v>
      </c>
    </row>
    <row r="90" spans="1:5" x14ac:dyDescent="0.3">
      <c r="B90" s="4" t="s">
        <v>34</v>
      </c>
      <c r="C90" s="4">
        <v>0.88</v>
      </c>
      <c r="D90" s="4">
        <v>13.67</v>
      </c>
      <c r="E90" s="8">
        <f t="shared" si="7"/>
        <v>12.0296</v>
      </c>
    </row>
    <row r="91" spans="1:5" x14ac:dyDescent="0.3">
      <c r="B91" s="4" t="s">
        <v>35</v>
      </c>
      <c r="C91" s="4">
        <v>4</v>
      </c>
      <c r="D91" s="4">
        <v>1.89</v>
      </c>
      <c r="E91" s="8">
        <f t="shared" si="7"/>
        <v>7.56</v>
      </c>
    </row>
    <row r="92" spans="1:5" x14ac:dyDescent="0.3">
      <c r="B92" s="4" t="s">
        <v>36</v>
      </c>
      <c r="C92" s="4">
        <v>4</v>
      </c>
      <c r="D92" s="4">
        <v>0.24</v>
      </c>
      <c r="E92" s="8">
        <f t="shared" si="7"/>
        <v>0.96</v>
      </c>
    </row>
    <row r="93" spans="1:5" x14ac:dyDescent="0.3">
      <c r="E93" s="8">
        <f>SUM(E87:E92)</f>
        <v>441.20747999999998</v>
      </c>
    </row>
    <row r="94" spans="1:5" x14ac:dyDescent="0.3">
      <c r="B94" s="4" t="s">
        <v>37</v>
      </c>
      <c r="C94">
        <v>85</v>
      </c>
      <c r="E94" s="8">
        <v>170</v>
      </c>
    </row>
    <row r="95" spans="1:5" x14ac:dyDescent="0.3">
      <c r="E95" s="8">
        <f>SUM(E93:E94)</f>
        <v>611.20748000000003</v>
      </c>
    </row>
    <row r="97" spans="1:6" x14ac:dyDescent="0.3">
      <c r="C97" s="4" t="s">
        <v>28</v>
      </c>
      <c r="D97" s="4" t="s">
        <v>29</v>
      </c>
      <c r="E97" s="4" t="s">
        <v>30</v>
      </c>
    </row>
    <row r="98" spans="1:6" x14ac:dyDescent="0.3">
      <c r="A98" t="s">
        <v>515</v>
      </c>
      <c r="B98" s="4" t="s">
        <v>32</v>
      </c>
      <c r="C98" s="4">
        <v>4.7649999999999997</v>
      </c>
      <c r="D98" s="4">
        <v>19.38</v>
      </c>
      <c r="E98" s="8">
        <f t="shared" ref="E98:E103" si="8">C98*D98</f>
        <v>92.345699999999994</v>
      </c>
    </row>
    <row r="99" spans="1:6" x14ac:dyDescent="0.3">
      <c r="A99" t="s">
        <v>321</v>
      </c>
      <c r="B99" s="4" t="s">
        <v>33</v>
      </c>
      <c r="C99" s="4">
        <v>58.905000000000001</v>
      </c>
      <c r="D99" s="4">
        <v>9.83</v>
      </c>
      <c r="E99" s="8">
        <f t="shared" si="8"/>
        <v>579.03615000000002</v>
      </c>
    </row>
    <row r="100" spans="1:6" x14ac:dyDescent="0.3">
      <c r="A100" t="s">
        <v>517</v>
      </c>
      <c r="B100" s="4" t="s">
        <v>86</v>
      </c>
      <c r="C100" s="4">
        <v>4</v>
      </c>
      <c r="D100" s="4">
        <v>4.87</v>
      </c>
      <c r="E100" s="8">
        <f t="shared" si="8"/>
        <v>19.48</v>
      </c>
    </row>
    <row r="101" spans="1:6" x14ac:dyDescent="0.3">
      <c r="B101" s="4" t="s">
        <v>34</v>
      </c>
      <c r="C101" s="4">
        <v>5.94</v>
      </c>
      <c r="D101" s="4">
        <v>13.67</v>
      </c>
      <c r="E101" s="8">
        <f t="shared" si="8"/>
        <v>81.19980000000001</v>
      </c>
    </row>
    <row r="102" spans="1:6" x14ac:dyDescent="0.3">
      <c r="B102" s="4" t="s">
        <v>35</v>
      </c>
      <c r="C102" s="4">
        <v>8</v>
      </c>
      <c r="D102" s="4">
        <v>1.89</v>
      </c>
      <c r="E102" s="8">
        <f t="shared" si="8"/>
        <v>15.12</v>
      </c>
    </row>
    <row r="103" spans="1:6" x14ac:dyDescent="0.3">
      <c r="B103" s="4" t="s">
        <v>36</v>
      </c>
      <c r="C103" s="4">
        <v>4</v>
      </c>
      <c r="D103" s="4">
        <v>0.24</v>
      </c>
      <c r="E103" s="8">
        <f t="shared" si="8"/>
        <v>0.96</v>
      </c>
    </row>
    <row r="104" spans="1:6" x14ac:dyDescent="0.3">
      <c r="E104" s="9">
        <f>SUM(E98:E103)</f>
        <v>788.14165000000003</v>
      </c>
    </row>
    <row r="105" spans="1:6" x14ac:dyDescent="0.3">
      <c r="B105" s="4" t="s">
        <v>37</v>
      </c>
      <c r="C105">
        <v>4</v>
      </c>
      <c r="D105">
        <v>85</v>
      </c>
      <c r="E105" s="8">
        <v>340</v>
      </c>
    </row>
    <row r="106" spans="1:6" x14ac:dyDescent="0.3">
      <c r="E106" s="8">
        <f>SUM(E104:E105)</f>
        <v>1128.14165</v>
      </c>
      <c r="F106" t="s">
        <v>516</v>
      </c>
    </row>
    <row r="108" spans="1:6" x14ac:dyDescent="0.3">
      <c r="E108">
        <v>2100</v>
      </c>
    </row>
    <row r="110" spans="1:6" x14ac:dyDescent="0.3">
      <c r="C110" s="4" t="s">
        <v>28</v>
      </c>
      <c r="D110" s="4" t="s">
        <v>29</v>
      </c>
      <c r="E110" s="4" t="s">
        <v>30</v>
      </c>
    </row>
    <row r="111" spans="1:6" x14ac:dyDescent="0.3">
      <c r="A111" t="s">
        <v>460</v>
      </c>
      <c r="B111" s="4" t="s">
        <v>32</v>
      </c>
      <c r="C111" s="4">
        <v>4.1719999999999997</v>
      </c>
      <c r="D111" s="4">
        <v>19.38</v>
      </c>
      <c r="E111" s="8">
        <f t="shared" ref="E111:E116" si="9">C111*D111</f>
        <v>80.853359999999995</v>
      </c>
    </row>
    <row r="112" spans="1:6" x14ac:dyDescent="0.3">
      <c r="A112" t="s">
        <v>168</v>
      </c>
      <c r="B112" s="4" t="s">
        <v>33</v>
      </c>
      <c r="C112" s="4">
        <v>39.875</v>
      </c>
      <c r="D112" s="4">
        <v>9.83</v>
      </c>
      <c r="E112" s="8">
        <f t="shared" si="9"/>
        <v>391.97125</v>
      </c>
    </row>
    <row r="113" spans="1:5" x14ac:dyDescent="0.3">
      <c r="A113" t="s">
        <v>525</v>
      </c>
      <c r="B113" s="4" t="s">
        <v>86</v>
      </c>
      <c r="C113" s="4">
        <v>4</v>
      </c>
      <c r="D113" s="4">
        <v>4.87</v>
      </c>
      <c r="E113" s="8">
        <f t="shared" si="9"/>
        <v>19.48</v>
      </c>
    </row>
    <row r="114" spans="1:5" x14ac:dyDescent="0.3">
      <c r="B114" s="4" t="s">
        <v>34</v>
      </c>
      <c r="C114" s="4">
        <v>2.5099999999999998</v>
      </c>
      <c r="D114" s="4">
        <v>13.67</v>
      </c>
      <c r="E114" s="8">
        <f t="shared" si="9"/>
        <v>34.311699999999995</v>
      </c>
    </row>
    <row r="115" spans="1:5" x14ac:dyDescent="0.3">
      <c r="B115" s="4" t="s">
        <v>35</v>
      </c>
      <c r="C115" s="4">
        <v>8</v>
      </c>
      <c r="D115" s="4">
        <v>1.89</v>
      </c>
      <c r="E115" s="8">
        <f t="shared" si="9"/>
        <v>15.12</v>
      </c>
    </row>
    <row r="116" spans="1:5" x14ac:dyDescent="0.3">
      <c r="B116" s="4" t="s">
        <v>36</v>
      </c>
      <c r="C116" s="4">
        <v>4</v>
      </c>
      <c r="D116" s="4">
        <v>0.24</v>
      </c>
      <c r="E116" s="8">
        <f t="shared" si="9"/>
        <v>0.96</v>
      </c>
    </row>
    <row r="117" spans="1:5" x14ac:dyDescent="0.3">
      <c r="E117" s="9">
        <f>SUM(E111:E116)</f>
        <v>542.69631000000004</v>
      </c>
    </row>
    <row r="118" spans="1:5" x14ac:dyDescent="0.3">
      <c r="B118" s="4" t="s">
        <v>37</v>
      </c>
      <c r="C118">
        <v>2</v>
      </c>
      <c r="D118">
        <v>85</v>
      </c>
      <c r="E118" s="8">
        <v>170</v>
      </c>
    </row>
    <row r="119" spans="1:5" x14ac:dyDescent="0.3">
      <c r="E119" s="8">
        <f>SUM(E117:E118)</f>
        <v>712.69631000000004</v>
      </c>
    </row>
    <row r="122" spans="1:5" x14ac:dyDescent="0.3">
      <c r="C122" s="4" t="s">
        <v>28</v>
      </c>
      <c r="D122" s="4" t="s">
        <v>29</v>
      </c>
      <c r="E122" s="4" t="s">
        <v>30</v>
      </c>
    </row>
    <row r="123" spans="1:5" x14ac:dyDescent="0.3">
      <c r="A123" t="s">
        <v>527</v>
      </c>
      <c r="B123" s="4" t="s">
        <v>32</v>
      </c>
      <c r="C123" s="4">
        <v>0.71799999999999997</v>
      </c>
      <c r="D123" s="4">
        <v>19.38</v>
      </c>
      <c r="E123" s="8">
        <f t="shared" ref="E123:E128" si="10">C123*D123</f>
        <v>13.914839999999998</v>
      </c>
    </row>
    <row r="124" spans="1:5" x14ac:dyDescent="0.3">
      <c r="A124" t="s">
        <v>63</v>
      </c>
      <c r="B124" s="4" t="s">
        <v>33</v>
      </c>
      <c r="C124" s="4">
        <v>0.79200000000000004</v>
      </c>
      <c r="D124" s="4">
        <v>9.83</v>
      </c>
      <c r="E124" s="8">
        <f t="shared" si="10"/>
        <v>7.7853600000000007</v>
      </c>
    </row>
    <row r="125" spans="1:5" x14ac:dyDescent="0.3">
      <c r="A125" t="s">
        <v>528</v>
      </c>
      <c r="B125" s="4" t="s">
        <v>42</v>
      </c>
      <c r="C125" s="4">
        <v>2</v>
      </c>
      <c r="D125" s="4">
        <v>1.36</v>
      </c>
      <c r="E125" s="8">
        <f t="shared" si="10"/>
        <v>2.72</v>
      </c>
    </row>
    <row r="126" spans="1:5" x14ac:dyDescent="0.3">
      <c r="B126" s="4" t="s">
        <v>34</v>
      </c>
      <c r="C126" s="4"/>
      <c r="D126" s="4"/>
      <c r="E126" s="8">
        <f t="shared" si="10"/>
        <v>0</v>
      </c>
    </row>
    <row r="127" spans="1:5" x14ac:dyDescent="0.3">
      <c r="B127" s="4" t="s">
        <v>35</v>
      </c>
      <c r="C127" s="4">
        <v>4</v>
      </c>
      <c r="D127" s="4">
        <v>1.89</v>
      </c>
      <c r="E127" s="8">
        <f t="shared" si="10"/>
        <v>7.56</v>
      </c>
    </row>
    <row r="128" spans="1:5" x14ac:dyDescent="0.3">
      <c r="B128" s="4" t="s">
        <v>36</v>
      </c>
      <c r="C128" s="4">
        <v>4</v>
      </c>
      <c r="D128" s="4">
        <v>0.24</v>
      </c>
      <c r="E128" s="8">
        <f t="shared" si="10"/>
        <v>0.96</v>
      </c>
    </row>
    <row r="129" spans="1:5" x14ac:dyDescent="0.3">
      <c r="E129" s="8">
        <f>SUM(E123:E128)</f>
        <v>32.940199999999997</v>
      </c>
    </row>
    <row r="130" spans="1:5" x14ac:dyDescent="0.3">
      <c r="B130" s="4" t="s">
        <v>37</v>
      </c>
      <c r="C130">
        <v>15</v>
      </c>
      <c r="D130">
        <v>1.41</v>
      </c>
      <c r="E130" s="8">
        <f>C130*D130</f>
        <v>21.15</v>
      </c>
    </row>
    <row r="131" spans="1:5" x14ac:dyDescent="0.3">
      <c r="E131" s="8">
        <f>SUM(E129:E130)</f>
        <v>54.090199999999996</v>
      </c>
    </row>
    <row r="134" spans="1:5" x14ac:dyDescent="0.3">
      <c r="C134" s="4" t="s">
        <v>28</v>
      </c>
      <c r="D134" s="4" t="s">
        <v>29</v>
      </c>
      <c r="E134" s="4" t="s">
        <v>30</v>
      </c>
    </row>
    <row r="135" spans="1:5" x14ac:dyDescent="0.3">
      <c r="A135" t="s">
        <v>529</v>
      </c>
      <c r="B135" s="4" t="s">
        <v>32</v>
      </c>
      <c r="C135" s="4">
        <v>2.0150000000000001</v>
      </c>
      <c r="D135" s="4">
        <v>19.38</v>
      </c>
      <c r="E135" s="8">
        <f t="shared" ref="E135:E140" si="11">C135*D135</f>
        <v>39.050699999999999</v>
      </c>
    </row>
    <row r="136" spans="1:5" x14ac:dyDescent="0.3">
      <c r="A136" t="s">
        <v>53</v>
      </c>
      <c r="B136" s="4" t="s">
        <v>33</v>
      </c>
      <c r="C136" s="4">
        <v>8.6240000000000006</v>
      </c>
      <c r="D136" s="4">
        <v>9.83</v>
      </c>
      <c r="E136" s="8">
        <f t="shared" si="11"/>
        <v>84.773920000000004</v>
      </c>
    </row>
    <row r="137" spans="1:5" x14ac:dyDescent="0.3">
      <c r="A137" t="s">
        <v>530</v>
      </c>
      <c r="B137" s="4" t="s">
        <v>42</v>
      </c>
      <c r="C137" s="4">
        <v>2</v>
      </c>
      <c r="D137" s="4">
        <v>1.36</v>
      </c>
      <c r="E137" s="8">
        <f t="shared" si="11"/>
        <v>2.72</v>
      </c>
    </row>
    <row r="138" spans="1:5" x14ac:dyDescent="0.3">
      <c r="B138" s="4" t="s">
        <v>34</v>
      </c>
      <c r="C138" s="4">
        <v>0.3</v>
      </c>
      <c r="D138" s="4">
        <v>13.67</v>
      </c>
      <c r="E138" s="8">
        <f t="shared" si="11"/>
        <v>4.101</v>
      </c>
    </row>
    <row r="139" spans="1:5" x14ac:dyDescent="0.3">
      <c r="B139" s="4" t="s">
        <v>35</v>
      </c>
      <c r="C139" s="4">
        <v>4</v>
      </c>
      <c r="D139" s="4">
        <v>1.89</v>
      </c>
      <c r="E139" s="8">
        <f t="shared" si="11"/>
        <v>7.56</v>
      </c>
    </row>
    <row r="140" spans="1:5" x14ac:dyDescent="0.3">
      <c r="B140" s="4" t="s">
        <v>36</v>
      </c>
      <c r="C140" s="4">
        <v>4</v>
      </c>
      <c r="D140" s="4">
        <v>0.24</v>
      </c>
      <c r="E140" s="8">
        <f t="shared" si="11"/>
        <v>0.96</v>
      </c>
    </row>
    <row r="141" spans="1:5" x14ac:dyDescent="0.3">
      <c r="E141" s="8">
        <f>SUM(E135:E140)</f>
        <v>139.16562000000002</v>
      </c>
    </row>
    <row r="142" spans="1:5" x14ac:dyDescent="0.3">
      <c r="B142" s="4" t="s">
        <v>37</v>
      </c>
      <c r="C142">
        <v>0.5</v>
      </c>
      <c r="D142">
        <v>1.41</v>
      </c>
      <c r="E142" s="8">
        <v>70.5</v>
      </c>
    </row>
    <row r="143" spans="1:5" x14ac:dyDescent="0.3">
      <c r="E143" s="8">
        <f>SUM(E141:E142)</f>
        <v>209.66562000000002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4:Q408"/>
  <sheetViews>
    <sheetView topLeftCell="A376" workbookViewId="0">
      <selection activeCell="J398" sqref="J398"/>
    </sheetView>
  </sheetViews>
  <sheetFormatPr baseColWidth="10" defaultRowHeight="14.4" x14ac:dyDescent="0.3"/>
  <cols>
    <col min="1" max="1" width="13.5546875" customWidth="1"/>
    <col min="2" max="2" width="19.6640625" customWidth="1"/>
  </cols>
  <sheetData>
    <row r="4" spans="1:5" x14ac:dyDescent="0.3">
      <c r="C4" s="4" t="s">
        <v>28</v>
      </c>
      <c r="D4" s="4" t="s">
        <v>29</v>
      </c>
      <c r="E4" s="4" t="s">
        <v>30</v>
      </c>
    </row>
    <row r="5" spans="1:5" x14ac:dyDescent="0.3">
      <c r="A5" t="s">
        <v>291</v>
      </c>
      <c r="B5" s="4" t="s">
        <v>32</v>
      </c>
      <c r="C5" s="4">
        <v>2.238</v>
      </c>
      <c r="D5" s="4">
        <v>19.89</v>
      </c>
      <c r="E5" s="8"/>
    </row>
    <row r="6" spans="1:5" x14ac:dyDescent="0.3">
      <c r="A6" t="s">
        <v>321</v>
      </c>
      <c r="B6" s="4" t="s">
        <v>33</v>
      </c>
      <c r="C6" s="4">
        <v>29.21</v>
      </c>
      <c r="D6" s="4">
        <v>10.86</v>
      </c>
      <c r="E6" s="8">
        <f>C6*D6</f>
        <v>317.22059999999999</v>
      </c>
    </row>
    <row r="7" spans="1:5" x14ac:dyDescent="0.3">
      <c r="B7" s="4" t="s">
        <v>137</v>
      </c>
      <c r="C7" s="4">
        <v>1.26</v>
      </c>
      <c r="D7" s="4">
        <v>12.92</v>
      </c>
      <c r="E7" s="8">
        <f>C7*D7</f>
        <v>16.279199999999999</v>
      </c>
    </row>
    <row r="8" spans="1:5" x14ac:dyDescent="0.3">
      <c r="B8" s="4" t="s">
        <v>35</v>
      </c>
      <c r="C8" s="4">
        <v>4</v>
      </c>
      <c r="D8" s="4">
        <v>1.89</v>
      </c>
      <c r="E8" s="8">
        <f>C8*D8</f>
        <v>7.56</v>
      </c>
    </row>
    <row r="9" spans="1:5" x14ac:dyDescent="0.3">
      <c r="B9" s="4" t="s">
        <v>36</v>
      </c>
      <c r="C9" s="4">
        <v>4</v>
      </c>
      <c r="D9" s="4">
        <v>0.24</v>
      </c>
      <c r="E9" s="8">
        <f>C9*D9</f>
        <v>0.96</v>
      </c>
    </row>
    <row r="10" spans="1:5" x14ac:dyDescent="0.3">
      <c r="E10" s="9">
        <f>SUM(E5:E9)</f>
        <v>342.01979999999998</v>
      </c>
    </row>
    <row r="11" spans="1:5" x14ac:dyDescent="0.3">
      <c r="B11" s="4" t="s">
        <v>37</v>
      </c>
      <c r="C11" t="s">
        <v>319</v>
      </c>
      <c r="E11" s="8">
        <v>85</v>
      </c>
    </row>
    <row r="12" spans="1:5" x14ac:dyDescent="0.3">
      <c r="E12" s="8">
        <f>SUM(E10:E11)</f>
        <v>427.01979999999998</v>
      </c>
    </row>
    <row r="16" spans="1:5" x14ac:dyDescent="0.3">
      <c r="C16" s="4" t="s">
        <v>28</v>
      </c>
      <c r="D16" s="4" t="s">
        <v>29</v>
      </c>
      <c r="E16" s="4" t="s">
        <v>30</v>
      </c>
    </row>
    <row r="17" spans="1:5" x14ac:dyDescent="0.3">
      <c r="A17" t="s">
        <v>322</v>
      </c>
      <c r="B17" s="4" t="s">
        <v>32</v>
      </c>
      <c r="C17" s="4">
        <v>6.1959999999999997</v>
      </c>
      <c r="D17" s="4">
        <v>19.89</v>
      </c>
      <c r="E17" s="8">
        <f>C17*D17</f>
        <v>123.23844</v>
      </c>
    </row>
    <row r="18" spans="1:5" x14ac:dyDescent="0.3">
      <c r="A18" t="s">
        <v>168</v>
      </c>
      <c r="B18" s="4" t="s">
        <v>33</v>
      </c>
      <c r="C18" s="4">
        <v>74.646000000000001</v>
      </c>
      <c r="D18" s="4">
        <v>10.86</v>
      </c>
      <c r="E18" s="8">
        <f>C18*D18</f>
        <v>810.65555999999992</v>
      </c>
    </row>
    <row r="19" spans="1:5" x14ac:dyDescent="0.3">
      <c r="B19" s="4" t="s">
        <v>137</v>
      </c>
      <c r="C19" s="4">
        <v>3</v>
      </c>
      <c r="D19" s="4">
        <v>12.92</v>
      </c>
      <c r="E19" s="8">
        <f>C19*D19</f>
        <v>38.76</v>
      </c>
    </row>
    <row r="20" spans="1:5" x14ac:dyDescent="0.3">
      <c r="B20" s="4" t="s">
        <v>35</v>
      </c>
      <c r="C20" s="4">
        <v>8</v>
      </c>
      <c r="D20" s="4">
        <v>1.89</v>
      </c>
      <c r="E20" s="8">
        <f>C20*D20</f>
        <v>15.12</v>
      </c>
    </row>
    <row r="21" spans="1:5" x14ac:dyDescent="0.3">
      <c r="B21" s="4" t="s">
        <v>36</v>
      </c>
      <c r="C21" s="4">
        <v>4</v>
      </c>
      <c r="D21" s="4">
        <v>0.24</v>
      </c>
      <c r="E21" s="8">
        <f>C21*D21</f>
        <v>0.96</v>
      </c>
    </row>
    <row r="22" spans="1:5" x14ac:dyDescent="0.3">
      <c r="B22" s="4" t="s">
        <v>37</v>
      </c>
      <c r="C22" t="s">
        <v>323</v>
      </c>
      <c r="E22" s="8">
        <v>510</v>
      </c>
    </row>
    <row r="23" spans="1:5" x14ac:dyDescent="0.3">
      <c r="E23" s="8">
        <f>SUM(E17:E22)</f>
        <v>1498.7339999999999</v>
      </c>
    </row>
    <row r="26" spans="1:5" x14ac:dyDescent="0.3">
      <c r="C26" s="4" t="s">
        <v>28</v>
      </c>
      <c r="D26" s="4" t="s">
        <v>29</v>
      </c>
      <c r="E26" s="4" t="s">
        <v>30</v>
      </c>
    </row>
    <row r="27" spans="1:5" x14ac:dyDescent="0.3">
      <c r="A27" t="s">
        <v>324</v>
      </c>
      <c r="B27" s="4" t="s">
        <v>32</v>
      </c>
      <c r="C27" s="4">
        <v>5.6580000000000004</v>
      </c>
      <c r="D27" s="4">
        <v>19.89</v>
      </c>
      <c r="E27" s="8">
        <f>C27*D27</f>
        <v>112.53762</v>
      </c>
    </row>
    <row r="28" spans="1:5" x14ac:dyDescent="0.3">
      <c r="A28" t="s">
        <v>201</v>
      </c>
      <c r="B28" s="4" t="s">
        <v>33</v>
      </c>
      <c r="C28" s="4">
        <v>5.3680000000000003</v>
      </c>
      <c r="D28" s="4">
        <v>10.86</v>
      </c>
      <c r="E28" s="8">
        <f>C28*D28</f>
        <v>58.296480000000003</v>
      </c>
    </row>
    <row r="29" spans="1:5" x14ac:dyDescent="0.3">
      <c r="B29" s="4" t="s">
        <v>137</v>
      </c>
      <c r="C29" s="4">
        <v>0.5</v>
      </c>
      <c r="D29" s="4">
        <v>12.92</v>
      </c>
      <c r="E29" s="8">
        <f>C29*D29</f>
        <v>6.46</v>
      </c>
    </row>
    <row r="30" spans="1:5" x14ac:dyDescent="0.3">
      <c r="B30" s="4" t="s">
        <v>35</v>
      </c>
      <c r="C30" s="4">
        <v>8</v>
      </c>
      <c r="D30" s="4">
        <v>1.89</v>
      </c>
      <c r="E30" s="8">
        <f>C30*D30</f>
        <v>15.12</v>
      </c>
    </row>
    <row r="31" spans="1:5" x14ac:dyDescent="0.3">
      <c r="B31" s="4" t="s">
        <v>36</v>
      </c>
      <c r="C31" s="4">
        <v>4</v>
      </c>
      <c r="D31" s="4">
        <v>0.24</v>
      </c>
      <c r="E31" s="8">
        <f>C31*D31</f>
        <v>0.96</v>
      </c>
    </row>
    <row r="32" spans="1:5" x14ac:dyDescent="0.3">
      <c r="B32" s="4" t="s">
        <v>37</v>
      </c>
      <c r="C32">
        <v>85</v>
      </c>
      <c r="E32" s="8">
        <v>85</v>
      </c>
    </row>
    <row r="33" spans="1:5" x14ac:dyDescent="0.3">
      <c r="E33" s="8">
        <f>SUM(E27:E32)</f>
        <v>278.3741</v>
      </c>
    </row>
    <row r="36" spans="1:5" x14ac:dyDescent="0.3">
      <c r="C36" s="4" t="s">
        <v>28</v>
      </c>
      <c r="D36" s="4" t="s">
        <v>29</v>
      </c>
      <c r="E36" s="4" t="s">
        <v>30</v>
      </c>
    </row>
    <row r="37" spans="1:5" x14ac:dyDescent="0.3">
      <c r="A37" t="s">
        <v>326</v>
      </c>
      <c r="B37" s="4" t="s">
        <v>32</v>
      </c>
      <c r="C37" s="4">
        <v>8.8360000000000003</v>
      </c>
      <c r="D37" s="4">
        <v>19.89</v>
      </c>
      <c r="E37" s="8">
        <f>C37*D37</f>
        <v>175.74804</v>
      </c>
    </row>
    <row r="38" spans="1:5" x14ac:dyDescent="0.3">
      <c r="A38" t="s">
        <v>201</v>
      </c>
      <c r="B38" s="4" t="s">
        <v>33</v>
      </c>
      <c r="C38" s="4">
        <v>8.5579999999999998</v>
      </c>
      <c r="D38" s="4">
        <v>10.86</v>
      </c>
      <c r="E38" s="8">
        <f>C38*D38</f>
        <v>92.939879999999988</v>
      </c>
    </row>
    <row r="39" spans="1:5" x14ac:dyDescent="0.3">
      <c r="B39" s="4" t="s">
        <v>137</v>
      </c>
      <c r="C39" s="4">
        <v>0.5</v>
      </c>
      <c r="D39" s="4">
        <v>12.92</v>
      </c>
      <c r="E39" s="8">
        <f>C39*D39</f>
        <v>6.46</v>
      </c>
    </row>
    <row r="40" spans="1:5" x14ac:dyDescent="0.3">
      <c r="B40" s="4" t="s">
        <v>35</v>
      </c>
      <c r="C40" s="4">
        <v>8</v>
      </c>
      <c r="D40" s="4">
        <v>1.89</v>
      </c>
      <c r="E40" s="8">
        <f>C40*D40</f>
        <v>15.12</v>
      </c>
    </row>
    <row r="41" spans="1:5" x14ac:dyDescent="0.3">
      <c r="B41" s="4" t="s">
        <v>36</v>
      </c>
      <c r="C41" s="4">
        <v>4</v>
      </c>
      <c r="D41" s="4">
        <v>0.24</v>
      </c>
      <c r="E41" s="8">
        <f>C41*D41</f>
        <v>0.96</v>
      </c>
    </row>
    <row r="42" spans="1:5" x14ac:dyDescent="0.3">
      <c r="B42" s="4" t="s">
        <v>37</v>
      </c>
      <c r="C42">
        <v>170</v>
      </c>
      <c r="E42" s="8">
        <v>170</v>
      </c>
    </row>
    <row r="43" spans="1:5" x14ac:dyDescent="0.3">
      <c r="E43" s="8">
        <f>SUM(E37:E42)</f>
        <v>461.22791999999993</v>
      </c>
    </row>
    <row r="46" spans="1:5" x14ac:dyDescent="0.3">
      <c r="C46" s="4" t="s">
        <v>28</v>
      </c>
      <c r="D46" s="4" t="s">
        <v>29</v>
      </c>
      <c r="E46" s="4" t="s">
        <v>30</v>
      </c>
    </row>
    <row r="47" spans="1:5" x14ac:dyDescent="0.3">
      <c r="A47" t="s">
        <v>327</v>
      </c>
      <c r="B47" s="4" t="s">
        <v>32</v>
      </c>
      <c r="C47" s="4">
        <v>10.484999999999999</v>
      </c>
      <c r="D47" s="4">
        <v>19.89</v>
      </c>
      <c r="E47" s="8">
        <f>C47*D47</f>
        <v>208.54665</v>
      </c>
    </row>
    <row r="48" spans="1:5" x14ac:dyDescent="0.3">
      <c r="A48" t="s">
        <v>201</v>
      </c>
      <c r="B48" s="4" t="s">
        <v>33</v>
      </c>
      <c r="C48" s="4">
        <v>10.208</v>
      </c>
      <c r="D48" s="4">
        <v>10.86</v>
      </c>
      <c r="E48" s="8">
        <f>C48*D48</f>
        <v>110.85888</v>
      </c>
    </row>
    <row r="49" spans="1:5" x14ac:dyDescent="0.3">
      <c r="B49" s="4" t="s">
        <v>137</v>
      </c>
      <c r="C49" s="4">
        <v>1</v>
      </c>
      <c r="D49" s="4">
        <v>12.92</v>
      </c>
      <c r="E49" s="8">
        <f>C49*D49</f>
        <v>12.92</v>
      </c>
    </row>
    <row r="50" spans="1:5" x14ac:dyDescent="0.3">
      <c r="B50" s="4" t="s">
        <v>35</v>
      </c>
      <c r="C50" s="4">
        <v>8</v>
      </c>
      <c r="D50" s="4">
        <v>1.89</v>
      </c>
      <c r="E50" s="8">
        <f>C50*D50</f>
        <v>15.12</v>
      </c>
    </row>
    <row r="51" spans="1:5" x14ac:dyDescent="0.3">
      <c r="B51" s="4" t="s">
        <v>36</v>
      </c>
      <c r="C51" s="4">
        <v>4</v>
      </c>
      <c r="D51" s="4">
        <v>0.24</v>
      </c>
      <c r="E51" s="8">
        <f>C51*D51</f>
        <v>0.96</v>
      </c>
    </row>
    <row r="52" spans="1:5" x14ac:dyDescent="0.3">
      <c r="B52" s="4" t="s">
        <v>37</v>
      </c>
      <c r="C52">
        <v>212.5</v>
      </c>
      <c r="E52" s="8">
        <v>212.5</v>
      </c>
    </row>
    <row r="53" spans="1:5" x14ac:dyDescent="0.3">
      <c r="E53" s="8">
        <f>SUM(E47:E52)</f>
        <v>560.90553</v>
      </c>
    </row>
    <row r="56" spans="1:5" x14ac:dyDescent="0.3">
      <c r="C56" s="4" t="s">
        <v>28</v>
      </c>
      <c r="D56" s="4" t="s">
        <v>29</v>
      </c>
      <c r="E56" s="4" t="s">
        <v>30</v>
      </c>
    </row>
    <row r="57" spans="1:5" x14ac:dyDescent="0.3">
      <c r="A57" t="s">
        <v>328</v>
      </c>
      <c r="B57" s="4" t="s">
        <v>32</v>
      </c>
      <c r="C57" s="4">
        <v>7.0759999999999996</v>
      </c>
      <c r="D57" s="4">
        <v>19.89</v>
      </c>
      <c r="E57" s="8">
        <f>C57*D57</f>
        <v>140.74163999999999</v>
      </c>
    </row>
    <row r="58" spans="1:5" x14ac:dyDescent="0.3">
      <c r="A58" t="s">
        <v>201</v>
      </c>
      <c r="B58" s="4" t="s">
        <v>33</v>
      </c>
      <c r="C58" s="4">
        <v>6.798</v>
      </c>
      <c r="D58" s="4">
        <v>10.86</v>
      </c>
      <c r="E58" s="8">
        <f>C58*D58</f>
        <v>73.826279999999997</v>
      </c>
    </row>
    <row r="59" spans="1:5" x14ac:dyDescent="0.3">
      <c r="B59" s="4" t="s">
        <v>137</v>
      </c>
      <c r="C59" s="4">
        <v>0.5</v>
      </c>
      <c r="D59" s="4">
        <v>12.92</v>
      </c>
      <c r="E59" s="8">
        <f>C59*D59</f>
        <v>6.46</v>
      </c>
    </row>
    <row r="60" spans="1:5" x14ac:dyDescent="0.3">
      <c r="B60" s="4" t="s">
        <v>35</v>
      </c>
      <c r="C60" s="4">
        <v>8</v>
      </c>
      <c r="D60" s="4">
        <v>1.89</v>
      </c>
      <c r="E60" s="8">
        <f>C60*D60</f>
        <v>15.12</v>
      </c>
    </row>
    <row r="61" spans="1:5" x14ac:dyDescent="0.3">
      <c r="B61" s="4" t="s">
        <v>36</v>
      </c>
      <c r="C61" s="4">
        <v>4</v>
      </c>
      <c r="D61" s="4">
        <v>0.24</v>
      </c>
      <c r="E61" s="8">
        <f>C61*D61</f>
        <v>0.96</v>
      </c>
    </row>
    <row r="62" spans="1:5" x14ac:dyDescent="0.3">
      <c r="B62" s="4" t="s">
        <v>37</v>
      </c>
      <c r="C62">
        <v>170</v>
      </c>
      <c r="E62" s="8">
        <v>170</v>
      </c>
    </row>
    <row r="63" spans="1:5" x14ac:dyDescent="0.3">
      <c r="E63" s="8">
        <f>SUM(E57:E62)</f>
        <v>407.10792000000004</v>
      </c>
    </row>
    <row r="66" spans="1:5" x14ac:dyDescent="0.3">
      <c r="C66" s="4" t="s">
        <v>28</v>
      </c>
      <c r="D66" s="4" t="s">
        <v>29</v>
      </c>
      <c r="E66" s="4" t="s">
        <v>30</v>
      </c>
    </row>
    <row r="67" spans="1:5" x14ac:dyDescent="0.3">
      <c r="A67" t="s">
        <v>124</v>
      </c>
      <c r="B67" s="4" t="s">
        <v>32</v>
      </c>
      <c r="C67" s="4">
        <v>3.4990000000000001</v>
      </c>
      <c r="D67" s="4">
        <v>19.89</v>
      </c>
      <c r="E67" s="8">
        <f>C67*D67</f>
        <v>69.595110000000005</v>
      </c>
    </row>
    <row r="68" spans="1:5" x14ac:dyDescent="0.3">
      <c r="A68" t="s">
        <v>168</v>
      </c>
      <c r="B68" s="4" t="s">
        <v>33</v>
      </c>
      <c r="C68" s="4">
        <v>36.235999999999997</v>
      </c>
      <c r="D68" s="4">
        <v>10.86</v>
      </c>
      <c r="E68" s="8">
        <f>C68*D68</f>
        <v>393.52295999999996</v>
      </c>
    </row>
    <row r="69" spans="1:5" x14ac:dyDescent="0.3">
      <c r="B69" s="4" t="s">
        <v>137</v>
      </c>
      <c r="C69" s="4">
        <v>1.68</v>
      </c>
      <c r="D69" s="4">
        <v>12.92</v>
      </c>
      <c r="E69" s="8">
        <f>C69*D69</f>
        <v>21.7056</v>
      </c>
    </row>
    <row r="70" spans="1:5" x14ac:dyDescent="0.3">
      <c r="B70" s="4" t="s">
        <v>35</v>
      </c>
      <c r="C70" s="4">
        <v>4</v>
      </c>
      <c r="D70" s="4">
        <v>1.89</v>
      </c>
      <c r="E70" s="8">
        <f>C70*D70</f>
        <v>7.56</v>
      </c>
    </row>
    <row r="71" spans="1:5" x14ac:dyDescent="0.3">
      <c r="B71" s="4" t="s">
        <v>36</v>
      </c>
      <c r="C71" s="4">
        <v>4</v>
      </c>
      <c r="D71" s="4">
        <v>0.24</v>
      </c>
      <c r="E71" s="8">
        <f>C71*D71</f>
        <v>0.96</v>
      </c>
    </row>
    <row r="72" spans="1:5" x14ac:dyDescent="0.3">
      <c r="B72" s="4" t="s">
        <v>37</v>
      </c>
      <c r="C72" t="s">
        <v>329</v>
      </c>
      <c r="E72" s="8">
        <v>170</v>
      </c>
    </row>
    <row r="73" spans="1:5" x14ac:dyDescent="0.3">
      <c r="E73" s="8">
        <f>SUM(E67:E72)</f>
        <v>663.34366999999997</v>
      </c>
    </row>
    <row r="74" spans="1:5" x14ac:dyDescent="0.3">
      <c r="D74" t="s">
        <v>331</v>
      </c>
      <c r="E74">
        <v>1660</v>
      </c>
    </row>
    <row r="76" spans="1:5" x14ac:dyDescent="0.3">
      <c r="C76" s="4" t="s">
        <v>28</v>
      </c>
      <c r="D76" s="4" t="s">
        <v>29</v>
      </c>
      <c r="E76" s="4" t="s">
        <v>30</v>
      </c>
    </row>
    <row r="77" spans="1:5" x14ac:dyDescent="0.3">
      <c r="A77" t="s">
        <v>330</v>
      </c>
      <c r="B77" s="4" t="s">
        <v>32</v>
      </c>
      <c r="C77" s="4">
        <v>3.7749999999999999</v>
      </c>
      <c r="D77" s="4">
        <v>19.89</v>
      </c>
      <c r="E77" s="8">
        <f>C77*D77</f>
        <v>75.08475</v>
      </c>
    </row>
    <row r="78" spans="1:5" x14ac:dyDescent="0.3">
      <c r="A78" t="s">
        <v>168</v>
      </c>
      <c r="B78" s="4" t="s">
        <v>33</v>
      </c>
      <c r="C78" s="4">
        <v>39.555999999999997</v>
      </c>
      <c r="D78" s="4">
        <v>10.86</v>
      </c>
      <c r="E78" s="8">
        <f>C78*D78</f>
        <v>429.57815999999997</v>
      </c>
    </row>
    <row r="79" spans="1:5" x14ac:dyDescent="0.3">
      <c r="B79" s="4" t="s">
        <v>137</v>
      </c>
      <c r="C79" s="4">
        <v>3</v>
      </c>
      <c r="D79" s="4">
        <v>12.92</v>
      </c>
      <c r="E79" s="8">
        <f>C79*D79</f>
        <v>38.76</v>
      </c>
    </row>
    <row r="80" spans="1:5" x14ac:dyDescent="0.3">
      <c r="B80" s="4" t="s">
        <v>35</v>
      </c>
      <c r="C80" s="4">
        <v>8</v>
      </c>
      <c r="D80" s="4">
        <v>1.89</v>
      </c>
      <c r="E80" s="8">
        <f>C80*D80</f>
        <v>15.12</v>
      </c>
    </row>
    <row r="81" spans="1:5" x14ac:dyDescent="0.3">
      <c r="B81" s="4" t="s">
        <v>36</v>
      </c>
      <c r="C81" s="4">
        <v>4</v>
      </c>
      <c r="D81" s="4">
        <v>0.24</v>
      </c>
      <c r="E81" s="8">
        <f>C81*D81</f>
        <v>0.96</v>
      </c>
    </row>
    <row r="82" spans="1:5" x14ac:dyDescent="0.3">
      <c r="B82" s="4" t="s">
        <v>37</v>
      </c>
      <c r="C82" t="s">
        <v>329</v>
      </c>
      <c r="E82" s="8">
        <v>170</v>
      </c>
    </row>
    <row r="83" spans="1:5" x14ac:dyDescent="0.3">
      <c r="E83" s="8">
        <f>SUM(E77:E82)</f>
        <v>729.50291000000004</v>
      </c>
    </row>
    <row r="84" spans="1:5" x14ac:dyDescent="0.3">
      <c r="D84" t="s">
        <v>331</v>
      </c>
      <c r="E84">
        <v>1825</v>
      </c>
    </row>
    <row r="87" spans="1:5" x14ac:dyDescent="0.3">
      <c r="C87" s="4" t="s">
        <v>28</v>
      </c>
      <c r="D87" s="4" t="s">
        <v>29</v>
      </c>
      <c r="E87" s="4" t="s">
        <v>30</v>
      </c>
    </row>
    <row r="88" spans="1:5" x14ac:dyDescent="0.3">
      <c r="A88" t="s">
        <v>332</v>
      </c>
      <c r="B88" s="4" t="s">
        <v>32</v>
      </c>
      <c r="C88" s="4">
        <v>3.8860000000000001</v>
      </c>
      <c r="D88" s="4">
        <v>19.89</v>
      </c>
      <c r="E88" s="8">
        <f>C88*D88</f>
        <v>77.292540000000002</v>
      </c>
    </row>
    <row r="89" spans="1:5" x14ac:dyDescent="0.3">
      <c r="A89" t="s">
        <v>168</v>
      </c>
      <c r="B89" s="4" t="s">
        <v>33</v>
      </c>
      <c r="C89" s="4">
        <v>41.151000000000003</v>
      </c>
      <c r="D89" s="4">
        <v>10.86</v>
      </c>
      <c r="E89" s="8">
        <f>C89*D89</f>
        <v>446.89985999999999</v>
      </c>
    </row>
    <row r="90" spans="1:5" x14ac:dyDescent="0.3">
      <c r="B90" s="4" t="s">
        <v>137</v>
      </c>
      <c r="C90" s="4">
        <v>4</v>
      </c>
      <c r="D90" s="4">
        <v>12.92</v>
      </c>
      <c r="E90" s="8">
        <f>C90*D90</f>
        <v>51.68</v>
      </c>
    </row>
    <row r="91" spans="1:5" x14ac:dyDescent="0.3">
      <c r="B91" s="4" t="s">
        <v>35</v>
      </c>
      <c r="C91" s="4">
        <v>8</v>
      </c>
      <c r="D91" s="4">
        <v>1.89</v>
      </c>
      <c r="E91" s="8">
        <f>C91*D91</f>
        <v>15.12</v>
      </c>
    </row>
    <row r="92" spans="1:5" x14ac:dyDescent="0.3">
      <c r="B92" s="4" t="s">
        <v>36</v>
      </c>
      <c r="C92" s="4">
        <v>4</v>
      </c>
      <c r="D92" s="4">
        <v>0.24</v>
      </c>
      <c r="E92" s="8">
        <f>C92*D92</f>
        <v>0.96</v>
      </c>
    </row>
    <row r="93" spans="1:5" x14ac:dyDescent="0.3">
      <c r="B93" s="4" t="s">
        <v>37</v>
      </c>
      <c r="C93" t="s">
        <v>329</v>
      </c>
      <c r="E93" s="8">
        <v>170</v>
      </c>
    </row>
    <row r="94" spans="1:5" x14ac:dyDescent="0.3">
      <c r="E94" s="8">
        <f>SUM(E88:E93)</f>
        <v>761.95240000000001</v>
      </c>
    </row>
    <row r="95" spans="1:5" x14ac:dyDescent="0.3">
      <c r="D95" t="s">
        <v>331</v>
      </c>
      <c r="E95">
        <v>1905</v>
      </c>
    </row>
    <row r="98" spans="1:5" x14ac:dyDescent="0.3">
      <c r="C98" s="4" t="s">
        <v>28</v>
      </c>
      <c r="D98" s="4" t="s">
        <v>29</v>
      </c>
      <c r="E98" s="4" t="s">
        <v>30</v>
      </c>
    </row>
    <row r="99" spans="1:5" x14ac:dyDescent="0.3">
      <c r="A99" t="s">
        <v>333</v>
      </c>
      <c r="B99" s="4" t="s">
        <v>32</v>
      </c>
      <c r="C99" s="4">
        <v>4.2160000000000002</v>
      </c>
      <c r="D99" s="4">
        <v>19.89</v>
      </c>
      <c r="E99" s="8">
        <f>C99*D99</f>
        <v>83.85624</v>
      </c>
    </row>
    <row r="100" spans="1:5" x14ac:dyDescent="0.3">
      <c r="A100" t="s">
        <v>168</v>
      </c>
      <c r="B100" s="4" t="s">
        <v>33</v>
      </c>
      <c r="C100" s="4">
        <v>45.936</v>
      </c>
      <c r="D100" s="4">
        <v>10.86</v>
      </c>
      <c r="E100" s="8">
        <f>C100*D100</f>
        <v>498.86496</v>
      </c>
    </row>
    <row r="101" spans="1:5" x14ac:dyDescent="0.3">
      <c r="B101" s="4" t="s">
        <v>137</v>
      </c>
      <c r="C101" s="4">
        <v>4.5</v>
      </c>
      <c r="D101" s="4">
        <v>12.92</v>
      </c>
      <c r="E101" s="8">
        <f>C101*D101</f>
        <v>58.14</v>
      </c>
    </row>
    <row r="102" spans="1:5" x14ac:dyDescent="0.3">
      <c r="B102" s="4" t="s">
        <v>35</v>
      </c>
      <c r="C102" s="4">
        <v>8</v>
      </c>
      <c r="D102" s="4">
        <v>1.89</v>
      </c>
      <c r="E102" s="8">
        <f>C102*D102</f>
        <v>15.12</v>
      </c>
    </row>
    <row r="103" spans="1:5" x14ac:dyDescent="0.3">
      <c r="B103" s="4" t="s">
        <v>36</v>
      </c>
      <c r="C103" s="4">
        <v>4</v>
      </c>
      <c r="D103" s="4">
        <v>0.24</v>
      </c>
      <c r="E103" s="8">
        <f>C103*D103</f>
        <v>0.96</v>
      </c>
    </row>
    <row r="104" spans="1:5" x14ac:dyDescent="0.3">
      <c r="B104" s="4" t="s">
        <v>37</v>
      </c>
      <c r="C104" t="s">
        <v>329</v>
      </c>
      <c r="E104" s="8">
        <v>170</v>
      </c>
    </row>
    <row r="105" spans="1:5" x14ac:dyDescent="0.3">
      <c r="E105" s="8">
        <f>SUM(E99:E104)</f>
        <v>826.94119999999998</v>
      </c>
    </row>
    <row r="106" spans="1:5" x14ac:dyDescent="0.3">
      <c r="D106" t="s">
        <v>331</v>
      </c>
      <c r="E106">
        <v>2100</v>
      </c>
    </row>
    <row r="108" spans="1:5" x14ac:dyDescent="0.3">
      <c r="C108" s="4" t="s">
        <v>28</v>
      </c>
      <c r="D108" s="4" t="s">
        <v>29</v>
      </c>
      <c r="E108" s="4" t="s">
        <v>30</v>
      </c>
    </row>
    <row r="109" spans="1:5" x14ac:dyDescent="0.3">
      <c r="A109" t="s">
        <v>336</v>
      </c>
      <c r="B109" s="4" t="s">
        <v>32</v>
      </c>
      <c r="C109" s="4">
        <v>7.0759999999999996</v>
      </c>
      <c r="D109" s="4">
        <v>19.89</v>
      </c>
      <c r="E109" s="8">
        <f>C109*D109</f>
        <v>140.74163999999999</v>
      </c>
    </row>
    <row r="110" spans="1:5" x14ac:dyDescent="0.3">
      <c r="A110" t="s">
        <v>219</v>
      </c>
      <c r="B110" s="4" t="s">
        <v>33</v>
      </c>
      <c r="C110" s="4">
        <v>6.798</v>
      </c>
      <c r="D110" s="4">
        <v>10.86</v>
      </c>
      <c r="E110" s="8">
        <f>C110*D110</f>
        <v>73.826279999999997</v>
      </c>
    </row>
    <row r="111" spans="1:5" x14ac:dyDescent="0.3">
      <c r="B111" s="4" t="s">
        <v>137</v>
      </c>
      <c r="C111" s="4">
        <v>0.5</v>
      </c>
      <c r="D111" s="4">
        <v>12.92</v>
      </c>
      <c r="E111" s="8">
        <f>C111*D111</f>
        <v>6.46</v>
      </c>
    </row>
    <row r="112" spans="1:5" x14ac:dyDescent="0.3">
      <c r="B112" s="4" t="s">
        <v>35</v>
      </c>
      <c r="C112" s="4">
        <v>8</v>
      </c>
      <c r="D112" s="4">
        <v>1.89</v>
      </c>
      <c r="E112" s="8">
        <f>C112*D112</f>
        <v>15.12</v>
      </c>
    </row>
    <row r="113" spans="1:5" x14ac:dyDescent="0.3">
      <c r="B113" s="4" t="s">
        <v>36</v>
      </c>
      <c r="C113" s="4">
        <v>4</v>
      </c>
      <c r="D113" s="4">
        <v>0.24</v>
      </c>
      <c r="E113" s="8">
        <f>C113*D113</f>
        <v>0.96</v>
      </c>
    </row>
    <row r="114" spans="1:5" x14ac:dyDescent="0.3">
      <c r="B114" s="4" t="s">
        <v>37</v>
      </c>
      <c r="C114">
        <v>170</v>
      </c>
      <c r="E114" s="8">
        <v>170</v>
      </c>
    </row>
    <row r="115" spans="1:5" x14ac:dyDescent="0.3">
      <c r="E115" s="8">
        <f>SUM(E109:E114)</f>
        <v>407.10792000000004</v>
      </c>
    </row>
    <row r="118" spans="1:5" x14ac:dyDescent="0.3">
      <c r="C118" s="4" t="s">
        <v>28</v>
      </c>
      <c r="D118" s="4" t="s">
        <v>29</v>
      </c>
      <c r="E118" s="4" t="s">
        <v>30</v>
      </c>
    </row>
    <row r="119" spans="1:5" x14ac:dyDescent="0.3">
      <c r="A119" t="s">
        <v>304</v>
      </c>
      <c r="B119" s="4" t="s">
        <v>32</v>
      </c>
      <c r="C119" s="4">
        <v>4.6340000000000003</v>
      </c>
      <c r="D119" s="4">
        <v>19.89</v>
      </c>
      <c r="E119" s="8">
        <f>C119*D119</f>
        <v>92.170260000000013</v>
      </c>
    </row>
    <row r="120" spans="1:5" x14ac:dyDescent="0.3">
      <c r="A120" t="s">
        <v>337</v>
      </c>
      <c r="B120" s="4" t="s">
        <v>33</v>
      </c>
      <c r="C120" s="4">
        <v>2.1890000000000001</v>
      </c>
      <c r="D120" s="4">
        <v>10.86</v>
      </c>
      <c r="E120" s="8">
        <f>C120*D120</f>
        <v>23.772539999999999</v>
      </c>
    </row>
    <row r="121" spans="1:5" x14ac:dyDescent="0.3">
      <c r="B121" s="4" t="s">
        <v>137</v>
      </c>
      <c r="C121" s="4">
        <v>0.8</v>
      </c>
      <c r="D121" s="4">
        <v>12.92</v>
      </c>
      <c r="E121" s="8">
        <f>C121*D121</f>
        <v>10.336</v>
      </c>
    </row>
    <row r="122" spans="1:5" x14ac:dyDescent="0.3">
      <c r="B122" s="4" t="s">
        <v>35</v>
      </c>
      <c r="C122" s="4">
        <v>8</v>
      </c>
      <c r="D122" s="4">
        <v>1.89</v>
      </c>
      <c r="E122" s="8">
        <f>C122*D122</f>
        <v>15.12</v>
      </c>
    </row>
    <row r="123" spans="1:5" x14ac:dyDescent="0.3">
      <c r="B123" s="4" t="s">
        <v>36</v>
      </c>
      <c r="C123" s="4">
        <v>4</v>
      </c>
      <c r="D123" s="4">
        <v>0.24</v>
      </c>
      <c r="E123" s="8">
        <f>C123*D123</f>
        <v>0.96</v>
      </c>
    </row>
    <row r="124" spans="1:5" x14ac:dyDescent="0.3">
      <c r="B124" s="4" t="s">
        <v>37</v>
      </c>
      <c r="C124">
        <v>170</v>
      </c>
      <c r="E124" s="8">
        <v>170</v>
      </c>
    </row>
    <row r="125" spans="1:5" x14ac:dyDescent="0.3">
      <c r="E125" s="8">
        <f>SUM(E119:E124)</f>
        <v>312.35879999999997</v>
      </c>
    </row>
    <row r="128" spans="1:5" x14ac:dyDescent="0.3">
      <c r="C128" s="4" t="s">
        <v>28</v>
      </c>
      <c r="D128" s="4" t="s">
        <v>29</v>
      </c>
      <c r="E128" s="4" t="s">
        <v>30</v>
      </c>
    </row>
    <row r="129" spans="1:7" x14ac:dyDescent="0.3">
      <c r="A129" t="s">
        <v>338</v>
      </c>
      <c r="B129" s="4" t="s">
        <v>32</v>
      </c>
      <c r="C129" s="4">
        <v>2.2360000000000002</v>
      </c>
      <c r="D129" s="4">
        <v>19.89</v>
      </c>
      <c r="E129" s="8">
        <f>C129*D129</f>
        <v>44.474040000000002</v>
      </c>
    </row>
    <row r="130" spans="1:7" x14ac:dyDescent="0.3">
      <c r="A130" t="s">
        <v>337</v>
      </c>
      <c r="B130" s="4" t="s">
        <v>33</v>
      </c>
      <c r="C130" s="4">
        <v>0.99</v>
      </c>
      <c r="D130" s="4">
        <v>10.86</v>
      </c>
      <c r="E130" s="8">
        <f>C130*D130</f>
        <v>10.751399999999999</v>
      </c>
    </row>
    <row r="131" spans="1:7" x14ac:dyDescent="0.3">
      <c r="B131" s="4" t="s">
        <v>137</v>
      </c>
      <c r="C131" s="4">
        <v>0.4</v>
      </c>
      <c r="D131" s="4">
        <v>12.92</v>
      </c>
      <c r="E131" s="8">
        <f>C131*D131</f>
        <v>5.1680000000000001</v>
      </c>
    </row>
    <row r="132" spans="1:7" x14ac:dyDescent="0.3">
      <c r="B132" s="4" t="s">
        <v>35</v>
      </c>
      <c r="C132" s="4">
        <v>8</v>
      </c>
      <c r="D132" s="4">
        <v>1.89</v>
      </c>
      <c r="E132" s="8">
        <f>C132*D132</f>
        <v>15.12</v>
      </c>
    </row>
    <row r="133" spans="1:7" x14ac:dyDescent="0.3">
      <c r="B133" s="4" t="s">
        <v>36</v>
      </c>
      <c r="C133" s="4">
        <v>4</v>
      </c>
      <c r="D133" s="4">
        <v>0.24</v>
      </c>
      <c r="E133" s="8">
        <f>C133*D133</f>
        <v>0.96</v>
      </c>
    </row>
    <row r="134" spans="1:7" x14ac:dyDescent="0.3">
      <c r="B134" s="4" t="s">
        <v>37</v>
      </c>
      <c r="C134">
        <v>127.5</v>
      </c>
      <c r="E134" s="8">
        <v>127.5</v>
      </c>
      <c r="G134">
        <v>940</v>
      </c>
    </row>
    <row r="135" spans="1:7" x14ac:dyDescent="0.3">
      <c r="E135" s="8">
        <f>SUM(E129:E134)</f>
        <v>203.97343999999998</v>
      </c>
      <c r="G135">
        <v>204</v>
      </c>
    </row>
    <row r="139" spans="1:7" x14ac:dyDescent="0.3">
      <c r="C139" s="4" t="s">
        <v>28</v>
      </c>
      <c r="D139" s="4" t="s">
        <v>29</v>
      </c>
      <c r="E139" s="4" t="s">
        <v>30</v>
      </c>
    </row>
    <row r="140" spans="1:7" x14ac:dyDescent="0.3">
      <c r="A140" t="s">
        <v>339</v>
      </c>
      <c r="B140" s="4" t="s">
        <v>32</v>
      </c>
      <c r="C140" s="4">
        <v>3.4020000000000001</v>
      </c>
      <c r="D140" s="4">
        <v>19.89</v>
      </c>
      <c r="E140" s="8">
        <f>C140*D140</f>
        <v>67.665779999999998</v>
      </c>
    </row>
    <row r="141" spans="1:7" x14ac:dyDescent="0.3">
      <c r="A141" t="s">
        <v>340</v>
      </c>
      <c r="B141" s="4" t="s">
        <v>33</v>
      </c>
      <c r="C141" s="4">
        <v>39.204000000000001</v>
      </c>
      <c r="D141" s="4">
        <v>10.86</v>
      </c>
      <c r="E141" s="8">
        <f>C141*D141</f>
        <v>425.75543999999996</v>
      </c>
    </row>
    <row r="142" spans="1:7" x14ac:dyDescent="0.3">
      <c r="B142" s="4" t="s">
        <v>137</v>
      </c>
      <c r="C142" s="4">
        <v>2.5</v>
      </c>
      <c r="D142" s="4">
        <v>12.92</v>
      </c>
      <c r="E142" s="8">
        <f>C142*D142</f>
        <v>32.299999999999997</v>
      </c>
    </row>
    <row r="143" spans="1:7" x14ac:dyDescent="0.3">
      <c r="B143" s="4" t="s">
        <v>35</v>
      </c>
      <c r="C143" s="4">
        <v>8</v>
      </c>
      <c r="D143" s="4">
        <v>1.89</v>
      </c>
      <c r="E143" s="8">
        <f>C143*D143</f>
        <v>15.12</v>
      </c>
    </row>
    <row r="144" spans="1:7" x14ac:dyDescent="0.3">
      <c r="B144" s="4" t="s">
        <v>36</v>
      </c>
      <c r="C144" s="4">
        <v>4</v>
      </c>
      <c r="D144" s="4">
        <v>0.24</v>
      </c>
      <c r="E144" s="8">
        <f>C144*D144</f>
        <v>0.96</v>
      </c>
    </row>
    <row r="145" spans="1:5" x14ac:dyDescent="0.3">
      <c r="B145" s="4" t="s">
        <v>37</v>
      </c>
      <c r="C145" t="s">
        <v>329</v>
      </c>
      <c r="E145" s="8">
        <v>170</v>
      </c>
    </row>
    <row r="146" spans="1:5" x14ac:dyDescent="0.3">
      <c r="E146" s="8">
        <f>SUM(E140:E145)</f>
        <v>711.80121999999994</v>
      </c>
    </row>
    <row r="149" spans="1:5" ht="15.6" x14ac:dyDescent="0.3">
      <c r="A149" s="42"/>
      <c r="B149" s="42"/>
      <c r="C149" s="43" t="s">
        <v>28</v>
      </c>
      <c r="D149" s="43" t="s">
        <v>29</v>
      </c>
      <c r="E149" s="43" t="s">
        <v>30</v>
      </c>
    </row>
    <row r="150" spans="1:5" ht="15.6" x14ac:dyDescent="0.3">
      <c r="A150" s="42" t="s">
        <v>348</v>
      </c>
      <c r="B150" s="43" t="s">
        <v>32</v>
      </c>
      <c r="C150" s="43">
        <v>2.6760000000000002</v>
      </c>
      <c r="D150" s="43">
        <v>19.89</v>
      </c>
      <c r="E150" s="44">
        <f>C150*D150</f>
        <v>53.225640000000006</v>
      </c>
    </row>
    <row r="151" spans="1:5" ht="15.6" x14ac:dyDescent="0.3">
      <c r="A151" s="42" t="s">
        <v>340</v>
      </c>
      <c r="B151" s="43" t="s">
        <v>33</v>
      </c>
      <c r="C151" s="43">
        <v>25.344000000000001</v>
      </c>
      <c r="D151" s="43">
        <v>10.86</v>
      </c>
      <c r="E151" s="44">
        <f>C151*D151</f>
        <v>275.23584</v>
      </c>
    </row>
    <row r="152" spans="1:5" ht="15.6" x14ac:dyDescent="0.3">
      <c r="A152" s="42"/>
      <c r="B152" s="43" t="s">
        <v>137</v>
      </c>
      <c r="C152" s="43">
        <v>1.5</v>
      </c>
      <c r="D152" s="43">
        <v>12.92</v>
      </c>
      <c r="E152" s="44">
        <f>C152*D152</f>
        <v>19.38</v>
      </c>
    </row>
    <row r="153" spans="1:5" ht="15.6" x14ac:dyDescent="0.3">
      <c r="A153" s="42"/>
      <c r="B153" s="43" t="s">
        <v>35</v>
      </c>
      <c r="C153" s="43">
        <v>4</v>
      </c>
      <c r="D153" s="43">
        <v>1.89</v>
      </c>
      <c r="E153" s="44">
        <f>C153*D153</f>
        <v>7.56</v>
      </c>
    </row>
    <row r="154" spans="1:5" ht="15.6" x14ac:dyDescent="0.3">
      <c r="A154" s="42"/>
      <c r="B154" s="43" t="s">
        <v>36</v>
      </c>
      <c r="C154" s="43">
        <v>4</v>
      </c>
      <c r="D154" s="43">
        <v>0.24</v>
      </c>
      <c r="E154" s="44">
        <f>C154*D154</f>
        <v>0.96</v>
      </c>
    </row>
    <row r="155" spans="1:5" ht="15.6" x14ac:dyDescent="0.3">
      <c r="A155" s="42"/>
      <c r="B155" s="42"/>
      <c r="C155" s="42"/>
      <c r="D155" s="42"/>
      <c r="E155" s="45">
        <f>SUM(E150:E154)</f>
        <v>356.36147999999997</v>
      </c>
    </row>
    <row r="156" spans="1:5" ht="15.6" x14ac:dyDescent="0.3">
      <c r="A156" s="42"/>
      <c r="B156" s="43" t="s">
        <v>37</v>
      </c>
      <c r="C156" s="42"/>
      <c r="D156" s="42"/>
      <c r="E156" s="44">
        <v>127.5</v>
      </c>
    </row>
    <row r="157" spans="1:5" ht="15.6" x14ac:dyDescent="0.3">
      <c r="A157" s="42"/>
      <c r="B157" s="42"/>
      <c r="C157" s="42"/>
      <c r="D157" s="42"/>
      <c r="E157" s="44">
        <f>SUM(E155:E156)</f>
        <v>483.86147999999997</v>
      </c>
    </row>
    <row r="158" spans="1:5" ht="15.6" x14ac:dyDescent="0.3">
      <c r="A158" s="42"/>
      <c r="B158" s="42"/>
      <c r="C158" s="42"/>
      <c r="D158" s="42"/>
      <c r="E158" s="42"/>
    </row>
    <row r="159" spans="1:5" x14ac:dyDescent="0.3">
      <c r="C159" s="4" t="s">
        <v>28</v>
      </c>
      <c r="D159" s="4" t="s">
        <v>29</v>
      </c>
      <c r="E159" s="4" t="s">
        <v>30</v>
      </c>
    </row>
    <row r="160" spans="1:5" x14ac:dyDescent="0.3">
      <c r="A160" t="s">
        <v>352</v>
      </c>
      <c r="B160" s="4" t="s">
        <v>32</v>
      </c>
      <c r="C160" s="4">
        <v>3.6659999999999999</v>
      </c>
      <c r="D160" s="4">
        <v>19.89</v>
      </c>
      <c r="E160" s="8">
        <f>C160*D160</f>
        <v>72.916740000000004</v>
      </c>
    </row>
    <row r="161" spans="1:5" x14ac:dyDescent="0.3">
      <c r="A161" t="s">
        <v>63</v>
      </c>
      <c r="B161" s="4" t="s">
        <v>33</v>
      </c>
      <c r="C161" s="4">
        <v>9.8339999999999996</v>
      </c>
      <c r="D161" s="4">
        <v>10.86</v>
      </c>
      <c r="E161" s="8">
        <f>C161*D161</f>
        <v>106.79723999999999</v>
      </c>
    </row>
    <row r="162" spans="1:5" x14ac:dyDescent="0.3">
      <c r="B162" s="4" t="s">
        <v>137</v>
      </c>
      <c r="C162" s="4">
        <v>0.6</v>
      </c>
      <c r="D162" s="4">
        <v>12.92</v>
      </c>
      <c r="E162" s="8">
        <f>C162*D162</f>
        <v>7.7519999999999998</v>
      </c>
    </row>
    <row r="163" spans="1:5" x14ac:dyDescent="0.3">
      <c r="B163" s="4" t="s">
        <v>35</v>
      </c>
      <c r="C163" s="4">
        <v>6</v>
      </c>
      <c r="D163" s="4">
        <v>1.89</v>
      </c>
      <c r="E163" s="8">
        <f>C163*D163</f>
        <v>11.34</v>
      </c>
    </row>
    <row r="164" spans="1:5" x14ac:dyDescent="0.3">
      <c r="B164" s="4" t="s">
        <v>36</v>
      </c>
      <c r="C164" s="4">
        <v>4</v>
      </c>
      <c r="D164" s="4">
        <v>0.24</v>
      </c>
      <c r="E164" s="8">
        <f>C164*D164</f>
        <v>0.96</v>
      </c>
    </row>
    <row r="165" spans="1:5" x14ac:dyDescent="0.3">
      <c r="B165" s="4" t="s">
        <v>37</v>
      </c>
      <c r="C165">
        <v>85</v>
      </c>
      <c r="E165" s="8">
        <v>85</v>
      </c>
    </row>
    <row r="166" spans="1:5" x14ac:dyDescent="0.3">
      <c r="E166" s="8">
        <f>SUM(E160:E165)</f>
        <v>284.76598000000001</v>
      </c>
    </row>
    <row r="169" spans="1:5" x14ac:dyDescent="0.3">
      <c r="C169" s="4" t="s">
        <v>28</v>
      </c>
      <c r="D169" s="4" t="s">
        <v>29</v>
      </c>
      <c r="E169" s="4" t="s">
        <v>30</v>
      </c>
    </row>
    <row r="170" spans="1:5" x14ac:dyDescent="0.3">
      <c r="A170" t="s">
        <v>355</v>
      </c>
      <c r="B170" s="4" t="s">
        <v>32</v>
      </c>
      <c r="C170" s="4">
        <v>6.9219999999999997</v>
      </c>
      <c r="D170" s="4">
        <v>19.89</v>
      </c>
      <c r="E170" s="8"/>
    </row>
    <row r="171" spans="1:5" x14ac:dyDescent="0.3">
      <c r="A171" t="s">
        <v>356</v>
      </c>
      <c r="B171" s="4" t="s">
        <v>33</v>
      </c>
      <c r="C171" s="4">
        <v>13.156000000000001</v>
      </c>
      <c r="D171" s="4">
        <v>10.86</v>
      </c>
      <c r="E171" s="8">
        <f>C171*D171</f>
        <v>142.87415999999999</v>
      </c>
    </row>
    <row r="172" spans="1:5" x14ac:dyDescent="0.3">
      <c r="B172" s="4" t="s">
        <v>137</v>
      </c>
      <c r="C172" s="4">
        <v>1</v>
      </c>
      <c r="D172" s="4">
        <v>12.92</v>
      </c>
      <c r="E172" s="8">
        <f>C172*D172</f>
        <v>12.92</v>
      </c>
    </row>
    <row r="173" spans="1:5" x14ac:dyDescent="0.3">
      <c r="B173" s="4" t="s">
        <v>35</v>
      </c>
      <c r="C173" s="4">
        <v>6</v>
      </c>
      <c r="D173" s="4">
        <v>1.89</v>
      </c>
      <c r="E173" s="8">
        <f>C173*D173</f>
        <v>11.34</v>
      </c>
    </row>
    <row r="174" spans="1:5" x14ac:dyDescent="0.3">
      <c r="B174" s="4" t="s">
        <v>36</v>
      </c>
      <c r="C174" s="4">
        <v>4</v>
      </c>
      <c r="D174" s="4">
        <v>0.24</v>
      </c>
      <c r="E174" s="8">
        <f>C174*D174</f>
        <v>0.96</v>
      </c>
    </row>
    <row r="175" spans="1:5" x14ac:dyDescent="0.3">
      <c r="B175" s="4" t="s">
        <v>37</v>
      </c>
      <c r="C175" t="s">
        <v>357</v>
      </c>
      <c r="E175" s="8">
        <v>255</v>
      </c>
    </row>
    <row r="176" spans="1:5" x14ac:dyDescent="0.3">
      <c r="E176" s="8">
        <f>SUM(E170:E175)</f>
        <v>423.09415999999999</v>
      </c>
    </row>
    <row r="179" spans="1:5" ht="15.6" x14ac:dyDescent="0.3">
      <c r="A179" s="42"/>
      <c r="B179" s="42"/>
      <c r="C179" s="42"/>
      <c r="D179" s="42"/>
      <c r="E179" s="42"/>
    </row>
    <row r="180" spans="1:5" x14ac:dyDescent="0.3">
      <c r="C180" s="4" t="s">
        <v>28</v>
      </c>
      <c r="D180" s="4" t="s">
        <v>29</v>
      </c>
      <c r="E180" s="4" t="s">
        <v>30</v>
      </c>
    </row>
    <row r="181" spans="1:5" x14ac:dyDescent="0.3">
      <c r="A181" t="s">
        <v>378</v>
      </c>
      <c r="B181" s="4" t="s">
        <v>32</v>
      </c>
      <c r="C181" s="4">
        <v>3.6659999999999999</v>
      </c>
      <c r="D181" s="4">
        <v>19.89</v>
      </c>
      <c r="E181" s="8">
        <f>C181*D181</f>
        <v>72.916740000000004</v>
      </c>
    </row>
    <row r="182" spans="1:5" x14ac:dyDescent="0.3">
      <c r="A182" t="s">
        <v>53</v>
      </c>
      <c r="B182" s="4" t="s">
        <v>33</v>
      </c>
      <c r="C182" s="4">
        <v>21.405999999999999</v>
      </c>
      <c r="D182" s="4">
        <v>10.86</v>
      </c>
      <c r="E182" s="8">
        <f>C182*D182</f>
        <v>232.46915999999999</v>
      </c>
    </row>
    <row r="183" spans="1:5" x14ac:dyDescent="0.3">
      <c r="B183" s="4" t="s">
        <v>137</v>
      </c>
      <c r="C183" s="4">
        <v>1.6</v>
      </c>
      <c r="D183" s="4">
        <v>12.92</v>
      </c>
      <c r="E183" s="8">
        <f>C183*D183</f>
        <v>20.672000000000001</v>
      </c>
    </row>
    <row r="184" spans="1:5" x14ac:dyDescent="0.3">
      <c r="B184" s="4" t="s">
        <v>35</v>
      </c>
      <c r="C184" s="4">
        <v>8</v>
      </c>
      <c r="D184" s="4">
        <v>1.89</v>
      </c>
      <c r="E184" s="8">
        <f>C184*D184</f>
        <v>15.12</v>
      </c>
    </row>
    <row r="185" spans="1:5" x14ac:dyDescent="0.3">
      <c r="B185" s="4" t="s">
        <v>36</v>
      </c>
      <c r="C185" s="4">
        <v>4</v>
      </c>
      <c r="D185" s="4">
        <v>0.24</v>
      </c>
      <c r="E185" s="8">
        <f>C185*D185</f>
        <v>0.96</v>
      </c>
    </row>
    <row r="186" spans="1:5" x14ac:dyDescent="0.3">
      <c r="B186" s="4" t="s">
        <v>37</v>
      </c>
      <c r="C186" t="s">
        <v>379</v>
      </c>
      <c r="E186" s="8">
        <v>255</v>
      </c>
    </row>
    <row r="187" spans="1:5" x14ac:dyDescent="0.3">
      <c r="E187" s="8">
        <f>SUM(E181:E186)</f>
        <v>597.13789999999995</v>
      </c>
    </row>
    <row r="188" spans="1:5" x14ac:dyDescent="0.3">
      <c r="D188" t="s">
        <v>331</v>
      </c>
    </row>
    <row r="190" spans="1:5" x14ac:dyDescent="0.3">
      <c r="C190" s="4" t="s">
        <v>28</v>
      </c>
      <c r="D190" s="4" t="s">
        <v>29</v>
      </c>
      <c r="E190" s="4" t="s">
        <v>30</v>
      </c>
    </row>
    <row r="191" spans="1:5" x14ac:dyDescent="0.3">
      <c r="A191" t="s">
        <v>386</v>
      </c>
      <c r="B191" s="4" t="s">
        <v>32</v>
      </c>
      <c r="C191" s="4">
        <v>2.2349999999999999</v>
      </c>
      <c r="D191" s="4">
        <v>19.89</v>
      </c>
      <c r="E191" s="8">
        <f>C191*D191</f>
        <v>44.454149999999998</v>
      </c>
    </row>
    <row r="192" spans="1:5" x14ac:dyDescent="0.3">
      <c r="A192" t="s">
        <v>63</v>
      </c>
      <c r="B192" s="4" t="s">
        <v>33</v>
      </c>
      <c r="C192" s="4">
        <v>5.5439999999999996</v>
      </c>
      <c r="D192" s="4">
        <v>10.86</v>
      </c>
      <c r="E192" s="8">
        <f>C192*D192</f>
        <v>60.20783999999999</v>
      </c>
    </row>
    <row r="193" spans="1:5" x14ac:dyDescent="0.3">
      <c r="B193" s="4" t="s">
        <v>137</v>
      </c>
      <c r="C193" s="4">
        <v>0.315</v>
      </c>
      <c r="D193" s="4">
        <v>12.92</v>
      </c>
      <c r="E193" s="8">
        <f>C193*D193</f>
        <v>4.0697999999999999</v>
      </c>
    </row>
    <row r="194" spans="1:5" x14ac:dyDescent="0.3">
      <c r="B194" s="4" t="s">
        <v>35</v>
      </c>
      <c r="C194" s="4">
        <v>4</v>
      </c>
      <c r="D194" s="4">
        <v>1.89</v>
      </c>
      <c r="E194" s="8">
        <f>C194*D194</f>
        <v>7.56</v>
      </c>
    </row>
    <row r="195" spans="1:5" x14ac:dyDescent="0.3">
      <c r="B195" s="4" t="s">
        <v>36</v>
      </c>
      <c r="C195" s="4">
        <v>4</v>
      </c>
      <c r="D195" s="4">
        <v>0.24</v>
      </c>
      <c r="E195" s="8">
        <f>C195*D195</f>
        <v>0.96</v>
      </c>
    </row>
    <row r="196" spans="1:5" x14ac:dyDescent="0.3">
      <c r="B196" s="4" t="s">
        <v>37</v>
      </c>
      <c r="E196" s="8">
        <v>85</v>
      </c>
    </row>
    <row r="197" spans="1:5" x14ac:dyDescent="0.3">
      <c r="E197" s="8">
        <f>SUM(E191:E196)</f>
        <v>202.25178999999997</v>
      </c>
    </row>
    <row r="199" spans="1:5" x14ac:dyDescent="0.3">
      <c r="C199" s="4" t="s">
        <v>28</v>
      </c>
      <c r="D199" s="4" t="s">
        <v>29</v>
      </c>
      <c r="E199" s="4" t="s">
        <v>30</v>
      </c>
    </row>
    <row r="200" spans="1:5" x14ac:dyDescent="0.3">
      <c r="A200" t="s">
        <v>416</v>
      </c>
      <c r="B200" s="4" t="s">
        <v>32</v>
      </c>
      <c r="C200" s="4">
        <v>3.226</v>
      </c>
      <c r="D200" s="4">
        <v>19.89</v>
      </c>
      <c r="E200" s="8">
        <f>C200*D200</f>
        <v>64.165140000000008</v>
      </c>
    </row>
    <row r="201" spans="1:5" x14ac:dyDescent="0.3">
      <c r="A201" t="s">
        <v>321</v>
      </c>
      <c r="B201" s="4" t="s">
        <v>33</v>
      </c>
      <c r="C201" s="4">
        <v>39.104999999999997</v>
      </c>
      <c r="D201" s="4">
        <v>10.86</v>
      </c>
      <c r="E201" s="8">
        <f>C201*D201</f>
        <v>424.68029999999993</v>
      </c>
    </row>
    <row r="202" spans="1:5" x14ac:dyDescent="0.3">
      <c r="B202" s="4" t="s">
        <v>137</v>
      </c>
      <c r="C202" s="4">
        <v>1.26</v>
      </c>
      <c r="D202" s="4">
        <v>12.92</v>
      </c>
      <c r="E202" s="8">
        <f>C202*D202</f>
        <v>16.279199999999999</v>
      </c>
    </row>
    <row r="203" spans="1:5" x14ac:dyDescent="0.3">
      <c r="B203" s="4" t="s">
        <v>35</v>
      </c>
      <c r="C203" s="4">
        <v>8</v>
      </c>
      <c r="D203" s="4">
        <v>1.89</v>
      </c>
      <c r="E203" s="8">
        <f>C203*D203</f>
        <v>15.12</v>
      </c>
    </row>
    <row r="204" spans="1:5" x14ac:dyDescent="0.3">
      <c r="B204" s="4" t="s">
        <v>36</v>
      </c>
      <c r="C204" s="4">
        <v>4</v>
      </c>
      <c r="D204" s="4">
        <v>0.24</v>
      </c>
      <c r="E204" s="8">
        <f>C204*D204</f>
        <v>0.96</v>
      </c>
    </row>
    <row r="205" spans="1:5" x14ac:dyDescent="0.3">
      <c r="E205" s="9">
        <f>SUM(E200:E204)</f>
        <v>521.20463999999993</v>
      </c>
    </row>
    <row r="206" spans="1:5" x14ac:dyDescent="0.3">
      <c r="B206" s="4" t="s">
        <v>37</v>
      </c>
      <c r="E206" s="8">
        <v>85</v>
      </c>
    </row>
    <row r="207" spans="1:5" x14ac:dyDescent="0.3">
      <c r="E207" s="8">
        <f>SUM(E200:E206)</f>
        <v>1127.4092799999999</v>
      </c>
    </row>
    <row r="210" spans="1:5" x14ac:dyDescent="0.3">
      <c r="C210" s="4" t="s">
        <v>28</v>
      </c>
      <c r="D210" s="4" t="s">
        <v>29</v>
      </c>
      <c r="E210" s="4" t="s">
        <v>30</v>
      </c>
    </row>
    <row r="211" spans="1:5" x14ac:dyDescent="0.3">
      <c r="A211" t="s">
        <v>420</v>
      </c>
      <c r="B211" s="4" t="s">
        <v>32</v>
      </c>
      <c r="C211" s="4">
        <v>3.8860000000000001</v>
      </c>
      <c r="D211" s="4">
        <v>19.89</v>
      </c>
      <c r="E211" s="8">
        <f>C211*D211</f>
        <v>77.292540000000002</v>
      </c>
    </row>
    <row r="212" spans="1:5" x14ac:dyDescent="0.3">
      <c r="A212" t="s">
        <v>63</v>
      </c>
      <c r="B212" s="4" t="s">
        <v>33</v>
      </c>
      <c r="C212" s="4">
        <v>10.494999999999999</v>
      </c>
      <c r="D212" s="4">
        <v>10.86</v>
      </c>
      <c r="E212" s="8">
        <f>C212*D212</f>
        <v>113.97569999999999</v>
      </c>
    </row>
    <row r="213" spans="1:5" x14ac:dyDescent="0.3">
      <c r="B213" s="4" t="s">
        <v>137</v>
      </c>
      <c r="C213" s="4">
        <v>0.6</v>
      </c>
      <c r="D213" s="4">
        <v>12.92</v>
      </c>
      <c r="E213" s="8">
        <f>C213*D213</f>
        <v>7.7519999999999998</v>
      </c>
    </row>
    <row r="214" spans="1:5" x14ac:dyDescent="0.3">
      <c r="B214" s="4" t="s">
        <v>35</v>
      </c>
      <c r="C214" s="4">
        <v>6</v>
      </c>
      <c r="D214" s="4">
        <v>1.89</v>
      </c>
      <c r="E214" s="8">
        <f>C214*D214</f>
        <v>11.34</v>
      </c>
    </row>
    <row r="215" spans="1:5" x14ac:dyDescent="0.3">
      <c r="B215" s="4" t="s">
        <v>36</v>
      </c>
      <c r="C215" s="4">
        <v>4</v>
      </c>
      <c r="D215" s="4">
        <v>0.24</v>
      </c>
      <c r="E215" s="8">
        <f>C215*D215</f>
        <v>0.96</v>
      </c>
    </row>
    <row r="216" spans="1:5" x14ac:dyDescent="0.3">
      <c r="B216" s="4" t="s">
        <v>37</v>
      </c>
      <c r="C216">
        <v>127.5</v>
      </c>
      <c r="E216" s="8">
        <v>127.5</v>
      </c>
    </row>
    <row r="217" spans="1:5" x14ac:dyDescent="0.3">
      <c r="E217" s="8">
        <f>SUM(E211:E216)</f>
        <v>338.82024000000001</v>
      </c>
    </row>
    <row r="219" spans="1:5" x14ac:dyDescent="0.3">
      <c r="C219" s="4" t="s">
        <v>28</v>
      </c>
      <c r="D219" s="4" t="s">
        <v>29</v>
      </c>
      <c r="E219" s="4" t="s">
        <v>30</v>
      </c>
    </row>
    <row r="220" spans="1:5" x14ac:dyDescent="0.3">
      <c r="A220" t="s">
        <v>119</v>
      </c>
      <c r="B220" s="4" t="s">
        <v>32</v>
      </c>
      <c r="C220" s="4">
        <v>2.3460000000000001</v>
      </c>
      <c r="D220" s="4">
        <v>19.89</v>
      </c>
      <c r="E220" s="8">
        <f>C220*D220</f>
        <v>46.661940000000001</v>
      </c>
    </row>
    <row r="221" spans="1:5" x14ac:dyDescent="0.3">
      <c r="A221" t="s">
        <v>168</v>
      </c>
      <c r="B221" s="4" t="s">
        <v>33</v>
      </c>
      <c r="C221" s="4">
        <v>18.821000000000002</v>
      </c>
      <c r="D221" s="4">
        <v>10.86</v>
      </c>
      <c r="E221" s="8">
        <f>C221*D221</f>
        <v>204.39606000000001</v>
      </c>
    </row>
    <row r="222" spans="1:5" x14ac:dyDescent="0.3">
      <c r="B222" s="4" t="s">
        <v>137</v>
      </c>
      <c r="C222" s="4">
        <v>2</v>
      </c>
      <c r="D222" s="4">
        <v>12.92</v>
      </c>
      <c r="E222" s="8">
        <f>C222*D222</f>
        <v>25.84</v>
      </c>
    </row>
    <row r="223" spans="1:5" x14ac:dyDescent="0.3">
      <c r="B223" s="4" t="s">
        <v>35</v>
      </c>
      <c r="C223" s="4">
        <v>8</v>
      </c>
      <c r="D223" s="4">
        <v>1.89</v>
      </c>
      <c r="E223" s="8">
        <f>C223*D223</f>
        <v>15.12</v>
      </c>
    </row>
    <row r="224" spans="1:5" x14ac:dyDescent="0.3">
      <c r="B224" s="4" t="s">
        <v>36</v>
      </c>
      <c r="C224" s="4">
        <v>4</v>
      </c>
      <c r="D224" s="4">
        <v>0.24</v>
      </c>
      <c r="E224" s="8">
        <f>C224*D224</f>
        <v>0.96</v>
      </c>
    </row>
    <row r="225" spans="1:5" x14ac:dyDescent="0.3">
      <c r="B225" s="4" t="s">
        <v>37</v>
      </c>
      <c r="C225" t="s">
        <v>329</v>
      </c>
      <c r="E225" s="8">
        <v>170</v>
      </c>
    </row>
    <row r="226" spans="1:5" x14ac:dyDescent="0.3">
      <c r="E226" s="8">
        <f>SUM(E220:E225)</f>
        <v>462.97799999999995</v>
      </c>
    </row>
    <row r="229" spans="1:5" x14ac:dyDescent="0.3">
      <c r="C229" s="4" t="s">
        <v>28</v>
      </c>
      <c r="D229" s="4" t="s">
        <v>29</v>
      </c>
      <c r="E229" s="4" t="s">
        <v>30</v>
      </c>
    </row>
    <row r="230" spans="1:5" x14ac:dyDescent="0.3">
      <c r="A230" t="s">
        <v>487</v>
      </c>
      <c r="B230" s="4" t="s">
        <v>32</v>
      </c>
      <c r="C230" s="4">
        <v>7</v>
      </c>
      <c r="D230" s="4">
        <v>19.89</v>
      </c>
      <c r="E230" s="8">
        <f>C230*D230</f>
        <v>139.23000000000002</v>
      </c>
    </row>
    <row r="231" spans="1:5" x14ac:dyDescent="0.3">
      <c r="A231" t="s">
        <v>63</v>
      </c>
      <c r="B231" s="4" t="s">
        <v>33</v>
      </c>
      <c r="C231" s="4">
        <v>20</v>
      </c>
      <c r="D231" s="4">
        <v>10.86</v>
      </c>
      <c r="E231" s="8">
        <f>C231*D231</f>
        <v>217.2</v>
      </c>
    </row>
    <row r="232" spans="1:5" x14ac:dyDescent="0.3">
      <c r="B232" s="4" t="s">
        <v>137</v>
      </c>
      <c r="C232" s="4">
        <v>1</v>
      </c>
      <c r="D232" s="4">
        <v>12.92</v>
      </c>
      <c r="E232" s="8">
        <f>C232*D232</f>
        <v>12.92</v>
      </c>
    </row>
    <row r="233" spans="1:5" x14ac:dyDescent="0.3">
      <c r="B233" s="4" t="s">
        <v>35</v>
      </c>
      <c r="C233" s="4">
        <v>6</v>
      </c>
      <c r="D233" s="4">
        <v>1.89</v>
      </c>
      <c r="E233" s="8">
        <f>C233*D233</f>
        <v>11.34</v>
      </c>
    </row>
    <row r="234" spans="1:5" x14ac:dyDescent="0.3">
      <c r="B234" s="4" t="s">
        <v>36</v>
      </c>
      <c r="C234" s="4">
        <v>4</v>
      </c>
      <c r="D234" s="4">
        <v>0.24</v>
      </c>
      <c r="E234" s="8">
        <f>C234*D234</f>
        <v>0.96</v>
      </c>
    </row>
    <row r="235" spans="1:5" x14ac:dyDescent="0.3">
      <c r="B235" s="4" t="s">
        <v>37</v>
      </c>
      <c r="C235" t="s">
        <v>367</v>
      </c>
      <c r="E235" s="8">
        <v>340</v>
      </c>
    </row>
    <row r="236" spans="1:5" x14ac:dyDescent="0.3">
      <c r="E236" s="8">
        <f>SUM(E230:E235)</f>
        <v>721.65</v>
      </c>
    </row>
    <row r="237" spans="1:5" x14ac:dyDescent="0.3">
      <c r="D237" s="58" t="s">
        <v>489</v>
      </c>
      <c r="E237" t="s">
        <v>488</v>
      </c>
    </row>
    <row r="239" spans="1:5" x14ac:dyDescent="0.3">
      <c r="C239" s="4" t="s">
        <v>28</v>
      </c>
      <c r="D239" s="4" t="s">
        <v>29</v>
      </c>
      <c r="E239" s="4" t="s">
        <v>30</v>
      </c>
    </row>
    <row r="240" spans="1:5" x14ac:dyDescent="0.3">
      <c r="A240" t="s">
        <v>493</v>
      </c>
      <c r="B240" s="4" t="s">
        <v>32</v>
      </c>
      <c r="C240" s="4">
        <v>2.1259999999999999</v>
      </c>
      <c r="D240" s="4">
        <v>19.89</v>
      </c>
      <c r="E240" s="8">
        <f>C240*D240</f>
        <v>42.286139999999996</v>
      </c>
    </row>
    <row r="241" spans="1:5" x14ac:dyDescent="0.3">
      <c r="A241" t="s">
        <v>492</v>
      </c>
      <c r="B241" s="4" t="s">
        <v>33</v>
      </c>
      <c r="C241" s="4">
        <v>14.85</v>
      </c>
      <c r="D241" s="4">
        <v>10.86</v>
      </c>
      <c r="E241" s="8">
        <f>C241*D241</f>
        <v>161.27099999999999</v>
      </c>
    </row>
    <row r="242" spans="1:5" x14ac:dyDescent="0.3">
      <c r="B242" s="4" t="s">
        <v>137</v>
      </c>
      <c r="C242" s="4">
        <v>0.7</v>
      </c>
      <c r="D242" s="4">
        <v>12.92</v>
      </c>
      <c r="E242" s="8">
        <f>C242*D242</f>
        <v>9.0439999999999987</v>
      </c>
    </row>
    <row r="243" spans="1:5" x14ac:dyDescent="0.3">
      <c r="B243" s="4" t="s">
        <v>35</v>
      </c>
      <c r="C243" s="4">
        <v>8</v>
      </c>
      <c r="D243" s="4">
        <v>1.89</v>
      </c>
      <c r="E243" s="8">
        <f>C243*D243</f>
        <v>15.12</v>
      </c>
    </row>
    <row r="244" spans="1:5" x14ac:dyDescent="0.3">
      <c r="B244" s="4" t="s">
        <v>36</v>
      </c>
      <c r="C244" s="4">
        <v>4</v>
      </c>
      <c r="D244" s="4">
        <v>0.24</v>
      </c>
      <c r="E244" s="8">
        <f>C244*D244</f>
        <v>0.96</v>
      </c>
    </row>
    <row r="245" spans="1:5" x14ac:dyDescent="0.3">
      <c r="B245" s="4" t="s">
        <v>37</v>
      </c>
      <c r="C245" t="s">
        <v>494</v>
      </c>
      <c r="E245" s="8">
        <v>85</v>
      </c>
    </row>
    <row r="246" spans="1:5" x14ac:dyDescent="0.3">
      <c r="E246" s="8">
        <f>SUM(E240:E245)</f>
        <v>313.68114000000003</v>
      </c>
    </row>
    <row r="249" spans="1:5" x14ac:dyDescent="0.3">
      <c r="C249" s="4" t="s">
        <v>28</v>
      </c>
      <c r="D249" s="4" t="s">
        <v>29</v>
      </c>
      <c r="E249" s="4" t="s">
        <v>30</v>
      </c>
    </row>
    <row r="250" spans="1:5" x14ac:dyDescent="0.3">
      <c r="A250" t="s">
        <v>495</v>
      </c>
      <c r="B250" s="4" t="s">
        <v>32</v>
      </c>
      <c r="C250" s="4">
        <v>1.9059999999999999</v>
      </c>
      <c r="D250" s="4">
        <v>19.89</v>
      </c>
      <c r="E250" s="8">
        <f>C250*D250</f>
        <v>37.910339999999998</v>
      </c>
    </row>
    <row r="251" spans="1:5" x14ac:dyDescent="0.3">
      <c r="A251" t="s">
        <v>492</v>
      </c>
      <c r="B251" s="4" t="s">
        <v>33</v>
      </c>
      <c r="C251" s="4">
        <v>12.1</v>
      </c>
      <c r="D251" s="4">
        <v>10.86</v>
      </c>
      <c r="E251" s="8">
        <f>C251*D251</f>
        <v>131.40599999999998</v>
      </c>
    </row>
    <row r="252" spans="1:5" x14ac:dyDescent="0.3">
      <c r="B252" s="4" t="s">
        <v>137</v>
      </c>
      <c r="C252" s="4">
        <v>0.7</v>
      </c>
      <c r="D252" s="4">
        <v>12.92</v>
      </c>
      <c r="E252" s="8">
        <f>C252*D252</f>
        <v>9.0439999999999987</v>
      </c>
    </row>
    <row r="253" spans="1:5" x14ac:dyDescent="0.3">
      <c r="B253" s="4" t="s">
        <v>35</v>
      </c>
      <c r="C253" s="4">
        <v>8</v>
      </c>
      <c r="D253" s="4">
        <v>1.89</v>
      </c>
      <c r="E253" s="8">
        <f>C253*D253</f>
        <v>15.12</v>
      </c>
    </row>
    <row r="254" spans="1:5" x14ac:dyDescent="0.3">
      <c r="B254" s="4" t="s">
        <v>36</v>
      </c>
      <c r="C254" s="4">
        <v>4</v>
      </c>
      <c r="D254" s="4">
        <v>0.24</v>
      </c>
      <c r="E254" s="8">
        <f>C254*D254</f>
        <v>0.96</v>
      </c>
    </row>
    <row r="255" spans="1:5" x14ac:dyDescent="0.3">
      <c r="B255" s="4" t="s">
        <v>37</v>
      </c>
      <c r="C255" t="s">
        <v>494</v>
      </c>
      <c r="E255" s="8">
        <v>85</v>
      </c>
    </row>
    <row r="256" spans="1:5" x14ac:dyDescent="0.3">
      <c r="E256" s="8">
        <f>SUM(E250:E255)</f>
        <v>279.44033999999999</v>
      </c>
    </row>
    <row r="259" spans="1:5" x14ac:dyDescent="0.3">
      <c r="C259" s="4" t="s">
        <v>28</v>
      </c>
      <c r="D259" s="4" t="s">
        <v>29</v>
      </c>
      <c r="E259" s="4" t="s">
        <v>30</v>
      </c>
    </row>
    <row r="260" spans="1:5" x14ac:dyDescent="0.3">
      <c r="A260" t="s">
        <v>509</v>
      </c>
      <c r="B260" s="4" t="s">
        <v>32</v>
      </c>
      <c r="C260" s="4">
        <v>5.7549999999999999</v>
      </c>
      <c r="D260" s="4">
        <v>19.89</v>
      </c>
      <c r="E260" s="8">
        <f>C260*D260</f>
        <v>114.46695</v>
      </c>
    </row>
    <row r="261" spans="1:5" x14ac:dyDescent="0.3">
      <c r="A261" t="s">
        <v>514</v>
      </c>
      <c r="B261" s="4" t="s">
        <v>33</v>
      </c>
      <c r="C261" s="4">
        <v>5.4779999999999998</v>
      </c>
      <c r="D261" s="4">
        <v>10.86</v>
      </c>
      <c r="E261" s="8">
        <f>C261*D261</f>
        <v>59.491079999999997</v>
      </c>
    </row>
    <row r="262" spans="1:5" x14ac:dyDescent="0.3">
      <c r="B262" s="4" t="s">
        <v>137</v>
      </c>
      <c r="C262" s="4">
        <v>0.5</v>
      </c>
      <c r="D262" s="4">
        <v>12.92</v>
      </c>
      <c r="E262" s="8">
        <f>C262*D262</f>
        <v>6.46</v>
      </c>
    </row>
    <row r="263" spans="1:5" x14ac:dyDescent="0.3">
      <c r="B263" s="4" t="s">
        <v>35</v>
      </c>
      <c r="C263" s="4">
        <v>8</v>
      </c>
      <c r="D263" s="4">
        <v>1.89</v>
      </c>
      <c r="E263" s="8">
        <f>C263*D263</f>
        <v>15.12</v>
      </c>
    </row>
    <row r="264" spans="1:5" x14ac:dyDescent="0.3">
      <c r="B264" s="4" t="s">
        <v>36</v>
      </c>
      <c r="C264" s="4">
        <v>4</v>
      </c>
      <c r="D264" s="4">
        <v>0.24</v>
      </c>
      <c r="E264" s="8">
        <f>C264*D264</f>
        <v>0.96</v>
      </c>
    </row>
    <row r="265" spans="1:5" x14ac:dyDescent="0.3">
      <c r="B265" s="4" t="s">
        <v>37</v>
      </c>
      <c r="C265">
        <v>170</v>
      </c>
      <c r="E265" s="8">
        <v>170</v>
      </c>
    </row>
    <row r="266" spans="1:5" x14ac:dyDescent="0.3">
      <c r="E266" s="8">
        <f>SUM(E260:E265)</f>
        <v>366.49803000000003</v>
      </c>
    </row>
    <row r="269" spans="1:5" x14ac:dyDescent="0.3">
      <c r="C269" s="4" t="s">
        <v>28</v>
      </c>
      <c r="D269" s="4" t="s">
        <v>29</v>
      </c>
      <c r="E269" s="4" t="s">
        <v>30</v>
      </c>
    </row>
    <row r="270" spans="1:5" x14ac:dyDescent="0.3">
      <c r="A270" t="s">
        <v>513</v>
      </c>
      <c r="B270" s="4" t="s">
        <v>32</v>
      </c>
      <c r="C270" s="4">
        <v>4.6559999999999997</v>
      </c>
      <c r="D270" s="4">
        <v>19.89</v>
      </c>
      <c r="E270" s="8">
        <f>C270*D270</f>
        <v>92.607839999999996</v>
      </c>
    </row>
    <row r="271" spans="1:5" x14ac:dyDescent="0.3">
      <c r="A271" t="s">
        <v>514</v>
      </c>
      <c r="B271" s="4" t="s">
        <v>33</v>
      </c>
      <c r="C271" s="4">
        <v>4.3780000000000001</v>
      </c>
      <c r="D271" s="4">
        <v>10.86</v>
      </c>
      <c r="E271" s="8">
        <f>C271*D271</f>
        <v>47.545079999999999</v>
      </c>
    </row>
    <row r="272" spans="1:5" x14ac:dyDescent="0.3">
      <c r="B272" s="4" t="s">
        <v>137</v>
      </c>
      <c r="C272" s="4">
        <v>0.5</v>
      </c>
      <c r="D272" s="4">
        <v>12.92</v>
      </c>
      <c r="E272" s="8">
        <f>C272*D272</f>
        <v>6.46</v>
      </c>
    </row>
    <row r="273" spans="1:5" x14ac:dyDescent="0.3">
      <c r="B273" s="4" t="s">
        <v>35</v>
      </c>
      <c r="C273" s="4">
        <v>8</v>
      </c>
      <c r="D273" s="4">
        <v>1.89</v>
      </c>
      <c r="E273" s="8">
        <f>C273*D273</f>
        <v>15.12</v>
      </c>
    </row>
    <row r="274" spans="1:5" x14ac:dyDescent="0.3">
      <c r="B274" s="4" t="s">
        <v>36</v>
      </c>
      <c r="C274" s="4">
        <v>4</v>
      </c>
      <c r="D274" s="4">
        <v>0.24</v>
      </c>
      <c r="E274" s="8">
        <f>C274*D274</f>
        <v>0.96</v>
      </c>
    </row>
    <row r="275" spans="1:5" x14ac:dyDescent="0.3">
      <c r="B275" s="4" t="s">
        <v>37</v>
      </c>
      <c r="C275">
        <v>170</v>
      </c>
      <c r="E275" s="8">
        <v>170</v>
      </c>
    </row>
    <row r="276" spans="1:5" x14ac:dyDescent="0.3">
      <c r="E276" s="8">
        <f>SUM(E270:E275)</f>
        <v>332.69292000000002</v>
      </c>
    </row>
    <row r="278" spans="1:5" x14ac:dyDescent="0.3">
      <c r="C278" s="4" t="s">
        <v>28</v>
      </c>
      <c r="D278" s="4" t="s">
        <v>29</v>
      </c>
      <c r="E278" s="4" t="s">
        <v>30</v>
      </c>
    </row>
    <row r="279" spans="1:5" x14ac:dyDescent="0.3">
      <c r="A279" t="s">
        <v>480</v>
      </c>
      <c r="B279" s="4" t="s">
        <v>32</v>
      </c>
      <c r="C279" s="4">
        <v>5.6449999999999996</v>
      </c>
      <c r="D279" s="4">
        <v>19.89</v>
      </c>
      <c r="E279" s="8">
        <f>C279*D279</f>
        <v>112.27905</v>
      </c>
    </row>
    <row r="280" spans="1:5" x14ac:dyDescent="0.3">
      <c r="A280" t="s">
        <v>526</v>
      </c>
      <c r="B280" s="4" t="s">
        <v>33</v>
      </c>
      <c r="C280" s="4">
        <v>15.773999999999999</v>
      </c>
      <c r="D280" s="4">
        <v>10.86</v>
      </c>
      <c r="E280" s="8">
        <f>C280*D280</f>
        <v>171.30563999999998</v>
      </c>
    </row>
    <row r="281" spans="1:5" x14ac:dyDescent="0.3">
      <c r="B281" s="4" t="s">
        <v>137</v>
      </c>
      <c r="C281" s="4">
        <v>0.5</v>
      </c>
      <c r="D281" s="4">
        <v>12.92</v>
      </c>
      <c r="E281" s="8">
        <f>C281*D281</f>
        <v>6.46</v>
      </c>
    </row>
    <row r="282" spans="1:5" x14ac:dyDescent="0.3">
      <c r="B282" s="4" t="s">
        <v>35</v>
      </c>
      <c r="C282" s="4">
        <v>8</v>
      </c>
      <c r="D282" s="4">
        <v>1.89</v>
      </c>
      <c r="E282" s="8">
        <f>C282*D282</f>
        <v>15.12</v>
      </c>
    </row>
    <row r="283" spans="1:5" x14ac:dyDescent="0.3">
      <c r="B283" s="4" t="s">
        <v>36</v>
      </c>
      <c r="C283" s="4">
        <v>4</v>
      </c>
      <c r="D283" s="4">
        <v>0.24</v>
      </c>
      <c r="E283" s="8">
        <f>C283*D283</f>
        <v>0.96</v>
      </c>
    </row>
    <row r="284" spans="1:5" x14ac:dyDescent="0.3">
      <c r="B284" s="4" t="s">
        <v>37</v>
      </c>
      <c r="C284">
        <v>255</v>
      </c>
      <c r="E284" s="8">
        <v>255</v>
      </c>
    </row>
    <row r="285" spans="1:5" x14ac:dyDescent="0.3">
      <c r="E285" s="8">
        <f>SUM(E279:E284)</f>
        <v>561.12468999999987</v>
      </c>
    </row>
    <row r="289" spans="1:5" x14ac:dyDescent="0.3">
      <c r="C289" s="4" t="s">
        <v>28</v>
      </c>
      <c r="D289" s="4" t="s">
        <v>29</v>
      </c>
      <c r="E289" s="4" t="s">
        <v>30</v>
      </c>
    </row>
    <row r="290" spans="1:5" x14ac:dyDescent="0.3">
      <c r="A290" t="s">
        <v>546</v>
      </c>
      <c r="B290" s="4" t="s">
        <v>32</v>
      </c>
      <c r="C290" s="4">
        <v>3.0059999999999998</v>
      </c>
      <c r="D290" s="4">
        <v>19.89</v>
      </c>
      <c r="E290" s="8">
        <f>C290*D290</f>
        <v>59.789339999999996</v>
      </c>
    </row>
    <row r="291" spans="1:5" x14ac:dyDescent="0.3">
      <c r="A291" t="s">
        <v>56</v>
      </c>
      <c r="B291" s="4" t="s">
        <v>33</v>
      </c>
      <c r="C291" s="4">
        <v>22.010999999999999</v>
      </c>
      <c r="D291" s="4">
        <v>10.86</v>
      </c>
      <c r="E291" s="8">
        <f>C291*D291</f>
        <v>239.03945999999999</v>
      </c>
    </row>
    <row r="292" spans="1:5" x14ac:dyDescent="0.3">
      <c r="B292" s="4" t="s">
        <v>137</v>
      </c>
      <c r="C292" s="4">
        <v>0.66</v>
      </c>
      <c r="D292" s="4">
        <v>12.92</v>
      </c>
      <c r="E292" s="8">
        <f>C292*D292</f>
        <v>8.5272000000000006</v>
      </c>
    </row>
    <row r="293" spans="1:5" x14ac:dyDescent="0.3">
      <c r="B293" s="4" t="s">
        <v>35</v>
      </c>
      <c r="C293" s="4">
        <v>8</v>
      </c>
      <c r="D293" s="4">
        <v>1.89</v>
      </c>
      <c r="E293" s="8">
        <f>C293*D293</f>
        <v>15.12</v>
      </c>
    </row>
    <row r="294" spans="1:5" x14ac:dyDescent="0.3">
      <c r="B294" s="4" t="s">
        <v>36</v>
      </c>
      <c r="C294" s="4">
        <v>4</v>
      </c>
      <c r="D294" s="4">
        <v>0.24</v>
      </c>
      <c r="E294" s="8">
        <f>C294*D294</f>
        <v>0.96</v>
      </c>
    </row>
    <row r="295" spans="1:5" x14ac:dyDescent="0.3">
      <c r="B295" s="4" t="s">
        <v>37</v>
      </c>
      <c r="C295" t="s">
        <v>547</v>
      </c>
      <c r="E295" s="8">
        <v>170</v>
      </c>
    </row>
    <row r="296" spans="1:5" x14ac:dyDescent="0.3">
      <c r="E296" s="8">
        <f>SUM(E290:E295)</f>
        <v>493.43599999999998</v>
      </c>
    </row>
    <row r="299" spans="1:5" x14ac:dyDescent="0.3">
      <c r="C299" s="4" t="s">
        <v>28</v>
      </c>
      <c r="D299" s="4" t="s">
        <v>29</v>
      </c>
      <c r="E299" s="4" t="s">
        <v>30</v>
      </c>
    </row>
    <row r="300" spans="1:5" x14ac:dyDescent="0.3">
      <c r="A300" t="s">
        <v>548</v>
      </c>
      <c r="B300" s="4" t="s">
        <v>32</v>
      </c>
      <c r="C300" s="4">
        <v>3.8420000000000001</v>
      </c>
      <c r="D300" s="4">
        <v>19.89</v>
      </c>
      <c r="E300" s="8">
        <f>C300*D300</f>
        <v>76.417380000000009</v>
      </c>
    </row>
    <row r="301" spans="1:5" x14ac:dyDescent="0.3">
      <c r="A301" t="s">
        <v>57</v>
      </c>
      <c r="B301" s="4" t="s">
        <v>33</v>
      </c>
      <c r="C301" s="4">
        <v>36.277999999999999</v>
      </c>
      <c r="D301" s="4">
        <v>10.86</v>
      </c>
      <c r="E301" s="8">
        <f>C301*D301</f>
        <v>393.97907999999995</v>
      </c>
    </row>
    <row r="302" spans="1:5" x14ac:dyDescent="0.3">
      <c r="B302" s="4" t="s">
        <v>137</v>
      </c>
      <c r="C302" s="4">
        <v>0.77</v>
      </c>
      <c r="D302" s="4">
        <v>12.92</v>
      </c>
      <c r="E302" s="8">
        <f>C302*D302</f>
        <v>9.9483999999999995</v>
      </c>
    </row>
    <row r="303" spans="1:5" x14ac:dyDescent="0.3">
      <c r="B303" s="4" t="s">
        <v>35</v>
      </c>
      <c r="C303" s="4">
        <v>8</v>
      </c>
      <c r="D303" s="4">
        <v>1.89</v>
      </c>
      <c r="E303" s="8">
        <f>C303*D303</f>
        <v>15.12</v>
      </c>
    </row>
    <row r="304" spans="1:5" x14ac:dyDescent="0.3">
      <c r="B304" s="4" t="s">
        <v>36</v>
      </c>
      <c r="C304" s="4">
        <v>4</v>
      </c>
      <c r="D304" s="4">
        <v>0.24</v>
      </c>
      <c r="E304" s="8">
        <f>C304*D304</f>
        <v>0.96</v>
      </c>
    </row>
    <row r="305" spans="1:5" x14ac:dyDescent="0.3">
      <c r="B305" s="4" t="s">
        <v>37</v>
      </c>
      <c r="C305" t="s">
        <v>549</v>
      </c>
      <c r="E305" s="8">
        <v>212.5</v>
      </c>
    </row>
    <row r="306" spans="1:5" x14ac:dyDescent="0.3">
      <c r="E306" s="8">
        <f>SUM(E300:E305)</f>
        <v>708.92485999999985</v>
      </c>
    </row>
    <row r="310" spans="1:5" x14ac:dyDescent="0.3">
      <c r="C310" s="4" t="s">
        <v>28</v>
      </c>
      <c r="D310" s="4" t="s">
        <v>29</v>
      </c>
      <c r="E310" s="4" t="s">
        <v>30</v>
      </c>
    </row>
    <row r="311" spans="1:5" x14ac:dyDescent="0.3">
      <c r="A311" t="s">
        <v>550</v>
      </c>
      <c r="B311" s="4" t="s">
        <v>32</v>
      </c>
      <c r="C311" s="4">
        <v>4.42</v>
      </c>
      <c r="D311" s="4">
        <v>19.89</v>
      </c>
      <c r="E311" s="8">
        <f>C311*D311</f>
        <v>87.913799999999995</v>
      </c>
    </row>
    <row r="312" spans="1:5" x14ac:dyDescent="0.3">
      <c r="A312" t="s">
        <v>377</v>
      </c>
      <c r="B312" s="4" t="s">
        <v>33</v>
      </c>
      <c r="C312" s="4">
        <v>53.9</v>
      </c>
      <c r="D312" s="4">
        <v>10.86</v>
      </c>
      <c r="E312" s="8">
        <f>C312*D312</f>
        <v>585.35399999999993</v>
      </c>
    </row>
    <row r="313" spans="1:5" x14ac:dyDescent="0.3">
      <c r="B313" s="4" t="s">
        <v>137</v>
      </c>
      <c r="C313" s="4">
        <v>1.1000000000000001</v>
      </c>
      <c r="D313" s="4">
        <v>12.92</v>
      </c>
      <c r="E313" s="8">
        <f>C313*D313</f>
        <v>14.212000000000002</v>
      </c>
    </row>
    <row r="314" spans="1:5" x14ac:dyDescent="0.3">
      <c r="B314" s="4" t="s">
        <v>35</v>
      </c>
      <c r="C314" s="4">
        <v>8</v>
      </c>
      <c r="D314" s="4">
        <v>1.89</v>
      </c>
      <c r="E314" s="8">
        <f>C314*D314</f>
        <v>15.12</v>
      </c>
    </row>
    <row r="315" spans="1:5" x14ac:dyDescent="0.3">
      <c r="B315" s="4" t="s">
        <v>36</v>
      </c>
      <c r="C315" s="4">
        <v>4</v>
      </c>
      <c r="D315" s="4">
        <v>0.24</v>
      </c>
      <c r="E315" s="8">
        <f>C315*D315</f>
        <v>0.96</v>
      </c>
    </row>
    <row r="316" spans="1:5" x14ac:dyDescent="0.3">
      <c r="B316" s="4" t="s">
        <v>37</v>
      </c>
      <c r="C316" t="s">
        <v>357</v>
      </c>
      <c r="E316" s="8">
        <v>255</v>
      </c>
    </row>
    <row r="317" spans="1:5" x14ac:dyDescent="0.3">
      <c r="E317" s="8">
        <f>SUM(E311:E316)</f>
        <v>958.5598</v>
      </c>
    </row>
    <row r="320" spans="1:5" x14ac:dyDescent="0.3">
      <c r="C320" s="4" t="s">
        <v>28</v>
      </c>
      <c r="D320" s="4" t="s">
        <v>29</v>
      </c>
      <c r="E320" s="4" t="s">
        <v>30</v>
      </c>
    </row>
    <row r="321" spans="1:5" x14ac:dyDescent="0.3">
      <c r="A321" t="s">
        <v>552</v>
      </c>
      <c r="B321" s="4" t="s">
        <v>32</v>
      </c>
      <c r="C321" s="4">
        <v>6.25</v>
      </c>
      <c r="D321" s="4">
        <v>19.89</v>
      </c>
      <c r="E321" s="8">
        <f>C321*D321</f>
        <v>124.3125</v>
      </c>
    </row>
    <row r="322" spans="1:5" x14ac:dyDescent="0.3">
      <c r="A322" t="s">
        <v>56</v>
      </c>
      <c r="B322" s="4" t="s">
        <v>33</v>
      </c>
      <c r="C322" s="4">
        <v>75.442999999999998</v>
      </c>
      <c r="D322" s="4">
        <v>10.86</v>
      </c>
      <c r="E322" s="8">
        <f>C322*D322</f>
        <v>819.31097999999997</v>
      </c>
    </row>
    <row r="323" spans="1:5" x14ac:dyDescent="0.3">
      <c r="A323" s="62">
        <v>0.95</v>
      </c>
      <c r="B323" s="4" t="s">
        <v>137</v>
      </c>
      <c r="C323" s="4">
        <v>3</v>
      </c>
      <c r="D323" s="4">
        <v>12.92</v>
      </c>
      <c r="E323" s="8">
        <f>C323*D323</f>
        <v>38.76</v>
      </c>
    </row>
    <row r="324" spans="1:5" x14ac:dyDescent="0.3">
      <c r="B324" s="4" t="s">
        <v>35</v>
      </c>
      <c r="C324" s="4">
        <v>8</v>
      </c>
      <c r="D324" s="4">
        <v>1.89</v>
      </c>
      <c r="E324" s="8">
        <f>C324*D324</f>
        <v>15.12</v>
      </c>
    </row>
    <row r="325" spans="1:5" x14ac:dyDescent="0.3">
      <c r="B325" s="4" t="s">
        <v>36</v>
      </c>
      <c r="C325" s="4">
        <v>4</v>
      </c>
      <c r="D325" s="4">
        <v>0.24</v>
      </c>
      <c r="E325" s="8">
        <f>C325*D325</f>
        <v>0.96</v>
      </c>
    </row>
    <row r="326" spans="1:5" x14ac:dyDescent="0.3">
      <c r="B326" s="4" t="s">
        <v>37</v>
      </c>
      <c r="C326" t="s">
        <v>522</v>
      </c>
      <c r="E326" s="8">
        <v>340</v>
      </c>
    </row>
    <row r="327" spans="1:5" x14ac:dyDescent="0.3">
      <c r="E327" s="8">
        <f>SUM(E321:E326)</f>
        <v>1338.4634799999999</v>
      </c>
    </row>
    <row r="330" spans="1:5" x14ac:dyDescent="0.3">
      <c r="C330" s="4" t="s">
        <v>28</v>
      </c>
      <c r="D330" s="4" t="s">
        <v>29</v>
      </c>
      <c r="E330" s="4" t="s">
        <v>30</v>
      </c>
    </row>
    <row r="331" spans="1:5" x14ac:dyDescent="0.3">
      <c r="A331" t="s">
        <v>553</v>
      </c>
      <c r="B331" s="4" t="s">
        <v>32</v>
      </c>
      <c r="C331" s="4">
        <v>3.5</v>
      </c>
      <c r="D331" s="4">
        <v>19.89</v>
      </c>
      <c r="E331" s="8">
        <f>C331*D331</f>
        <v>69.615000000000009</v>
      </c>
    </row>
    <row r="332" spans="1:5" x14ac:dyDescent="0.3">
      <c r="A332" t="s">
        <v>56</v>
      </c>
      <c r="B332" s="4" t="s">
        <v>33</v>
      </c>
      <c r="C332" s="4">
        <v>35.567999999999998</v>
      </c>
      <c r="D332" s="4">
        <v>10.86</v>
      </c>
      <c r="E332" s="8">
        <f>C332*D332</f>
        <v>386.26847999999995</v>
      </c>
    </row>
    <row r="333" spans="1:5" x14ac:dyDescent="0.3">
      <c r="A333" s="62">
        <v>0.45</v>
      </c>
      <c r="B333" s="4" t="s">
        <v>137</v>
      </c>
      <c r="C333" s="4">
        <v>2</v>
      </c>
      <c r="D333" s="4">
        <v>12.92</v>
      </c>
      <c r="E333" s="8">
        <f>C333*D333</f>
        <v>25.84</v>
      </c>
    </row>
    <row r="334" spans="1:5" x14ac:dyDescent="0.3">
      <c r="B334" s="4" t="s">
        <v>35</v>
      </c>
      <c r="C334" s="4">
        <v>8</v>
      </c>
      <c r="D334" s="4">
        <v>1.89</v>
      </c>
      <c r="E334" s="8">
        <f>C334*D334</f>
        <v>15.12</v>
      </c>
    </row>
    <row r="335" spans="1:5" x14ac:dyDescent="0.3">
      <c r="B335" s="4" t="s">
        <v>36</v>
      </c>
      <c r="C335" s="4">
        <v>4</v>
      </c>
      <c r="D335" s="4">
        <v>0.24</v>
      </c>
      <c r="E335" s="8">
        <f>C335*D335</f>
        <v>0.96</v>
      </c>
    </row>
    <row r="336" spans="1:5" x14ac:dyDescent="0.3">
      <c r="B336" s="4" t="s">
        <v>37</v>
      </c>
      <c r="C336" t="s">
        <v>522</v>
      </c>
      <c r="E336" s="8">
        <v>340</v>
      </c>
    </row>
    <row r="337" spans="1:5" x14ac:dyDescent="0.3">
      <c r="E337" s="8">
        <f>SUM(E331:E336)</f>
        <v>837.80347999999992</v>
      </c>
    </row>
    <row r="340" spans="1:5" x14ac:dyDescent="0.3">
      <c r="C340" s="4" t="s">
        <v>28</v>
      </c>
      <c r="D340" s="4" t="s">
        <v>29</v>
      </c>
      <c r="E340" s="4" t="s">
        <v>30</v>
      </c>
    </row>
    <row r="341" spans="1:5" x14ac:dyDescent="0.3">
      <c r="A341" t="s">
        <v>554</v>
      </c>
      <c r="B341" s="4" t="s">
        <v>32</v>
      </c>
      <c r="C341" s="4">
        <v>7.2960000000000003</v>
      </c>
      <c r="D341" s="4">
        <v>19.89</v>
      </c>
      <c r="E341" s="8">
        <f>C341*D341</f>
        <v>145.11744000000002</v>
      </c>
    </row>
    <row r="342" spans="1:5" x14ac:dyDescent="0.3">
      <c r="A342" t="s">
        <v>56</v>
      </c>
      <c r="B342" s="4" t="s">
        <v>33</v>
      </c>
      <c r="C342" s="4">
        <v>90.596000000000004</v>
      </c>
      <c r="D342" s="4">
        <v>10.86</v>
      </c>
      <c r="E342" s="8">
        <f>C342*D342</f>
        <v>983.87256000000002</v>
      </c>
    </row>
    <row r="343" spans="1:5" x14ac:dyDescent="0.3">
      <c r="A343" s="62">
        <v>1.1399999999999999</v>
      </c>
      <c r="B343" s="4" t="s">
        <v>137</v>
      </c>
      <c r="C343" s="4">
        <v>3</v>
      </c>
      <c r="D343" s="4">
        <v>12.92</v>
      </c>
      <c r="E343" s="8">
        <f>C343*D343</f>
        <v>38.76</v>
      </c>
    </row>
    <row r="344" spans="1:5" x14ac:dyDescent="0.3">
      <c r="B344" s="4" t="s">
        <v>35</v>
      </c>
      <c r="C344" s="4">
        <v>8</v>
      </c>
      <c r="D344" s="4">
        <v>1.89</v>
      </c>
      <c r="E344" s="8">
        <f>C344*D344</f>
        <v>15.12</v>
      </c>
    </row>
    <row r="345" spans="1:5" x14ac:dyDescent="0.3">
      <c r="B345" s="4" t="s">
        <v>36</v>
      </c>
      <c r="C345" s="4">
        <v>4</v>
      </c>
      <c r="D345" s="4">
        <v>0.24</v>
      </c>
      <c r="E345" s="8">
        <f>C345*D345</f>
        <v>0.96</v>
      </c>
    </row>
    <row r="346" spans="1:5" x14ac:dyDescent="0.3">
      <c r="B346" s="4" t="s">
        <v>37</v>
      </c>
      <c r="C346" t="s">
        <v>555</v>
      </c>
      <c r="E346" s="8">
        <v>510</v>
      </c>
    </row>
    <row r="347" spans="1:5" x14ac:dyDescent="0.3">
      <c r="E347" s="8">
        <f>SUM(E341:E346)</f>
        <v>1693.83</v>
      </c>
    </row>
    <row r="350" spans="1:5" x14ac:dyDescent="0.3">
      <c r="C350" s="4" t="s">
        <v>28</v>
      </c>
      <c r="D350" s="4" t="s">
        <v>29</v>
      </c>
      <c r="E350" s="4" t="s">
        <v>30</v>
      </c>
    </row>
    <row r="351" spans="1:5" x14ac:dyDescent="0.3">
      <c r="A351" t="s">
        <v>556</v>
      </c>
      <c r="B351" s="4" t="s">
        <v>32</v>
      </c>
      <c r="C351" s="4">
        <v>2.2679999999999998</v>
      </c>
      <c r="D351" s="4">
        <v>19.89</v>
      </c>
      <c r="E351" s="8">
        <f>C351*D351</f>
        <v>45.110519999999994</v>
      </c>
    </row>
    <row r="352" spans="1:5" x14ac:dyDescent="0.3">
      <c r="A352" t="s">
        <v>56</v>
      </c>
      <c r="B352" s="4" t="s">
        <v>33</v>
      </c>
      <c r="C352" s="4">
        <v>17.704999999999998</v>
      </c>
      <c r="D352" s="4">
        <v>10.86</v>
      </c>
      <c r="E352" s="8">
        <f>C352*D352</f>
        <v>192.27629999999996</v>
      </c>
    </row>
    <row r="353" spans="1:5" x14ac:dyDescent="0.3">
      <c r="A353" s="62">
        <v>0.22600000000000001</v>
      </c>
      <c r="B353" s="4" t="s">
        <v>137</v>
      </c>
      <c r="C353" s="4">
        <v>1.87</v>
      </c>
      <c r="D353" s="4">
        <v>12.92</v>
      </c>
      <c r="E353" s="8">
        <f>C353*D353</f>
        <v>24.160400000000003</v>
      </c>
    </row>
    <row r="354" spans="1:5" x14ac:dyDescent="0.3">
      <c r="B354" s="4" t="s">
        <v>35</v>
      </c>
      <c r="C354" s="4">
        <v>8</v>
      </c>
      <c r="D354" s="4">
        <v>1.89</v>
      </c>
      <c r="E354" s="8">
        <f>C354*D354</f>
        <v>15.12</v>
      </c>
    </row>
    <row r="355" spans="1:5" x14ac:dyDescent="0.3">
      <c r="B355" s="4" t="s">
        <v>36</v>
      </c>
      <c r="C355" s="4">
        <v>4</v>
      </c>
      <c r="D355" s="4">
        <v>0.24</v>
      </c>
      <c r="E355" s="8">
        <f>C355*D355</f>
        <v>0.96</v>
      </c>
    </row>
    <row r="356" spans="1:5" x14ac:dyDescent="0.3">
      <c r="B356" s="4" t="s">
        <v>37</v>
      </c>
      <c r="C356">
        <v>1.5</v>
      </c>
      <c r="E356" s="8">
        <v>127.5</v>
      </c>
    </row>
    <row r="357" spans="1:5" x14ac:dyDescent="0.3">
      <c r="E357" s="8">
        <f>SUM(E351:E356)</f>
        <v>405.12721999999991</v>
      </c>
    </row>
    <row r="359" spans="1:5" x14ac:dyDescent="0.3">
      <c r="C359" s="4" t="s">
        <v>28</v>
      </c>
      <c r="D359" s="4" t="s">
        <v>29</v>
      </c>
      <c r="E359" s="4" t="s">
        <v>30</v>
      </c>
    </row>
    <row r="360" spans="1:5" x14ac:dyDescent="0.3">
      <c r="A360" t="s">
        <v>499</v>
      </c>
      <c r="B360" s="4" t="s">
        <v>32</v>
      </c>
      <c r="C360" s="4">
        <v>5.4260000000000002</v>
      </c>
      <c r="D360" s="4">
        <v>19.89</v>
      </c>
      <c r="E360" s="8">
        <f>C360*D360</f>
        <v>107.92314</v>
      </c>
    </row>
    <row r="361" spans="1:5" x14ac:dyDescent="0.3">
      <c r="A361" t="s">
        <v>56</v>
      </c>
      <c r="B361" s="4" t="s">
        <v>33</v>
      </c>
      <c r="C361" s="4">
        <v>63.481000000000002</v>
      </c>
      <c r="D361" s="4">
        <v>10.86</v>
      </c>
      <c r="E361" s="8">
        <f>C361*D361</f>
        <v>689.40365999999995</v>
      </c>
    </row>
    <row r="362" spans="1:5" x14ac:dyDescent="0.3">
      <c r="A362" s="62">
        <v>0.8</v>
      </c>
      <c r="B362" s="4" t="s">
        <v>137</v>
      </c>
      <c r="C362" s="4">
        <v>3</v>
      </c>
      <c r="D362" s="4">
        <v>12.92</v>
      </c>
      <c r="E362" s="8">
        <f>C362*D362</f>
        <v>38.76</v>
      </c>
    </row>
    <row r="363" spans="1:5" x14ac:dyDescent="0.3">
      <c r="B363" s="4" t="s">
        <v>35</v>
      </c>
      <c r="C363" s="4">
        <v>8</v>
      </c>
      <c r="D363" s="4">
        <v>1.89</v>
      </c>
      <c r="E363" s="8">
        <f>C363*D363</f>
        <v>15.12</v>
      </c>
    </row>
    <row r="364" spans="1:5" x14ac:dyDescent="0.3">
      <c r="B364" s="4" t="s">
        <v>36</v>
      </c>
      <c r="C364" s="4">
        <v>4</v>
      </c>
      <c r="D364" s="4">
        <v>0.24</v>
      </c>
      <c r="E364" s="8">
        <f>C364*D364</f>
        <v>0.96</v>
      </c>
    </row>
    <row r="365" spans="1:5" x14ac:dyDescent="0.3">
      <c r="B365" s="4" t="s">
        <v>37</v>
      </c>
      <c r="C365" t="s">
        <v>283</v>
      </c>
      <c r="E365" s="8">
        <v>255</v>
      </c>
    </row>
    <row r="366" spans="1:5" x14ac:dyDescent="0.3">
      <c r="E366" s="8">
        <f>SUM(E360:E365)</f>
        <v>1107.1668</v>
      </c>
    </row>
    <row r="369" spans="1:17" x14ac:dyDescent="0.3">
      <c r="C369" s="4" t="s">
        <v>28</v>
      </c>
      <c r="D369" s="4" t="s">
        <v>29</v>
      </c>
      <c r="E369" s="4" t="s">
        <v>30</v>
      </c>
    </row>
    <row r="370" spans="1:17" x14ac:dyDescent="0.3">
      <c r="A370" t="s">
        <v>557</v>
      </c>
      <c r="B370" s="4" t="s">
        <v>32</v>
      </c>
      <c r="C370" s="4">
        <v>3.0859999999999999</v>
      </c>
      <c r="D370" s="4">
        <v>19.89</v>
      </c>
      <c r="E370" s="8">
        <f>C370*D370</f>
        <v>61.380539999999996</v>
      </c>
    </row>
    <row r="371" spans="1:17" x14ac:dyDescent="0.3">
      <c r="A371" t="s">
        <v>56</v>
      </c>
      <c r="B371" s="4" t="s">
        <v>33</v>
      </c>
      <c r="C371" s="4">
        <v>29.571000000000002</v>
      </c>
      <c r="D371" s="4">
        <v>10.86</v>
      </c>
      <c r="E371" s="8">
        <f>C371*D371</f>
        <v>321.14105999999998</v>
      </c>
    </row>
    <row r="372" spans="1:17" x14ac:dyDescent="0.3">
      <c r="A372" s="62">
        <v>0.8</v>
      </c>
      <c r="B372" s="4" t="s">
        <v>137</v>
      </c>
      <c r="C372" s="4">
        <v>1.32</v>
      </c>
      <c r="D372" s="4">
        <v>12.92</v>
      </c>
      <c r="E372" s="8">
        <f>C372*D372</f>
        <v>17.054400000000001</v>
      </c>
    </row>
    <row r="373" spans="1:17" x14ac:dyDescent="0.3">
      <c r="B373" s="4" t="s">
        <v>35</v>
      </c>
      <c r="C373" s="4">
        <v>8</v>
      </c>
      <c r="D373" s="4">
        <v>1.89</v>
      </c>
      <c r="E373" s="8">
        <f>C373*D373</f>
        <v>15.12</v>
      </c>
    </row>
    <row r="374" spans="1:17" x14ac:dyDescent="0.3">
      <c r="B374" s="4" t="s">
        <v>36</v>
      </c>
      <c r="C374" s="4">
        <v>4</v>
      </c>
      <c r="D374" s="4">
        <v>0.24</v>
      </c>
      <c r="E374" s="8">
        <f>C374*D374</f>
        <v>0.96</v>
      </c>
    </row>
    <row r="375" spans="1:17" x14ac:dyDescent="0.3">
      <c r="B375" s="4" t="s">
        <v>37</v>
      </c>
      <c r="C375" t="s">
        <v>402</v>
      </c>
      <c r="E375" s="8">
        <v>170</v>
      </c>
    </row>
    <row r="376" spans="1:17" x14ac:dyDescent="0.3">
      <c r="E376" s="8">
        <f>SUM(E370:E375)</f>
        <v>585.65599999999995</v>
      </c>
    </row>
    <row r="379" spans="1:17" x14ac:dyDescent="0.3">
      <c r="A379" t="s">
        <v>558</v>
      </c>
      <c r="C379" s="4" t="s">
        <v>28</v>
      </c>
      <c r="D379" s="4" t="s">
        <v>29</v>
      </c>
      <c r="E379" s="4" t="s">
        <v>30</v>
      </c>
      <c r="G379" t="s">
        <v>563</v>
      </c>
      <c r="I379" s="4" t="s">
        <v>28</v>
      </c>
      <c r="J379" s="4" t="s">
        <v>29</v>
      </c>
      <c r="K379" s="4" t="s">
        <v>30</v>
      </c>
      <c r="M379" t="s">
        <v>564</v>
      </c>
      <c r="O379" s="4" t="s">
        <v>28</v>
      </c>
      <c r="P379" s="4" t="s">
        <v>29</v>
      </c>
      <c r="Q379" s="4" t="s">
        <v>30</v>
      </c>
    </row>
    <row r="380" spans="1:17" x14ac:dyDescent="0.3">
      <c r="A380" t="s">
        <v>53</v>
      </c>
      <c r="B380" s="4" t="s">
        <v>32</v>
      </c>
      <c r="C380" s="4"/>
      <c r="D380" s="4">
        <v>19.89</v>
      </c>
      <c r="E380" s="8">
        <f>C380*D380</f>
        <v>0</v>
      </c>
      <c r="G380" t="s">
        <v>262</v>
      </c>
      <c r="H380" s="4" t="s">
        <v>32</v>
      </c>
      <c r="I380" s="4"/>
      <c r="J380" s="4">
        <v>19.89</v>
      </c>
      <c r="K380" s="8">
        <f>I380*J380</f>
        <v>0</v>
      </c>
      <c r="M380" t="s">
        <v>262</v>
      </c>
      <c r="N380" s="4" t="s">
        <v>32</v>
      </c>
      <c r="O380" s="4"/>
      <c r="P380" s="4">
        <v>19.89</v>
      </c>
      <c r="Q380" s="8">
        <f>O380*P380</f>
        <v>0</v>
      </c>
    </row>
    <row r="381" spans="1:17" x14ac:dyDescent="0.3">
      <c r="A381">
        <v>0.49299999999999999</v>
      </c>
      <c r="B381" s="4" t="s">
        <v>33</v>
      </c>
      <c r="C381" s="4">
        <v>44.51</v>
      </c>
      <c r="D381" s="4">
        <v>10.86</v>
      </c>
      <c r="E381" s="8">
        <f>C381*D381</f>
        <v>483.37859999999995</v>
      </c>
      <c r="G381">
        <v>0.16400000000000001</v>
      </c>
      <c r="H381" s="4" t="s">
        <v>33</v>
      </c>
      <c r="I381" s="4">
        <v>11.32</v>
      </c>
      <c r="J381" s="4">
        <v>10.86</v>
      </c>
      <c r="K381" s="8">
        <f>I381*J381</f>
        <v>122.93519999999999</v>
      </c>
      <c r="M381">
        <v>0.23799999999999999</v>
      </c>
      <c r="N381" s="4" t="s">
        <v>33</v>
      </c>
      <c r="O381" s="4">
        <v>16.335000000000001</v>
      </c>
      <c r="P381" s="4">
        <v>10.86</v>
      </c>
      <c r="Q381" s="8">
        <f>O381*P381</f>
        <v>177.3981</v>
      </c>
    </row>
    <row r="382" spans="1:17" x14ac:dyDescent="0.3">
      <c r="B382" s="4" t="s">
        <v>137</v>
      </c>
      <c r="C382" s="4">
        <v>2</v>
      </c>
      <c r="D382" s="4">
        <v>12.92</v>
      </c>
      <c r="E382" s="8">
        <f>C382*D382</f>
        <v>25.84</v>
      </c>
      <c r="H382" s="4" t="s">
        <v>137</v>
      </c>
      <c r="I382" s="4">
        <v>0.64</v>
      </c>
      <c r="J382" s="4">
        <v>12.92</v>
      </c>
      <c r="K382" s="8">
        <f>I382*J382</f>
        <v>8.2688000000000006</v>
      </c>
      <c r="N382" s="4" t="s">
        <v>137</v>
      </c>
      <c r="O382" s="4">
        <v>0.64</v>
      </c>
      <c r="P382" s="4">
        <v>12.92</v>
      </c>
      <c r="Q382" s="8">
        <f>O382*P382</f>
        <v>8.2688000000000006</v>
      </c>
    </row>
    <row r="383" spans="1:17" x14ac:dyDescent="0.3">
      <c r="B383" s="4" t="s">
        <v>35</v>
      </c>
      <c r="C383" s="4"/>
      <c r="D383" s="4">
        <v>1.89</v>
      </c>
      <c r="E383" s="8">
        <f>C383*D383</f>
        <v>0</v>
      </c>
      <c r="H383" s="4" t="s">
        <v>35</v>
      </c>
      <c r="I383" s="4"/>
      <c r="J383" s="4">
        <v>1.89</v>
      </c>
      <c r="K383" s="8">
        <f>I383*J383</f>
        <v>0</v>
      </c>
      <c r="N383" s="4" t="s">
        <v>35</v>
      </c>
      <c r="O383" s="4"/>
      <c r="P383" s="4">
        <v>1.89</v>
      </c>
      <c r="Q383" s="8">
        <f>O383*P383</f>
        <v>0</v>
      </c>
    </row>
    <row r="384" spans="1:17" x14ac:dyDescent="0.3">
      <c r="B384" s="4" t="s">
        <v>36</v>
      </c>
      <c r="C384" s="4"/>
      <c r="D384" s="4">
        <v>0.24</v>
      </c>
      <c r="E384" s="8">
        <f>C384*D384</f>
        <v>0</v>
      </c>
      <c r="H384" s="4" t="s">
        <v>36</v>
      </c>
      <c r="I384" s="4"/>
      <c r="J384" s="4">
        <v>0.24</v>
      </c>
      <c r="K384" s="8">
        <f>I384*J384</f>
        <v>0</v>
      </c>
      <c r="N384" s="4" t="s">
        <v>36</v>
      </c>
      <c r="O384" s="4"/>
      <c r="P384" s="4">
        <v>0.24</v>
      </c>
      <c r="Q384" s="8">
        <f>O384*P384</f>
        <v>0</v>
      </c>
    </row>
    <row r="385" spans="1:17" x14ac:dyDescent="0.3">
      <c r="B385" s="4" t="s">
        <v>37</v>
      </c>
      <c r="C385" t="s">
        <v>559</v>
      </c>
      <c r="E385" s="8">
        <v>85</v>
      </c>
      <c r="H385" s="4" t="s">
        <v>37</v>
      </c>
      <c r="I385" t="s">
        <v>559</v>
      </c>
      <c r="K385" s="8">
        <v>85</v>
      </c>
      <c r="N385" s="4" t="s">
        <v>37</v>
      </c>
      <c r="O385">
        <v>1.3</v>
      </c>
      <c r="Q385" s="8">
        <v>127.5</v>
      </c>
    </row>
    <row r="386" spans="1:17" x14ac:dyDescent="0.3">
      <c r="E386" s="8">
        <f>SUM(E381:E385)</f>
        <v>594.21859999999992</v>
      </c>
      <c r="K386" s="8">
        <f>SUM(K380:K385)</f>
        <v>216.20400000000001</v>
      </c>
      <c r="Q386" s="8">
        <f>SUM(Q380:Q385)</f>
        <v>313.1669</v>
      </c>
    </row>
    <row r="389" spans="1:17" x14ac:dyDescent="0.3">
      <c r="A389" t="s">
        <v>561</v>
      </c>
      <c r="C389" s="4" t="s">
        <v>28</v>
      </c>
      <c r="D389" s="4" t="s">
        <v>29</v>
      </c>
      <c r="E389" s="4" t="s">
        <v>30</v>
      </c>
    </row>
    <row r="390" spans="1:17" x14ac:dyDescent="0.3">
      <c r="A390" t="s">
        <v>201</v>
      </c>
      <c r="B390" s="4" t="s">
        <v>32</v>
      </c>
      <c r="C390" s="4">
        <v>14.336</v>
      </c>
      <c r="D390" s="4">
        <v>19.89</v>
      </c>
      <c r="E390" s="8">
        <f>C390*D390</f>
        <v>285.14304000000004</v>
      </c>
      <c r="G390" t="s">
        <v>571</v>
      </c>
      <c r="I390" s="4" t="s">
        <v>28</v>
      </c>
      <c r="J390" s="4" t="s">
        <v>29</v>
      </c>
      <c r="K390" s="4" t="s">
        <v>30</v>
      </c>
    </row>
    <row r="391" spans="1:17" x14ac:dyDescent="0.3">
      <c r="A391">
        <v>0.32</v>
      </c>
      <c r="B391" s="4" t="s">
        <v>33</v>
      </c>
      <c r="C391" s="4">
        <v>14.058</v>
      </c>
      <c r="D391" s="4">
        <v>10.86</v>
      </c>
      <c r="E391" s="8">
        <f>C391*D391</f>
        <v>152.66987999999998</v>
      </c>
      <c r="G391" t="s">
        <v>263</v>
      </c>
      <c r="H391" s="4" t="s">
        <v>32</v>
      </c>
      <c r="I391" s="4"/>
      <c r="J391" s="4">
        <v>19.89</v>
      </c>
      <c r="K391" s="8">
        <f>I391*J391</f>
        <v>0</v>
      </c>
    </row>
    <row r="392" spans="1:17" x14ac:dyDescent="0.3">
      <c r="B392" s="4" t="s">
        <v>137</v>
      </c>
      <c r="C392" s="4">
        <v>1</v>
      </c>
      <c r="D392" s="4">
        <v>12.92</v>
      </c>
      <c r="E392" s="8">
        <f>C392*D392</f>
        <v>12.92</v>
      </c>
      <c r="G392">
        <v>0.312</v>
      </c>
      <c r="H392" s="4" t="s">
        <v>33</v>
      </c>
      <c r="I392" s="4">
        <v>28.19</v>
      </c>
      <c r="J392" s="4">
        <v>10.86</v>
      </c>
      <c r="K392" s="8">
        <f>I392*J392</f>
        <v>306.14339999999999</v>
      </c>
    </row>
    <row r="393" spans="1:17" x14ac:dyDescent="0.3">
      <c r="B393" s="4" t="s">
        <v>35</v>
      </c>
      <c r="C393" s="4">
        <v>8</v>
      </c>
      <c r="D393" s="4">
        <v>1.89</v>
      </c>
      <c r="E393" s="8">
        <f>C393*D393</f>
        <v>15.12</v>
      </c>
      <c r="H393" s="4" t="s">
        <v>137</v>
      </c>
      <c r="I393" s="4">
        <v>6.8</v>
      </c>
      <c r="J393" s="4">
        <v>12.92</v>
      </c>
      <c r="K393" s="8">
        <f>I393*J393</f>
        <v>87.855999999999995</v>
      </c>
    </row>
    <row r="394" spans="1:17" x14ac:dyDescent="0.3">
      <c r="B394" s="4" t="s">
        <v>36</v>
      </c>
      <c r="C394" s="4">
        <v>4</v>
      </c>
      <c r="D394" s="4">
        <v>0.24</v>
      </c>
      <c r="E394" s="8">
        <f>C394*D394</f>
        <v>0.96</v>
      </c>
      <c r="H394" s="4" t="s">
        <v>35</v>
      </c>
      <c r="I394" s="4"/>
      <c r="J394" s="4">
        <v>1.89</v>
      </c>
      <c r="K394" s="8">
        <f>I394*J394</f>
        <v>0</v>
      </c>
    </row>
    <row r="395" spans="1:17" x14ac:dyDescent="0.3">
      <c r="B395" s="4" t="s">
        <v>37</v>
      </c>
      <c r="C395" t="s">
        <v>522</v>
      </c>
      <c r="E395" s="8">
        <v>340</v>
      </c>
      <c r="H395" s="4" t="s">
        <v>36</v>
      </c>
      <c r="I395" s="4"/>
      <c r="J395" s="4">
        <v>0.24</v>
      </c>
      <c r="K395" s="8">
        <f>I395*J395</f>
        <v>0</v>
      </c>
    </row>
    <row r="396" spans="1:17" x14ac:dyDescent="0.3">
      <c r="E396" s="8">
        <f>SUM(E390:E395)</f>
        <v>806.81292000000008</v>
      </c>
      <c r="H396" s="4" t="s">
        <v>37</v>
      </c>
      <c r="I396">
        <v>1.5</v>
      </c>
      <c r="K396" s="8">
        <v>127</v>
      </c>
    </row>
    <row r="397" spans="1:17" x14ac:dyDescent="0.3">
      <c r="K397" s="8">
        <f>SUM(K391:K396)</f>
        <v>520.99939999999992</v>
      </c>
    </row>
    <row r="398" spans="1:17" x14ac:dyDescent="0.3">
      <c r="A398" s="59"/>
      <c r="B398" s="59"/>
      <c r="C398" s="59"/>
      <c r="D398" s="59"/>
      <c r="E398" s="59"/>
      <c r="F398" s="59"/>
      <c r="G398" s="59"/>
    </row>
    <row r="399" spans="1:17" x14ac:dyDescent="0.3">
      <c r="A399" s="59"/>
      <c r="B399" s="59"/>
      <c r="C399" s="59"/>
      <c r="D399" s="59"/>
      <c r="E399" s="60"/>
      <c r="F399" s="59"/>
      <c r="G399" s="59"/>
    </row>
    <row r="400" spans="1:17" x14ac:dyDescent="0.3">
      <c r="A400" s="59"/>
      <c r="B400" s="59"/>
      <c r="C400" s="59"/>
      <c r="D400" s="59"/>
      <c r="E400" s="60"/>
      <c r="F400" s="59"/>
      <c r="G400" t="s">
        <v>580</v>
      </c>
      <c r="I400" s="4" t="s">
        <v>28</v>
      </c>
      <c r="J400" s="4" t="s">
        <v>29</v>
      </c>
      <c r="K400" s="4" t="s">
        <v>30</v>
      </c>
    </row>
    <row r="401" spans="1:11" x14ac:dyDescent="0.3">
      <c r="A401" s="63"/>
      <c r="B401" s="59"/>
      <c r="C401" s="59"/>
      <c r="D401" s="59"/>
      <c r="E401" s="60"/>
      <c r="F401" s="59"/>
      <c r="G401" t="s">
        <v>212</v>
      </c>
      <c r="H401" s="4" t="s">
        <v>32</v>
      </c>
      <c r="I401" s="4"/>
      <c r="J401" s="4">
        <v>19.89</v>
      </c>
      <c r="K401" s="8">
        <f>I401*J401</f>
        <v>0</v>
      </c>
    </row>
    <row r="402" spans="1:11" x14ac:dyDescent="0.3">
      <c r="A402" s="59"/>
      <c r="B402" s="59"/>
      <c r="C402" s="59"/>
      <c r="D402" s="59"/>
      <c r="E402" s="60"/>
      <c r="F402" s="59"/>
      <c r="G402">
        <v>0.40400000000000003</v>
      </c>
      <c r="H402" s="4" t="s">
        <v>33</v>
      </c>
      <c r="I402" s="4">
        <v>40.25</v>
      </c>
      <c r="J402" s="4">
        <v>10.86</v>
      </c>
      <c r="K402" s="8">
        <f>I402*J402</f>
        <v>437.11499999999995</v>
      </c>
    </row>
    <row r="403" spans="1:11" x14ac:dyDescent="0.3">
      <c r="A403" s="59"/>
      <c r="B403" s="59"/>
      <c r="C403" s="59"/>
      <c r="D403" s="59"/>
      <c r="E403" s="60"/>
      <c r="F403" s="59"/>
      <c r="H403" s="4" t="s">
        <v>137</v>
      </c>
      <c r="I403" s="4">
        <v>6.8</v>
      </c>
      <c r="J403" s="4">
        <v>12.92</v>
      </c>
      <c r="K403" s="8">
        <f>I403*J403</f>
        <v>87.855999999999995</v>
      </c>
    </row>
    <row r="404" spans="1:11" x14ac:dyDescent="0.3">
      <c r="A404" s="59"/>
      <c r="B404" s="59"/>
      <c r="C404" s="59"/>
      <c r="D404" s="59"/>
      <c r="E404" s="60"/>
      <c r="F404" s="59"/>
      <c r="H404" s="4" t="s">
        <v>35</v>
      </c>
      <c r="I404" s="4"/>
      <c r="J404" s="4">
        <v>1.89</v>
      </c>
      <c r="K404" s="8">
        <f>I404*J404</f>
        <v>0</v>
      </c>
    </row>
    <row r="405" spans="1:11" x14ac:dyDescent="0.3">
      <c r="A405" s="59"/>
      <c r="B405" s="59"/>
      <c r="C405" s="59"/>
      <c r="D405" s="59"/>
      <c r="E405" s="60"/>
      <c r="F405" s="59"/>
      <c r="H405" s="4" t="s">
        <v>36</v>
      </c>
      <c r="I405" s="4"/>
      <c r="J405" s="4">
        <v>0.24</v>
      </c>
      <c r="K405" s="8">
        <f>I405*J405</f>
        <v>0</v>
      </c>
    </row>
    <row r="406" spans="1:11" x14ac:dyDescent="0.3">
      <c r="A406" s="59"/>
      <c r="B406" s="59"/>
      <c r="C406" s="59"/>
      <c r="D406" s="59"/>
      <c r="E406" s="59"/>
      <c r="F406" s="59"/>
      <c r="H406" s="4" t="s">
        <v>37</v>
      </c>
      <c r="I406">
        <v>1.5</v>
      </c>
      <c r="K406" s="8">
        <v>127</v>
      </c>
    </row>
    <row r="407" spans="1:11" x14ac:dyDescent="0.3">
      <c r="A407" s="59"/>
      <c r="B407" s="59"/>
      <c r="C407" s="59"/>
      <c r="D407" s="59"/>
      <c r="E407" s="59"/>
      <c r="F407" s="59"/>
      <c r="K407" s="8">
        <f>SUM(K401:K406)</f>
        <v>651.971</v>
      </c>
    </row>
    <row r="408" spans="1:11" x14ac:dyDescent="0.3">
      <c r="A408" s="59"/>
      <c r="B408" s="59"/>
      <c r="C408" s="59"/>
      <c r="D408" s="59"/>
      <c r="E408" s="59"/>
      <c r="F408" s="59"/>
      <c r="G408" s="59"/>
    </row>
  </sheetData>
  <pageMargins left="0.7" right="0.7" top="0.75" bottom="0.75" header="0.3" footer="0.3"/>
  <pageSetup paperSize="9" orientation="portrait" horizontalDpi="0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70C0"/>
  </sheetPr>
  <dimension ref="A2:N172"/>
  <sheetViews>
    <sheetView topLeftCell="A82" workbookViewId="0">
      <selection activeCell="C106" sqref="C106"/>
    </sheetView>
  </sheetViews>
  <sheetFormatPr baseColWidth="10" defaultRowHeight="14.4" x14ac:dyDescent="0.3"/>
  <cols>
    <col min="2" max="2" width="17.109375" customWidth="1"/>
    <col min="6" max="6" width="13.33203125" customWidth="1"/>
    <col min="7" max="7" width="2.88671875" customWidth="1"/>
  </cols>
  <sheetData>
    <row r="2" spans="1:13" ht="18" x14ac:dyDescent="0.35">
      <c r="A2" s="5" t="s">
        <v>452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3" ht="18" x14ac:dyDescent="0.35">
      <c r="A3" s="5" t="s">
        <v>454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8" x14ac:dyDescent="0.35">
      <c r="A4" s="5" t="s">
        <v>433</v>
      </c>
      <c r="B4" s="5"/>
      <c r="C4" s="5"/>
      <c r="D4" s="5"/>
      <c r="E4" s="5"/>
      <c r="F4" s="5"/>
      <c r="G4" s="49"/>
      <c r="H4" s="5" t="s">
        <v>433</v>
      </c>
      <c r="I4" s="5"/>
      <c r="J4" s="5"/>
      <c r="K4" s="5"/>
      <c r="L4" s="5"/>
      <c r="M4" s="5"/>
    </row>
    <row r="5" spans="1:13" ht="18" x14ac:dyDescent="0.35">
      <c r="A5" s="5"/>
      <c r="B5" s="5"/>
      <c r="C5" s="50" t="s">
        <v>28</v>
      </c>
      <c r="D5" s="50" t="s">
        <v>29</v>
      </c>
      <c r="E5" s="50" t="s">
        <v>30</v>
      </c>
      <c r="F5" s="5"/>
      <c r="G5" s="49"/>
      <c r="H5" s="5"/>
      <c r="I5" s="5"/>
      <c r="J5" s="50" t="s">
        <v>28</v>
      </c>
      <c r="K5" s="50" t="s">
        <v>29</v>
      </c>
      <c r="L5" s="50" t="s">
        <v>30</v>
      </c>
      <c r="M5" s="5"/>
    </row>
    <row r="6" spans="1:13" ht="18" x14ac:dyDescent="0.35">
      <c r="A6" s="5" t="s">
        <v>105</v>
      </c>
      <c r="B6" s="50" t="s">
        <v>32</v>
      </c>
      <c r="C6" s="50">
        <v>2.125</v>
      </c>
      <c r="D6" s="50">
        <v>31.41</v>
      </c>
      <c r="E6" s="51">
        <f t="shared" ref="E6:E13" si="0">C6*D6</f>
        <v>66.746250000000003</v>
      </c>
      <c r="F6" s="5"/>
      <c r="G6" s="49"/>
      <c r="H6" s="5" t="s">
        <v>119</v>
      </c>
      <c r="I6" s="50" t="s">
        <v>32</v>
      </c>
      <c r="J6" s="50">
        <v>2.3450000000000002</v>
      </c>
      <c r="K6" s="50">
        <v>31.41</v>
      </c>
      <c r="L6" s="51">
        <f t="shared" ref="L6:L13" si="1">J6*K6</f>
        <v>73.656450000000007</v>
      </c>
      <c r="M6" s="5"/>
    </row>
    <row r="7" spans="1:13" ht="18" x14ac:dyDescent="0.35">
      <c r="A7" s="5" t="s">
        <v>53</v>
      </c>
      <c r="B7" s="50" t="s">
        <v>33</v>
      </c>
      <c r="C7" s="50">
        <v>9.0860000000000003</v>
      </c>
      <c r="D7" s="50">
        <v>11.03</v>
      </c>
      <c r="E7" s="51">
        <f t="shared" si="0"/>
        <v>100.21858</v>
      </c>
      <c r="F7" s="5"/>
      <c r="G7" s="49"/>
      <c r="H7" s="5" t="s">
        <v>112</v>
      </c>
      <c r="I7" s="50" t="s">
        <v>33</v>
      </c>
      <c r="J7" s="50">
        <v>12.331</v>
      </c>
      <c r="K7" s="50">
        <v>11.03</v>
      </c>
      <c r="L7" s="51">
        <f t="shared" si="1"/>
        <v>136.01092999999997</v>
      </c>
      <c r="M7" s="5"/>
    </row>
    <row r="8" spans="1:13" ht="18" x14ac:dyDescent="0.35">
      <c r="A8" s="5" t="s">
        <v>56</v>
      </c>
      <c r="B8" s="50" t="s">
        <v>33</v>
      </c>
      <c r="C8" s="50">
        <v>9.2509999999999994</v>
      </c>
      <c r="D8" s="50">
        <v>11.03</v>
      </c>
      <c r="E8" s="51">
        <f t="shared" si="0"/>
        <v>102.03852999999999</v>
      </c>
      <c r="F8" s="5"/>
      <c r="G8" s="49"/>
      <c r="H8" s="5" t="s">
        <v>126</v>
      </c>
      <c r="I8" s="50" t="s">
        <v>33</v>
      </c>
      <c r="J8" s="50">
        <v>12.441000000000001</v>
      </c>
      <c r="K8" s="50">
        <v>11.03</v>
      </c>
      <c r="L8" s="51">
        <f t="shared" si="1"/>
        <v>137.22423000000001</v>
      </c>
      <c r="M8" s="5"/>
    </row>
    <row r="9" spans="1:13" ht="18" x14ac:dyDescent="0.35">
      <c r="A9" s="5" t="s">
        <v>426</v>
      </c>
      <c r="B9" s="50" t="s">
        <v>86</v>
      </c>
      <c r="C9" s="50">
        <v>2</v>
      </c>
      <c r="D9" s="50">
        <v>1.86</v>
      </c>
      <c r="E9" s="51">
        <f t="shared" si="0"/>
        <v>3.72</v>
      </c>
      <c r="F9" s="5"/>
      <c r="G9" s="49"/>
      <c r="H9" s="5" t="s">
        <v>430</v>
      </c>
      <c r="I9" s="50" t="s">
        <v>87</v>
      </c>
      <c r="J9" s="50">
        <v>2</v>
      </c>
      <c r="K9" s="50">
        <v>1.98</v>
      </c>
      <c r="L9" s="51">
        <f t="shared" si="1"/>
        <v>3.96</v>
      </c>
      <c r="M9" s="5"/>
    </row>
    <row r="10" spans="1:13" ht="18" x14ac:dyDescent="0.35">
      <c r="A10" s="5" t="s">
        <v>427</v>
      </c>
      <c r="B10" s="50" t="s">
        <v>98</v>
      </c>
      <c r="C10" s="50">
        <v>2</v>
      </c>
      <c r="D10" s="50">
        <v>3.72</v>
      </c>
      <c r="E10" s="50">
        <f t="shared" si="0"/>
        <v>7.44</v>
      </c>
      <c r="F10" s="5"/>
      <c r="G10" s="49"/>
      <c r="H10" s="5" t="s">
        <v>431</v>
      </c>
      <c r="I10" s="50" t="s">
        <v>98</v>
      </c>
      <c r="J10" s="50">
        <v>2</v>
      </c>
      <c r="K10" s="50">
        <v>3.72</v>
      </c>
      <c r="L10" s="50">
        <f t="shared" si="1"/>
        <v>7.44</v>
      </c>
      <c r="M10" s="5"/>
    </row>
    <row r="11" spans="1:13" ht="18" x14ac:dyDescent="0.35">
      <c r="A11" s="55"/>
      <c r="B11" s="50" t="s">
        <v>34</v>
      </c>
      <c r="C11" s="50">
        <v>0.33</v>
      </c>
      <c r="D11" s="50">
        <v>12.43</v>
      </c>
      <c r="E11" s="51">
        <f t="shared" si="0"/>
        <v>4.1018999999999997</v>
      </c>
      <c r="F11" s="5"/>
      <c r="G11" s="49"/>
      <c r="H11" s="5"/>
      <c r="I11" s="50" t="s">
        <v>34</v>
      </c>
      <c r="J11" s="50">
        <v>0.44</v>
      </c>
      <c r="K11" s="50">
        <v>12.43</v>
      </c>
      <c r="L11" s="51">
        <f t="shared" si="1"/>
        <v>5.4691999999999998</v>
      </c>
      <c r="M11" s="5"/>
    </row>
    <row r="12" spans="1:13" ht="18" x14ac:dyDescent="0.35">
      <c r="B12" s="50" t="s">
        <v>35</v>
      </c>
      <c r="C12" s="50">
        <v>4</v>
      </c>
      <c r="D12" s="50">
        <v>1.89</v>
      </c>
      <c r="E12" s="51">
        <f t="shared" si="0"/>
        <v>7.56</v>
      </c>
      <c r="F12" s="5"/>
      <c r="G12" s="49"/>
      <c r="H12" s="5"/>
      <c r="I12" s="50" t="s">
        <v>35</v>
      </c>
      <c r="J12" s="50">
        <v>4</v>
      </c>
      <c r="K12" s="50">
        <v>1.89</v>
      </c>
      <c r="L12" s="51">
        <f t="shared" si="1"/>
        <v>7.56</v>
      </c>
      <c r="M12" s="5"/>
    </row>
    <row r="13" spans="1:13" ht="18" x14ac:dyDescent="0.35">
      <c r="A13" s="5"/>
      <c r="B13" s="50" t="s">
        <v>36</v>
      </c>
      <c r="C13" s="50">
        <v>4</v>
      </c>
      <c r="D13" s="50">
        <v>0.24</v>
      </c>
      <c r="E13" s="51">
        <f t="shared" si="0"/>
        <v>0.96</v>
      </c>
      <c r="F13" s="5"/>
      <c r="G13" s="49"/>
      <c r="H13" s="5"/>
      <c r="I13" s="50" t="s">
        <v>36</v>
      </c>
      <c r="J13" s="50">
        <v>4</v>
      </c>
      <c r="K13" s="50">
        <v>0.24</v>
      </c>
      <c r="L13" s="51">
        <f t="shared" si="1"/>
        <v>0.96</v>
      </c>
      <c r="M13" s="5"/>
    </row>
    <row r="14" spans="1:13" ht="18" x14ac:dyDescent="0.35">
      <c r="A14" s="5"/>
      <c r="B14" s="5"/>
      <c r="C14" s="5"/>
      <c r="D14" s="5"/>
      <c r="E14" s="51">
        <f>SUM(E6:E13)</f>
        <v>292.78525999999999</v>
      </c>
      <c r="F14" s="5"/>
      <c r="G14" s="49"/>
      <c r="H14" s="5"/>
      <c r="I14" s="5"/>
      <c r="J14" s="5"/>
      <c r="K14" s="5"/>
      <c r="L14" s="51">
        <f>SUM(L6:L13)</f>
        <v>372.28080999999997</v>
      </c>
      <c r="M14" s="5"/>
    </row>
    <row r="15" spans="1:13" ht="18" x14ac:dyDescent="0.35">
      <c r="A15" s="5"/>
      <c r="B15" s="50" t="s">
        <v>37</v>
      </c>
      <c r="C15" s="5">
        <v>45</v>
      </c>
      <c r="D15" s="5">
        <v>1.41</v>
      </c>
      <c r="E15" s="51">
        <f>C15*D15</f>
        <v>63.449999999999996</v>
      </c>
      <c r="F15" s="5"/>
      <c r="G15" s="49"/>
      <c r="H15" s="5"/>
      <c r="I15" s="50" t="s">
        <v>37</v>
      </c>
      <c r="J15" s="5">
        <v>45</v>
      </c>
      <c r="K15" s="5">
        <v>1.41</v>
      </c>
      <c r="L15" s="51">
        <f>J15*K15</f>
        <v>63.449999999999996</v>
      </c>
      <c r="M15" s="5"/>
    </row>
    <row r="16" spans="1:13" ht="18" x14ac:dyDescent="0.35">
      <c r="A16" s="5"/>
      <c r="B16" s="5"/>
      <c r="C16" s="5"/>
      <c r="D16" s="5"/>
      <c r="E16" s="51">
        <f>SUM(E14:E15)</f>
        <v>356.23525999999998</v>
      </c>
      <c r="F16" s="5"/>
      <c r="G16" s="49"/>
      <c r="H16" s="5"/>
      <c r="I16" s="5"/>
      <c r="J16" s="5"/>
      <c r="K16" s="5"/>
      <c r="L16" s="51">
        <f>SUM(L14:L15)</f>
        <v>435.73080999999996</v>
      </c>
      <c r="M16" s="5"/>
    </row>
    <row r="17" spans="1:13" ht="18" x14ac:dyDescent="0.35">
      <c r="A17" s="5"/>
      <c r="B17" s="5"/>
      <c r="C17" s="5"/>
      <c r="D17" s="5"/>
      <c r="E17" s="5"/>
      <c r="F17" s="5"/>
      <c r="G17" s="49"/>
      <c r="H17" s="5"/>
      <c r="I17" s="5"/>
      <c r="J17" s="5"/>
      <c r="K17" s="5"/>
      <c r="L17" s="5"/>
      <c r="M17" s="5"/>
    </row>
    <row r="18" spans="1:13" ht="18" x14ac:dyDescent="0.35">
      <c r="A18" s="5"/>
      <c r="B18" s="5"/>
      <c r="C18" s="5"/>
      <c r="D18" s="5"/>
      <c r="E18" s="5" t="s">
        <v>429</v>
      </c>
      <c r="F18" s="5"/>
      <c r="G18" s="49"/>
      <c r="H18" s="5"/>
      <c r="I18" s="5"/>
      <c r="J18" s="5"/>
      <c r="K18" s="5" t="s">
        <v>429</v>
      </c>
      <c r="L18" s="5"/>
      <c r="M18" s="5"/>
    </row>
    <row r="19" spans="1:13" ht="18" x14ac:dyDescent="0.35">
      <c r="A19" s="5"/>
      <c r="B19" s="5"/>
      <c r="C19" s="5"/>
      <c r="D19" s="5"/>
      <c r="E19" s="54">
        <v>483.82</v>
      </c>
      <c r="F19" s="5" t="s">
        <v>428</v>
      </c>
      <c r="G19" s="49"/>
      <c r="H19" s="5"/>
      <c r="I19" s="5"/>
      <c r="J19" s="5"/>
      <c r="K19" s="54">
        <v>469.91</v>
      </c>
      <c r="L19" s="5" t="s">
        <v>432</v>
      </c>
      <c r="M19" s="5"/>
    </row>
    <row r="20" spans="1:13" ht="18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</row>
    <row r="21" spans="1:13" ht="18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</row>
    <row r="37" spans="1:13" ht="18" x14ac:dyDescent="0.35">
      <c r="A37" s="5" t="s">
        <v>434</v>
      </c>
      <c r="B37" s="5"/>
      <c r="C37" s="5"/>
      <c r="D37" s="5"/>
      <c r="E37" s="5"/>
      <c r="F37" s="5"/>
      <c r="G37" s="49"/>
      <c r="H37" s="5" t="s">
        <v>434</v>
      </c>
      <c r="I37" s="5"/>
      <c r="J37" s="5"/>
      <c r="K37" s="5"/>
      <c r="L37" s="5"/>
      <c r="M37" s="5"/>
    </row>
    <row r="38" spans="1:13" ht="18" x14ac:dyDescent="0.35">
      <c r="A38" s="5"/>
      <c r="B38" s="5"/>
      <c r="C38" s="50" t="s">
        <v>28</v>
      </c>
      <c r="D38" s="50" t="s">
        <v>29</v>
      </c>
      <c r="E38" s="50" t="s">
        <v>30</v>
      </c>
      <c r="F38" s="5"/>
      <c r="G38" s="49"/>
      <c r="H38" s="5"/>
      <c r="I38" s="5"/>
      <c r="J38" s="50" t="s">
        <v>28</v>
      </c>
      <c r="K38" s="50" t="s">
        <v>29</v>
      </c>
      <c r="L38" s="50" t="s">
        <v>30</v>
      </c>
      <c r="M38" s="5"/>
    </row>
    <row r="39" spans="1:13" ht="18" x14ac:dyDescent="0.35">
      <c r="A39" s="5" t="s">
        <v>422</v>
      </c>
      <c r="B39" s="50" t="s">
        <v>32</v>
      </c>
      <c r="C39" s="50">
        <v>1.972</v>
      </c>
      <c r="D39" s="50">
        <v>19.89</v>
      </c>
      <c r="E39" s="51">
        <f t="shared" ref="E39:E44" si="2">C39*D39</f>
        <v>39.223080000000003</v>
      </c>
      <c r="F39" s="5"/>
      <c r="G39" s="49"/>
      <c r="H39" s="5" t="s">
        <v>423</v>
      </c>
      <c r="I39" s="50" t="s">
        <v>32</v>
      </c>
      <c r="J39" s="50">
        <v>2.4550000000000001</v>
      </c>
      <c r="K39" s="50">
        <v>19.89</v>
      </c>
      <c r="L39" s="51">
        <f t="shared" ref="L39:L44" si="3">J39*K39</f>
        <v>48.829950000000004</v>
      </c>
      <c r="M39" s="5"/>
    </row>
    <row r="40" spans="1:13" ht="18" x14ac:dyDescent="0.35">
      <c r="A40" s="5" t="s">
        <v>53</v>
      </c>
      <c r="B40" s="50" t="s">
        <v>33</v>
      </c>
      <c r="C40" s="50">
        <v>4.0039999999999996</v>
      </c>
      <c r="D40" s="50">
        <v>11.03</v>
      </c>
      <c r="E40" s="51">
        <f t="shared" si="2"/>
        <v>44.16411999999999</v>
      </c>
      <c r="F40" s="5"/>
      <c r="G40" s="49"/>
      <c r="H40" s="5" t="s">
        <v>167</v>
      </c>
      <c r="I40" s="50" t="s">
        <v>33</v>
      </c>
      <c r="J40" s="50">
        <v>14.321999999999999</v>
      </c>
      <c r="K40" s="50">
        <v>11.03</v>
      </c>
      <c r="L40" s="51">
        <f t="shared" si="3"/>
        <v>157.97165999999999</v>
      </c>
      <c r="M40" s="5"/>
    </row>
    <row r="41" spans="1:13" ht="18" x14ac:dyDescent="0.35">
      <c r="A41" s="5" t="s">
        <v>437</v>
      </c>
      <c r="B41" s="50" t="s">
        <v>86</v>
      </c>
      <c r="C41" s="50">
        <v>2</v>
      </c>
      <c r="D41" s="50">
        <v>1.86</v>
      </c>
      <c r="E41" s="51">
        <f t="shared" si="2"/>
        <v>3.72</v>
      </c>
      <c r="F41" s="5"/>
      <c r="G41" s="49"/>
      <c r="H41" s="5" t="s">
        <v>438</v>
      </c>
      <c r="I41" s="50" t="s">
        <v>87</v>
      </c>
      <c r="J41" s="50">
        <v>2</v>
      </c>
      <c r="K41" s="50">
        <v>1.98</v>
      </c>
      <c r="L41" s="51">
        <f t="shared" si="3"/>
        <v>3.96</v>
      </c>
      <c r="M41" s="5"/>
    </row>
    <row r="42" spans="1:13" ht="18" x14ac:dyDescent="0.35">
      <c r="A42" s="5" t="s">
        <v>435</v>
      </c>
      <c r="B42" s="50" t="s">
        <v>34</v>
      </c>
      <c r="C42" s="50"/>
      <c r="D42" s="50"/>
      <c r="E42" s="51">
        <f t="shared" si="2"/>
        <v>0</v>
      </c>
      <c r="F42" s="5"/>
      <c r="G42" s="49"/>
      <c r="H42" s="5" t="s">
        <v>439</v>
      </c>
      <c r="I42" s="50" t="s">
        <v>34</v>
      </c>
      <c r="J42" s="50">
        <v>0.495</v>
      </c>
      <c r="K42" s="50">
        <v>12.43</v>
      </c>
      <c r="L42" s="51">
        <f t="shared" si="3"/>
        <v>6.1528499999999999</v>
      </c>
      <c r="M42" s="5"/>
    </row>
    <row r="43" spans="1:13" ht="18" x14ac:dyDescent="0.35">
      <c r="A43" s="5" t="s">
        <v>444</v>
      </c>
      <c r="B43" s="50" t="s">
        <v>35</v>
      </c>
      <c r="C43" s="50">
        <v>4</v>
      </c>
      <c r="D43" s="50">
        <v>1.89</v>
      </c>
      <c r="E43" s="51">
        <f t="shared" si="2"/>
        <v>7.56</v>
      </c>
      <c r="F43" s="5"/>
      <c r="G43" s="49"/>
      <c r="H43" s="5" t="s">
        <v>445</v>
      </c>
      <c r="I43" s="50" t="s">
        <v>35</v>
      </c>
      <c r="J43" s="50">
        <v>4</v>
      </c>
      <c r="K43" s="50">
        <v>1.89</v>
      </c>
      <c r="L43" s="51">
        <f t="shared" si="3"/>
        <v>7.56</v>
      </c>
      <c r="M43" s="5"/>
    </row>
    <row r="44" spans="1:13" ht="18" x14ac:dyDescent="0.35">
      <c r="A44" s="5"/>
      <c r="B44" s="50" t="s">
        <v>36</v>
      </c>
      <c r="C44" s="50">
        <v>4</v>
      </c>
      <c r="D44" s="50">
        <v>0.24</v>
      </c>
      <c r="E44" s="51">
        <f t="shared" si="2"/>
        <v>0.96</v>
      </c>
      <c r="F44" s="5"/>
      <c r="G44" s="49"/>
      <c r="H44" s="5"/>
      <c r="I44" s="50" t="s">
        <v>36</v>
      </c>
      <c r="J44" s="50">
        <v>4</v>
      </c>
      <c r="K44" s="50">
        <v>0.24</v>
      </c>
      <c r="L44" s="51">
        <f t="shared" si="3"/>
        <v>0.96</v>
      </c>
      <c r="M44" s="5"/>
    </row>
    <row r="45" spans="1:13" ht="18" x14ac:dyDescent="0.35">
      <c r="A45" s="5"/>
      <c r="B45" s="5"/>
      <c r="C45" s="5"/>
      <c r="D45" s="5"/>
      <c r="E45" s="52">
        <f>SUM(E39:E44)</f>
        <v>95.627199999999988</v>
      </c>
      <c r="F45" s="5"/>
      <c r="G45" s="49"/>
      <c r="H45" s="5"/>
      <c r="I45" s="5"/>
      <c r="J45" s="5"/>
      <c r="K45" s="5"/>
      <c r="L45" s="51">
        <f>SUM(L39:L44)</f>
        <v>225.43446</v>
      </c>
      <c r="M45" s="5"/>
    </row>
    <row r="46" spans="1:13" ht="18" x14ac:dyDescent="0.35">
      <c r="A46" s="5"/>
      <c r="B46" s="50" t="s">
        <v>37</v>
      </c>
      <c r="C46" s="5">
        <v>45</v>
      </c>
      <c r="D46" s="5">
        <v>1.41</v>
      </c>
      <c r="E46" s="51">
        <f>C46*D46</f>
        <v>63.449999999999996</v>
      </c>
      <c r="F46" s="5"/>
      <c r="G46" s="49"/>
      <c r="H46" s="5"/>
      <c r="I46" s="50" t="s">
        <v>37</v>
      </c>
      <c r="J46" s="5">
        <v>60</v>
      </c>
      <c r="K46" s="5">
        <v>1.41</v>
      </c>
      <c r="L46" s="51">
        <f>J46*K46</f>
        <v>84.6</v>
      </c>
      <c r="M46" s="5"/>
    </row>
    <row r="47" spans="1:13" ht="18" x14ac:dyDescent="0.35">
      <c r="A47" s="5"/>
      <c r="B47" s="5"/>
      <c r="C47" s="5"/>
      <c r="D47" s="5"/>
      <c r="E47" s="51">
        <f>SUM(E45:E46)</f>
        <v>159.07719999999998</v>
      </c>
      <c r="F47" s="5"/>
      <c r="G47" s="49"/>
      <c r="H47" s="5"/>
      <c r="I47" s="5"/>
      <c r="J47" s="5"/>
      <c r="K47" s="5"/>
      <c r="L47" s="51">
        <f>SUM(L45:L46)</f>
        <v>310.03445999999997</v>
      </c>
      <c r="M47" s="5"/>
    </row>
    <row r="48" spans="1:13" ht="18" x14ac:dyDescent="0.35">
      <c r="A48" s="5"/>
      <c r="B48" s="5"/>
      <c r="C48" s="5"/>
      <c r="D48" s="5"/>
      <c r="E48" s="53"/>
      <c r="F48" s="54"/>
      <c r="G48" s="49"/>
      <c r="H48" s="5"/>
      <c r="I48" s="5"/>
      <c r="J48" s="5"/>
      <c r="K48" s="5"/>
      <c r="L48" s="5"/>
      <c r="M48" s="5"/>
    </row>
    <row r="49" spans="1:13" ht="18" x14ac:dyDescent="0.35">
      <c r="A49" s="5"/>
      <c r="B49" s="5"/>
      <c r="C49" s="5"/>
      <c r="D49" s="5"/>
      <c r="E49" s="5" t="s">
        <v>429</v>
      </c>
      <c r="F49" s="5"/>
      <c r="G49" s="49"/>
      <c r="H49" s="5"/>
      <c r="I49" s="5"/>
      <c r="J49" s="5"/>
      <c r="K49" s="5" t="s">
        <v>429</v>
      </c>
      <c r="L49" s="5"/>
      <c r="M49" s="5"/>
    </row>
    <row r="50" spans="1:13" ht="18" x14ac:dyDescent="0.35">
      <c r="A50" s="5"/>
      <c r="B50" s="5"/>
      <c r="C50" s="5"/>
      <c r="D50" s="5"/>
      <c r="E50" s="54">
        <v>274.06</v>
      </c>
      <c r="F50" s="5" t="s">
        <v>436</v>
      </c>
      <c r="G50" s="49"/>
      <c r="H50" s="5"/>
      <c r="I50" s="5"/>
      <c r="J50" s="5"/>
      <c r="K50" s="5">
        <v>667.54</v>
      </c>
      <c r="L50" s="5" t="s">
        <v>440</v>
      </c>
      <c r="M50" s="5"/>
    </row>
    <row r="51" spans="1:13" ht="15.6" x14ac:dyDescent="0.3">
      <c r="A51" s="42"/>
      <c r="B51" s="42"/>
      <c r="C51" s="42"/>
      <c r="D51" s="42"/>
      <c r="E51" s="48"/>
      <c r="F51" s="42"/>
      <c r="G51" s="47"/>
      <c r="H51" s="42"/>
      <c r="I51" s="42"/>
      <c r="J51" s="42"/>
      <c r="K51" s="42"/>
      <c r="L51" s="42"/>
      <c r="M51" s="42"/>
    </row>
    <row r="52" spans="1:13" ht="18" x14ac:dyDescent="0.35">
      <c r="A52" s="5" t="s">
        <v>434</v>
      </c>
      <c r="B52" s="5"/>
      <c r="C52" s="5"/>
      <c r="D52" s="5"/>
      <c r="E52" s="5"/>
      <c r="F52" s="5"/>
      <c r="G52" s="49"/>
      <c r="H52" s="5"/>
      <c r="I52" s="5" t="s">
        <v>434</v>
      </c>
      <c r="J52" s="5"/>
      <c r="K52" s="5"/>
      <c r="L52" s="5"/>
      <c r="M52" s="5"/>
    </row>
    <row r="53" spans="1:13" ht="18" x14ac:dyDescent="0.35">
      <c r="A53" s="5"/>
      <c r="B53" s="5"/>
      <c r="C53" s="50" t="s">
        <v>28</v>
      </c>
      <c r="D53" s="50" t="s">
        <v>29</v>
      </c>
      <c r="E53" s="50" t="s">
        <v>30</v>
      </c>
      <c r="F53" s="5"/>
      <c r="G53" s="49"/>
      <c r="H53" s="5"/>
      <c r="I53" s="5"/>
      <c r="J53" s="5"/>
      <c r="K53" s="50" t="s">
        <v>28</v>
      </c>
      <c r="L53" s="50" t="s">
        <v>29</v>
      </c>
      <c r="M53" s="50" t="s">
        <v>30</v>
      </c>
    </row>
    <row r="54" spans="1:13" ht="18" x14ac:dyDescent="0.35">
      <c r="A54" s="5" t="s">
        <v>105</v>
      </c>
      <c r="B54" s="50" t="s">
        <v>32</v>
      </c>
      <c r="C54" s="50">
        <v>2.125</v>
      </c>
      <c r="D54" s="50">
        <v>19.89</v>
      </c>
      <c r="E54" s="51">
        <f t="shared" ref="E54:E59" si="4">C54*D54</f>
        <v>42.266249999999999</v>
      </c>
      <c r="F54" s="5"/>
      <c r="G54" s="49"/>
      <c r="H54" s="5"/>
      <c r="I54" s="5" t="s">
        <v>424</v>
      </c>
      <c r="J54" s="50" t="s">
        <v>32</v>
      </c>
      <c r="K54" s="50">
        <v>2.3450000000000002</v>
      </c>
      <c r="L54" s="50">
        <v>19.89</v>
      </c>
      <c r="M54" s="51">
        <f t="shared" ref="M54:M59" si="5">K54*L54</f>
        <v>46.642050000000005</v>
      </c>
    </row>
    <row r="55" spans="1:13" ht="18" x14ac:dyDescent="0.35">
      <c r="A55" s="5" t="s">
        <v>53</v>
      </c>
      <c r="B55" s="50" t="s">
        <v>33</v>
      </c>
      <c r="C55" s="50">
        <v>9.0860000000000003</v>
      </c>
      <c r="D55" s="50">
        <v>11.03</v>
      </c>
      <c r="E55" s="51">
        <f t="shared" si="4"/>
        <v>100.21858</v>
      </c>
      <c r="F55" s="5"/>
      <c r="G55" s="49"/>
      <c r="H55" s="5"/>
      <c r="I55" s="5" t="s">
        <v>293</v>
      </c>
      <c r="J55" s="50" t="s">
        <v>33</v>
      </c>
      <c r="K55" s="50">
        <v>12.936</v>
      </c>
      <c r="L55" s="50">
        <v>11.03</v>
      </c>
      <c r="M55" s="51">
        <f t="shared" si="5"/>
        <v>142.68407999999999</v>
      </c>
    </row>
    <row r="56" spans="1:13" ht="18" x14ac:dyDescent="0.35">
      <c r="A56" s="5" t="s">
        <v>441</v>
      </c>
      <c r="B56" s="50" t="s">
        <v>86</v>
      </c>
      <c r="C56" s="50">
        <v>2</v>
      </c>
      <c r="D56" s="50">
        <v>1.86</v>
      </c>
      <c r="E56" s="51">
        <f t="shared" si="4"/>
        <v>3.72</v>
      </c>
      <c r="F56" s="5"/>
      <c r="G56" s="49"/>
      <c r="H56" s="5"/>
      <c r="I56" s="5" t="s">
        <v>426</v>
      </c>
      <c r="J56" s="50" t="s">
        <v>113</v>
      </c>
      <c r="K56" s="50">
        <v>2</v>
      </c>
      <c r="L56" s="50">
        <v>2.2400000000000002</v>
      </c>
      <c r="M56" s="51">
        <f t="shared" si="5"/>
        <v>4.4800000000000004</v>
      </c>
    </row>
    <row r="57" spans="1:13" ht="18" x14ac:dyDescent="0.35">
      <c r="A57" s="5" t="s">
        <v>427</v>
      </c>
      <c r="B57" s="50" t="s">
        <v>34</v>
      </c>
      <c r="C57" s="50">
        <v>0.33</v>
      </c>
      <c r="D57" s="50">
        <v>12.43</v>
      </c>
      <c r="E57" s="51">
        <f t="shared" si="4"/>
        <v>4.1018999999999997</v>
      </c>
      <c r="F57" s="5"/>
      <c r="G57" s="49"/>
      <c r="H57" s="5"/>
      <c r="I57" s="5" t="s">
        <v>446</v>
      </c>
      <c r="J57" s="50" t="s">
        <v>34</v>
      </c>
      <c r="K57" s="50"/>
      <c r="L57" s="50"/>
      <c r="M57" s="51">
        <f t="shared" si="5"/>
        <v>0</v>
      </c>
    </row>
    <row r="58" spans="1:13" ht="18" x14ac:dyDescent="0.35">
      <c r="A58" s="5" t="s">
        <v>443</v>
      </c>
      <c r="B58" s="50" t="s">
        <v>35</v>
      </c>
      <c r="C58" s="50">
        <v>4</v>
      </c>
      <c r="D58" s="50">
        <v>1.89</v>
      </c>
      <c r="E58" s="51">
        <f t="shared" si="4"/>
        <v>7.56</v>
      </c>
      <c r="F58" s="5"/>
      <c r="G58" s="49"/>
      <c r="H58" s="5"/>
      <c r="I58" s="5" t="s">
        <v>447</v>
      </c>
      <c r="J58" s="50" t="s">
        <v>35</v>
      </c>
      <c r="K58" s="50">
        <v>4</v>
      </c>
      <c r="L58" s="50">
        <v>1.89</v>
      </c>
      <c r="M58" s="51">
        <f t="shared" si="5"/>
        <v>7.56</v>
      </c>
    </row>
    <row r="59" spans="1:13" ht="18" x14ac:dyDescent="0.35">
      <c r="A59" s="5"/>
      <c r="B59" s="50" t="s">
        <v>36</v>
      </c>
      <c r="C59" s="50">
        <v>4</v>
      </c>
      <c r="D59" s="50">
        <v>0.24</v>
      </c>
      <c r="E59" s="51">
        <f t="shared" si="4"/>
        <v>0.96</v>
      </c>
      <c r="F59" s="5"/>
      <c r="G59" s="49"/>
      <c r="H59" s="5"/>
      <c r="I59" s="5"/>
      <c r="J59" s="50" t="s">
        <v>36</v>
      </c>
      <c r="K59" s="50">
        <v>4</v>
      </c>
      <c r="L59" s="50">
        <v>0.24</v>
      </c>
      <c r="M59" s="51">
        <f t="shared" si="5"/>
        <v>0.96</v>
      </c>
    </row>
    <row r="60" spans="1:13" ht="18" x14ac:dyDescent="0.35">
      <c r="A60" s="5"/>
      <c r="B60" s="5"/>
      <c r="C60" s="5"/>
      <c r="D60" s="5"/>
      <c r="E60" s="52">
        <f>SUM(E54:E59)</f>
        <v>158.82673</v>
      </c>
      <c r="F60" s="5"/>
      <c r="G60" s="49"/>
      <c r="H60" s="5"/>
      <c r="I60" s="5"/>
      <c r="J60" s="5"/>
      <c r="K60" s="5"/>
      <c r="L60" s="5"/>
      <c r="M60" s="51">
        <f>SUM(M54:M59)</f>
        <v>202.32613000000001</v>
      </c>
    </row>
    <row r="61" spans="1:13" ht="18" x14ac:dyDescent="0.35">
      <c r="A61" s="5"/>
      <c r="B61" s="50" t="s">
        <v>37</v>
      </c>
      <c r="C61" s="5">
        <v>45</v>
      </c>
      <c r="D61" s="5">
        <v>1.41</v>
      </c>
      <c r="E61" s="51">
        <f>C61*D61</f>
        <v>63.449999999999996</v>
      </c>
      <c r="F61" s="5"/>
      <c r="G61" s="49"/>
      <c r="H61" s="5"/>
      <c r="I61" s="5"/>
      <c r="J61" s="50" t="s">
        <v>37</v>
      </c>
      <c r="K61" s="5">
        <v>45</v>
      </c>
      <c r="L61" s="5">
        <v>1.41</v>
      </c>
      <c r="M61" s="51">
        <f>K61*L61</f>
        <v>63.449999999999996</v>
      </c>
    </row>
    <row r="62" spans="1:13" ht="18" x14ac:dyDescent="0.35">
      <c r="A62" s="5"/>
      <c r="B62" s="5"/>
      <c r="C62" s="5"/>
      <c r="D62" s="5"/>
      <c r="E62" s="51">
        <f>SUM(E60:E61)</f>
        <v>222.27672999999999</v>
      </c>
      <c r="F62" s="5"/>
      <c r="G62" s="49"/>
      <c r="H62" s="5"/>
      <c r="I62" s="5"/>
      <c r="J62" s="5"/>
      <c r="K62" s="5"/>
      <c r="L62" s="5"/>
      <c r="M62" s="51">
        <f>SUM(M60:M61)</f>
        <v>265.77613000000002</v>
      </c>
    </row>
    <row r="63" spans="1:13" ht="18" x14ac:dyDescent="0.35">
      <c r="A63" s="5"/>
      <c r="B63" s="5"/>
      <c r="C63" s="5"/>
      <c r="D63" s="5"/>
      <c r="E63" s="53"/>
      <c r="F63" s="5"/>
      <c r="G63" s="49"/>
      <c r="H63" s="5"/>
      <c r="I63" s="5"/>
      <c r="J63" s="5"/>
      <c r="K63" s="5"/>
      <c r="L63" s="5"/>
      <c r="M63" s="53"/>
    </row>
    <row r="64" spans="1:13" ht="18" x14ac:dyDescent="0.35">
      <c r="A64" s="5"/>
      <c r="B64" s="5"/>
      <c r="C64" s="5"/>
      <c r="D64" s="5"/>
      <c r="E64" s="5" t="s">
        <v>429</v>
      </c>
      <c r="F64" s="5"/>
      <c r="G64" s="49"/>
      <c r="H64" s="5"/>
      <c r="I64" s="5"/>
      <c r="J64" s="5"/>
      <c r="K64" s="5"/>
      <c r="L64" s="5" t="s">
        <v>429</v>
      </c>
      <c r="M64" s="5"/>
    </row>
    <row r="65" spans="1:14" ht="18" x14ac:dyDescent="0.35">
      <c r="A65" s="5"/>
      <c r="B65" s="5"/>
      <c r="C65" s="5"/>
      <c r="D65" s="5"/>
      <c r="E65" s="5">
        <v>275.55</v>
      </c>
      <c r="F65" s="5" t="s">
        <v>442</v>
      </c>
      <c r="G65" s="49"/>
      <c r="H65" s="5"/>
      <c r="I65" s="5"/>
      <c r="J65" s="5"/>
      <c r="K65" s="5"/>
      <c r="L65" s="54">
        <v>363.39</v>
      </c>
      <c r="M65" s="5" t="s">
        <v>448</v>
      </c>
    </row>
    <row r="66" spans="1:14" ht="18" x14ac:dyDescent="0.35">
      <c r="A66" s="5"/>
      <c r="B66" s="5"/>
      <c r="C66" s="5"/>
      <c r="D66" s="5"/>
      <c r="G66" s="49"/>
      <c r="H66" s="5"/>
      <c r="I66" s="5"/>
      <c r="J66" s="5"/>
      <c r="K66" s="5"/>
      <c r="L66" s="5"/>
      <c r="M66" s="5"/>
    </row>
    <row r="67" spans="1:14" x14ac:dyDescent="0.3">
      <c r="N67" s="12"/>
    </row>
    <row r="68" spans="1:14" x14ac:dyDescent="0.3">
      <c r="N68" s="12"/>
    </row>
    <row r="70" spans="1:14" ht="18" x14ac:dyDescent="0.35">
      <c r="G70" s="5"/>
      <c r="H70" s="5"/>
      <c r="I70" s="5"/>
      <c r="J70" s="5"/>
      <c r="K70" s="5"/>
      <c r="L70" s="5"/>
      <c r="M70" s="5"/>
    </row>
    <row r="71" spans="1:14" ht="18" x14ac:dyDescent="0.35">
      <c r="A71" s="5" t="s">
        <v>434</v>
      </c>
      <c r="B71" s="5"/>
      <c r="C71" s="5"/>
      <c r="D71" s="5"/>
      <c r="E71" s="5"/>
      <c r="F71" s="5"/>
    </row>
    <row r="72" spans="1:14" ht="18" x14ac:dyDescent="0.35">
      <c r="A72" s="5"/>
      <c r="B72" s="5"/>
      <c r="C72" s="50" t="s">
        <v>28</v>
      </c>
      <c r="D72" s="50" t="s">
        <v>29</v>
      </c>
      <c r="E72" s="50" t="s">
        <v>30</v>
      </c>
      <c r="F72" s="5"/>
    </row>
    <row r="73" spans="1:14" ht="18" x14ac:dyDescent="0.35">
      <c r="A73" s="5" t="s">
        <v>425</v>
      </c>
      <c r="B73" s="50" t="s">
        <v>32</v>
      </c>
      <c r="C73" s="50">
        <v>2.5870000000000002</v>
      </c>
      <c r="D73" s="50">
        <v>19.89</v>
      </c>
      <c r="E73" s="51">
        <f t="shared" ref="E73:E78" si="6">C73*D73</f>
        <v>51.455430000000007</v>
      </c>
      <c r="F73" s="5"/>
    </row>
    <row r="74" spans="1:14" ht="18" x14ac:dyDescent="0.35">
      <c r="A74" s="5" t="s">
        <v>117</v>
      </c>
      <c r="B74" s="50" t="s">
        <v>33</v>
      </c>
      <c r="C74" s="50">
        <v>15.048</v>
      </c>
      <c r="D74" s="50">
        <v>11.03</v>
      </c>
      <c r="E74" s="51">
        <f t="shared" si="6"/>
        <v>165.97943999999998</v>
      </c>
      <c r="F74" s="5"/>
    </row>
    <row r="75" spans="1:14" ht="18" x14ac:dyDescent="0.35">
      <c r="A75" s="5" t="s">
        <v>438</v>
      </c>
      <c r="B75" s="50" t="s">
        <v>449</v>
      </c>
      <c r="C75" s="50">
        <v>2</v>
      </c>
      <c r="D75" s="50">
        <v>1.98</v>
      </c>
      <c r="E75" s="51">
        <f t="shared" si="6"/>
        <v>3.96</v>
      </c>
      <c r="F75" s="5"/>
    </row>
    <row r="76" spans="1:14" ht="18" x14ac:dyDescent="0.35">
      <c r="A76" s="5" t="s">
        <v>450</v>
      </c>
      <c r="B76" s="50" t="s">
        <v>34</v>
      </c>
      <c r="C76" s="50">
        <v>0.41799999999999998</v>
      </c>
      <c r="D76" s="50">
        <v>12.43</v>
      </c>
      <c r="E76" s="51">
        <f t="shared" si="6"/>
        <v>5.1957399999999998</v>
      </c>
      <c r="F76" s="5"/>
    </row>
    <row r="77" spans="1:14" ht="18" x14ac:dyDescent="0.35">
      <c r="A77" s="5" t="s">
        <v>451</v>
      </c>
      <c r="B77" s="50" t="s">
        <v>35</v>
      </c>
      <c r="C77" s="50">
        <v>4</v>
      </c>
      <c r="D77" s="50">
        <v>1.89</v>
      </c>
      <c r="E77" s="51">
        <f t="shared" si="6"/>
        <v>7.56</v>
      </c>
      <c r="F77" s="5"/>
    </row>
    <row r="78" spans="1:14" ht="18" x14ac:dyDescent="0.35">
      <c r="A78" s="5"/>
      <c r="B78" s="50" t="s">
        <v>36</v>
      </c>
      <c r="C78" s="50">
        <v>4</v>
      </c>
      <c r="D78" s="50">
        <v>0.24</v>
      </c>
      <c r="E78" s="51">
        <f t="shared" si="6"/>
        <v>0.96</v>
      </c>
      <c r="F78" s="5"/>
    </row>
    <row r="79" spans="1:14" ht="18" x14ac:dyDescent="0.35">
      <c r="A79" s="5"/>
      <c r="B79" s="5"/>
      <c r="C79" s="5"/>
      <c r="D79" s="5"/>
      <c r="E79" s="51">
        <f>SUM(E73:E78)</f>
        <v>235.11061000000001</v>
      </c>
      <c r="F79" s="5"/>
    </row>
    <row r="80" spans="1:14" ht="18" x14ac:dyDescent="0.35">
      <c r="A80" s="5"/>
      <c r="B80" s="50" t="s">
        <v>37</v>
      </c>
      <c r="C80" s="5">
        <v>60</v>
      </c>
      <c r="D80" s="5">
        <v>1.41</v>
      </c>
      <c r="E80" s="51">
        <f>C80*D80</f>
        <v>84.6</v>
      </c>
      <c r="F80" s="5"/>
    </row>
    <row r="81" spans="1:7" ht="18" x14ac:dyDescent="0.35">
      <c r="A81" s="5"/>
      <c r="B81" s="5"/>
      <c r="C81" s="5"/>
      <c r="D81" s="5"/>
      <c r="E81" s="51">
        <f>SUM(E79:E80)</f>
        <v>319.71060999999997</v>
      </c>
      <c r="F81" s="5"/>
    </row>
    <row r="82" spans="1:7" ht="18" x14ac:dyDescent="0.35">
      <c r="A82" s="5"/>
      <c r="B82" s="5"/>
      <c r="C82" s="5"/>
      <c r="D82" s="5"/>
      <c r="E82" s="5"/>
      <c r="F82" s="5"/>
      <c r="G82" s="46"/>
    </row>
    <row r="83" spans="1:7" ht="18" x14ac:dyDescent="0.35">
      <c r="A83" s="5"/>
      <c r="B83" s="5"/>
      <c r="C83" s="5"/>
      <c r="D83" s="5"/>
      <c r="E83" s="5" t="s">
        <v>429</v>
      </c>
      <c r="F83" s="5"/>
      <c r="G83" s="46"/>
    </row>
    <row r="84" spans="1:7" ht="18" x14ac:dyDescent="0.35">
      <c r="A84" s="5"/>
      <c r="B84" s="5"/>
      <c r="C84" s="5"/>
      <c r="D84" s="5"/>
      <c r="E84" s="5">
        <v>615.67999999999995</v>
      </c>
      <c r="F84" s="5" t="s">
        <v>453</v>
      </c>
      <c r="G84" s="46"/>
    </row>
    <row r="85" spans="1:7" x14ac:dyDescent="0.3">
      <c r="G85" s="46"/>
    </row>
    <row r="86" spans="1:7" x14ac:dyDescent="0.3">
      <c r="C86" s="4" t="s">
        <v>28</v>
      </c>
      <c r="D86" s="4" t="s">
        <v>29</v>
      </c>
      <c r="E86" s="4" t="s">
        <v>30</v>
      </c>
      <c r="G86" s="46"/>
    </row>
    <row r="87" spans="1:7" x14ac:dyDescent="0.3">
      <c r="A87" t="s">
        <v>122</v>
      </c>
      <c r="B87" s="4" t="s">
        <v>32</v>
      </c>
      <c r="C87" s="4">
        <v>3.0059999999999998</v>
      </c>
      <c r="D87" s="4">
        <v>19.89</v>
      </c>
      <c r="E87" s="8">
        <f t="shared" ref="E87:E92" si="7">C87*D87</f>
        <v>59.789339999999996</v>
      </c>
      <c r="G87" s="46"/>
    </row>
    <row r="88" spans="1:7" x14ac:dyDescent="0.3">
      <c r="A88" t="s">
        <v>117</v>
      </c>
      <c r="B88" s="4" t="s">
        <v>33</v>
      </c>
      <c r="C88" s="4">
        <v>18.600999999999999</v>
      </c>
      <c r="D88" s="4">
        <v>11.03</v>
      </c>
      <c r="E88" s="8">
        <f t="shared" si="7"/>
        <v>205.16902999999999</v>
      </c>
      <c r="G88" s="46"/>
    </row>
    <row r="89" spans="1:7" x14ac:dyDescent="0.3">
      <c r="A89" t="s">
        <v>500</v>
      </c>
      <c r="B89" s="4" t="s">
        <v>87</v>
      </c>
      <c r="C89" s="4">
        <v>2</v>
      </c>
      <c r="D89" s="4">
        <v>1.98</v>
      </c>
      <c r="E89" s="8">
        <f t="shared" si="7"/>
        <v>3.96</v>
      </c>
      <c r="G89" s="46"/>
    </row>
    <row r="90" spans="1:7" x14ac:dyDescent="0.3">
      <c r="B90" s="4" t="s">
        <v>34</v>
      </c>
      <c r="C90" s="4">
        <v>1.2</v>
      </c>
      <c r="D90" s="4">
        <v>12.43</v>
      </c>
      <c r="E90" s="8">
        <f t="shared" si="7"/>
        <v>14.915999999999999</v>
      </c>
      <c r="G90" s="46"/>
    </row>
    <row r="91" spans="1:7" x14ac:dyDescent="0.3">
      <c r="B91" s="4" t="s">
        <v>35</v>
      </c>
      <c r="C91" s="4">
        <v>4</v>
      </c>
      <c r="D91" s="4">
        <v>1.89</v>
      </c>
      <c r="E91" s="8">
        <f t="shared" si="7"/>
        <v>7.56</v>
      </c>
      <c r="G91" s="46"/>
    </row>
    <row r="92" spans="1:7" x14ac:dyDescent="0.3">
      <c r="B92" s="4" t="s">
        <v>36</v>
      </c>
      <c r="C92" s="4">
        <v>4</v>
      </c>
      <c r="D92" s="4">
        <v>0.24</v>
      </c>
      <c r="E92" s="8">
        <f t="shared" si="7"/>
        <v>0.96</v>
      </c>
      <c r="G92" s="46"/>
    </row>
    <row r="93" spans="1:7" x14ac:dyDescent="0.3">
      <c r="E93" s="8">
        <f>SUM(E87:E92)</f>
        <v>292.35436999999996</v>
      </c>
      <c r="G93" s="46"/>
    </row>
    <row r="94" spans="1:7" x14ac:dyDescent="0.3">
      <c r="B94" s="4" t="s">
        <v>37</v>
      </c>
      <c r="C94">
        <v>1</v>
      </c>
      <c r="D94">
        <v>85</v>
      </c>
      <c r="E94" s="8">
        <v>85</v>
      </c>
      <c r="G94" s="46"/>
    </row>
    <row r="95" spans="1:7" x14ac:dyDescent="0.3">
      <c r="E95" s="8">
        <f>SUM(E93:E94)</f>
        <v>377.35436999999996</v>
      </c>
      <c r="G95" s="46"/>
    </row>
    <row r="96" spans="1:7" x14ac:dyDescent="0.3">
      <c r="E96">
        <v>648</v>
      </c>
    </row>
    <row r="99" spans="1:5" x14ac:dyDescent="0.3">
      <c r="C99" s="4" t="s">
        <v>28</v>
      </c>
      <c r="D99" s="4" t="s">
        <v>29</v>
      </c>
      <c r="E99" s="4" t="s">
        <v>30</v>
      </c>
    </row>
    <row r="100" spans="1:5" x14ac:dyDescent="0.3">
      <c r="A100" t="s">
        <v>499</v>
      </c>
      <c r="B100" s="4" t="s">
        <v>32</v>
      </c>
      <c r="C100" s="4">
        <v>5.4260000000000002</v>
      </c>
      <c r="D100" s="4">
        <v>19.89</v>
      </c>
      <c r="E100" s="8">
        <f t="shared" ref="E100:E105" si="8">C100*D100</f>
        <v>107.92314</v>
      </c>
    </row>
    <row r="101" spans="1:5" x14ac:dyDescent="0.3">
      <c r="A101" t="s">
        <v>117</v>
      </c>
      <c r="B101" s="4" t="s">
        <v>33</v>
      </c>
      <c r="C101" s="4">
        <v>41.591000000000001</v>
      </c>
      <c r="D101" s="4">
        <v>11.03</v>
      </c>
      <c r="E101" s="8">
        <f t="shared" si="8"/>
        <v>458.74872999999997</v>
      </c>
    </row>
    <row r="102" spans="1:5" x14ac:dyDescent="0.3">
      <c r="A102" t="s">
        <v>501</v>
      </c>
      <c r="B102" s="4" t="s">
        <v>87</v>
      </c>
      <c r="C102" s="4">
        <v>2</v>
      </c>
      <c r="D102" s="4">
        <v>1.98</v>
      </c>
      <c r="E102" s="8">
        <f t="shared" si="8"/>
        <v>3.96</v>
      </c>
    </row>
    <row r="103" spans="1:5" x14ac:dyDescent="0.3">
      <c r="B103" s="4" t="s">
        <v>34</v>
      </c>
      <c r="C103" s="4">
        <v>2.5</v>
      </c>
      <c r="D103" s="4">
        <v>12.43</v>
      </c>
      <c r="E103" s="8">
        <f t="shared" si="8"/>
        <v>31.074999999999999</v>
      </c>
    </row>
    <row r="104" spans="1:5" x14ac:dyDescent="0.3">
      <c r="B104" s="4" t="s">
        <v>35</v>
      </c>
      <c r="C104" s="4">
        <v>8</v>
      </c>
      <c r="D104" s="4">
        <v>1.89</v>
      </c>
      <c r="E104" s="8">
        <f t="shared" si="8"/>
        <v>15.12</v>
      </c>
    </row>
    <row r="105" spans="1:5" x14ac:dyDescent="0.3">
      <c r="B105" s="4" t="s">
        <v>36</v>
      </c>
      <c r="C105" s="4">
        <v>4</v>
      </c>
      <c r="D105" s="4">
        <v>0.24</v>
      </c>
      <c r="E105" s="8">
        <f t="shared" si="8"/>
        <v>0.96</v>
      </c>
    </row>
    <row r="106" spans="1:5" x14ac:dyDescent="0.3">
      <c r="E106" s="8">
        <f>SUM(E100:E105)</f>
        <v>617.78687000000014</v>
      </c>
    </row>
    <row r="107" spans="1:5" x14ac:dyDescent="0.3">
      <c r="B107" s="4" t="s">
        <v>37</v>
      </c>
      <c r="C107">
        <v>4</v>
      </c>
      <c r="D107">
        <v>85</v>
      </c>
      <c r="E107" s="8">
        <v>340</v>
      </c>
    </row>
    <row r="108" spans="1:5" x14ac:dyDescent="0.3">
      <c r="E108" s="8">
        <f>SUM(E106:E107)</f>
        <v>957.78687000000014</v>
      </c>
    </row>
    <row r="109" spans="1:5" x14ac:dyDescent="0.3">
      <c r="E109">
        <v>1440</v>
      </c>
    </row>
    <row r="111" spans="1:5" x14ac:dyDescent="0.3">
      <c r="C111" s="4" t="s">
        <v>28</v>
      </c>
      <c r="D111" s="4" t="s">
        <v>29</v>
      </c>
      <c r="E111" s="4" t="s">
        <v>30</v>
      </c>
    </row>
    <row r="112" spans="1:5" x14ac:dyDescent="0.3">
      <c r="A112" t="s">
        <v>502</v>
      </c>
      <c r="B112" s="4" t="s">
        <v>32</v>
      </c>
      <c r="C112" s="4">
        <v>6.3049999999999997</v>
      </c>
      <c r="D112" s="4">
        <v>19.89</v>
      </c>
      <c r="E112" s="8">
        <f t="shared" ref="E112:E117" si="9">C112*D112</f>
        <v>125.40644999999999</v>
      </c>
    </row>
    <row r="113" spans="1:5" x14ac:dyDescent="0.3">
      <c r="A113" t="s">
        <v>346</v>
      </c>
      <c r="B113" s="4" t="s">
        <v>33</v>
      </c>
      <c r="C113" s="4">
        <v>87.56</v>
      </c>
      <c r="D113" s="4">
        <v>11.03</v>
      </c>
      <c r="E113" s="8">
        <f t="shared" si="9"/>
        <v>965.78679999999997</v>
      </c>
    </row>
    <row r="114" spans="1:5" x14ac:dyDescent="0.3">
      <c r="A114" t="s">
        <v>503</v>
      </c>
      <c r="B114" s="4" t="s">
        <v>87</v>
      </c>
      <c r="C114" s="4">
        <v>4</v>
      </c>
      <c r="D114" s="4">
        <v>1.98</v>
      </c>
      <c r="E114" s="8">
        <f t="shared" si="9"/>
        <v>7.92</v>
      </c>
    </row>
    <row r="115" spans="1:5" x14ac:dyDescent="0.3">
      <c r="B115" s="4" t="s">
        <v>34</v>
      </c>
      <c r="C115" s="4">
        <v>5</v>
      </c>
      <c r="D115" s="4">
        <v>12.43</v>
      </c>
      <c r="E115" s="8">
        <f t="shared" si="9"/>
        <v>62.15</v>
      </c>
    </row>
    <row r="116" spans="1:5" x14ac:dyDescent="0.3">
      <c r="B116" s="4" t="s">
        <v>35</v>
      </c>
      <c r="C116" s="4">
        <v>8</v>
      </c>
      <c r="D116" s="4">
        <v>1.89</v>
      </c>
      <c r="E116" s="8">
        <f t="shared" si="9"/>
        <v>15.12</v>
      </c>
    </row>
    <row r="117" spans="1:5" x14ac:dyDescent="0.3">
      <c r="B117" s="4" t="s">
        <v>36</v>
      </c>
      <c r="C117" s="4">
        <v>4</v>
      </c>
      <c r="D117" s="4">
        <v>0.24</v>
      </c>
      <c r="E117" s="8">
        <f t="shared" si="9"/>
        <v>0.96</v>
      </c>
    </row>
    <row r="118" spans="1:5" x14ac:dyDescent="0.3">
      <c r="E118" s="8">
        <f>SUM(E112:E117)</f>
        <v>1177.3432500000001</v>
      </c>
    </row>
    <row r="119" spans="1:5" x14ac:dyDescent="0.3">
      <c r="B119" s="4" t="s">
        <v>37</v>
      </c>
      <c r="C119">
        <v>8</v>
      </c>
      <c r="D119">
        <v>85</v>
      </c>
      <c r="E119" s="8">
        <v>680</v>
      </c>
    </row>
    <row r="120" spans="1:5" x14ac:dyDescent="0.3">
      <c r="E120" s="8">
        <f>SUM(E118:E119)</f>
        <v>1857.3432500000001</v>
      </c>
    </row>
    <row r="122" spans="1:5" x14ac:dyDescent="0.3">
      <c r="E122">
        <v>2500</v>
      </c>
    </row>
    <row r="124" spans="1:5" x14ac:dyDescent="0.3">
      <c r="A124" t="s">
        <v>567</v>
      </c>
    </row>
    <row r="125" spans="1:5" x14ac:dyDescent="0.3">
      <c r="C125" s="4" t="s">
        <v>28</v>
      </c>
      <c r="D125" s="4" t="s">
        <v>29</v>
      </c>
      <c r="E125" s="4" t="s">
        <v>30</v>
      </c>
    </row>
    <row r="126" spans="1:5" x14ac:dyDescent="0.3">
      <c r="A126" t="s">
        <v>568</v>
      </c>
      <c r="B126" s="4" t="s">
        <v>32</v>
      </c>
      <c r="C126" s="4">
        <v>2.6760000000000002</v>
      </c>
      <c r="D126" s="4">
        <v>19.89</v>
      </c>
      <c r="E126" s="8">
        <f>C126*D126</f>
        <v>53.225640000000006</v>
      </c>
    </row>
    <row r="127" spans="1:5" x14ac:dyDescent="0.3">
      <c r="A127" t="s">
        <v>168</v>
      </c>
      <c r="B127" s="4" t="s">
        <v>33</v>
      </c>
      <c r="C127" s="4">
        <v>23.606000000000002</v>
      </c>
      <c r="D127" s="4">
        <v>10.86</v>
      </c>
      <c r="E127" s="8">
        <f>C127*D127</f>
        <v>256.36115999999998</v>
      </c>
    </row>
    <row r="128" spans="1:5" x14ac:dyDescent="0.3">
      <c r="B128" s="4" t="s">
        <v>137</v>
      </c>
      <c r="C128" s="4">
        <v>1.77</v>
      </c>
      <c r="D128" s="4">
        <v>12.92</v>
      </c>
      <c r="E128" s="8">
        <f>C128*D128</f>
        <v>22.868400000000001</v>
      </c>
    </row>
    <row r="129" spans="1:5" x14ac:dyDescent="0.3">
      <c r="B129" s="4" t="s">
        <v>35</v>
      </c>
      <c r="C129" s="4">
        <v>4</v>
      </c>
      <c r="D129" s="4">
        <v>1.89</v>
      </c>
      <c r="E129" s="8">
        <f>C129*D129</f>
        <v>7.56</v>
      </c>
    </row>
    <row r="130" spans="1:5" x14ac:dyDescent="0.3">
      <c r="B130" s="4" t="s">
        <v>36</v>
      </c>
      <c r="C130" s="4">
        <v>4</v>
      </c>
      <c r="D130" s="4">
        <v>0.24</v>
      </c>
      <c r="E130" s="8">
        <f>C130*D130</f>
        <v>0.96</v>
      </c>
    </row>
    <row r="131" spans="1:5" x14ac:dyDescent="0.3">
      <c r="B131" s="4" t="s">
        <v>37</v>
      </c>
      <c r="C131">
        <v>2</v>
      </c>
      <c r="E131" s="8">
        <v>170</v>
      </c>
    </row>
    <row r="132" spans="1:5" x14ac:dyDescent="0.3">
      <c r="E132" s="8">
        <f>SUM(E126:E131)</f>
        <v>510.97519999999997</v>
      </c>
    </row>
    <row r="134" spans="1:5" x14ac:dyDescent="0.3">
      <c r="A134" t="s">
        <v>567</v>
      </c>
    </row>
    <row r="135" spans="1:5" x14ac:dyDescent="0.3">
      <c r="C135" s="4" t="s">
        <v>28</v>
      </c>
      <c r="D135" s="4" t="s">
        <v>29</v>
      </c>
      <c r="E135" s="4" t="s">
        <v>30</v>
      </c>
    </row>
    <row r="136" spans="1:5" x14ac:dyDescent="0.3">
      <c r="A136" t="s">
        <v>118</v>
      </c>
      <c r="B136" s="4" t="s">
        <v>32</v>
      </c>
      <c r="C136" s="4">
        <v>2.028</v>
      </c>
      <c r="D136" s="4">
        <v>19.89</v>
      </c>
      <c r="E136" s="8">
        <f>C136*D136</f>
        <v>40.336919999999999</v>
      </c>
    </row>
    <row r="137" spans="1:5" x14ac:dyDescent="0.3">
      <c r="A137" t="s">
        <v>168</v>
      </c>
      <c r="B137" s="4" t="s">
        <v>33</v>
      </c>
      <c r="C137" s="4">
        <v>14.92</v>
      </c>
      <c r="D137" s="4">
        <v>10.86</v>
      </c>
      <c r="E137" s="8">
        <f>C137*D137</f>
        <v>162.03119999999998</v>
      </c>
    </row>
    <row r="138" spans="1:5" x14ac:dyDescent="0.3">
      <c r="B138" s="4" t="s">
        <v>137</v>
      </c>
      <c r="C138" s="4">
        <v>0.84</v>
      </c>
      <c r="D138" s="4">
        <v>12.92</v>
      </c>
      <c r="E138" s="8">
        <f>C138*D138</f>
        <v>10.8528</v>
      </c>
    </row>
    <row r="139" spans="1:5" x14ac:dyDescent="0.3">
      <c r="B139" s="4" t="s">
        <v>35</v>
      </c>
      <c r="C139" s="4">
        <v>4</v>
      </c>
      <c r="D139" s="4">
        <v>1.89</v>
      </c>
      <c r="E139" s="8">
        <f>C139*D139</f>
        <v>7.56</v>
      </c>
    </row>
    <row r="140" spans="1:5" x14ac:dyDescent="0.3">
      <c r="B140" s="4" t="s">
        <v>36</v>
      </c>
      <c r="C140" s="4">
        <v>4</v>
      </c>
      <c r="D140" s="4">
        <v>0.24</v>
      </c>
      <c r="E140" s="8">
        <f>C140*D140</f>
        <v>0.96</v>
      </c>
    </row>
    <row r="141" spans="1:5" x14ac:dyDescent="0.3">
      <c r="B141" s="4" t="s">
        <v>37</v>
      </c>
      <c r="C141">
        <v>85</v>
      </c>
      <c r="E141" s="8">
        <v>85</v>
      </c>
    </row>
    <row r="142" spans="1:5" x14ac:dyDescent="0.3">
      <c r="E142" s="8">
        <f>SUM(E136:E141)</f>
        <v>306.74091999999996</v>
      </c>
    </row>
    <row r="145" spans="1:5" x14ac:dyDescent="0.3">
      <c r="C145" s="4" t="s">
        <v>28</v>
      </c>
      <c r="D145" s="4" t="s">
        <v>29</v>
      </c>
      <c r="E145" s="4" t="s">
        <v>30</v>
      </c>
    </row>
    <row r="146" spans="1:5" x14ac:dyDescent="0.3">
      <c r="A146" t="s">
        <v>123</v>
      </c>
      <c r="B146" s="4" t="s">
        <v>32</v>
      </c>
      <c r="C146" s="4">
        <v>3.0790000000000002</v>
      </c>
      <c r="D146" s="4">
        <v>19.89</v>
      </c>
      <c r="E146" s="8">
        <f>C146*D146</f>
        <v>61.241310000000006</v>
      </c>
    </row>
    <row r="147" spans="1:5" x14ac:dyDescent="0.3">
      <c r="A147" t="s">
        <v>168</v>
      </c>
      <c r="B147" s="4" t="s">
        <v>33</v>
      </c>
      <c r="C147" s="4">
        <v>30.146000000000001</v>
      </c>
      <c r="D147" s="4">
        <v>10.86</v>
      </c>
      <c r="E147" s="8">
        <f>C147*D147</f>
        <v>327.38556</v>
      </c>
    </row>
    <row r="148" spans="1:5" x14ac:dyDescent="0.3">
      <c r="B148" s="4" t="s">
        <v>137</v>
      </c>
      <c r="C148" s="4">
        <v>1.68</v>
      </c>
      <c r="D148" s="4">
        <v>12.92</v>
      </c>
      <c r="E148" s="8">
        <f>C148*D148</f>
        <v>21.7056</v>
      </c>
    </row>
    <row r="149" spans="1:5" x14ac:dyDescent="0.3">
      <c r="B149" s="4" t="s">
        <v>35</v>
      </c>
      <c r="C149" s="4">
        <v>4</v>
      </c>
      <c r="D149" s="4">
        <v>1.89</v>
      </c>
      <c r="E149" s="8">
        <f>C149*D149</f>
        <v>7.56</v>
      </c>
    </row>
    <row r="150" spans="1:5" x14ac:dyDescent="0.3">
      <c r="B150" s="4" t="s">
        <v>36</v>
      </c>
      <c r="C150" s="4">
        <v>4</v>
      </c>
      <c r="D150" s="4">
        <v>0.24</v>
      </c>
      <c r="E150" s="8">
        <f>C150*D150</f>
        <v>0.96</v>
      </c>
    </row>
    <row r="151" spans="1:5" x14ac:dyDescent="0.3">
      <c r="B151" s="4" t="s">
        <v>37</v>
      </c>
      <c r="C151">
        <v>2.5</v>
      </c>
      <c r="E151" s="8">
        <v>212.5</v>
      </c>
    </row>
    <row r="152" spans="1:5" x14ac:dyDescent="0.3">
      <c r="E152" s="8">
        <f>SUM(E146:E151)</f>
        <v>631.35247000000004</v>
      </c>
    </row>
    <row r="155" spans="1:5" x14ac:dyDescent="0.3">
      <c r="C155" s="4" t="s">
        <v>28</v>
      </c>
      <c r="D155" s="4" t="s">
        <v>29</v>
      </c>
      <c r="E155" s="4" t="s">
        <v>30</v>
      </c>
    </row>
    <row r="156" spans="1:5" x14ac:dyDescent="0.3">
      <c r="A156" t="s">
        <v>569</v>
      </c>
      <c r="B156" s="4" t="s">
        <v>32</v>
      </c>
      <c r="C156" s="4">
        <v>4.3259999999999996</v>
      </c>
      <c r="D156" s="4">
        <v>19.89</v>
      </c>
      <c r="E156" s="8">
        <f>C156*D156</f>
        <v>86.044139999999999</v>
      </c>
    </row>
    <row r="157" spans="1:5" x14ac:dyDescent="0.3">
      <c r="A157" t="s">
        <v>168</v>
      </c>
      <c r="B157" s="4" t="s">
        <v>33</v>
      </c>
      <c r="C157" s="4">
        <v>47.530999999999999</v>
      </c>
      <c r="D157" s="4">
        <v>10.86</v>
      </c>
      <c r="E157" s="8">
        <f>C157*D157</f>
        <v>516.18665999999996</v>
      </c>
    </row>
    <row r="158" spans="1:5" x14ac:dyDescent="0.3">
      <c r="B158" s="4" t="s">
        <v>137</v>
      </c>
      <c r="C158" s="4">
        <v>1.68</v>
      </c>
      <c r="D158" s="4">
        <v>12.92</v>
      </c>
      <c r="E158" s="8">
        <f>C158*D158</f>
        <v>21.7056</v>
      </c>
    </row>
    <row r="159" spans="1:5" x14ac:dyDescent="0.3">
      <c r="B159" s="4" t="s">
        <v>35</v>
      </c>
      <c r="C159" s="4">
        <v>4</v>
      </c>
      <c r="D159" s="4">
        <v>1.89</v>
      </c>
      <c r="E159" s="8">
        <f>C159*D159</f>
        <v>7.56</v>
      </c>
    </row>
    <row r="160" spans="1:5" x14ac:dyDescent="0.3">
      <c r="B160" s="4" t="s">
        <v>36</v>
      </c>
      <c r="C160" s="4">
        <v>4</v>
      </c>
      <c r="D160" s="4">
        <v>0.24</v>
      </c>
      <c r="E160" s="8">
        <f>C160*D160</f>
        <v>0.96</v>
      </c>
    </row>
    <row r="161" spans="1:5" x14ac:dyDescent="0.3">
      <c r="B161" s="4" t="s">
        <v>37</v>
      </c>
      <c r="C161">
        <v>4</v>
      </c>
      <c r="E161" s="8">
        <v>340</v>
      </c>
    </row>
    <row r="162" spans="1:5" x14ac:dyDescent="0.3">
      <c r="E162" s="8">
        <f>SUM(E156:E161)</f>
        <v>972.45639999999992</v>
      </c>
    </row>
    <row r="165" spans="1:5" x14ac:dyDescent="0.3">
      <c r="C165" s="4" t="s">
        <v>28</v>
      </c>
      <c r="D165" s="4" t="s">
        <v>29</v>
      </c>
      <c r="E165" s="4" t="s">
        <v>30</v>
      </c>
    </row>
    <row r="166" spans="1:5" x14ac:dyDescent="0.3">
      <c r="A166" t="s">
        <v>570</v>
      </c>
      <c r="B166" s="4" t="s">
        <v>32</v>
      </c>
      <c r="C166" s="4">
        <v>4.8760000000000003</v>
      </c>
      <c r="D166" s="4">
        <v>19.89</v>
      </c>
      <c r="E166" s="8">
        <f>C166*D166</f>
        <v>96.983640000000008</v>
      </c>
    </row>
    <row r="167" spans="1:5" x14ac:dyDescent="0.3">
      <c r="A167" t="s">
        <v>168</v>
      </c>
      <c r="B167" s="4" t="s">
        <v>33</v>
      </c>
      <c r="C167" s="4">
        <v>55.506</v>
      </c>
      <c r="D167" s="4">
        <v>10.86</v>
      </c>
      <c r="E167" s="8">
        <f>C167*D167</f>
        <v>602.79516000000001</v>
      </c>
    </row>
    <row r="168" spans="1:5" x14ac:dyDescent="0.3">
      <c r="B168" s="4" t="s">
        <v>137</v>
      </c>
      <c r="C168" s="4">
        <v>1.68</v>
      </c>
      <c r="D168" s="4">
        <v>12.92</v>
      </c>
      <c r="E168" s="8">
        <f>C168*D168</f>
        <v>21.7056</v>
      </c>
    </row>
    <row r="169" spans="1:5" x14ac:dyDescent="0.3">
      <c r="B169" s="4" t="s">
        <v>35</v>
      </c>
      <c r="C169" s="4">
        <v>4</v>
      </c>
      <c r="D169" s="4">
        <v>1.89</v>
      </c>
      <c r="E169" s="8">
        <f>C169*D169</f>
        <v>7.56</v>
      </c>
    </row>
    <row r="170" spans="1:5" x14ac:dyDescent="0.3">
      <c r="B170" s="4" t="s">
        <v>36</v>
      </c>
      <c r="C170" s="4">
        <v>4</v>
      </c>
      <c r="D170" s="4">
        <v>0.24</v>
      </c>
      <c r="E170" s="8">
        <f>C170*D170</f>
        <v>0.96</v>
      </c>
    </row>
    <row r="171" spans="1:5" x14ac:dyDescent="0.3">
      <c r="B171" s="4" t="s">
        <v>37</v>
      </c>
      <c r="C171">
        <v>5</v>
      </c>
      <c r="E171" s="8">
        <v>425</v>
      </c>
    </row>
    <row r="172" spans="1:5" x14ac:dyDescent="0.3">
      <c r="E172" s="8">
        <f>SUM(E166:E171)</f>
        <v>1155.0044</v>
      </c>
    </row>
  </sheetData>
  <pageMargins left="0" right="0" top="0.35433070866141736" bottom="0.35433070866141736" header="0.31496062992125984" footer="0.31496062992125984"/>
  <pageSetup paperSize="9" scale="95" orientation="landscape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24"/>
  <sheetViews>
    <sheetView workbookViewId="0">
      <selection activeCell="F28" sqref="F28"/>
    </sheetView>
  </sheetViews>
  <sheetFormatPr baseColWidth="10" defaultRowHeight="14.4" x14ac:dyDescent="0.3"/>
  <cols>
    <col min="11" max="11" width="13.109375" customWidth="1"/>
  </cols>
  <sheetData>
    <row r="4" spans="1:11" x14ac:dyDescent="0.3">
      <c r="C4" s="4" t="s">
        <v>28</v>
      </c>
      <c r="D4" s="4" t="s">
        <v>29</v>
      </c>
      <c r="E4" s="4" t="s">
        <v>30</v>
      </c>
      <c r="I4" s="4" t="s">
        <v>28</v>
      </c>
      <c r="J4" s="4" t="s">
        <v>29</v>
      </c>
      <c r="K4" s="4" t="s">
        <v>30</v>
      </c>
    </row>
    <row r="5" spans="1:11" x14ac:dyDescent="0.3">
      <c r="A5" t="s">
        <v>67</v>
      </c>
      <c r="B5" s="4" t="s">
        <v>32</v>
      </c>
      <c r="C5" s="4">
        <v>1.7949999999999999</v>
      </c>
      <c r="D5" s="4">
        <v>19.38</v>
      </c>
      <c r="E5" s="8">
        <f t="shared" ref="E5:E10" si="0">C5*D5</f>
        <v>34.787099999999995</v>
      </c>
      <c r="G5" t="s">
        <v>67</v>
      </c>
      <c r="H5" s="4" t="s">
        <v>32</v>
      </c>
      <c r="I5" s="4">
        <v>1.7949999999999999</v>
      </c>
      <c r="J5" s="4">
        <v>29</v>
      </c>
      <c r="K5" s="8">
        <f t="shared" ref="K5:K10" si="1">I5*J5</f>
        <v>52.055</v>
      </c>
    </row>
    <row r="6" spans="1:11" x14ac:dyDescent="0.3">
      <c r="A6" t="s">
        <v>63</v>
      </c>
      <c r="B6" s="4" t="s">
        <v>33</v>
      </c>
      <c r="C6" s="4">
        <v>3.8940000000000001</v>
      </c>
      <c r="D6" s="4">
        <v>9.83</v>
      </c>
      <c r="E6" s="8">
        <f t="shared" si="0"/>
        <v>38.278020000000005</v>
      </c>
      <c r="G6" t="s">
        <v>63</v>
      </c>
      <c r="H6" s="4" t="s">
        <v>33</v>
      </c>
      <c r="I6" s="4">
        <v>3.8940000000000001</v>
      </c>
      <c r="J6" s="4">
        <v>14.74</v>
      </c>
      <c r="K6" s="8">
        <f t="shared" si="1"/>
        <v>57.397560000000006</v>
      </c>
    </row>
    <row r="7" spans="1:11" x14ac:dyDescent="0.3">
      <c r="A7" t="s">
        <v>412</v>
      </c>
      <c r="B7" s="4" t="s">
        <v>84</v>
      </c>
      <c r="C7" s="4">
        <v>2</v>
      </c>
      <c r="D7" s="4">
        <v>1.36</v>
      </c>
      <c r="E7" s="8">
        <f t="shared" si="0"/>
        <v>2.72</v>
      </c>
      <c r="G7" t="s">
        <v>412</v>
      </c>
      <c r="H7" s="4" t="s">
        <v>84</v>
      </c>
      <c r="I7" s="4">
        <v>2</v>
      </c>
      <c r="J7" s="4">
        <v>1.36</v>
      </c>
      <c r="K7" s="8">
        <f t="shared" si="1"/>
        <v>2.72</v>
      </c>
    </row>
    <row r="8" spans="1:11" x14ac:dyDescent="0.3">
      <c r="B8" s="4" t="s">
        <v>34</v>
      </c>
      <c r="C8" s="4">
        <v>0.16500000000000001</v>
      </c>
      <c r="D8" s="4">
        <v>13.67</v>
      </c>
      <c r="E8" s="8">
        <f t="shared" si="0"/>
        <v>2.2555499999999999</v>
      </c>
      <c r="H8" s="4" t="s">
        <v>34</v>
      </c>
      <c r="I8" s="4">
        <v>0.16500000000000001</v>
      </c>
      <c r="J8" s="4">
        <v>17.77</v>
      </c>
      <c r="K8" s="8">
        <f t="shared" si="1"/>
        <v>2.9320500000000003</v>
      </c>
    </row>
    <row r="9" spans="1:11" x14ac:dyDescent="0.3">
      <c r="B9" s="4" t="s">
        <v>35</v>
      </c>
      <c r="C9" s="4">
        <v>4</v>
      </c>
      <c r="D9" s="4">
        <v>1.89</v>
      </c>
      <c r="E9" s="8">
        <f t="shared" si="0"/>
        <v>7.56</v>
      </c>
      <c r="H9" s="4" t="s">
        <v>35</v>
      </c>
      <c r="I9" s="4">
        <v>4</v>
      </c>
      <c r="J9" s="4">
        <v>1.89</v>
      </c>
      <c r="K9" s="8">
        <f t="shared" si="1"/>
        <v>7.56</v>
      </c>
    </row>
    <row r="10" spans="1:11" x14ac:dyDescent="0.3">
      <c r="B10" s="4" t="s">
        <v>36</v>
      </c>
      <c r="C10" s="4">
        <v>4</v>
      </c>
      <c r="D10" s="4">
        <v>0.24</v>
      </c>
      <c r="E10" s="8">
        <f t="shared" si="0"/>
        <v>0.96</v>
      </c>
      <c r="H10" s="4" t="s">
        <v>36</v>
      </c>
      <c r="I10" s="4">
        <v>4</v>
      </c>
      <c r="J10" s="4">
        <v>0.24</v>
      </c>
      <c r="K10" s="8">
        <f t="shared" si="1"/>
        <v>0.96</v>
      </c>
    </row>
    <row r="11" spans="1:11" x14ac:dyDescent="0.3">
      <c r="E11" s="9">
        <f>SUM(E5:E10)</f>
        <v>86.560670000000002</v>
      </c>
      <c r="K11" s="9">
        <f>SUM(K5:K10)</f>
        <v>123.62461</v>
      </c>
    </row>
    <row r="12" spans="1:11" x14ac:dyDescent="0.3">
      <c r="B12" s="4" t="s">
        <v>37</v>
      </c>
      <c r="C12">
        <v>20</v>
      </c>
      <c r="D12">
        <v>1.41</v>
      </c>
      <c r="E12" s="8">
        <f>C12*D12</f>
        <v>28.2</v>
      </c>
      <c r="H12" s="4" t="s">
        <v>37</v>
      </c>
      <c r="I12">
        <v>20</v>
      </c>
      <c r="J12">
        <v>1.41</v>
      </c>
      <c r="K12" s="8">
        <f>I12*J12</f>
        <v>28.2</v>
      </c>
    </row>
    <row r="13" spans="1:11" x14ac:dyDescent="0.3">
      <c r="E13" s="8">
        <f>SUM(E11:E12)</f>
        <v>114.76067</v>
      </c>
      <c r="K13" s="8">
        <f>SUM(K11:K12)</f>
        <v>151.82461000000001</v>
      </c>
    </row>
    <row r="15" spans="1:11" x14ac:dyDescent="0.3">
      <c r="C15" s="4" t="s">
        <v>28</v>
      </c>
      <c r="D15" s="4" t="s">
        <v>29</v>
      </c>
      <c r="E15" s="4" t="s">
        <v>30</v>
      </c>
      <c r="I15" s="4" t="s">
        <v>28</v>
      </c>
      <c r="J15" s="4" t="s">
        <v>29</v>
      </c>
      <c r="K15" s="4" t="s">
        <v>30</v>
      </c>
    </row>
    <row r="16" spans="1:11" x14ac:dyDescent="0.3">
      <c r="A16" t="s">
        <v>67</v>
      </c>
      <c r="B16" s="4" t="s">
        <v>32</v>
      </c>
      <c r="C16" s="4">
        <v>1.7949999999999999</v>
      </c>
      <c r="D16" s="4">
        <v>19.89</v>
      </c>
      <c r="E16" s="8">
        <f t="shared" ref="E16:E21" si="2">C16*D16</f>
        <v>35.702550000000002</v>
      </c>
      <c r="G16" t="s">
        <v>67</v>
      </c>
      <c r="H16" s="4" t="s">
        <v>32</v>
      </c>
      <c r="I16" s="4">
        <v>1.7949999999999999</v>
      </c>
      <c r="J16" s="4">
        <v>27.85</v>
      </c>
      <c r="K16" s="8">
        <f t="shared" ref="K16:K21" si="3">I16*J16</f>
        <v>49.990749999999998</v>
      </c>
    </row>
    <row r="17" spans="1:11" x14ac:dyDescent="0.3">
      <c r="A17" t="s">
        <v>63</v>
      </c>
      <c r="B17" s="4" t="s">
        <v>33</v>
      </c>
      <c r="C17" s="4">
        <v>3.8940000000000001</v>
      </c>
      <c r="D17" s="4">
        <v>11.03</v>
      </c>
      <c r="E17" s="8">
        <f t="shared" si="2"/>
        <v>42.95082</v>
      </c>
      <c r="G17" t="s">
        <v>63</v>
      </c>
      <c r="H17" s="4" t="s">
        <v>33</v>
      </c>
      <c r="I17" s="4">
        <v>3.8940000000000001</v>
      </c>
      <c r="J17" s="4">
        <v>16.54</v>
      </c>
      <c r="K17" s="8">
        <f t="shared" si="3"/>
        <v>64.406760000000006</v>
      </c>
    </row>
    <row r="18" spans="1:11" x14ac:dyDescent="0.3">
      <c r="A18" t="s">
        <v>413</v>
      </c>
      <c r="B18" s="4" t="s">
        <v>84</v>
      </c>
      <c r="C18" s="4">
        <v>2</v>
      </c>
      <c r="D18" s="4">
        <v>1.36</v>
      </c>
      <c r="E18" s="8">
        <f t="shared" si="2"/>
        <v>2.72</v>
      </c>
      <c r="G18" t="s">
        <v>413</v>
      </c>
      <c r="H18" s="4" t="s">
        <v>84</v>
      </c>
      <c r="I18" s="4">
        <v>2</v>
      </c>
      <c r="J18" s="4">
        <v>1.36</v>
      </c>
      <c r="K18" s="8">
        <f t="shared" si="3"/>
        <v>2.72</v>
      </c>
    </row>
    <row r="19" spans="1:11" x14ac:dyDescent="0.3">
      <c r="B19" s="4" t="s">
        <v>34</v>
      </c>
      <c r="C19" s="4">
        <v>0.16500000000000001</v>
      </c>
      <c r="D19" s="4">
        <v>13.67</v>
      </c>
      <c r="E19" s="8">
        <f t="shared" si="2"/>
        <v>2.2555499999999999</v>
      </c>
      <c r="H19" s="4" t="s">
        <v>34</v>
      </c>
      <c r="I19" s="4">
        <v>0.16500000000000001</v>
      </c>
      <c r="J19" s="4">
        <v>17.77</v>
      </c>
      <c r="K19" s="8">
        <f t="shared" si="3"/>
        <v>2.9320500000000003</v>
      </c>
    </row>
    <row r="20" spans="1:11" x14ac:dyDescent="0.3">
      <c r="B20" s="4" t="s">
        <v>35</v>
      </c>
      <c r="C20" s="4">
        <v>4</v>
      </c>
      <c r="D20" s="4">
        <v>1.89</v>
      </c>
      <c r="E20" s="8">
        <f t="shared" si="2"/>
        <v>7.56</v>
      </c>
      <c r="H20" s="4" t="s">
        <v>35</v>
      </c>
      <c r="I20" s="4">
        <v>4</v>
      </c>
      <c r="J20" s="4">
        <v>1.89</v>
      </c>
      <c r="K20" s="8">
        <f t="shared" si="3"/>
        <v>7.56</v>
      </c>
    </row>
    <row r="21" spans="1:11" x14ac:dyDescent="0.3">
      <c r="B21" s="4" t="s">
        <v>36</v>
      </c>
      <c r="C21" s="4">
        <v>4</v>
      </c>
      <c r="D21" s="4">
        <v>0.24</v>
      </c>
      <c r="E21" s="8">
        <f t="shared" si="2"/>
        <v>0.96</v>
      </c>
      <c r="H21" s="4" t="s">
        <v>36</v>
      </c>
      <c r="I21" s="4">
        <v>4</v>
      </c>
      <c r="J21" s="4">
        <v>0.24</v>
      </c>
      <c r="K21" s="8">
        <f t="shared" si="3"/>
        <v>0.96</v>
      </c>
    </row>
    <row r="22" spans="1:11" x14ac:dyDescent="0.3">
      <c r="E22" s="9">
        <f>SUM(E16:E21)</f>
        <v>92.14891999999999</v>
      </c>
      <c r="K22" s="9">
        <f>SUM(K16:K21)</f>
        <v>128.56956000000002</v>
      </c>
    </row>
    <row r="23" spans="1:11" x14ac:dyDescent="0.3">
      <c r="B23" s="4" t="s">
        <v>37</v>
      </c>
      <c r="C23">
        <v>20</v>
      </c>
      <c r="D23">
        <v>1.41</v>
      </c>
      <c r="E23" s="8">
        <f>C23*D23</f>
        <v>28.2</v>
      </c>
      <c r="H23" s="4" t="s">
        <v>37</v>
      </c>
      <c r="I23">
        <v>20</v>
      </c>
      <c r="J23">
        <v>1.41</v>
      </c>
      <c r="K23" s="8">
        <f>I23*J23</f>
        <v>28.2</v>
      </c>
    </row>
    <row r="24" spans="1:11" x14ac:dyDescent="0.3">
      <c r="E24" s="8">
        <f>SUM(E22:E23)</f>
        <v>120.34891999999999</v>
      </c>
      <c r="K24" s="8">
        <f>SUM(K22:K23)</f>
        <v>156.76956000000001</v>
      </c>
    </row>
  </sheetData>
  <pageMargins left="0.11811023622047245" right="0.11811023622047245" top="0.74803149606299213" bottom="0.74803149606299213" header="0.31496062992125984" footer="0.31496062992125984"/>
  <pageSetup paperSize="9" scale="85" orientation="landscape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5:K206"/>
  <sheetViews>
    <sheetView topLeftCell="A44" zoomScale="120" zoomScaleNormal="120" workbookViewId="0">
      <selection activeCell="B58" sqref="B58"/>
    </sheetView>
  </sheetViews>
  <sheetFormatPr baseColWidth="10" defaultRowHeight="14.4" x14ac:dyDescent="0.3"/>
  <cols>
    <col min="1" max="1" width="17.5546875" customWidth="1"/>
  </cols>
  <sheetData>
    <row r="5" spans="1:5" x14ac:dyDescent="0.3">
      <c r="C5" s="4" t="s">
        <v>28</v>
      </c>
      <c r="D5" s="4" t="s">
        <v>29</v>
      </c>
      <c r="E5" s="4" t="s">
        <v>30</v>
      </c>
    </row>
    <row r="6" spans="1:5" x14ac:dyDescent="0.3">
      <c r="A6" t="s">
        <v>45</v>
      </c>
      <c r="B6" s="4" t="s">
        <v>32</v>
      </c>
      <c r="C6" s="4">
        <v>1.905</v>
      </c>
      <c r="D6" s="4">
        <v>19.89</v>
      </c>
      <c r="E6" s="8">
        <f t="shared" ref="E6:E11" si="0">C6*D6</f>
        <v>37.890450000000001</v>
      </c>
    </row>
    <row r="7" spans="1:5" x14ac:dyDescent="0.3">
      <c r="A7" t="s">
        <v>39</v>
      </c>
      <c r="B7" s="4" t="s">
        <v>33</v>
      </c>
      <c r="C7" s="4">
        <v>3.036</v>
      </c>
      <c r="D7" s="4">
        <v>11.03</v>
      </c>
      <c r="E7" s="8">
        <f t="shared" si="0"/>
        <v>33.487079999999999</v>
      </c>
    </row>
    <row r="8" spans="1:5" x14ac:dyDescent="0.3">
      <c r="B8" s="4" t="s">
        <v>43</v>
      </c>
      <c r="C8" s="4">
        <v>2</v>
      </c>
      <c r="D8" s="4">
        <v>1.24</v>
      </c>
      <c r="E8" s="8">
        <f t="shared" si="0"/>
        <v>2.48</v>
      </c>
    </row>
    <row r="9" spans="1:5" x14ac:dyDescent="0.3">
      <c r="B9" s="4" t="s">
        <v>34</v>
      </c>
      <c r="C9" s="4">
        <v>0.1</v>
      </c>
      <c r="D9" s="4">
        <v>13.67</v>
      </c>
      <c r="E9" s="8">
        <f t="shared" si="0"/>
        <v>1.367</v>
      </c>
    </row>
    <row r="10" spans="1:5" x14ac:dyDescent="0.3">
      <c r="B10" s="4" t="s">
        <v>35</v>
      </c>
      <c r="C10" s="4">
        <v>4</v>
      </c>
      <c r="D10" s="4">
        <v>1.89</v>
      </c>
      <c r="E10" s="8">
        <f t="shared" si="0"/>
        <v>7.56</v>
      </c>
    </row>
    <row r="11" spans="1:5" x14ac:dyDescent="0.3">
      <c r="B11" s="4" t="s">
        <v>36</v>
      </c>
      <c r="C11" s="4">
        <v>4</v>
      </c>
      <c r="D11" s="4">
        <v>0.24</v>
      </c>
      <c r="E11" s="8">
        <f t="shared" si="0"/>
        <v>0.96</v>
      </c>
    </row>
    <row r="12" spans="1:5" x14ac:dyDescent="0.3">
      <c r="E12" s="9">
        <f>SUM(E6:E11)</f>
        <v>83.744530000000012</v>
      </c>
    </row>
    <row r="13" spans="1:5" x14ac:dyDescent="0.3">
      <c r="B13" s="4" t="s">
        <v>37</v>
      </c>
      <c r="C13">
        <v>42.5</v>
      </c>
      <c r="E13" s="8">
        <v>42.5</v>
      </c>
    </row>
    <row r="14" spans="1:5" x14ac:dyDescent="0.3">
      <c r="E14" s="8">
        <f>SUM(E12:E13)</f>
        <v>126.24453000000001</v>
      </c>
    </row>
    <row r="15" spans="1:5" x14ac:dyDescent="0.3">
      <c r="E15" s="12"/>
    </row>
    <row r="17" spans="1:7" x14ac:dyDescent="0.3">
      <c r="C17" s="4" t="s">
        <v>28</v>
      </c>
      <c r="D17" s="4" t="s">
        <v>29</v>
      </c>
      <c r="E17" s="4" t="s">
        <v>30</v>
      </c>
    </row>
    <row r="18" spans="1:7" x14ac:dyDescent="0.3">
      <c r="A18" t="s">
        <v>45</v>
      </c>
      <c r="B18" s="4" t="s">
        <v>32</v>
      </c>
      <c r="C18" s="4">
        <v>1.905</v>
      </c>
      <c r="D18" s="4">
        <v>19.89</v>
      </c>
      <c r="E18" s="8">
        <f>C18*D18</f>
        <v>37.890450000000001</v>
      </c>
    </row>
    <row r="19" spans="1:7" x14ac:dyDescent="0.3">
      <c r="A19" t="s">
        <v>63</v>
      </c>
      <c r="B19" s="4" t="s">
        <v>33</v>
      </c>
      <c r="C19" s="4">
        <v>4.5540000000000003</v>
      </c>
      <c r="D19" s="4">
        <v>10.86</v>
      </c>
      <c r="E19" s="8">
        <f>C19*D19</f>
        <v>49.456440000000001</v>
      </c>
    </row>
    <row r="20" spans="1:7" x14ac:dyDescent="0.3">
      <c r="A20" t="s">
        <v>483</v>
      </c>
      <c r="B20" s="4" t="s">
        <v>137</v>
      </c>
      <c r="C20" s="4">
        <v>0.2</v>
      </c>
      <c r="D20" s="4">
        <v>12.92</v>
      </c>
      <c r="E20" s="8">
        <f>C20*D20</f>
        <v>2.5840000000000001</v>
      </c>
    </row>
    <row r="21" spans="1:7" x14ac:dyDescent="0.3">
      <c r="B21" s="4" t="s">
        <v>35</v>
      </c>
      <c r="C21" s="4">
        <v>4</v>
      </c>
      <c r="D21" s="4">
        <v>1.89</v>
      </c>
      <c r="E21" s="8">
        <f>C21*D21</f>
        <v>7.56</v>
      </c>
    </row>
    <row r="22" spans="1:7" x14ac:dyDescent="0.3">
      <c r="B22" s="4" t="s">
        <v>36</v>
      </c>
      <c r="C22" s="4">
        <v>4</v>
      </c>
      <c r="D22" s="4">
        <v>0.24</v>
      </c>
      <c r="E22" s="8">
        <f>C22*D22</f>
        <v>0.96</v>
      </c>
      <c r="F22" s="9">
        <f>SUM(E18:E22)</f>
        <v>98.450890000000001</v>
      </c>
      <c r="G22">
        <v>106</v>
      </c>
    </row>
    <row r="23" spans="1:7" x14ac:dyDescent="0.3">
      <c r="B23" s="4" t="s">
        <v>37</v>
      </c>
      <c r="C23">
        <v>42.5</v>
      </c>
      <c r="E23" s="8">
        <v>42.5</v>
      </c>
    </row>
    <row r="24" spans="1:7" x14ac:dyDescent="0.3">
      <c r="E24" s="8">
        <f>SUM(E18:E23)</f>
        <v>140.95089000000002</v>
      </c>
    </row>
    <row r="25" spans="1:7" x14ac:dyDescent="0.3">
      <c r="E25" s="12"/>
    </row>
    <row r="27" spans="1:7" x14ac:dyDescent="0.3">
      <c r="C27" s="4" t="s">
        <v>28</v>
      </c>
      <c r="D27" s="4" t="s">
        <v>29</v>
      </c>
      <c r="E27" s="4" t="s">
        <v>30</v>
      </c>
    </row>
    <row r="28" spans="1:7" x14ac:dyDescent="0.3">
      <c r="A28" t="s">
        <v>484</v>
      </c>
      <c r="B28" s="4" t="s">
        <v>32</v>
      </c>
      <c r="C28" s="4">
        <v>2.64</v>
      </c>
      <c r="D28" s="4">
        <v>19.89</v>
      </c>
      <c r="E28" s="8">
        <f t="shared" ref="E28:E33" si="1">C28*D28</f>
        <v>52.509600000000006</v>
      </c>
    </row>
    <row r="29" spans="1:7" x14ac:dyDescent="0.3">
      <c r="A29" t="s">
        <v>168</v>
      </c>
      <c r="B29" s="4" t="s">
        <v>33</v>
      </c>
      <c r="C29" s="4">
        <v>17.768999999999998</v>
      </c>
      <c r="D29" s="4">
        <v>11.03</v>
      </c>
      <c r="E29" s="8">
        <f t="shared" si="1"/>
        <v>195.99206999999998</v>
      </c>
    </row>
    <row r="30" spans="1:7" x14ac:dyDescent="0.3">
      <c r="A30" t="s">
        <v>455</v>
      </c>
      <c r="B30" s="4" t="s">
        <v>485</v>
      </c>
      <c r="C30" s="4">
        <v>4</v>
      </c>
      <c r="D30" s="4">
        <v>1.77</v>
      </c>
      <c r="E30" s="8">
        <f t="shared" si="1"/>
        <v>7.08</v>
      </c>
    </row>
    <row r="31" spans="1:7" x14ac:dyDescent="0.3">
      <c r="B31" s="4" t="s">
        <v>34</v>
      </c>
      <c r="C31" s="4">
        <v>0.6</v>
      </c>
      <c r="D31" s="4">
        <v>13.67</v>
      </c>
      <c r="E31" s="8">
        <f t="shared" si="1"/>
        <v>8.202</v>
      </c>
    </row>
    <row r="32" spans="1:7" x14ac:dyDescent="0.3">
      <c r="B32" s="4" t="s">
        <v>35</v>
      </c>
      <c r="C32" s="4">
        <v>4</v>
      </c>
      <c r="D32" s="4">
        <v>1.89</v>
      </c>
      <c r="E32" s="8">
        <f t="shared" si="1"/>
        <v>7.56</v>
      </c>
    </row>
    <row r="33" spans="1:11" x14ac:dyDescent="0.3">
      <c r="B33" s="4" t="s">
        <v>36</v>
      </c>
      <c r="C33" s="4">
        <v>4</v>
      </c>
      <c r="D33" s="4">
        <v>0.24</v>
      </c>
      <c r="E33" s="8">
        <f t="shared" si="1"/>
        <v>0.96</v>
      </c>
    </row>
    <row r="34" spans="1:11" x14ac:dyDescent="0.3">
      <c r="E34" s="9">
        <f>SUM(E28:E33)</f>
        <v>272.30367000000001</v>
      </c>
    </row>
    <row r="35" spans="1:11" x14ac:dyDescent="0.3">
      <c r="B35" s="4" t="s">
        <v>37</v>
      </c>
      <c r="E35" s="8">
        <v>85</v>
      </c>
    </row>
    <row r="36" spans="1:11" x14ac:dyDescent="0.3">
      <c r="E36" s="8">
        <f>SUM(E34:E35)</f>
        <v>357.30367000000001</v>
      </c>
    </row>
    <row r="40" spans="1:11" x14ac:dyDescent="0.3">
      <c r="C40" s="4" t="s">
        <v>28</v>
      </c>
      <c r="D40" s="4" t="s">
        <v>29</v>
      </c>
      <c r="E40" s="4" t="s">
        <v>30</v>
      </c>
      <c r="I40" s="4" t="s">
        <v>28</v>
      </c>
      <c r="J40" s="4" t="s">
        <v>29</v>
      </c>
      <c r="K40" s="4" t="s">
        <v>30</v>
      </c>
    </row>
    <row r="41" spans="1:11" x14ac:dyDescent="0.3">
      <c r="A41" t="s">
        <v>48</v>
      </c>
      <c r="B41" s="4" t="s">
        <v>32</v>
      </c>
      <c r="C41" s="4">
        <v>2.5659999999999998</v>
      </c>
      <c r="D41" s="4">
        <v>19.89</v>
      </c>
      <c r="E41" s="8">
        <f t="shared" ref="E41:E46" si="2">C41*D41</f>
        <v>51.037739999999999</v>
      </c>
      <c r="G41" t="s">
        <v>237</v>
      </c>
      <c r="H41" s="4" t="s">
        <v>32</v>
      </c>
      <c r="I41" s="4">
        <v>2.448</v>
      </c>
      <c r="J41" s="4">
        <v>19.89</v>
      </c>
      <c r="K41" s="8">
        <f t="shared" ref="K41:K46" si="3">I41*J41</f>
        <v>48.690719999999999</v>
      </c>
    </row>
    <row r="42" spans="1:11" x14ac:dyDescent="0.3">
      <c r="A42" t="s">
        <v>39</v>
      </c>
      <c r="B42" s="4" t="s">
        <v>33</v>
      </c>
      <c r="C42" s="4">
        <v>4.3559999999999999</v>
      </c>
      <c r="D42" s="4">
        <v>11.03</v>
      </c>
      <c r="E42" s="8">
        <f t="shared" si="2"/>
        <v>48.046679999999995</v>
      </c>
      <c r="G42" t="s">
        <v>39</v>
      </c>
      <c r="H42" s="4" t="s">
        <v>33</v>
      </c>
      <c r="I42" s="4">
        <v>4.1580000000000004</v>
      </c>
      <c r="J42" s="4">
        <v>11.03</v>
      </c>
      <c r="K42" s="8">
        <f t="shared" si="3"/>
        <v>45.862740000000002</v>
      </c>
    </row>
    <row r="43" spans="1:11" x14ac:dyDescent="0.3">
      <c r="A43" t="s">
        <v>455</v>
      </c>
      <c r="B43" s="4" t="s">
        <v>43</v>
      </c>
      <c r="C43" s="4">
        <v>2</v>
      </c>
      <c r="D43" s="4">
        <v>1.24</v>
      </c>
      <c r="E43" s="8">
        <f t="shared" si="2"/>
        <v>2.48</v>
      </c>
      <c r="G43" t="s">
        <v>455</v>
      </c>
      <c r="H43" s="4" t="s">
        <v>43</v>
      </c>
      <c r="I43" s="4">
        <v>2</v>
      </c>
      <c r="J43" s="4">
        <v>1.24</v>
      </c>
      <c r="K43" s="8">
        <f t="shared" si="3"/>
        <v>2.48</v>
      </c>
    </row>
    <row r="44" spans="1:11" x14ac:dyDescent="0.3">
      <c r="B44" s="4" t="s">
        <v>34</v>
      </c>
      <c r="C44" s="4">
        <v>0.2</v>
      </c>
      <c r="D44" s="4">
        <v>13.67</v>
      </c>
      <c r="E44" s="8">
        <f t="shared" si="2"/>
        <v>2.734</v>
      </c>
      <c r="H44" s="4" t="s">
        <v>34</v>
      </c>
      <c r="I44" s="4">
        <v>0.1</v>
      </c>
      <c r="J44" s="4">
        <v>13.67</v>
      </c>
      <c r="K44" s="8">
        <f t="shared" si="3"/>
        <v>1.367</v>
      </c>
    </row>
    <row r="45" spans="1:11" x14ac:dyDescent="0.3">
      <c r="B45" s="4" t="s">
        <v>35</v>
      </c>
      <c r="C45" s="4">
        <v>4</v>
      </c>
      <c r="D45" s="4">
        <v>1.89</v>
      </c>
      <c r="E45" s="8">
        <f t="shared" si="2"/>
        <v>7.56</v>
      </c>
      <c r="H45" s="4" t="s">
        <v>35</v>
      </c>
      <c r="I45" s="4">
        <v>4</v>
      </c>
      <c r="J45" s="4">
        <v>1.89</v>
      </c>
      <c r="K45" s="8">
        <f t="shared" si="3"/>
        <v>7.56</v>
      </c>
    </row>
    <row r="46" spans="1:11" x14ac:dyDescent="0.3">
      <c r="B46" s="4" t="s">
        <v>36</v>
      </c>
      <c r="C46" s="4">
        <v>4</v>
      </c>
      <c r="D46" s="4">
        <v>0.24</v>
      </c>
      <c r="E46" s="8">
        <f t="shared" si="2"/>
        <v>0.96</v>
      </c>
      <c r="H46" s="4" t="s">
        <v>36</v>
      </c>
      <c r="I46" s="4">
        <v>4</v>
      </c>
      <c r="J46" s="4">
        <v>0.24</v>
      </c>
      <c r="K46" s="8">
        <f t="shared" si="3"/>
        <v>0.96</v>
      </c>
    </row>
    <row r="47" spans="1:11" x14ac:dyDescent="0.3">
      <c r="E47" s="9">
        <f>SUM(E41:E46)</f>
        <v>112.81841999999999</v>
      </c>
      <c r="K47" s="9">
        <f>SUM(K41:K46)</f>
        <v>106.92046000000001</v>
      </c>
    </row>
    <row r="48" spans="1:11" x14ac:dyDescent="0.3">
      <c r="B48" s="4" t="s">
        <v>37</v>
      </c>
      <c r="C48" t="s">
        <v>320</v>
      </c>
      <c r="E48" s="8">
        <v>63.9</v>
      </c>
      <c r="H48" s="4" t="s">
        <v>37</v>
      </c>
      <c r="I48">
        <v>30</v>
      </c>
      <c r="J48">
        <v>1.41</v>
      </c>
      <c r="K48" s="8">
        <f>I48*J48</f>
        <v>42.3</v>
      </c>
    </row>
    <row r="49" spans="1:11" x14ac:dyDescent="0.3">
      <c r="E49" s="8">
        <f>SUM(E47:E48)</f>
        <v>176.71841999999998</v>
      </c>
      <c r="K49" s="8">
        <f>SUM(K47:K48)</f>
        <v>149.22046</v>
      </c>
    </row>
    <row r="50" spans="1:11" x14ac:dyDescent="0.3">
      <c r="E50" t="s">
        <v>486</v>
      </c>
    </row>
    <row r="52" spans="1:11" x14ac:dyDescent="0.3">
      <c r="C52" s="4" t="s">
        <v>28</v>
      </c>
      <c r="D52" s="4" t="s">
        <v>29</v>
      </c>
      <c r="E52" s="4" t="s">
        <v>30</v>
      </c>
    </row>
    <row r="53" spans="1:11" x14ac:dyDescent="0.3">
      <c r="A53" t="s">
        <v>81</v>
      </c>
      <c r="B53" s="4" t="s">
        <v>32</v>
      </c>
      <c r="C53" s="4">
        <v>2.6579999999999999</v>
      </c>
      <c r="D53" s="4">
        <v>19.89</v>
      </c>
      <c r="E53" s="8">
        <f t="shared" ref="E53:E58" si="4">C53*D53</f>
        <v>52.867620000000002</v>
      </c>
    </row>
    <row r="54" spans="1:11" x14ac:dyDescent="0.3">
      <c r="A54" t="s">
        <v>52</v>
      </c>
      <c r="B54" s="4" t="s">
        <v>33</v>
      </c>
      <c r="C54" s="4">
        <v>9.3550000000000004</v>
      </c>
      <c r="D54" s="4">
        <v>11.03</v>
      </c>
      <c r="E54" s="8">
        <f t="shared" si="4"/>
        <v>103.18565</v>
      </c>
    </row>
    <row r="55" spans="1:11" x14ac:dyDescent="0.3">
      <c r="A55" t="s">
        <v>455</v>
      </c>
      <c r="B55" s="4" t="s">
        <v>97</v>
      </c>
      <c r="C55" s="4">
        <v>2</v>
      </c>
      <c r="D55" s="4">
        <v>1.54</v>
      </c>
      <c r="E55" s="8">
        <f t="shared" si="4"/>
        <v>3.08</v>
      </c>
    </row>
    <row r="56" spans="1:11" x14ac:dyDescent="0.3">
      <c r="B56" s="4" t="s">
        <v>34</v>
      </c>
      <c r="C56" s="4">
        <v>0.2</v>
      </c>
      <c r="D56" s="4">
        <v>13.67</v>
      </c>
      <c r="E56" s="8">
        <f t="shared" si="4"/>
        <v>2.734</v>
      </c>
    </row>
    <row r="57" spans="1:11" x14ac:dyDescent="0.3">
      <c r="B57" s="4" t="s">
        <v>35</v>
      </c>
      <c r="C57" s="4">
        <v>4</v>
      </c>
      <c r="D57" s="4">
        <v>1.89</v>
      </c>
      <c r="E57" s="8">
        <f t="shared" si="4"/>
        <v>7.56</v>
      </c>
    </row>
    <row r="58" spans="1:11" x14ac:dyDescent="0.3">
      <c r="B58" s="4" t="s">
        <v>36</v>
      </c>
      <c r="C58" s="4">
        <v>4</v>
      </c>
      <c r="D58" s="4">
        <v>0.24</v>
      </c>
      <c r="E58" s="8">
        <f t="shared" si="4"/>
        <v>0.96</v>
      </c>
    </row>
    <row r="59" spans="1:11" x14ac:dyDescent="0.3">
      <c r="E59" s="9">
        <f>SUM(E53:E58)</f>
        <v>170.38727000000003</v>
      </c>
    </row>
    <row r="60" spans="1:11" x14ac:dyDescent="0.3">
      <c r="B60" s="4" t="s">
        <v>37</v>
      </c>
      <c r="C60">
        <v>30</v>
      </c>
      <c r="D60">
        <v>1.41</v>
      </c>
      <c r="E60" s="8">
        <f>C60*D60</f>
        <v>42.3</v>
      </c>
    </row>
    <row r="61" spans="1:11" x14ac:dyDescent="0.3">
      <c r="E61" s="8">
        <f>SUM(E59:E60)</f>
        <v>212.68727000000001</v>
      </c>
    </row>
    <row r="64" spans="1:11" x14ac:dyDescent="0.3">
      <c r="C64" s="4" t="s">
        <v>28</v>
      </c>
      <c r="D64" s="4" t="s">
        <v>29</v>
      </c>
      <c r="E64" s="4" t="s">
        <v>30</v>
      </c>
    </row>
    <row r="65" spans="1:5" x14ac:dyDescent="0.3">
      <c r="A65" t="s">
        <v>71</v>
      </c>
      <c r="B65" s="4" t="s">
        <v>32</v>
      </c>
      <c r="C65" s="4">
        <v>2.5529999999999999</v>
      </c>
      <c r="D65" s="4">
        <v>19.89</v>
      </c>
      <c r="E65" s="8">
        <f t="shared" ref="E65:E70" si="5">C65*D65</f>
        <v>50.779170000000001</v>
      </c>
    </row>
    <row r="66" spans="1:5" x14ac:dyDescent="0.3">
      <c r="A66" t="s">
        <v>63</v>
      </c>
      <c r="B66" s="4" t="s">
        <v>33</v>
      </c>
      <c r="C66" s="4">
        <v>6.2370000000000001</v>
      </c>
      <c r="D66" s="4">
        <v>11.03</v>
      </c>
      <c r="E66" s="8">
        <f t="shared" si="5"/>
        <v>68.794110000000003</v>
      </c>
    </row>
    <row r="67" spans="1:5" x14ac:dyDescent="0.3">
      <c r="B67" s="4" t="s">
        <v>84</v>
      </c>
      <c r="C67" s="4">
        <v>2</v>
      </c>
      <c r="D67" s="4">
        <v>1.36</v>
      </c>
      <c r="E67" s="8">
        <f t="shared" si="5"/>
        <v>2.72</v>
      </c>
    </row>
    <row r="68" spans="1:5" x14ac:dyDescent="0.3">
      <c r="B68" s="4" t="s">
        <v>34</v>
      </c>
      <c r="C68" s="4">
        <v>0.1</v>
      </c>
      <c r="D68" s="4">
        <v>13.67</v>
      </c>
      <c r="E68" s="8">
        <f t="shared" si="5"/>
        <v>1.367</v>
      </c>
    </row>
    <row r="69" spans="1:5" x14ac:dyDescent="0.3">
      <c r="B69" s="4" t="s">
        <v>35</v>
      </c>
      <c r="C69" s="4">
        <v>4</v>
      </c>
      <c r="D69" s="4">
        <v>1.89</v>
      </c>
      <c r="E69" s="8">
        <f t="shared" si="5"/>
        <v>7.56</v>
      </c>
    </row>
    <row r="70" spans="1:5" x14ac:dyDescent="0.3">
      <c r="B70" s="4" t="s">
        <v>36</v>
      </c>
      <c r="C70" s="4">
        <v>4</v>
      </c>
      <c r="D70" s="4">
        <v>0.24</v>
      </c>
      <c r="E70" s="8">
        <f t="shared" si="5"/>
        <v>0.96</v>
      </c>
    </row>
    <row r="71" spans="1:5" x14ac:dyDescent="0.3">
      <c r="E71" s="9">
        <f>SUM(E65:E70)</f>
        <v>132.18028000000001</v>
      </c>
    </row>
    <row r="72" spans="1:5" x14ac:dyDescent="0.3">
      <c r="B72" s="4" t="s">
        <v>37</v>
      </c>
      <c r="C72">
        <v>30</v>
      </c>
      <c r="D72">
        <v>1.41</v>
      </c>
      <c r="E72" s="8">
        <f>C72*D72</f>
        <v>42.3</v>
      </c>
    </row>
    <row r="73" spans="1:5" x14ac:dyDescent="0.3">
      <c r="E73" s="8">
        <f>SUM(E71:E72)</f>
        <v>174.48027999999999</v>
      </c>
    </row>
    <row r="76" spans="1:5" x14ac:dyDescent="0.3">
      <c r="C76" s="4" t="s">
        <v>28</v>
      </c>
      <c r="D76" s="4" t="s">
        <v>29</v>
      </c>
      <c r="E76" s="4" t="s">
        <v>30</v>
      </c>
    </row>
    <row r="77" spans="1:5" x14ac:dyDescent="0.3">
      <c r="A77" t="s">
        <v>81</v>
      </c>
      <c r="B77" s="4" t="s">
        <v>32</v>
      </c>
      <c r="C77" s="4">
        <v>2.786</v>
      </c>
      <c r="D77" s="4">
        <v>19.89</v>
      </c>
      <c r="E77" s="8">
        <f>C77*D77</f>
        <v>55.413540000000005</v>
      </c>
    </row>
    <row r="78" spans="1:5" x14ac:dyDescent="0.3">
      <c r="A78" t="s">
        <v>217</v>
      </c>
      <c r="B78" s="4" t="s">
        <v>33</v>
      </c>
      <c r="C78" s="4">
        <v>15.244999999999999</v>
      </c>
      <c r="D78" s="4">
        <v>10.86</v>
      </c>
      <c r="E78" s="8">
        <f>C78*D78</f>
        <v>165.56069999999997</v>
      </c>
    </row>
    <row r="79" spans="1:5" x14ac:dyDescent="0.3">
      <c r="A79" t="s">
        <v>457</v>
      </c>
      <c r="B79" s="4" t="s">
        <v>137</v>
      </c>
      <c r="C79" s="4">
        <v>0.1</v>
      </c>
      <c r="D79" s="4">
        <v>12.92</v>
      </c>
      <c r="E79" s="8">
        <f>C79*D79</f>
        <v>1.292</v>
      </c>
    </row>
    <row r="80" spans="1:5" x14ac:dyDescent="0.3">
      <c r="B80" s="4" t="s">
        <v>216</v>
      </c>
      <c r="C80" s="4">
        <v>4</v>
      </c>
      <c r="D80" s="4">
        <v>1.89</v>
      </c>
      <c r="E80" s="8">
        <f>C80*D80</f>
        <v>7.56</v>
      </c>
    </row>
    <row r="81" spans="1:5" x14ac:dyDescent="0.3">
      <c r="B81" s="4" t="s">
        <v>36</v>
      </c>
      <c r="C81" s="4">
        <v>4</v>
      </c>
      <c r="D81" s="4">
        <v>0.24</v>
      </c>
      <c r="E81" s="8">
        <f>C81*D81</f>
        <v>0.96</v>
      </c>
    </row>
    <row r="82" spans="1:5" x14ac:dyDescent="0.3">
      <c r="B82" s="4" t="s">
        <v>37</v>
      </c>
      <c r="C82">
        <v>85</v>
      </c>
      <c r="E82" s="8">
        <v>127.5</v>
      </c>
    </row>
    <row r="83" spans="1:5" x14ac:dyDescent="0.3">
      <c r="E83" s="8">
        <f>SUM(E77:E82)</f>
        <v>358.28624000000002</v>
      </c>
    </row>
    <row r="84" spans="1:5" x14ac:dyDescent="0.3">
      <c r="B84" s="4"/>
      <c r="E84" s="8"/>
    </row>
    <row r="85" spans="1:5" x14ac:dyDescent="0.3">
      <c r="E85" s="8"/>
    </row>
    <row r="87" spans="1:5" x14ac:dyDescent="0.3">
      <c r="C87" s="4" t="s">
        <v>28</v>
      </c>
      <c r="D87" s="4" t="s">
        <v>29</v>
      </c>
      <c r="E87" s="4" t="s">
        <v>30</v>
      </c>
    </row>
    <row r="88" spans="1:5" x14ac:dyDescent="0.3">
      <c r="A88" t="s">
        <v>504</v>
      </c>
      <c r="B88" s="4" t="s">
        <v>32</v>
      </c>
      <c r="C88" s="4">
        <v>5.1840000000000002</v>
      </c>
      <c r="D88" s="4">
        <v>19.89</v>
      </c>
      <c r="E88" s="8">
        <f t="shared" ref="E88:E93" si="6">C88*D88</f>
        <v>103.10976000000001</v>
      </c>
    </row>
    <row r="89" spans="1:5" x14ac:dyDescent="0.3">
      <c r="A89" t="s">
        <v>468</v>
      </c>
      <c r="B89" s="4" t="s">
        <v>33</v>
      </c>
      <c r="C89" s="4">
        <v>70.686000000000007</v>
      </c>
      <c r="D89" s="4">
        <v>11.03</v>
      </c>
      <c r="E89" s="8">
        <f t="shared" si="6"/>
        <v>779.66658000000007</v>
      </c>
    </row>
    <row r="90" spans="1:5" x14ac:dyDescent="0.3">
      <c r="A90" t="s">
        <v>455</v>
      </c>
      <c r="B90" s="4" t="s">
        <v>88</v>
      </c>
      <c r="C90" s="4">
        <v>4</v>
      </c>
      <c r="D90" s="4">
        <v>2.89</v>
      </c>
      <c r="E90" s="8">
        <f t="shared" si="6"/>
        <v>11.56</v>
      </c>
    </row>
    <row r="91" spans="1:5" x14ac:dyDescent="0.3">
      <c r="B91" s="4" t="s">
        <v>34</v>
      </c>
      <c r="C91" s="4">
        <v>3</v>
      </c>
      <c r="D91" s="4">
        <v>13.67</v>
      </c>
      <c r="E91" s="8">
        <f t="shared" si="6"/>
        <v>41.01</v>
      </c>
    </row>
    <row r="92" spans="1:5" x14ac:dyDescent="0.3">
      <c r="B92" s="4" t="s">
        <v>35</v>
      </c>
      <c r="C92" s="4">
        <v>8</v>
      </c>
      <c r="D92" s="4">
        <v>1.89</v>
      </c>
      <c r="E92" s="8">
        <f t="shared" si="6"/>
        <v>15.12</v>
      </c>
    </row>
    <row r="93" spans="1:5" x14ac:dyDescent="0.3">
      <c r="B93" s="4" t="s">
        <v>36</v>
      </c>
      <c r="C93" s="4">
        <v>4</v>
      </c>
      <c r="D93" s="4">
        <v>0.24</v>
      </c>
      <c r="E93" s="8">
        <f t="shared" si="6"/>
        <v>0.96</v>
      </c>
    </row>
    <row r="94" spans="1:5" x14ac:dyDescent="0.3">
      <c r="E94" s="9">
        <f>SUM(E88:E93)</f>
        <v>951.4263400000001</v>
      </c>
    </row>
    <row r="95" spans="1:5" x14ac:dyDescent="0.3">
      <c r="B95" s="4" t="s">
        <v>37</v>
      </c>
      <c r="C95" t="s">
        <v>506</v>
      </c>
      <c r="E95" s="8">
        <v>340</v>
      </c>
    </row>
    <row r="96" spans="1:5" x14ac:dyDescent="0.3">
      <c r="E96" s="8">
        <f>SUM(E94:E95)</f>
        <v>1291.42634</v>
      </c>
    </row>
    <row r="97" spans="1:5" x14ac:dyDescent="0.3">
      <c r="E97" t="s">
        <v>505</v>
      </c>
    </row>
    <row r="99" spans="1:5" x14ac:dyDescent="0.3">
      <c r="A99" t="s">
        <v>510</v>
      </c>
      <c r="C99" s="4" t="s">
        <v>28</v>
      </c>
      <c r="D99" s="4" t="s">
        <v>29</v>
      </c>
      <c r="E99" s="4" t="s">
        <v>30</v>
      </c>
    </row>
    <row r="100" spans="1:5" x14ac:dyDescent="0.3">
      <c r="A100" t="s">
        <v>511</v>
      </c>
      <c r="B100" s="4" t="s">
        <v>32</v>
      </c>
      <c r="C100" s="4">
        <v>4</v>
      </c>
      <c r="D100" s="4">
        <v>19.89</v>
      </c>
      <c r="E100" s="8">
        <f t="shared" ref="E100:E105" si="7">C100*D100</f>
        <v>79.56</v>
      </c>
    </row>
    <row r="101" spans="1:5" x14ac:dyDescent="0.3">
      <c r="A101" t="s">
        <v>201</v>
      </c>
      <c r="B101" s="4" t="s">
        <v>33</v>
      </c>
      <c r="C101" s="4"/>
      <c r="D101" s="4">
        <v>11.03</v>
      </c>
      <c r="E101" s="8">
        <f t="shared" si="7"/>
        <v>0</v>
      </c>
    </row>
    <row r="102" spans="1:5" x14ac:dyDescent="0.3">
      <c r="B102" s="4" t="s">
        <v>43</v>
      </c>
      <c r="C102" s="4"/>
      <c r="D102" s="4">
        <v>1.24</v>
      </c>
      <c r="E102" s="8">
        <f t="shared" si="7"/>
        <v>0</v>
      </c>
    </row>
    <row r="103" spans="1:5" x14ac:dyDescent="0.3">
      <c r="B103" s="4" t="s">
        <v>34</v>
      </c>
      <c r="C103" s="4"/>
      <c r="D103" s="4">
        <v>13.67</v>
      </c>
      <c r="E103" s="8">
        <f t="shared" si="7"/>
        <v>0</v>
      </c>
    </row>
    <row r="104" spans="1:5" x14ac:dyDescent="0.3">
      <c r="B104" s="4" t="s">
        <v>35</v>
      </c>
      <c r="C104" s="4"/>
      <c r="D104" s="4">
        <v>1.89</v>
      </c>
      <c r="E104" s="8">
        <f t="shared" si="7"/>
        <v>0</v>
      </c>
    </row>
    <row r="105" spans="1:5" x14ac:dyDescent="0.3">
      <c r="B105" s="4" t="s">
        <v>36</v>
      </c>
      <c r="C105" s="4">
        <v>4</v>
      </c>
      <c r="D105" s="4">
        <v>0.24</v>
      </c>
      <c r="E105" s="8">
        <f t="shared" si="7"/>
        <v>0.96</v>
      </c>
    </row>
    <row r="106" spans="1:5" x14ac:dyDescent="0.3">
      <c r="E106" s="9">
        <f>SUM(E100:E105)</f>
        <v>80.52</v>
      </c>
    </row>
    <row r="107" spans="1:5" x14ac:dyDescent="0.3">
      <c r="B107" s="4" t="s">
        <v>37</v>
      </c>
      <c r="C107">
        <v>30</v>
      </c>
      <c r="D107">
        <v>1.41</v>
      </c>
      <c r="E107" s="8">
        <v>63</v>
      </c>
    </row>
    <row r="108" spans="1:5" x14ac:dyDescent="0.3">
      <c r="E108" s="8">
        <f>SUM(E106:E107)</f>
        <v>143.51999999999998</v>
      </c>
    </row>
    <row r="111" spans="1:5" x14ac:dyDescent="0.3">
      <c r="A111" t="s">
        <v>510</v>
      </c>
      <c r="C111" s="4" t="s">
        <v>28</v>
      </c>
      <c r="D111" s="4" t="s">
        <v>29</v>
      </c>
      <c r="E111" s="4" t="s">
        <v>30</v>
      </c>
    </row>
    <row r="112" spans="1:5" x14ac:dyDescent="0.3">
      <c r="A112" t="s">
        <v>512</v>
      </c>
      <c r="B112" s="4" t="s">
        <v>32</v>
      </c>
      <c r="C112" s="4">
        <v>3.512</v>
      </c>
      <c r="D112" s="4">
        <v>19.89</v>
      </c>
      <c r="E112" s="8">
        <f t="shared" ref="E112:E117" si="8">C112*D112</f>
        <v>69.853679999999997</v>
      </c>
    </row>
    <row r="113" spans="1:5" x14ac:dyDescent="0.3">
      <c r="A113" t="s">
        <v>246</v>
      </c>
      <c r="B113" s="4" t="s">
        <v>33</v>
      </c>
      <c r="C113" s="4"/>
      <c r="D113" s="4">
        <v>11.03</v>
      </c>
      <c r="E113" s="8">
        <f t="shared" si="8"/>
        <v>0</v>
      </c>
    </row>
    <row r="114" spans="1:5" x14ac:dyDescent="0.3">
      <c r="B114" s="4" t="s">
        <v>43</v>
      </c>
      <c r="C114" s="4"/>
      <c r="D114" s="4">
        <v>1.24</v>
      </c>
      <c r="E114" s="8">
        <f t="shared" si="8"/>
        <v>0</v>
      </c>
    </row>
    <row r="115" spans="1:5" x14ac:dyDescent="0.3">
      <c r="B115" s="4" t="s">
        <v>34</v>
      </c>
      <c r="C115" s="4"/>
      <c r="D115" s="4">
        <v>13.67</v>
      </c>
      <c r="E115" s="8">
        <f t="shared" si="8"/>
        <v>0</v>
      </c>
    </row>
    <row r="116" spans="1:5" x14ac:dyDescent="0.3">
      <c r="B116" s="4" t="s">
        <v>35</v>
      </c>
      <c r="C116" s="4"/>
      <c r="D116" s="4">
        <v>1.89</v>
      </c>
      <c r="E116" s="8">
        <f t="shared" si="8"/>
        <v>0</v>
      </c>
    </row>
    <row r="117" spans="1:5" x14ac:dyDescent="0.3">
      <c r="B117" s="4" t="s">
        <v>36</v>
      </c>
      <c r="C117" s="4">
        <v>4</v>
      </c>
      <c r="D117" s="4">
        <v>0.24</v>
      </c>
      <c r="E117" s="8">
        <f t="shared" si="8"/>
        <v>0.96</v>
      </c>
    </row>
    <row r="118" spans="1:5" x14ac:dyDescent="0.3">
      <c r="E118" s="9">
        <f>SUM(E112:E117)</f>
        <v>70.813679999999991</v>
      </c>
    </row>
    <row r="119" spans="1:5" x14ac:dyDescent="0.3">
      <c r="B119" s="4" t="s">
        <v>37</v>
      </c>
      <c r="C119">
        <v>30</v>
      </c>
      <c r="D119">
        <v>1.41</v>
      </c>
      <c r="E119" s="8">
        <v>63</v>
      </c>
    </row>
    <row r="120" spans="1:5" x14ac:dyDescent="0.3">
      <c r="E120" s="8">
        <f>SUM(E118:E119)</f>
        <v>133.81367999999998</v>
      </c>
    </row>
    <row r="122" spans="1:5" x14ac:dyDescent="0.3">
      <c r="C122" s="4" t="s">
        <v>28</v>
      </c>
      <c r="D122" s="4" t="s">
        <v>29</v>
      </c>
      <c r="E122" s="4" t="s">
        <v>30</v>
      </c>
    </row>
    <row r="123" spans="1:5" x14ac:dyDescent="0.3">
      <c r="A123" t="s">
        <v>531</v>
      </c>
      <c r="B123" s="4" t="s">
        <v>32</v>
      </c>
      <c r="C123" s="4">
        <v>5.8659999999999997</v>
      </c>
      <c r="D123" s="4">
        <v>19.89</v>
      </c>
      <c r="E123" s="8">
        <f t="shared" ref="E123:E128" si="9">C123*D123</f>
        <v>116.67474</v>
      </c>
    </row>
    <row r="124" spans="1:5" x14ac:dyDescent="0.3">
      <c r="A124" t="s">
        <v>117</v>
      </c>
      <c r="B124" s="4" t="s">
        <v>33</v>
      </c>
      <c r="C124" s="4">
        <v>45.771000000000001</v>
      </c>
      <c r="D124" s="4">
        <v>11.03</v>
      </c>
      <c r="E124" s="8">
        <f t="shared" si="9"/>
        <v>504.85413</v>
      </c>
    </row>
    <row r="125" spans="1:5" x14ac:dyDescent="0.3">
      <c r="A125" t="s">
        <v>455</v>
      </c>
      <c r="B125" s="4" t="s">
        <v>97</v>
      </c>
      <c r="C125" s="4">
        <v>2</v>
      </c>
      <c r="D125" s="4">
        <v>2.57</v>
      </c>
      <c r="E125" s="8">
        <f t="shared" si="9"/>
        <v>5.14</v>
      </c>
    </row>
    <row r="126" spans="1:5" x14ac:dyDescent="0.3">
      <c r="A126" t="s">
        <v>532</v>
      </c>
      <c r="B126" s="4" t="s">
        <v>34</v>
      </c>
      <c r="C126" s="4">
        <v>2.4</v>
      </c>
      <c r="D126" s="4">
        <v>13.67</v>
      </c>
      <c r="E126" s="8">
        <f t="shared" si="9"/>
        <v>32.808</v>
      </c>
    </row>
    <row r="127" spans="1:5" x14ac:dyDescent="0.3">
      <c r="B127" s="4" t="s">
        <v>35</v>
      </c>
      <c r="C127" s="4">
        <v>4</v>
      </c>
      <c r="D127" s="4">
        <v>1.89</v>
      </c>
      <c r="E127" s="8">
        <f t="shared" si="9"/>
        <v>7.56</v>
      </c>
    </row>
    <row r="128" spans="1:5" x14ac:dyDescent="0.3">
      <c r="B128" s="4" t="s">
        <v>36</v>
      </c>
      <c r="C128" s="4">
        <v>4</v>
      </c>
      <c r="D128" s="4">
        <v>0.24</v>
      </c>
      <c r="E128" s="8">
        <f t="shared" si="9"/>
        <v>0.96</v>
      </c>
    </row>
    <row r="129" spans="1:5" x14ac:dyDescent="0.3">
      <c r="E129" s="9">
        <f>SUM(E123:E128)</f>
        <v>667.99686999999994</v>
      </c>
    </row>
    <row r="130" spans="1:5" x14ac:dyDescent="0.3">
      <c r="B130" s="4" t="s">
        <v>37</v>
      </c>
      <c r="C130">
        <v>240</v>
      </c>
      <c r="D130">
        <v>1.41</v>
      </c>
      <c r="E130" s="8">
        <f>C130*D130</f>
        <v>338.4</v>
      </c>
    </row>
    <row r="131" spans="1:5" x14ac:dyDescent="0.3">
      <c r="E131" s="8">
        <f>SUM(E129:E130)</f>
        <v>1006.3968699999999</v>
      </c>
    </row>
    <row r="134" spans="1:5" ht="21" x14ac:dyDescent="0.4">
      <c r="A134" s="40" t="s">
        <v>602</v>
      </c>
      <c r="B134" s="40"/>
      <c r="C134" s="84"/>
      <c r="D134" s="12"/>
      <c r="E134" s="12"/>
    </row>
    <row r="135" spans="1:5" ht="21" x14ac:dyDescent="0.4">
      <c r="A135" s="40"/>
      <c r="B135" s="40"/>
      <c r="C135" s="84"/>
      <c r="D135" s="12"/>
      <c r="E135" s="12"/>
    </row>
    <row r="136" spans="1:5" ht="18" x14ac:dyDescent="0.35">
      <c r="A136" s="5"/>
      <c r="B136" s="5"/>
      <c r="C136" s="7" t="s">
        <v>28</v>
      </c>
      <c r="D136" s="7" t="s">
        <v>29</v>
      </c>
      <c r="E136" s="7" t="s">
        <v>30</v>
      </c>
    </row>
    <row r="137" spans="1:5" ht="18" x14ac:dyDescent="0.35">
      <c r="A137" s="5" t="s">
        <v>104</v>
      </c>
      <c r="B137" s="50" t="s">
        <v>32</v>
      </c>
      <c r="C137" s="7">
        <v>1.8180000000000001</v>
      </c>
      <c r="D137" s="7">
        <v>42.29</v>
      </c>
      <c r="E137" s="85">
        <f t="shared" ref="E137:E144" si="10">C137*D137</f>
        <v>76.883219999999994</v>
      </c>
    </row>
    <row r="138" spans="1:5" ht="18" x14ac:dyDescent="0.35">
      <c r="A138" s="5" t="s">
        <v>53</v>
      </c>
      <c r="B138" s="50" t="s">
        <v>33</v>
      </c>
      <c r="C138" s="7">
        <v>7.2030000000000003</v>
      </c>
      <c r="D138" s="7">
        <v>16.09</v>
      </c>
      <c r="E138" s="85">
        <f t="shared" si="10"/>
        <v>115.89627</v>
      </c>
    </row>
    <row r="139" spans="1:5" ht="18" x14ac:dyDescent="0.35">
      <c r="A139" s="5" t="s">
        <v>55</v>
      </c>
      <c r="B139" s="50" t="s">
        <v>33</v>
      </c>
      <c r="C139" s="7">
        <v>7.3079999999999998</v>
      </c>
      <c r="D139" s="7">
        <v>16.09</v>
      </c>
      <c r="E139" s="85">
        <f t="shared" si="10"/>
        <v>117.58571999999999</v>
      </c>
    </row>
    <row r="140" spans="1:5" ht="18" x14ac:dyDescent="0.35">
      <c r="A140" s="5" t="s">
        <v>673</v>
      </c>
      <c r="B140" s="50" t="s">
        <v>90</v>
      </c>
      <c r="C140" s="7">
        <v>2</v>
      </c>
      <c r="D140" s="7">
        <v>1.7</v>
      </c>
      <c r="E140" s="85">
        <f t="shared" si="10"/>
        <v>3.4</v>
      </c>
    </row>
    <row r="141" spans="1:5" ht="18" x14ac:dyDescent="0.35">
      <c r="A141" s="5"/>
      <c r="B141" s="50" t="s">
        <v>88</v>
      </c>
      <c r="C141" s="88">
        <v>2</v>
      </c>
      <c r="D141" s="88">
        <v>2.2400000000000002</v>
      </c>
      <c r="E141" s="90">
        <f t="shared" si="10"/>
        <v>4.4800000000000004</v>
      </c>
    </row>
    <row r="142" spans="1:5" ht="18" x14ac:dyDescent="0.35">
      <c r="A142" s="5"/>
      <c r="B142" s="50" t="s">
        <v>34</v>
      </c>
      <c r="C142" s="7"/>
      <c r="D142" s="7"/>
      <c r="E142" s="85"/>
    </row>
    <row r="143" spans="1:5" ht="18" x14ac:dyDescent="0.35">
      <c r="A143" s="5"/>
      <c r="B143" s="50" t="s">
        <v>35</v>
      </c>
      <c r="C143" s="7">
        <v>4</v>
      </c>
      <c r="D143" s="7">
        <v>2.89</v>
      </c>
      <c r="E143" s="85">
        <f t="shared" si="10"/>
        <v>11.56</v>
      </c>
    </row>
    <row r="144" spans="1:5" ht="18" x14ac:dyDescent="0.35">
      <c r="A144" s="5"/>
      <c r="B144" s="50" t="s">
        <v>36</v>
      </c>
      <c r="C144" s="7">
        <v>4</v>
      </c>
      <c r="D144" s="7">
        <v>0.6</v>
      </c>
      <c r="E144" s="85">
        <f t="shared" si="10"/>
        <v>2.4</v>
      </c>
    </row>
    <row r="145" spans="1:5" ht="18" x14ac:dyDescent="0.35">
      <c r="A145" s="5"/>
      <c r="B145" s="5"/>
      <c r="C145" s="54"/>
      <c r="D145" s="54"/>
      <c r="E145" s="89">
        <f>SUM(E137:E144)</f>
        <v>332.20520999999997</v>
      </c>
    </row>
    <row r="146" spans="1:5" ht="18" x14ac:dyDescent="0.35">
      <c r="A146" s="5"/>
      <c r="B146" s="50" t="s">
        <v>37</v>
      </c>
      <c r="C146" s="54">
        <v>0.5</v>
      </c>
      <c r="D146" s="54">
        <v>131</v>
      </c>
      <c r="E146" s="85">
        <f>C146*D146</f>
        <v>65.5</v>
      </c>
    </row>
    <row r="147" spans="1:5" ht="18" x14ac:dyDescent="0.35">
      <c r="A147" s="5"/>
      <c r="B147" s="5"/>
      <c r="C147" s="54"/>
      <c r="D147" s="54"/>
      <c r="E147" s="85">
        <f>SUM(E145:E146)</f>
        <v>397.70520999999997</v>
      </c>
    </row>
    <row r="150" spans="1:5" ht="21" x14ac:dyDescent="0.4">
      <c r="A150" s="40" t="s">
        <v>602</v>
      </c>
      <c r="B150" s="40"/>
      <c r="C150" s="84"/>
      <c r="D150" s="12"/>
      <c r="E150" s="12"/>
    </row>
    <row r="151" spans="1:5" ht="21" x14ac:dyDescent="0.4">
      <c r="A151" s="40"/>
      <c r="B151" s="40"/>
      <c r="C151" s="84"/>
      <c r="D151" s="12"/>
      <c r="E151" s="12"/>
    </row>
    <row r="152" spans="1:5" ht="18" x14ac:dyDescent="0.35">
      <c r="A152" s="5"/>
      <c r="B152" s="5"/>
      <c r="C152" s="7" t="s">
        <v>28</v>
      </c>
      <c r="D152" s="7" t="s">
        <v>29</v>
      </c>
      <c r="E152" s="7" t="s">
        <v>30</v>
      </c>
    </row>
    <row r="153" spans="1:5" ht="18" x14ac:dyDescent="0.35">
      <c r="A153" s="5" t="s">
        <v>75</v>
      </c>
      <c r="B153" s="50" t="s">
        <v>32</v>
      </c>
      <c r="C153" s="7">
        <v>1.3979999999999999</v>
      </c>
      <c r="D153" s="7">
        <v>42.29</v>
      </c>
      <c r="E153" s="85">
        <f>C153*D153</f>
        <v>59.121419999999993</v>
      </c>
    </row>
    <row r="154" spans="1:5" ht="18" x14ac:dyDescent="0.35">
      <c r="A154" s="5" t="s">
        <v>52</v>
      </c>
      <c r="B154" s="50" t="s">
        <v>33</v>
      </c>
      <c r="C154" s="7">
        <v>3.6850000000000001</v>
      </c>
      <c r="D154" s="7">
        <v>16.09</v>
      </c>
      <c r="E154" s="85">
        <f>C154*D154</f>
        <v>59.291649999999997</v>
      </c>
    </row>
    <row r="155" spans="1:5" ht="18" x14ac:dyDescent="0.35">
      <c r="A155" s="5" t="s">
        <v>54</v>
      </c>
      <c r="B155" s="50" t="s">
        <v>33</v>
      </c>
      <c r="C155" s="7">
        <v>3.79</v>
      </c>
      <c r="D155" s="7">
        <v>16.09</v>
      </c>
      <c r="E155" s="85">
        <f>C155*D155</f>
        <v>60.981099999999998</v>
      </c>
    </row>
    <row r="156" spans="1:5" ht="18" x14ac:dyDescent="0.35">
      <c r="A156" s="5" t="s">
        <v>674</v>
      </c>
      <c r="B156" s="50" t="s">
        <v>97</v>
      </c>
      <c r="C156" s="7">
        <v>2</v>
      </c>
      <c r="D156" s="7">
        <v>1.48</v>
      </c>
      <c r="E156" s="85">
        <f>C156*D156</f>
        <v>2.96</v>
      </c>
    </row>
    <row r="157" spans="1:5" ht="18" x14ac:dyDescent="0.35">
      <c r="A157" s="5"/>
      <c r="B157" s="50" t="s">
        <v>128</v>
      </c>
      <c r="C157" s="88">
        <v>2</v>
      </c>
      <c r="D157" s="88">
        <v>1.81</v>
      </c>
      <c r="E157" s="90">
        <f>C157*D157</f>
        <v>3.62</v>
      </c>
    </row>
    <row r="158" spans="1:5" ht="18" x14ac:dyDescent="0.35">
      <c r="A158" s="5"/>
      <c r="B158" s="50" t="s">
        <v>34</v>
      </c>
      <c r="C158" s="7"/>
      <c r="D158" s="7">
        <v>1</v>
      </c>
      <c r="E158" s="85"/>
    </row>
    <row r="159" spans="1:5" ht="18" x14ac:dyDescent="0.35">
      <c r="A159" s="5"/>
      <c r="B159" s="50" t="s">
        <v>35</v>
      </c>
      <c r="C159" s="7">
        <v>4</v>
      </c>
      <c r="D159" s="7">
        <v>2.89</v>
      </c>
      <c r="E159" s="85">
        <f>C159*D159</f>
        <v>11.56</v>
      </c>
    </row>
    <row r="160" spans="1:5" ht="18" x14ac:dyDescent="0.35">
      <c r="A160" s="5"/>
      <c r="B160" s="50" t="s">
        <v>36</v>
      </c>
      <c r="C160" s="7">
        <v>4</v>
      </c>
      <c r="D160" s="7">
        <v>0.6</v>
      </c>
      <c r="E160" s="85">
        <f>C160*D160</f>
        <v>2.4</v>
      </c>
    </row>
    <row r="161" spans="1:5" ht="18" x14ac:dyDescent="0.35">
      <c r="A161" s="5"/>
      <c r="B161" s="5"/>
      <c r="C161" s="54"/>
      <c r="D161" s="54"/>
      <c r="E161" s="89">
        <f>SUM(E153:E160)</f>
        <v>199.93416999999999</v>
      </c>
    </row>
    <row r="162" spans="1:5" ht="18" x14ac:dyDescent="0.35">
      <c r="A162" s="5"/>
      <c r="B162" s="50" t="s">
        <v>37</v>
      </c>
      <c r="C162" s="54">
        <v>0.5</v>
      </c>
      <c r="D162" s="54">
        <v>131</v>
      </c>
      <c r="E162" s="85">
        <f>C162*D162</f>
        <v>65.5</v>
      </c>
    </row>
    <row r="163" spans="1:5" ht="18" x14ac:dyDescent="0.35">
      <c r="A163" s="5"/>
      <c r="B163" s="5"/>
      <c r="C163" s="54"/>
      <c r="D163" s="54"/>
      <c r="E163" s="85">
        <f>SUM(E161:E162)</f>
        <v>265.43416999999999</v>
      </c>
    </row>
    <row r="166" spans="1:5" ht="21" x14ac:dyDescent="0.4">
      <c r="A166" s="40" t="s">
        <v>602</v>
      </c>
      <c r="B166" s="40"/>
      <c r="C166" s="84"/>
      <c r="D166" s="12"/>
      <c r="E166" s="12"/>
    </row>
    <row r="167" spans="1:5" ht="21" x14ac:dyDescent="0.4">
      <c r="A167" s="40"/>
      <c r="B167" s="40"/>
      <c r="C167" s="84"/>
      <c r="D167" s="12"/>
      <c r="E167" s="12"/>
    </row>
    <row r="168" spans="1:5" ht="18" x14ac:dyDescent="0.35">
      <c r="A168" s="5"/>
      <c r="B168" s="5"/>
      <c r="C168" s="7" t="s">
        <v>28</v>
      </c>
      <c r="D168" s="7" t="s">
        <v>29</v>
      </c>
      <c r="E168" s="7" t="s">
        <v>30</v>
      </c>
    </row>
    <row r="169" spans="1:5" ht="18" x14ac:dyDescent="0.35">
      <c r="A169" s="5" t="s">
        <v>358</v>
      </c>
      <c r="B169" s="50" t="s">
        <v>32</v>
      </c>
      <c r="C169" s="7">
        <v>3.9180000000000001</v>
      </c>
      <c r="D169" s="7">
        <v>42.29</v>
      </c>
      <c r="E169" s="85">
        <f t="shared" ref="E169:E174" si="11">C169*D169</f>
        <v>165.69221999999999</v>
      </c>
    </row>
    <row r="170" spans="1:5" ht="18" x14ac:dyDescent="0.35">
      <c r="A170" s="5" t="s">
        <v>1020</v>
      </c>
      <c r="B170" s="50" t="s">
        <v>33</v>
      </c>
      <c r="C170" s="7">
        <v>39.500999999999998</v>
      </c>
      <c r="D170" s="7">
        <v>16.09</v>
      </c>
      <c r="E170" s="85">
        <f t="shared" si="11"/>
        <v>635.57108999999991</v>
      </c>
    </row>
    <row r="171" spans="1:5" ht="18" x14ac:dyDescent="0.35">
      <c r="A171" s="5" t="s">
        <v>310</v>
      </c>
      <c r="B171" s="50" t="s">
        <v>33</v>
      </c>
      <c r="C171" s="7">
        <v>41.475000000000001</v>
      </c>
      <c r="D171" s="7">
        <v>16.09</v>
      </c>
      <c r="E171" s="85">
        <f t="shared" si="11"/>
        <v>667.33275000000003</v>
      </c>
    </row>
    <row r="172" spans="1:5" ht="18" x14ac:dyDescent="0.35">
      <c r="A172" s="5" t="s">
        <v>1021</v>
      </c>
      <c r="B172" s="50" t="s">
        <v>128</v>
      </c>
      <c r="C172" s="7">
        <v>4</v>
      </c>
      <c r="D172" s="7">
        <v>1.81</v>
      </c>
      <c r="E172" s="85">
        <f t="shared" si="11"/>
        <v>7.24</v>
      </c>
    </row>
    <row r="173" spans="1:5" ht="18" x14ac:dyDescent="0.35">
      <c r="A173" s="5"/>
      <c r="B173" s="50" t="s">
        <v>88</v>
      </c>
      <c r="C173" s="88">
        <v>4</v>
      </c>
      <c r="D173" s="88">
        <v>2.2400000000000002</v>
      </c>
      <c r="E173" s="90">
        <f t="shared" si="11"/>
        <v>8.9600000000000009</v>
      </c>
    </row>
    <row r="174" spans="1:5" ht="18" x14ac:dyDescent="0.35">
      <c r="A174" s="5"/>
      <c r="B174" s="50" t="s">
        <v>34</v>
      </c>
      <c r="C174" s="7">
        <v>1.68</v>
      </c>
      <c r="D174" s="7">
        <v>13.67</v>
      </c>
      <c r="E174" s="85">
        <f t="shared" si="11"/>
        <v>22.965599999999998</v>
      </c>
    </row>
    <row r="175" spans="1:5" ht="18" x14ac:dyDescent="0.35">
      <c r="A175" s="5"/>
      <c r="B175" s="50" t="s">
        <v>35</v>
      </c>
      <c r="C175" s="7">
        <v>4</v>
      </c>
      <c r="D175" s="7">
        <v>2.89</v>
      </c>
      <c r="E175" s="85">
        <f>C175*D175</f>
        <v>11.56</v>
      </c>
    </row>
    <row r="176" spans="1:5" ht="18" x14ac:dyDescent="0.35">
      <c r="A176" s="5"/>
      <c r="B176" s="50" t="s">
        <v>36</v>
      </c>
      <c r="C176" s="7">
        <v>4</v>
      </c>
      <c r="D176" s="7">
        <v>0.6</v>
      </c>
      <c r="E176" s="85">
        <f>C176*D176</f>
        <v>2.4</v>
      </c>
    </row>
    <row r="177" spans="1:5" ht="18" x14ac:dyDescent="0.35">
      <c r="A177" s="5"/>
      <c r="B177" s="5"/>
      <c r="C177" s="54"/>
      <c r="D177" s="54"/>
      <c r="E177" s="89">
        <f>SUM(E169:E176)</f>
        <v>1521.7216599999999</v>
      </c>
    </row>
    <row r="178" spans="1:5" ht="18" x14ac:dyDescent="0.35">
      <c r="A178" s="5"/>
      <c r="B178" s="50" t="s">
        <v>37</v>
      </c>
      <c r="C178" s="54">
        <v>4</v>
      </c>
      <c r="D178" s="54">
        <v>131</v>
      </c>
      <c r="E178" s="85">
        <f>C178*D178</f>
        <v>524</v>
      </c>
    </row>
    <row r="179" spans="1:5" ht="18" x14ac:dyDescent="0.35">
      <c r="A179" s="5"/>
      <c r="B179" s="5"/>
      <c r="C179" s="54"/>
      <c r="D179" s="54"/>
      <c r="E179" s="85">
        <f>SUM(E177:E178)</f>
        <v>2045.7216599999999</v>
      </c>
    </row>
    <row r="180" spans="1:5" x14ac:dyDescent="0.3">
      <c r="A180" t="s">
        <v>1178</v>
      </c>
    </row>
    <row r="181" spans="1:5" ht="21" x14ac:dyDescent="0.4">
      <c r="A181" s="40" t="s">
        <v>1179</v>
      </c>
      <c r="B181" s="40"/>
      <c r="C181" s="40"/>
      <c r="D181" s="12"/>
      <c r="E181" s="12"/>
    </row>
    <row r="182" spans="1:5" ht="18" x14ac:dyDescent="0.35">
      <c r="A182" s="5"/>
      <c r="B182" s="5"/>
      <c r="C182" s="7" t="s">
        <v>28</v>
      </c>
      <c r="D182" s="7" t="s">
        <v>29</v>
      </c>
      <c r="E182" s="7" t="s">
        <v>30</v>
      </c>
    </row>
    <row r="183" spans="1:5" ht="18" x14ac:dyDescent="0.35">
      <c r="A183" s="5" t="s">
        <v>40</v>
      </c>
      <c r="B183" s="50" t="s">
        <v>32</v>
      </c>
      <c r="C183" s="7">
        <v>1.1879999999999999</v>
      </c>
      <c r="D183" s="7">
        <v>29.12</v>
      </c>
      <c r="E183" s="85">
        <f>C183*D183</f>
        <v>34.594560000000001</v>
      </c>
    </row>
    <row r="184" spans="1:5" ht="18" x14ac:dyDescent="0.35">
      <c r="A184" s="5" t="s">
        <v>63</v>
      </c>
      <c r="B184" s="50" t="s">
        <v>33</v>
      </c>
      <c r="C184" s="7">
        <v>2.4569999999999999</v>
      </c>
      <c r="D184" s="7">
        <v>15.25</v>
      </c>
      <c r="E184" s="85">
        <f>C184*D184</f>
        <v>37.469249999999995</v>
      </c>
    </row>
    <row r="185" spans="1:5" ht="18" x14ac:dyDescent="0.35">
      <c r="A185" s="5" t="s">
        <v>777</v>
      </c>
      <c r="B185" s="50" t="s">
        <v>137</v>
      </c>
      <c r="C185" s="7">
        <v>0.2</v>
      </c>
      <c r="D185" s="7">
        <v>17.190000000000001</v>
      </c>
      <c r="E185" s="85">
        <f>C185*D185</f>
        <v>3.4380000000000006</v>
      </c>
    </row>
    <row r="186" spans="1:5" ht="18" x14ac:dyDescent="0.35">
      <c r="A186" s="5" t="s">
        <v>1121</v>
      </c>
      <c r="B186" s="50" t="s">
        <v>35</v>
      </c>
      <c r="C186" s="7">
        <v>4</v>
      </c>
      <c r="D186" s="7">
        <v>2.91</v>
      </c>
      <c r="E186" s="85">
        <f>C186*D186</f>
        <v>11.64</v>
      </c>
    </row>
    <row r="187" spans="1:5" ht="18" x14ac:dyDescent="0.35">
      <c r="A187" s="5"/>
      <c r="B187" s="50" t="s">
        <v>36</v>
      </c>
      <c r="C187" s="7">
        <v>4</v>
      </c>
      <c r="D187" s="7">
        <v>0.61</v>
      </c>
      <c r="E187" s="85">
        <f>C187*D187</f>
        <v>2.44</v>
      </c>
    </row>
    <row r="188" spans="1:5" ht="18" x14ac:dyDescent="0.35">
      <c r="A188" s="5"/>
      <c r="B188" s="96"/>
      <c r="C188" s="87"/>
      <c r="D188" s="87"/>
      <c r="E188" s="94">
        <f>SUM(E183:E187)</f>
        <v>89.58180999999999</v>
      </c>
    </row>
    <row r="189" spans="1:5" ht="18" x14ac:dyDescent="0.35">
      <c r="A189" s="5"/>
      <c r="B189" s="96"/>
      <c r="C189" s="87"/>
      <c r="D189" s="87" t="s">
        <v>1161</v>
      </c>
      <c r="E189" s="94">
        <f>E188+E188*30%</f>
        <v>116.45635299999998</v>
      </c>
    </row>
    <row r="190" spans="1:5" ht="18" x14ac:dyDescent="0.35">
      <c r="A190" s="5"/>
      <c r="B190" s="50" t="s">
        <v>37</v>
      </c>
      <c r="C190" s="7">
        <v>0.4</v>
      </c>
      <c r="D190" s="93">
        <v>200</v>
      </c>
      <c r="E190" s="85">
        <f>C190*D190</f>
        <v>80</v>
      </c>
    </row>
    <row r="191" spans="1:5" ht="18" x14ac:dyDescent="0.35">
      <c r="D191" s="12" t="s">
        <v>1083</v>
      </c>
      <c r="E191" s="109">
        <f>SUM(E189:E190)</f>
        <v>196.45635299999998</v>
      </c>
    </row>
    <row r="195" spans="1:5" x14ac:dyDescent="0.3">
      <c r="A195" t="s">
        <v>1178</v>
      </c>
    </row>
    <row r="196" spans="1:5" ht="21" x14ac:dyDescent="0.4">
      <c r="A196" s="40" t="s">
        <v>1180</v>
      </c>
      <c r="B196" s="40"/>
      <c r="C196" s="40"/>
      <c r="D196" s="12"/>
      <c r="E196" s="12"/>
    </row>
    <row r="197" spans="1:5" ht="18" x14ac:dyDescent="0.35">
      <c r="A197" s="5"/>
      <c r="B197" s="5"/>
      <c r="C197" s="7" t="s">
        <v>28</v>
      </c>
      <c r="D197" s="7" t="s">
        <v>29</v>
      </c>
      <c r="E197" s="7" t="s">
        <v>30</v>
      </c>
    </row>
    <row r="198" spans="1:5" ht="18" x14ac:dyDescent="0.35">
      <c r="A198" s="5" t="s">
        <v>40</v>
      </c>
      <c r="B198" s="50" t="s">
        <v>32</v>
      </c>
      <c r="C198" s="7">
        <v>1.1879999999999999</v>
      </c>
      <c r="D198" s="7">
        <v>30.44</v>
      </c>
      <c r="E198" s="85">
        <f>C198*D198</f>
        <v>36.16272</v>
      </c>
    </row>
    <row r="199" spans="1:5" ht="18" x14ac:dyDescent="0.35">
      <c r="A199" s="5" t="s">
        <v>63</v>
      </c>
      <c r="B199" s="50" t="s">
        <v>33</v>
      </c>
      <c r="C199" s="7">
        <v>2.4569999999999999</v>
      </c>
      <c r="D199" s="7">
        <v>17.059999999999999</v>
      </c>
      <c r="E199" s="85">
        <f>C199*D199</f>
        <v>41.916419999999995</v>
      </c>
    </row>
    <row r="200" spans="1:5" ht="18" x14ac:dyDescent="0.35">
      <c r="A200" s="5" t="s">
        <v>777</v>
      </c>
      <c r="B200" s="50" t="s">
        <v>137</v>
      </c>
      <c r="C200" s="7">
        <v>0.2</v>
      </c>
      <c r="D200" s="7">
        <v>17.190000000000001</v>
      </c>
      <c r="E200" s="85">
        <f>C200*D200</f>
        <v>3.4380000000000006</v>
      </c>
    </row>
    <row r="201" spans="1:5" ht="18" x14ac:dyDescent="0.35">
      <c r="A201" s="5" t="s">
        <v>1121</v>
      </c>
      <c r="B201" s="50" t="s">
        <v>35</v>
      </c>
      <c r="C201" s="7">
        <v>4</v>
      </c>
      <c r="D201" s="7">
        <v>2.91</v>
      </c>
      <c r="E201" s="85">
        <f>C201*D201</f>
        <v>11.64</v>
      </c>
    </row>
    <row r="202" spans="1:5" ht="18" x14ac:dyDescent="0.35">
      <c r="A202" s="5"/>
      <c r="B202" s="50" t="s">
        <v>36</v>
      </c>
      <c r="C202" s="7">
        <v>4</v>
      </c>
      <c r="D202" s="7">
        <v>0.61</v>
      </c>
      <c r="E202" s="85">
        <f>C202*D202</f>
        <v>2.44</v>
      </c>
    </row>
    <row r="203" spans="1:5" ht="18" x14ac:dyDescent="0.35">
      <c r="A203" s="5"/>
      <c r="B203" s="96"/>
      <c r="C203" s="87"/>
      <c r="D203" s="87"/>
      <c r="E203" s="94">
        <f>SUM(E198:E202)</f>
        <v>95.597139999999996</v>
      </c>
    </row>
    <row r="204" spans="1:5" ht="18" x14ac:dyDescent="0.35">
      <c r="A204" s="5"/>
      <c r="B204" s="96"/>
      <c r="C204" s="87"/>
      <c r="D204" s="87" t="s">
        <v>1161</v>
      </c>
      <c r="E204" s="94">
        <f>E203+E203*30%</f>
        <v>124.27628199999999</v>
      </c>
    </row>
    <row r="205" spans="1:5" ht="18" x14ac:dyDescent="0.35">
      <c r="A205" s="5"/>
      <c r="B205" s="50" t="s">
        <v>37</v>
      </c>
      <c r="C205" s="7">
        <v>0.4</v>
      </c>
      <c r="D205" s="93">
        <v>200</v>
      </c>
      <c r="E205" s="85">
        <f>C205*D205</f>
        <v>80</v>
      </c>
    </row>
    <row r="206" spans="1:5" ht="18" x14ac:dyDescent="0.35">
      <c r="D206" s="12" t="s">
        <v>1083</v>
      </c>
      <c r="E206" s="109">
        <f>SUM(E204:E205)</f>
        <v>204.27628199999998</v>
      </c>
    </row>
  </sheetData>
  <pageMargins left="0.7" right="0.7" top="0.75" bottom="0.75" header="0.3" footer="0.3"/>
  <pageSetup paperSize="9" orientation="portrait" horizontalDpi="0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7030A0"/>
  </sheetPr>
  <dimension ref="A3:I197"/>
  <sheetViews>
    <sheetView topLeftCell="A34" workbookViewId="0">
      <selection activeCell="D196" sqref="D196"/>
    </sheetView>
  </sheetViews>
  <sheetFormatPr baseColWidth="10" defaultRowHeight="14.4" x14ac:dyDescent="0.3"/>
  <cols>
    <col min="1" max="1" width="21.109375" customWidth="1"/>
    <col min="2" max="2" width="15.5546875" customWidth="1"/>
    <col min="4" max="4" width="17" customWidth="1"/>
  </cols>
  <sheetData>
    <row r="3" spans="1:9" x14ac:dyDescent="0.3">
      <c r="A3" t="s">
        <v>587</v>
      </c>
    </row>
    <row r="4" spans="1:9" x14ac:dyDescent="0.3">
      <c r="G4" s="152">
        <v>300</v>
      </c>
      <c r="H4" s="152"/>
    </row>
    <row r="5" spans="1:9" x14ac:dyDescent="0.3">
      <c r="C5" s="4" t="s">
        <v>28</v>
      </c>
      <c r="D5" s="4" t="s">
        <v>29</v>
      </c>
      <c r="E5" s="4" t="s">
        <v>30</v>
      </c>
      <c r="G5" s="77"/>
      <c r="H5" s="78"/>
    </row>
    <row r="6" spans="1:9" x14ac:dyDescent="0.3">
      <c r="A6" t="s">
        <v>588</v>
      </c>
      <c r="B6" s="4" t="s">
        <v>32</v>
      </c>
      <c r="C6" s="4">
        <v>2.2799999999999998</v>
      </c>
      <c r="D6" s="4">
        <v>19.38</v>
      </c>
      <c r="E6" s="8">
        <f t="shared" ref="E6:E11" si="0">C6*D6</f>
        <v>44.186399999999992</v>
      </c>
      <c r="G6" s="77"/>
      <c r="H6" s="78"/>
    </row>
    <row r="7" spans="1:9" x14ac:dyDescent="0.3">
      <c r="A7" t="s">
        <v>591</v>
      </c>
      <c r="B7" s="4" t="s">
        <v>33</v>
      </c>
      <c r="C7" s="4">
        <v>10.526999999999999</v>
      </c>
      <c r="D7" s="4">
        <v>9.83</v>
      </c>
      <c r="E7" s="8">
        <f t="shared" si="0"/>
        <v>103.48040999999999</v>
      </c>
      <c r="G7" s="77"/>
      <c r="H7" s="78"/>
    </row>
    <row r="8" spans="1:9" x14ac:dyDescent="0.3">
      <c r="A8" t="s">
        <v>589</v>
      </c>
      <c r="B8" s="4" t="s">
        <v>42</v>
      </c>
      <c r="C8" s="4">
        <v>4</v>
      </c>
      <c r="D8" s="4">
        <v>3.97</v>
      </c>
      <c r="E8" s="8">
        <f t="shared" si="0"/>
        <v>15.88</v>
      </c>
      <c r="G8" s="77"/>
      <c r="H8" s="78"/>
      <c r="I8" s="12">
        <v>670</v>
      </c>
    </row>
    <row r="9" spans="1:9" x14ac:dyDescent="0.3">
      <c r="B9" s="4" t="s">
        <v>34</v>
      </c>
      <c r="C9" s="4">
        <v>0.74</v>
      </c>
      <c r="D9" s="4">
        <v>13.67</v>
      </c>
      <c r="E9" s="8">
        <f t="shared" si="0"/>
        <v>10.1158</v>
      </c>
      <c r="G9" s="77"/>
      <c r="H9" s="78"/>
    </row>
    <row r="10" spans="1:9" x14ac:dyDescent="0.3">
      <c r="B10" s="4" t="s">
        <v>35</v>
      </c>
      <c r="C10" s="4">
        <v>4</v>
      </c>
      <c r="D10" s="4">
        <v>1.89</v>
      </c>
      <c r="E10" s="8">
        <f t="shared" si="0"/>
        <v>7.56</v>
      </c>
      <c r="G10" s="77"/>
      <c r="H10" s="78"/>
    </row>
    <row r="11" spans="1:9" x14ac:dyDescent="0.3">
      <c r="B11" s="4" t="s">
        <v>36</v>
      </c>
      <c r="C11" s="4">
        <v>4</v>
      </c>
      <c r="D11" s="4">
        <v>0.24</v>
      </c>
      <c r="E11" s="8">
        <f t="shared" si="0"/>
        <v>0.96</v>
      </c>
      <c r="G11" s="77"/>
      <c r="H11" s="78"/>
    </row>
    <row r="12" spans="1:9" x14ac:dyDescent="0.3">
      <c r="E12" s="8">
        <f>SUM(E6:E11)</f>
        <v>182.18261000000001</v>
      </c>
      <c r="G12" s="75"/>
      <c r="H12" s="76"/>
    </row>
    <row r="13" spans="1:9" x14ac:dyDescent="0.3">
      <c r="B13" s="4" t="s">
        <v>37</v>
      </c>
      <c r="C13">
        <v>1</v>
      </c>
      <c r="D13">
        <v>94.63</v>
      </c>
      <c r="E13" s="8">
        <f>C13*D13</f>
        <v>94.63</v>
      </c>
    </row>
    <row r="14" spans="1:9" x14ac:dyDescent="0.3">
      <c r="E14" s="8">
        <f>SUM(E12:E13)</f>
        <v>276.81261000000001</v>
      </c>
    </row>
    <row r="18" spans="1:5" x14ac:dyDescent="0.3">
      <c r="C18" s="4" t="s">
        <v>28</v>
      </c>
      <c r="D18" s="4" t="s">
        <v>29</v>
      </c>
      <c r="E18" s="4" t="s">
        <v>30</v>
      </c>
    </row>
    <row r="19" spans="1:5" x14ac:dyDescent="0.3">
      <c r="A19" t="s">
        <v>590</v>
      </c>
      <c r="B19" s="4" t="s">
        <v>32</v>
      </c>
      <c r="C19" s="4">
        <v>2.456</v>
      </c>
      <c r="D19" s="4">
        <v>19.38</v>
      </c>
      <c r="E19" s="8">
        <f t="shared" ref="E19:E24" si="1">C19*D19</f>
        <v>47.597279999999998</v>
      </c>
    </row>
    <row r="20" spans="1:5" x14ac:dyDescent="0.3">
      <c r="A20" t="s">
        <v>345</v>
      </c>
      <c r="B20" s="4" t="s">
        <v>33</v>
      </c>
      <c r="C20" s="4">
        <v>15.015000000000001</v>
      </c>
      <c r="D20" s="4">
        <v>9.83</v>
      </c>
      <c r="E20" s="8">
        <f t="shared" si="1"/>
        <v>147.59745000000001</v>
      </c>
    </row>
    <row r="21" spans="1:5" x14ac:dyDescent="0.3">
      <c r="A21" t="s">
        <v>592</v>
      </c>
      <c r="B21" s="4" t="s">
        <v>42</v>
      </c>
      <c r="C21" s="4">
        <v>4</v>
      </c>
      <c r="D21" s="4">
        <v>3.97</v>
      </c>
      <c r="E21" s="8">
        <f t="shared" si="1"/>
        <v>15.88</v>
      </c>
    </row>
    <row r="22" spans="1:5" x14ac:dyDescent="0.3">
      <c r="B22" s="4" t="s">
        <v>34</v>
      </c>
      <c r="C22" s="4">
        <v>0.74</v>
      </c>
      <c r="D22" s="4">
        <v>13.67</v>
      </c>
      <c r="E22" s="8">
        <f t="shared" si="1"/>
        <v>10.1158</v>
      </c>
    </row>
    <row r="23" spans="1:5" x14ac:dyDescent="0.3">
      <c r="B23" s="4" t="s">
        <v>35</v>
      </c>
      <c r="C23" s="4">
        <v>4</v>
      </c>
      <c r="D23" s="4">
        <v>1.89</v>
      </c>
      <c r="E23" s="8">
        <f t="shared" si="1"/>
        <v>7.56</v>
      </c>
    </row>
    <row r="24" spans="1:5" x14ac:dyDescent="0.3">
      <c r="B24" s="4" t="s">
        <v>36</v>
      </c>
      <c r="C24" s="4">
        <v>4</v>
      </c>
      <c r="D24" s="4">
        <v>0.24</v>
      </c>
      <c r="E24" s="8">
        <f t="shared" si="1"/>
        <v>0.96</v>
      </c>
    </row>
    <row r="25" spans="1:5" x14ac:dyDescent="0.3">
      <c r="E25" s="8">
        <f>SUM(E19:E24)</f>
        <v>229.71053000000001</v>
      </c>
    </row>
    <row r="26" spans="1:5" x14ac:dyDescent="0.3">
      <c r="B26" s="4" t="s">
        <v>37</v>
      </c>
      <c r="C26">
        <v>1</v>
      </c>
      <c r="D26">
        <v>94.63</v>
      </c>
      <c r="E26" s="8">
        <f>C26*D26</f>
        <v>94.63</v>
      </c>
    </row>
    <row r="27" spans="1:5" x14ac:dyDescent="0.3">
      <c r="E27" s="8">
        <f>SUM(E25:E26)</f>
        <v>324.34053</v>
      </c>
    </row>
    <row r="29" spans="1:5" x14ac:dyDescent="0.3">
      <c r="A29" t="s">
        <v>655</v>
      </c>
    </row>
    <row r="31" spans="1:5" x14ac:dyDescent="0.3">
      <c r="C31" s="4" t="s">
        <v>28</v>
      </c>
      <c r="D31" s="4" t="s">
        <v>29</v>
      </c>
      <c r="E31" s="4" t="s">
        <v>30</v>
      </c>
    </row>
    <row r="32" spans="1:5" x14ac:dyDescent="0.3">
      <c r="A32" t="s">
        <v>652</v>
      </c>
      <c r="B32" s="4" t="s">
        <v>32</v>
      </c>
      <c r="C32" s="4">
        <v>0.80500000000000005</v>
      </c>
      <c r="D32" s="4">
        <v>42.29</v>
      </c>
      <c r="E32" s="8">
        <f t="shared" ref="E32:E38" si="2">C32*D32</f>
        <v>34.04345</v>
      </c>
    </row>
    <row r="33" spans="1:5" x14ac:dyDescent="0.3">
      <c r="A33" t="s">
        <v>653</v>
      </c>
      <c r="B33" s="4" t="s">
        <v>33</v>
      </c>
      <c r="C33" s="4">
        <v>47.481000000000002</v>
      </c>
      <c r="D33" s="4">
        <v>16.09</v>
      </c>
      <c r="E33" s="8">
        <f t="shared" si="2"/>
        <v>763.96929</v>
      </c>
    </row>
    <row r="34" spans="1:5" x14ac:dyDescent="0.3">
      <c r="A34" t="s">
        <v>654</v>
      </c>
      <c r="B34" s="4" t="s">
        <v>113</v>
      </c>
      <c r="C34" s="4">
        <v>5</v>
      </c>
      <c r="D34" s="4">
        <v>2.2400000000000002</v>
      </c>
      <c r="E34" s="8">
        <f t="shared" si="2"/>
        <v>11.200000000000001</v>
      </c>
    </row>
    <row r="35" spans="1:5" x14ac:dyDescent="0.3">
      <c r="B35" s="4" t="s">
        <v>85</v>
      </c>
      <c r="C35" s="4">
        <v>2</v>
      </c>
      <c r="D35" s="4">
        <v>1.48</v>
      </c>
      <c r="E35" s="8">
        <f t="shared" si="2"/>
        <v>2.96</v>
      </c>
    </row>
    <row r="36" spans="1:5" x14ac:dyDescent="0.3">
      <c r="B36" s="4" t="s">
        <v>34</v>
      </c>
      <c r="C36" s="4">
        <v>3</v>
      </c>
      <c r="D36" s="4">
        <v>13.67</v>
      </c>
      <c r="E36" s="8">
        <f t="shared" si="2"/>
        <v>41.01</v>
      </c>
    </row>
    <row r="37" spans="1:5" x14ac:dyDescent="0.3">
      <c r="B37" s="4" t="s">
        <v>35</v>
      </c>
      <c r="C37" s="4">
        <v>8</v>
      </c>
      <c r="D37" s="4">
        <v>1.89</v>
      </c>
      <c r="E37" s="8">
        <f t="shared" si="2"/>
        <v>15.12</v>
      </c>
    </row>
    <row r="38" spans="1:5" x14ac:dyDescent="0.3">
      <c r="B38" s="4" t="s">
        <v>36</v>
      </c>
      <c r="C38" s="4">
        <v>4</v>
      </c>
      <c r="D38" s="4">
        <v>0.24</v>
      </c>
      <c r="E38" s="8">
        <f t="shared" si="2"/>
        <v>0.96</v>
      </c>
    </row>
    <row r="39" spans="1:5" x14ac:dyDescent="0.3">
      <c r="E39" s="8">
        <f>SUM(E32:E38)</f>
        <v>869.26274000000012</v>
      </c>
    </row>
    <row r="40" spans="1:5" x14ac:dyDescent="0.3">
      <c r="B40" s="4" t="s">
        <v>37</v>
      </c>
      <c r="C40">
        <v>12</v>
      </c>
      <c r="D40">
        <v>94.63</v>
      </c>
      <c r="E40" s="8">
        <f>C40*D40</f>
        <v>1135.56</v>
      </c>
    </row>
    <row r="41" spans="1:5" x14ac:dyDescent="0.3">
      <c r="E41" s="8">
        <f>SUM(E39:E40)</f>
        <v>2004.8227400000001</v>
      </c>
    </row>
    <row r="43" spans="1:5" x14ac:dyDescent="0.3">
      <c r="A43" t="s">
        <v>656</v>
      </c>
    </row>
    <row r="45" spans="1:5" x14ac:dyDescent="0.3">
      <c r="C45" s="4" t="s">
        <v>28</v>
      </c>
      <c r="D45" s="4" t="s">
        <v>29</v>
      </c>
      <c r="E45" s="4" t="s">
        <v>30</v>
      </c>
    </row>
    <row r="46" spans="1:5" x14ac:dyDescent="0.3">
      <c r="A46" t="s">
        <v>652</v>
      </c>
      <c r="B46" s="4" t="s">
        <v>32</v>
      </c>
      <c r="C46" s="4">
        <v>0.80500000000000005</v>
      </c>
      <c r="D46" s="4">
        <v>42.29</v>
      </c>
      <c r="E46" s="8">
        <f>C46*D46</f>
        <v>34.04345</v>
      </c>
    </row>
    <row r="47" spans="1:5" x14ac:dyDescent="0.3">
      <c r="A47" t="s">
        <v>653</v>
      </c>
      <c r="B47" s="4" t="s">
        <v>33</v>
      </c>
      <c r="C47" s="4">
        <v>47.481000000000002</v>
      </c>
      <c r="D47" s="4">
        <v>16</v>
      </c>
      <c r="E47" s="8">
        <f>C47*D47</f>
        <v>759.69600000000003</v>
      </c>
    </row>
    <row r="48" spans="1:5" x14ac:dyDescent="0.3">
      <c r="A48" t="s">
        <v>648</v>
      </c>
      <c r="B48" s="4" t="s">
        <v>33</v>
      </c>
      <c r="C48" s="4">
        <v>53.664999999999999</v>
      </c>
      <c r="D48" s="4">
        <v>16</v>
      </c>
      <c r="E48" s="8">
        <f>C48*D48</f>
        <v>858.64</v>
      </c>
    </row>
    <row r="49" spans="1:5" x14ac:dyDescent="0.3">
      <c r="A49" t="s">
        <v>654</v>
      </c>
      <c r="B49" s="4" t="s">
        <v>113</v>
      </c>
      <c r="C49" s="4">
        <v>5</v>
      </c>
      <c r="D49" s="4">
        <v>2.2400000000000002</v>
      </c>
      <c r="E49" s="8">
        <f t="shared" ref="E49:E54" si="3">C49*D49</f>
        <v>11.200000000000001</v>
      </c>
    </row>
    <row r="50" spans="1:5" x14ac:dyDescent="0.3">
      <c r="B50" s="4" t="s">
        <v>85</v>
      </c>
      <c r="C50" s="4">
        <v>2</v>
      </c>
      <c r="D50" s="4">
        <v>1.48</v>
      </c>
      <c r="E50" s="8">
        <f t="shared" si="3"/>
        <v>2.96</v>
      </c>
    </row>
    <row r="51" spans="1:5" x14ac:dyDescent="0.3">
      <c r="B51" s="4" t="s">
        <v>657</v>
      </c>
      <c r="C51" s="4">
        <v>2</v>
      </c>
      <c r="D51" s="4">
        <v>1.7</v>
      </c>
      <c r="E51" s="8">
        <f t="shared" si="3"/>
        <v>3.4</v>
      </c>
    </row>
    <row r="52" spans="1:5" x14ac:dyDescent="0.3">
      <c r="B52" s="4" t="s">
        <v>34</v>
      </c>
      <c r="C52" s="4">
        <v>3</v>
      </c>
      <c r="D52" s="4">
        <v>13.67</v>
      </c>
      <c r="E52" s="8">
        <f t="shared" si="3"/>
        <v>41.01</v>
      </c>
    </row>
    <row r="53" spans="1:5" x14ac:dyDescent="0.3">
      <c r="B53" s="4" t="s">
        <v>35</v>
      </c>
      <c r="C53" s="4">
        <v>8</v>
      </c>
      <c r="D53" s="4">
        <v>1.89</v>
      </c>
      <c r="E53" s="8">
        <f t="shared" si="3"/>
        <v>15.12</v>
      </c>
    </row>
    <row r="54" spans="1:5" x14ac:dyDescent="0.3">
      <c r="B54" s="4" t="s">
        <v>36</v>
      </c>
      <c r="C54" s="4">
        <v>4</v>
      </c>
      <c r="D54" s="4">
        <v>0.24</v>
      </c>
      <c r="E54" s="8">
        <f t="shared" si="3"/>
        <v>0.96</v>
      </c>
    </row>
    <row r="55" spans="1:5" x14ac:dyDescent="0.3">
      <c r="E55" s="8">
        <f>SUM(E46:E54)</f>
        <v>1727.02945</v>
      </c>
    </row>
    <row r="56" spans="1:5" x14ac:dyDescent="0.3">
      <c r="B56" s="4" t="s">
        <v>37</v>
      </c>
      <c r="C56">
        <v>16</v>
      </c>
      <c r="D56">
        <v>94.63</v>
      </c>
      <c r="E56" s="8">
        <f>C56*D56</f>
        <v>1514.08</v>
      </c>
    </row>
    <row r="57" spans="1:5" x14ac:dyDescent="0.3">
      <c r="E57" s="8">
        <f>SUM(E55:E56)</f>
        <v>3241.1094499999999</v>
      </c>
    </row>
    <row r="60" spans="1:5" ht="21" x14ac:dyDescent="0.4">
      <c r="A60" s="40" t="s">
        <v>691</v>
      </c>
      <c r="B60" s="40"/>
      <c r="C60" s="40"/>
      <c r="D60" s="12"/>
      <c r="E60" s="12"/>
    </row>
    <row r="61" spans="1:5" ht="18" x14ac:dyDescent="0.35">
      <c r="A61" s="5"/>
      <c r="B61" s="5"/>
      <c r="C61" s="7" t="s">
        <v>28</v>
      </c>
      <c r="D61" s="7" t="s">
        <v>29</v>
      </c>
      <c r="E61" s="7" t="s">
        <v>30</v>
      </c>
    </row>
    <row r="62" spans="1:5" ht="18" x14ac:dyDescent="0.35">
      <c r="A62" s="5" t="s">
        <v>688</v>
      </c>
      <c r="B62" s="50" t="s">
        <v>32</v>
      </c>
      <c r="C62" s="7">
        <v>2.028</v>
      </c>
      <c r="D62" s="7">
        <v>30.29</v>
      </c>
      <c r="E62" s="85">
        <f t="shared" ref="E62:E67" si="4">C62*D62</f>
        <v>61.42812</v>
      </c>
    </row>
    <row r="63" spans="1:5" ht="18" x14ac:dyDescent="0.35">
      <c r="A63" s="5" t="s">
        <v>321</v>
      </c>
      <c r="B63" s="50" t="s">
        <v>33</v>
      </c>
      <c r="C63" s="7">
        <v>13.702</v>
      </c>
      <c r="D63" s="7">
        <v>16</v>
      </c>
      <c r="E63" s="85">
        <f t="shared" si="4"/>
        <v>219.232</v>
      </c>
    </row>
    <row r="64" spans="1:5" ht="18" x14ac:dyDescent="0.35">
      <c r="A64" s="5" t="s">
        <v>427</v>
      </c>
      <c r="B64" s="50" t="s">
        <v>137</v>
      </c>
      <c r="C64" s="7">
        <v>0.66</v>
      </c>
      <c r="D64" s="7">
        <v>17.190000000000001</v>
      </c>
      <c r="E64" s="85">
        <f t="shared" si="4"/>
        <v>11.345400000000001</v>
      </c>
    </row>
    <row r="65" spans="1:5" ht="18" x14ac:dyDescent="0.35">
      <c r="A65" s="5"/>
      <c r="B65" s="50" t="s">
        <v>35</v>
      </c>
      <c r="C65" s="7">
        <v>4</v>
      </c>
      <c r="D65" s="7">
        <v>2.89</v>
      </c>
      <c r="E65" s="85">
        <f t="shared" si="4"/>
        <v>11.56</v>
      </c>
    </row>
    <row r="66" spans="1:5" ht="18" x14ac:dyDescent="0.35">
      <c r="A66" s="5"/>
      <c r="B66" s="50" t="s">
        <v>36</v>
      </c>
      <c r="C66" s="7">
        <v>4</v>
      </c>
      <c r="D66" s="7">
        <v>0.6</v>
      </c>
      <c r="E66" s="85">
        <f t="shared" si="4"/>
        <v>2.4</v>
      </c>
    </row>
    <row r="67" spans="1:5" ht="18" x14ac:dyDescent="0.35">
      <c r="A67" s="5"/>
      <c r="B67" s="50" t="s">
        <v>37</v>
      </c>
      <c r="C67" s="54">
        <v>2</v>
      </c>
      <c r="D67" s="86">
        <v>131</v>
      </c>
      <c r="E67" s="85">
        <f t="shared" si="4"/>
        <v>262</v>
      </c>
    </row>
    <row r="68" spans="1:5" ht="18" x14ac:dyDescent="0.35">
      <c r="A68" s="5"/>
      <c r="B68" s="5"/>
      <c r="C68" s="54"/>
      <c r="D68" s="54"/>
      <c r="E68" s="85">
        <f>SUM(E62:E67)</f>
        <v>567.96551999999997</v>
      </c>
    </row>
    <row r="71" spans="1:5" ht="21" x14ac:dyDescent="0.4">
      <c r="A71" s="40" t="s">
        <v>690</v>
      </c>
      <c r="B71" s="40"/>
      <c r="C71" s="40"/>
      <c r="D71" s="12"/>
      <c r="E71" s="12"/>
    </row>
    <row r="72" spans="1:5" ht="18" x14ac:dyDescent="0.35">
      <c r="A72" s="5"/>
      <c r="B72" s="5"/>
      <c r="C72" s="7" t="s">
        <v>28</v>
      </c>
      <c r="D72" s="7" t="s">
        <v>29</v>
      </c>
      <c r="E72" s="7" t="s">
        <v>30</v>
      </c>
    </row>
    <row r="73" spans="1:5" ht="18" x14ac:dyDescent="0.35">
      <c r="A73" s="5" t="s">
        <v>689</v>
      </c>
      <c r="B73" s="50" t="s">
        <v>32</v>
      </c>
      <c r="C73" s="7">
        <v>2.028</v>
      </c>
      <c r="D73" s="7">
        <v>30.29</v>
      </c>
      <c r="E73" s="85">
        <f t="shared" ref="E73:E78" si="5">C73*D73</f>
        <v>61.42812</v>
      </c>
    </row>
    <row r="74" spans="1:5" ht="18" x14ac:dyDescent="0.35">
      <c r="A74" s="5" t="s">
        <v>624</v>
      </c>
      <c r="B74" s="50" t="s">
        <v>33</v>
      </c>
      <c r="C74" s="7">
        <v>11.266</v>
      </c>
      <c r="D74" s="7">
        <v>16</v>
      </c>
      <c r="E74" s="85">
        <f t="shared" si="5"/>
        <v>180.256</v>
      </c>
    </row>
    <row r="75" spans="1:5" ht="18" x14ac:dyDescent="0.35">
      <c r="A75" s="5" t="s">
        <v>427</v>
      </c>
      <c r="B75" s="50" t="s">
        <v>137</v>
      </c>
      <c r="C75" s="7">
        <v>0.52500000000000002</v>
      </c>
      <c r="D75" s="7">
        <v>17.190000000000001</v>
      </c>
      <c r="E75" s="85">
        <f t="shared" si="5"/>
        <v>9.0247500000000009</v>
      </c>
    </row>
    <row r="76" spans="1:5" ht="18" x14ac:dyDescent="0.35">
      <c r="A76" s="5"/>
      <c r="B76" s="50" t="s">
        <v>35</v>
      </c>
      <c r="C76" s="7">
        <v>4</v>
      </c>
      <c r="D76" s="7">
        <v>2.89</v>
      </c>
      <c r="E76" s="85">
        <f t="shared" si="5"/>
        <v>11.56</v>
      </c>
    </row>
    <row r="77" spans="1:5" ht="18" x14ac:dyDescent="0.35">
      <c r="A77" s="5"/>
      <c r="B77" s="50" t="s">
        <v>36</v>
      </c>
      <c r="C77" s="7">
        <v>4</v>
      </c>
      <c r="D77" s="7">
        <v>0.6</v>
      </c>
      <c r="E77" s="85">
        <f t="shared" si="5"/>
        <v>2.4</v>
      </c>
    </row>
    <row r="78" spans="1:5" ht="18" x14ac:dyDescent="0.35">
      <c r="A78" s="5"/>
      <c r="B78" s="50" t="s">
        <v>37</v>
      </c>
      <c r="C78" s="54">
        <v>2</v>
      </c>
      <c r="D78" s="86">
        <v>131</v>
      </c>
      <c r="E78" s="85">
        <f t="shared" si="5"/>
        <v>262</v>
      </c>
    </row>
    <row r="79" spans="1:5" ht="18" x14ac:dyDescent="0.35">
      <c r="A79" s="5"/>
      <c r="B79" s="5"/>
      <c r="C79" s="54"/>
      <c r="D79" s="54"/>
      <c r="E79" s="85">
        <f>SUM(E73:E78)</f>
        <v>526.66886999999997</v>
      </c>
    </row>
    <row r="82" spans="1:5" ht="21" x14ac:dyDescent="0.4">
      <c r="A82" s="40" t="s">
        <v>602</v>
      </c>
      <c r="B82" s="40"/>
      <c r="C82" s="84"/>
      <c r="D82" s="12"/>
      <c r="E82" s="12"/>
    </row>
    <row r="83" spans="1:5" ht="21" x14ac:dyDescent="0.4">
      <c r="A83" s="40"/>
      <c r="B83" s="40"/>
      <c r="C83" s="84"/>
      <c r="D83" s="12"/>
      <c r="E83" s="12"/>
    </row>
    <row r="84" spans="1:5" ht="18" x14ac:dyDescent="0.35">
      <c r="A84" s="5"/>
      <c r="B84" s="5"/>
      <c r="C84" s="7" t="s">
        <v>28</v>
      </c>
      <c r="D84" s="7" t="s">
        <v>29</v>
      </c>
      <c r="E84" s="7" t="s">
        <v>30</v>
      </c>
    </row>
    <row r="85" spans="1:5" ht="18" x14ac:dyDescent="0.35">
      <c r="A85" s="5" t="s">
        <v>697</v>
      </c>
      <c r="B85" s="50" t="s">
        <v>32</v>
      </c>
      <c r="C85" s="7">
        <v>2.238</v>
      </c>
      <c r="D85" s="7">
        <v>42.29</v>
      </c>
      <c r="E85" s="85">
        <f t="shared" ref="E85:E92" si="6">C85*D85</f>
        <v>94.645020000000002</v>
      </c>
    </row>
    <row r="86" spans="1:5" ht="18" x14ac:dyDescent="0.35">
      <c r="A86" s="5" t="s">
        <v>168</v>
      </c>
      <c r="B86" s="50" t="s">
        <v>33</v>
      </c>
      <c r="C86" s="7">
        <v>11.875</v>
      </c>
      <c r="D86" s="7">
        <v>16.09</v>
      </c>
      <c r="E86" s="85">
        <f t="shared" si="6"/>
        <v>191.06874999999999</v>
      </c>
    </row>
    <row r="87" spans="1:5" ht="18" x14ac:dyDescent="0.35">
      <c r="A87" s="5" t="s">
        <v>54</v>
      </c>
      <c r="B87" s="50" t="s">
        <v>33</v>
      </c>
      <c r="C87" s="7">
        <v>11.77</v>
      </c>
      <c r="D87" s="7">
        <v>16.09</v>
      </c>
      <c r="E87" s="85">
        <f t="shared" si="6"/>
        <v>189.3793</v>
      </c>
    </row>
    <row r="88" spans="1:5" ht="18" x14ac:dyDescent="0.35">
      <c r="A88" s="5" t="s">
        <v>431</v>
      </c>
      <c r="B88" s="50" t="s">
        <v>89</v>
      </c>
      <c r="C88" s="7">
        <v>2</v>
      </c>
      <c r="D88" s="7">
        <v>3.48</v>
      </c>
      <c r="E88" s="85">
        <f t="shared" si="6"/>
        <v>6.96</v>
      </c>
    </row>
    <row r="89" spans="1:5" ht="18" x14ac:dyDescent="0.35">
      <c r="A89" s="5"/>
      <c r="B89" s="50" t="s">
        <v>128</v>
      </c>
      <c r="C89" s="88">
        <v>2</v>
      </c>
      <c r="D89" s="88">
        <v>1.81</v>
      </c>
      <c r="E89" s="90">
        <f t="shared" si="6"/>
        <v>3.62</v>
      </c>
    </row>
    <row r="90" spans="1:5" ht="18" x14ac:dyDescent="0.35">
      <c r="A90" s="5"/>
      <c r="B90" s="50" t="s">
        <v>34</v>
      </c>
      <c r="C90" s="7">
        <v>0.64</v>
      </c>
      <c r="D90" s="7">
        <v>13.67</v>
      </c>
      <c r="E90" s="85">
        <f t="shared" si="6"/>
        <v>8.748800000000001</v>
      </c>
    </row>
    <row r="91" spans="1:5" ht="18" x14ac:dyDescent="0.35">
      <c r="A91" s="5"/>
      <c r="B91" s="50" t="s">
        <v>35</v>
      </c>
      <c r="C91" s="7">
        <v>4</v>
      </c>
      <c r="D91" s="7">
        <v>2.89</v>
      </c>
      <c r="E91" s="85">
        <f t="shared" si="6"/>
        <v>11.56</v>
      </c>
    </row>
    <row r="92" spans="1:5" ht="18" x14ac:dyDescent="0.35">
      <c r="A92" s="5"/>
      <c r="B92" s="50" t="s">
        <v>36</v>
      </c>
      <c r="C92" s="7">
        <v>4</v>
      </c>
      <c r="D92" s="7">
        <v>0.6</v>
      </c>
      <c r="E92" s="85">
        <f t="shared" si="6"/>
        <v>2.4</v>
      </c>
    </row>
    <row r="93" spans="1:5" ht="18" x14ac:dyDescent="0.35">
      <c r="A93" s="5"/>
      <c r="B93" s="5"/>
      <c r="C93" s="54"/>
      <c r="D93" s="54"/>
      <c r="E93" s="89">
        <f>SUM(E85:E92)</f>
        <v>508.38186999999999</v>
      </c>
    </row>
    <row r="94" spans="1:5" ht="18" x14ac:dyDescent="0.35">
      <c r="A94" s="5"/>
      <c r="B94" s="50" t="s">
        <v>37</v>
      </c>
      <c r="C94" s="54">
        <v>1</v>
      </c>
      <c r="D94" s="54">
        <v>131</v>
      </c>
      <c r="E94" s="85">
        <f>C94*D94</f>
        <v>131</v>
      </c>
    </row>
    <row r="96" spans="1:5" ht="18" x14ac:dyDescent="0.35">
      <c r="E96" s="85">
        <f>SUM(E93:E94)</f>
        <v>639.38186999999994</v>
      </c>
    </row>
    <row r="99" spans="1:5" ht="21" x14ac:dyDescent="0.4">
      <c r="A99" s="40" t="s">
        <v>602</v>
      </c>
      <c r="B99" s="40"/>
      <c r="C99" s="84"/>
      <c r="D99" s="12"/>
      <c r="E99" s="12"/>
    </row>
    <row r="100" spans="1:5" ht="21" x14ac:dyDescent="0.4">
      <c r="A100" s="40"/>
      <c r="B100" s="40"/>
      <c r="C100" s="84"/>
      <c r="D100" s="12"/>
      <c r="E100" s="12"/>
    </row>
    <row r="101" spans="1:5" ht="18" x14ac:dyDescent="0.35">
      <c r="A101" s="5"/>
      <c r="B101" s="5"/>
      <c r="C101" s="7" t="s">
        <v>28</v>
      </c>
      <c r="D101" s="7" t="s">
        <v>29</v>
      </c>
      <c r="E101" s="7" t="s">
        <v>30</v>
      </c>
    </row>
    <row r="102" spans="1:5" ht="18" x14ac:dyDescent="0.35">
      <c r="A102" s="5" t="s">
        <v>698</v>
      </c>
      <c r="B102" s="50" t="s">
        <v>32</v>
      </c>
      <c r="C102" s="7">
        <v>1.6930000000000001</v>
      </c>
      <c r="D102" s="7">
        <v>42.29</v>
      </c>
      <c r="E102" s="85">
        <f t="shared" ref="E102:E109" si="7">C102*D102</f>
        <v>71.596969999999999</v>
      </c>
    </row>
    <row r="103" spans="1:5" ht="18" x14ac:dyDescent="0.35">
      <c r="A103" s="5" t="s">
        <v>52</v>
      </c>
      <c r="B103" s="50" t="s">
        <v>33</v>
      </c>
      <c r="C103" s="7">
        <v>5.008</v>
      </c>
      <c r="D103" s="7">
        <v>16.09</v>
      </c>
      <c r="E103" s="85">
        <f t="shared" si="7"/>
        <v>80.578720000000004</v>
      </c>
    </row>
    <row r="104" spans="1:5" ht="18" x14ac:dyDescent="0.35">
      <c r="A104" s="5" t="s">
        <v>699</v>
      </c>
      <c r="B104" s="50" t="s">
        <v>33</v>
      </c>
      <c r="C104" s="7">
        <v>5.1870000000000003</v>
      </c>
      <c r="D104" s="7">
        <v>16.09</v>
      </c>
      <c r="E104" s="85">
        <f t="shared" si="7"/>
        <v>83.458830000000006</v>
      </c>
    </row>
    <row r="105" spans="1:5" ht="18" x14ac:dyDescent="0.35">
      <c r="A105" s="5" t="s">
        <v>431</v>
      </c>
      <c r="B105" s="50" t="s">
        <v>97</v>
      </c>
      <c r="C105" s="7">
        <v>2</v>
      </c>
      <c r="D105" s="7">
        <v>1.48</v>
      </c>
      <c r="E105" s="85">
        <f t="shared" si="7"/>
        <v>2.96</v>
      </c>
    </row>
    <row r="106" spans="1:5" ht="18" x14ac:dyDescent="0.35">
      <c r="A106" s="5"/>
      <c r="B106" s="50" t="s">
        <v>700</v>
      </c>
      <c r="C106" s="88">
        <v>2</v>
      </c>
      <c r="D106" s="88">
        <v>2.2400000000000002</v>
      </c>
      <c r="E106" s="90">
        <f t="shared" si="7"/>
        <v>4.4800000000000004</v>
      </c>
    </row>
    <row r="107" spans="1:5" ht="18" x14ac:dyDescent="0.35">
      <c r="A107" s="5"/>
      <c r="B107" s="50" t="s">
        <v>34</v>
      </c>
      <c r="C107" s="7">
        <v>0.2</v>
      </c>
      <c r="D107" s="7">
        <v>13.67</v>
      </c>
      <c r="E107" s="85">
        <f t="shared" si="7"/>
        <v>2.734</v>
      </c>
    </row>
    <row r="108" spans="1:5" ht="18" x14ac:dyDescent="0.35">
      <c r="A108" s="5"/>
      <c r="B108" s="50" t="s">
        <v>35</v>
      </c>
      <c r="C108" s="7">
        <v>4</v>
      </c>
      <c r="D108" s="7">
        <v>2.89</v>
      </c>
      <c r="E108" s="85">
        <f t="shared" si="7"/>
        <v>11.56</v>
      </c>
    </row>
    <row r="109" spans="1:5" ht="18" x14ac:dyDescent="0.35">
      <c r="A109" s="5"/>
      <c r="B109" s="50" t="s">
        <v>36</v>
      </c>
      <c r="C109" s="7">
        <v>4</v>
      </c>
      <c r="D109" s="7">
        <v>0.6</v>
      </c>
      <c r="E109" s="85">
        <f t="shared" si="7"/>
        <v>2.4</v>
      </c>
    </row>
    <row r="110" spans="1:5" ht="18" x14ac:dyDescent="0.35">
      <c r="A110" s="5"/>
      <c r="B110" s="5"/>
      <c r="C110" s="54"/>
      <c r="D110" s="54"/>
      <c r="E110" s="89">
        <f>SUM(E102:E109)</f>
        <v>259.76851999999997</v>
      </c>
    </row>
    <row r="111" spans="1:5" ht="18" x14ac:dyDescent="0.35">
      <c r="A111" s="5"/>
      <c r="B111" s="50" t="s">
        <v>37</v>
      </c>
      <c r="C111" s="54">
        <v>1</v>
      </c>
      <c r="D111" s="54">
        <v>131</v>
      </c>
      <c r="E111" s="85">
        <f>C111*D111</f>
        <v>131</v>
      </c>
    </row>
    <row r="113" spans="1:5" ht="18" x14ac:dyDescent="0.35">
      <c r="E113" s="85">
        <f>SUM(E110:E111)</f>
        <v>390.76851999999997</v>
      </c>
    </row>
    <row r="115" spans="1:5" x14ac:dyDescent="0.3">
      <c r="A115" t="s">
        <v>655</v>
      </c>
    </row>
    <row r="117" spans="1:5" x14ac:dyDescent="0.3">
      <c r="C117" s="4" t="s">
        <v>28</v>
      </c>
      <c r="D117" s="4" t="s">
        <v>29</v>
      </c>
      <c r="E117" s="4" t="s">
        <v>30</v>
      </c>
    </row>
    <row r="118" spans="1:5" x14ac:dyDescent="0.3">
      <c r="A118" t="s">
        <v>698</v>
      </c>
      <c r="B118" s="4" t="s">
        <v>32</v>
      </c>
      <c r="C118" s="4">
        <v>1.6930000000000001</v>
      </c>
      <c r="D118" s="4">
        <v>30.29</v>
      </c>
      <c r="E118" s="8">
        <f t="shared" ref="E118:E123" si="8">C118*D118</f>
        <v>51.280970000000003</v>
      </c>
    </row>
    <row r="119" spans="1:5" x14ac:dyDescent="0.3">
      <c r="A119" t="s">
        <v>52</v>
      </c>
      <c r="B119" s="4" t="s">
        <v>33</v>
      </c>
      <c r="C119" s="4">
        <v>5.008</v>
      </c>
      <c r="D119" s="4">
        <v>16.09</v>
      </c>
      <c r="E119" s="8">
        <f t="shared" si="8"/>
        <v>80.578720000000004</v>
      </c>
    </row>
    <row r="120" spans="1:5" x14ac:dyDescent="0.3">
      <c r="A120" t="s">
        <v>701</v>
      </c>
      <c r="B120" s="4" t="s">
        <v>85</v>
      </c>
      <c r="C120" s="4">
        <v>2</v>
      </c>
      <c r="D120" s="4">
        <v>1.48</v>
      </c>
      <c r="E120" s="8">
        <f t="shared" si="8"/>
        <v>2.96</v>
      </c>
    </row>
    <row r="121" spans="1:5" x14ac:dyDescent="0.3">
      <c r="B121" s="4" t="s">
        <v>34</v>
      </c>
      <c r="C121" s="4">
        <v>0.2</v>
      </c>
      <c r="D121" s="4">
        <v>13.67</v>
      </c>
      <c r="E121" s="8">
        <f t="shared" si="8"/>
        <v>2.734</v>
      </c>
    </row>
    <row r="122" spans="1:5" x14ac:dyDescent="0.3">
      <c r="B122" s="4" t="s">
        <v>35</v>
      </c>
      <c r="C122" s="4">
        <v>4</v>
      </c>
      <c r="D122" s="4">
        <v>1.89</v>
      </c>
      <c r="E122" s="8">
        <f t="shared" si="8"/>
        <v>7.56</v>
      </c>
    </row>
    <row r="123" spans="1:5" x14ac:dyDescent="0.3">
      <c r="B123" s="4" t="s">
        <v>36</v>
      </c>
      <c r="C123" s="4">
        <v>4</v>
      </c>
      <c r="D123" s="4">
        <v>0.24</v>
      </c>
      <c r="E123" s="8">
        <f t="shared" si="8"/>
        <v>0.96</v>
      </c>
    </row>
    <row r="124" spans="1:5" x14ac:dyDescent="0.3">
      <c r="E124" s="8">
        <f>SUM(E118:E123)</f>
        <v>146.07369000000003</v>
      </c>
    </row>
    <row r="125" spans="1:5" x14ac:dyDescent="0.3">
      <c r="B125" s="4" t="s">
        <v>37</v>
      </c>
      <c r="C125">
        <v>0.5</v>
      </c>
      <c r="D125">
        <v>131</v>
      </c>
      <c r="E125" s="8">
        <f>C125*D125</f>
        <v>65.5</v>
      </c>
    </row>
    <row r="126" spans="1:5" x14ac:dyDescent="0.3">
      <c r="E126" s="8">
        <f>SUM(E124:E125)</f>
        <v>211.57369000000003</v>
      </c>
    </row>
    <row r="128" spans="1:5" ht="21" x14ac:dyDescent="0.4">
      <c r="A128" s="40" t="s">
        <v>599</v>
      </c>
      <c r="B128" s="40"/>
      <c r="C128" s="84"/>
    </row>
    <row r="129" spans="1:5" ht="18" x14ac:dyDescent="0.35">
      <c r="A129" s="5"/>
      <c r="B129" s="5"/>
      <c r="C129" s="7" t="s">
        <v>28</v>
      </c>
      <c r="D129" s="7" t="s">
        <v>29</v>
      </c>
      <c r="E129" s="7" t="s">
        <v>30</v>
      </c>
    </row>
    <row r="130" spans="1:5" ht="18" x14ac:dyDescent="0.35">
      <c r="A130" s="5" t="s">
        <v>752</v>
      </c>
      <c r="B130" s="50" t="s">
        <v>32</v>
      </c>
      <c r="C130" s="7">
        <v>0.69699999999999995</v>
      </c>
      <c r="D130" s="7">
        <v>30.44</v>
      </c>
      <c r="E130" s="85">
        <f t="shared" ref="E130:E135" si="9">C130*D130</f>
        <v>21.21668</v>
      </c>
    </row>
    <row r="131" spans="1:5" ht="18" x14ac:dyDescent="0.35">
      <c r="A131" s="5" t="s">
        <v>168</v>
      </c>
      <c r="B131" s="50" t="s">
        <v>33</v>
      </c>
      <c r="C131" s="7">
        <v>7.7649999999999997</v>
      </c>
      <c r="D131" s="7">
        <v>16.170000000000002</v>
      </c>
      <c r="E131" s="85">
        <f t="shared" si="9"/>
        <v>125.56005</v>
      </c>
    </row>
    <row r="132" spans="1:5" ht="18" x14ac:dyDescent="0.35">
      <c r="A132" s="5" t="s">
        <v>744</v>
      </c>
      <c r="B132" s="50" t="s">
        <v>751</v>
      </c>
      <c r="C132" s="7">
        <v>2</v>
      </c>
      <c r="D132" s="7">
        <v>1.7</v>
      </c>
      <c r="E132" s="85">
        <f t="shared" si="9"/>
        <v>3.4</v>
      </c>
    </row>
    <row r="133" spans="1:5" ht="18" x14ac:dyDescent="0.35">
      <c r="A133" s="5"/>
      <c r="B133" s="50" t="s">
        <v>34</v>
      </c>
      <c r="C133" s="7">
        <v>0.28999999999999998</v>
      </c>
      <c r="D133" s="7">
        <v>14.61</v>
      </c>
      <c r="E133" s="85">
        <f t="shared" si="9"/>
        <v>4.2368999999999994</v>
      </c>
    </row>
    <row r="134" spans="1:5" ht="18" x14ac:dyDescent="0.35">
      <c r="A134" s="5"/>
      <c r="B134" s="50" t="s">
        <v>35</v>
      </c>
      <c r="C134" s="7">
        <v>4</v>
      </c>
      <c r="D134" s="7">
        <v>2.89</v>
      </c>
      <c r="E134" s="85">
        <f t="shared" si="9"/>
        <v>11.56</v>
      </c>
    </row>
    <row r="135" spans="1:5" ht="18" x14ac:dyDescent="0.35">
      <c r="A135" s="5"/>
      <c r="B135" s="50" t="s">
        <v>36</v>
      </c>
      <c r="C135" s="7">
        <v>4</v>
      </c>
      <c r="D135" s="7">
        <v>0.6</v>
      </c>
      <c r="E135" s="85">
        <f t="shared" si="9"/>
        <v>2.4</v>
      </c>
    </row>
    <row r="136" spans="1:5" ht="18" x14ac:dyDescent="0.35">
      <c r="A136" s="5"/>
      <c r="B136" s="5"/>
      <c r="C136" s="54"/>
      <c r="D136" s="54"/>
      <c r="E136" s="89">
        <f>SUM(E130:E135)</f>
        <v>168.37363000000002</v>
      </c>
    </row>
    <row r="137" spans="1:5" ht="18" x14ac:dyDescent="0.35">
      <c r="A137" s="5"/>
      <c r="B137" s="50" t="s">
        <v>37</v>
      </c>
      <c r="C137" s="54">
        <v>1</v>
      </c>
      <c r="D137" s="54">
        <v>131</v>
      </c>
      <c r="E137" s="85">
        <v>131</v>
      </c>
    </row>
    <row r="138" spans="1:5" ht="18" x14ac:dyDescent="0.35">
      <c r="A138" s="5"/>
      <c r="B138" s="5"/>
      <c r="C138" s="54"/>
      <c r="D138" s="54"/>
      <c r="E138" s="85">
        <f>SUM(E136:E137)</f>
        <v>299.37363000000005</v>
      </c>
    </row>
    <row r="140" spans="1:5" ht="21" x14ac:dyDescent="0.4">
      <c r="A140" s="40" t="s">
        <v>690</v>
      </c>
      <c r="B140" s="40"/>
      <c r="C140" s="40"/>
      <c r="D140" s="12"/>
      <c r="E140" s="12"/>
    </row>
    <row r="141" spans="1:5" ht="18" x14ac:dyDescent="0.35">
      <c r="A141" s="5"/>
      <c r="B141" s="5"/>
      <c r="C141" s="7" t="s">
        <v>28</v>
      </c>
      <c r="D141" s="7" t="s">
        <v>29</v>
      </c>
      <c r="E141" s="7" t="s">
        <v>30</v>
      </c>
    </row>
    <row r="142" spans="1:5" ht="18" x14ac:dyDescent="0.35">
      <c r="A142" s="5" t="s">
        <v>688</v>
      </c>
      <c r="B142" s="50" t="s">
        <v>32</v>
      </c>
      <c r="C142" s="7">
        <v>2.0289999999999999</v>
      </c>
      <c r="D142" s="7">
        <v>29.12</v>
      </c>
      <c r="E142" s="85">
        <f t="shared" ref="E142:E147" si="10">C142*D142</f>
        <v>59.084479999999999</v>
      </c>
    </row>
    <row r="143" spans="1:5" ht="18" x14ac:dyDescent="0.35">
      <c r="A143" s="5" t="s">
        <v>114</v>
      </c>
      <c r="B143" s="50" t="s">
        <v>33</v>
      </c>
      <c r="C143" s="7">
        <v>13.398</v>
      </c>
      <c r="D143" s="7">
        <v>15.25</v>
      </c>
      <c r="E143" s="85">
        <f t="shared" si="10"/>
        <v>204.31950000000001</v>
      </c>
    </row>
    <row r="144" spans="1:5" ht="18" x14ac:dyDescent="0.35">
      <c r="A144" s="5" t="s">
        <v>427</v>
      </c>
      <c r="B144" s="50" t="s">
        <v>137</v>
      </c>
      <c r="C144" s="7">
        <v>1.26</v>
      </c>
      <c r="D144" s="7">
        <v>17.190000000000001</v>
      </c>
      <c r="E144" s="85">
        <f t="shared" si="10"/>
        <v>21.659400000000002</v>
      </c>
    </row>
    <row r="145" spans="1:5" ht="18" x14ac:dyDescent="0.35">
      <c r="A145" s="5"/>
      <c r="B145" s="50" t="s">
        <v>35</v>
      </c>
      <c r="C145" s="7">
        <v>4</v>
      </c>
      <c r="D145" s="7">
        <v>2.89</v>
      </c>
      <c r="E145" s="85">
        <f t="shared" si="10"/>
        <v>11.56</v>
      </c>
    </row>
    <row r="146" spans="1:5" ht="18" x14ac:dyDescent="0.35">
      <c r="A146" s="5"/>
      <c r="B146" s="50" t="s">
        <v>36</v>
      </c>
      <c r="C146" s="7">
        <v>4</v>
      </c>
      <c r="D146" s="7">
        <v>0.6</v>
      </c>
      <c r="E146" s="85">
        <f t="shared" si="10"/>
        <v>2.4</v>
      </c>
    </row>
    <row r="147" spans="1:5" ht="18" x14ac:dyDescent="0.35">
      <c r="A147" s="5"/>
      <c r="B147" s="50" t="s">
        <v>37</v>
      </c>
      <c r="C147" s="54">
        <v>2</v>
      </c>
      <c r="D147" s="86">
        <v>120</v>
      </c>
      <c r="E147" s="85">
        <f t="shared" si="10"/>
        <v>240</v>
      </c>
    </row>
    <row r="148" spans="1:5" ht="18" x14ac:dyDescent="0.35">
      <c r="A148" s="5"/>
      <c r="B148" s="5"/>
      <c r="C148" s="54"/>
      <c r="D148" s="54"/>
      <c r="E148" s="85">
        <f>SUM(E142:E147)</f>
        <v>539.02337999999997</v>
      </c>
    </row>
    <row r="151" spans="1:5" ht="21" x14ac:dyDescent="0.4">
      <c r="A151" s="40" t="s">
        <v>937</v>
      </c>
      <c r="B151" s="40"/>
      <c r="C151" s="40"/>
      <c r="D151" s="12"/>
      <c r="E151" s="12"/>
    </row>
    <row r="152" spans="1:5" ht="18" x14ac:dyDescent="0.35">
      <c r="A152" s="5"/>
      <c r="B152" s="5"/>
      <c r="C152" s="7" t="s">
        <v>28</v>
      </c>
      <c r="D152" s="7" t="s">
        <v>29</v>
      </c>
      <c r="E152" s="7" t="s">
        <v>30</v>
      </c>
    </row>
    <row r="153" spans="1:5" ht="18" x14ac:dyDescent="0.35">
      <c r="A153" s="5" t="s">
        <v>938</v>
      </c>
      <c r="B153" s="50" t="s">
        <v>32</v>
      </c>
      <c r="C153" s="7">
        <v>2.617</v>
      </c>
      <c r="D153" s="7">
        <v>30.44</v>
      </c>
      <c r="E153" s="85">
        <f t="shared" ref="E153:E158" si="11">C153*D153</f>
        <v>79.661479999999997</v>
      </c>
    </row>
    <row r="154" spans="1:5" ht="18" x14ac:dyDescent="0.35">
      <c r="A154" s="5" t="s">
        <v>321</v>
      </c>
      <c r="B154" s="50" t="s">
        <v>33</v>
      </c>
      <c r="C154" s="7">
        <v>25.042000000000002</v>
      </c>
      <c r="D154" s="7">
        <v>17.059999999999999</v>
      </c>
      <c r="E154" s="85">
        <f t="shared" si="11"/>
        <v>427.21652</v>
      </c>
    </row>
    <row r="155" spans="1:5" ht="18" x14ac:dyDescent="0.35">
      <c r="A155" s="5" t="s">
        <v>939</v>
      </c>
      <c r="B155" s="50" t="s">
        <v>137</v>
      </c>
      <c r="C155" s="7">
        <v>2</v>
      </c>
      <c r="D155" s="7">
        <v>17.190000000000001</v>
      </c>
      <c r="E155" s="85">
        <f t="shared" si="11"/>
        <v>34.380000000000003</v>
      </c>
    </row>
    <row r="156" spans="1:5" ht="18" x14ac:dyDescent="0.35">
      <c r="A156" s="5"/>
      <c r="B156" s="50" t="s">
        <v>35</v>
      </c>
      <c r="C156" s="7">
        <v>4</v>
      </c>
      <c r="D156" s="7">
        <v>2.91</v>
      </c>
      <c r="E156" s="85">
        <f t="shared" si="11"/>
        <v>11.64</v>
      </c>
    </row>
    <row r="157" spans="1:5" ht="18" x14ac:dyDescent="0.35">
      <c r="A157" s="5"/>
      <c r="B157" s="50" t="s">
        <v>36</v>
      </c>
      <c r="C157" s="7">
        <v>4</v>
      </c>
      <c r="D157" s="7">
        <v>0.61</v>
      </c>
      <c r="E157" s="85">
        <f t="shared" si="11"/>
        <v>2.44</v>
      </c>
    </row>
    <row r="158" spans="1:5" ht="18" x14ac:dyDescent="0.35">
      <c r="A158" s="5"/>
      <c r="B158" s="50" t="s">
        <v>37</v>
      </c>
      <c r="C158" s="54">
        <v>1.5</v>
      </c>
      <c r="D158" s="86">
        <v>98</v>
      </c>
      <c r="E158" s="85">
        <f t="shared" si="11"/>
        <v>147</v>
      </c>
    </row>
    <row r="159" spans="1:5" ht="18" x14ac:dyDescent="0.35">
      <c r="A159" s="5"/>
      <c r="B159" s="5"/>
      <c r="C159" s="54"/>
      <c r="D159" s="54"/>
      <c r="E159" s="85">
        <f>SUM(E153:E158)</f>
        <v>702.33800000000008</v>
      </c>
    </row>
    <row r="161" spans="1:5" ht="21" x14ac:dyDescent="0.4">
      <c r="A161" s="40" t="s">
        <v>599</v>
      </c>
      <c r="B161" s="40"/>
      <c r="C161" s="84"/>
    </row>
    <row r="162" spans="1:5" ht="18" x14ac:dyDescent="0.35">
      <c r="A162" s="5"/>
      <c r="B162" s="5"/>
      <c r="C162" s="7" t="s">
        <v>28</v>
      </c>
      <c r="D162" s="7" t="s">
        <v>29</v>
      </c>
      <c r="E162" s="7" t="s">
        <v>30</v>
      </c>
    </row>
    <row r="163" spans="1:5" ht="18" x14ac:dyDescent="0.35">
      <c r="A163" s="5" t="s">
        <v>940</v>
      </c>
      <c r="B163" s="50" t="s">
        <v>32</v>
      </c>
      <c r="C163" s="7">
        <v>0.69699999999999995</v>
      </c>
      <c r="D163" s="7">
        <v>30.44</v>
      </c>
      <c r="E163" s="85">
        <f t="shared" ref="E163:E168" si="12">C163*D163</f>
        <v>21.21668</v>
      </c>
    </row>
    <row r="164" spans="1:5" ht="18" x14ac:dyDescent="0.35">
      <c r="A164" s="5" t="s">
        <v>168</v>
      </c>
      <c r="B164" s="50" t="s">
        <v>33</v>
      </c>
      <c r="C164" s="7">
        <v>7.7649999999999997</v>
      </c>
      <c r="D164" s="7">
        <v>16.170000000000002</v>
      </c>
      <c r="E164" s="85">
        <f t="shared" si="12"/>
        <v>125.56005</v>
      </c>
    </row>
    <row r="165" spans="1:5" ht="18" x14ac:dyDescent="0.35">
      <c r="A165" s="5" t="s">
        <v>744</v>
      </c>
      <c r="B165" s="50" t="s">
        <v>751</v>
      </c>
      <c r="C165" s="7">
        <v>2</v>
      </c>
      <c r="D165" s="7">
        <v>1.7</v>
      </c>
      <c r="E165" s="85">
        <f t="shared" si="12"/>
        <v>3.4</v>
      </c>
    </row>
    <row r="166" spans="1:5" ht="18" x14ac:dyDescent="0.35">
      <c r="A166" s="5"/>
      <c r="B166" s="50" t="s">
        <v>34</v>
      </c>
      <c r="C166" s="7">
        <v>0.28999999999999998</v>
      </c>
      <c r="D166" s="7">
        <v>14.61</v>
      </c>
      <c r="E166" s="85">
        <f t="shared" si="12"/>
        <v>4.2368999999999994</v>
      </c>
    </row>
    <row r="167" spans="1:5" ht="18" x14ac:dyDescent="0.35">
      <c r="A167" s="5"/>
      <c r="B167" s="50" t="s">
        <v>35</v>
      </c>
      <c r="C167" s="7">
        <v>4</v>
      </c>
      <c r="D167" s="7">
        <v>2.89</v>
      </c>
      <c r="E167" s="85">
        <f t="shared" si="12"/>
        <v>11.56</v>
      </c>
    </row>
    <row r="168" spans="1:5" ht="18" x14ac:dyDescent="0.35">
      <c r="A168" s="5"/>
      <c r="B168" s="50" t="s">
        <v>36</v>
      </c>
      <c r="C168" s="7">
        <v>4</v>
      </c>
      <c r="D168" s="7">
        <v>0.6</v>
      </c>
      <c r="E168" s="85">
        <f t="shared" si="12"/>
        <v>2.4</v>
      </c>
    </row>
    <row r="169" spans="1:5" ht="18" x14ac:dyDescent="0.35">
      <c r="A169" s="5"/>
      <c r="B169" s="5"/>
      <c r="C169" s="54"/>
      <c r="D169" s="54"/>
      <c r="E169" s="89">
        <f>SUM(E163:E168)</f>
        <v>168.37363000000002</v>
      </c>
    </row>
    <row r="170" spans="1:5" ht="18" x14ac:dyDescent="0.35">
      <c r="A170" s="5"/>
      <c r="B170" s="50" t="s">
        <v>37</v>
      </c>
      <c r="C170" s="54">
        <v>1</v>
      </c>
      <c r="D170" s="54">
        <v>131</v>
      </c>
      <c r="E170" s="85">
        <v>131</v>
      </c>
    </row>
    <row r="171" spans="1:5" ht="18" x14ac:dyDescent="0.35">
      <c r="A171" s="5"/>
      <c r="B171" s="5"/>
      <c r="C171" s="54"/>
      <c r="D171" s="54"/>
      <c r="E171" s="85">
        <f>SUM(E169:E170)</f>
        <v>299.37363000000005</v>
      </c>
    </row>
    <row r="173" spans="1:5" ht="21" x14ac:dyDescent="0.4">
      <c r="A173" s="40" t="s">
        <v>599</v>
      </c>
      <c r="B173" s="40"/>
      <c r="C173" s="84"/>
    </row>
    <row r="174" spans="1:5" ht="18" x14ac:dyDescent="0.35">
      <c r="A174" s="5"/>
      <c r="B174" s="5"/>
      <c r="C174" s="7" t="s">
        <v>28</v>
      </c>
      <c r="D174" s="7" t="s">
        <v>29</v>
      </c>
      <c r="E174" s="7" t="s">
        <v>30</v>
      </c>
    </row>
    <row r="175" spans="1:5" ht="18" x14ac:dyDescent="0.35">
      <c r="A175" s="5" t="s">
        <v>405</v>
      </c>
      <c r="B175" s="50" t="s">
        <v>32</v>
      </c>
      <c r="C175" s="7">
        <v>4.5490000000000004</v>
      </c>
      <c r="D175" s="7">
        <v>30.44</v>
      </c>
      <c r="E175" s="85">
        <f t="shared" ref="E175:E180" si="13">C175*D175</f>
        <v>138.47156000000001</v>
      </c>
    </row>
    <row r="176" spans="1:5" ht="18" x14ac:dyDescent="0.35">
      <c r="A176" s="5" t="s">
        <v>285</v>
      </c>
      <c r="B176" s="50" t="s">
        <v>33</v>
      </c>
      <c r="C176" s="7">
        <v>56.07</v>
      </c>
      <c r="D176" s="7">
        <v>16.170000000000002</v>
      </c>
      <c r="E176" s="85">
        <f t="shared" si="13"/>
        <v>906.65190000000007</v>
      </c>
    </row>
    <row r="177" spans="1:5" ht="18" x14ac:dyDescent="0.35">
      <c r="A177" s="5" t="s">
        <v>1075</v>
      </c>
      <c r="B177" s="50" t="s">
        <v>751</v>
      </c>
      <c r="C177" s="7">
        <v>2</v>
      </c>
      <c r="D177" s="7">
        <v>6.78</v>
      </c>
      <c r="E177" s="85">
        <f t="shared" si="13"/>
        <v>13.56</v>
      </c>
    </row>
    <row r="178" spans="1:5" ht="18" x14ac:dyDescent="0.35">
      <c r="A178" s="5"/>
      <c r="B178" s="50" t="s">
        <v>34</v>
      </c>
      <c r="C178" s="7">
        <v>3</v>
      </c>
      <c r="D178" s="7">
        <v>14.61</v>
      </c>
      <c r="E178" s="85">
        <f t="shared" si="13"/>
        <v>43.83</v>
      </c>
    </row>
    <row r="179" spans="1:5" ht="18" x14ac:dyDescent="0.35">
      <c r="A179" s="5"/>
      <c r="B179" s="50" t="s">
        <v>35</v>
      </c>
      <c r="C179" s="7">
        <v>4</v>
      </c>
      <c r="D179" s="7">
        <v>2.89</v>
      </c>
      <c r="E179" s="85">
        <f t="shared" si="13"/>
        <v>11.56</v>
      </c>
    </row>
    <row r="180" spans="1:5" ht="18" x14ac:dyDescent="0.35">
      <c r="A180" s="5"/>
      <c r="B180" s="50" t="s">
        <v>36</v>
      </c>
      <c r="C180" s="7">
        <v>4</v>
      </c>
      <c r="D180" s="7">
        <v>0.6</v>
      </c>
      <c r="E180" s="85">
        <f t="shared" si="13"/>
        <v>2.4</v>
      </c>
    </row>
    <row r="181" spans="1:5" ht="18" x14ac:dyDescent="0.35">
      <c r="A181" s="5"/>
      <c r="B181" s="5"/>
      <c r="C181" s="54"/>
      <c r="D181" s="54"/>
      <c r="E181" s="89">
        <f>SUM(E175:E180)</f>
        <v>1116.4734599999999</v>
      </c>
    </row>
    <row r="182" spans="1:5" ht="18" x14ac:dyDescent="0.35">
      <c r="A182" s="5"/>
      <c r="B182" s="5"/>
      <c r="C182" s="54"/>
      <c r="D182" s="54" t="s">
        <v>1066</v>
      </c>
      <c r="E182" s="89">
        <f>E181+E181*40%</f>
        <v>1563.062844</v>
      </c>
    </row>
    <row r="183" spans="1:5" ht="18" x14ac:dyDescent="0.35">
      <c r="A183" s="5"/>
      <c r="B183" s="50" t="s">
        <v>37</v>
      </c>
      <c r="C183" s="54">
        <v>3</v>
      </c>
      <c r="D183" s="54">
        <v>200</v>
      </c>
      <c r="E183" s="85">
        <f>C183*D183</f>
        <v>600</v>
      </c>
    </row>
    <row r="184" spans="1:5" ht="18" x14ac:dyDescent="0.35">
      <c r="A184" s="5"/>
      <c r="B184" s="5"/>
      <c r="C184" s="54"/>
      <c r="D184" s="54"/>
      <c r="E184" s="85">
        <f>SUM(E182:E183)</f>
        <v>2163.062844</v>
      </c>
    </row>
    <row r="186" spans="1:5" ht="21" x14ac:dyDescent="0.4">
      <c r="A186" s="40" t="s">
        <v>599</v>
      </c>
      <c r="B186" s="40"/>
      <c r="C186" s="84"/>
    </row>
    <row r="187" spans="1:5" ht="18" x14ac:dyDescent="0.35">
      <c r="A187" s="5"/>
      <c r="B187" s="5"/>
      <c r="C187" s="7" t="s">
        <v>28</v>
      </c>
      <c r="D187" s="7" t="s">
        <v>29</v>
      </c>
      <c r="E187" s="7" t="s">
        <v>30</v>
      </c>
    </row>
    <row r="188" spans="1:5" ht="18" x14ac:dyDescent="0.35">
      <c r="A188" s="5" t="s">
        <v>1109</v>
      </c>
      <c r="B188" s="50" t="s">
        <v>32</v>
      </c>
      <c r="C188" s="7">
        <v>2.6589999999999998</v>
      </c>
      <c r="D188" s="7">
        <v>29.12</v>
      </c>
      <c r="E188" s="85">
        <f t="shared" ref="E188:E193" si="14">C188*D188</f>
        <v>77.430080000000004</v>
      </c>
    </row>
    <row r="189" spans="1:5" ht="18" x14ac:dyDescent="0.35">
      <c r="A189" s="5" t="s">
        <v>310</v>
      </c>
      <c r="B189" s="50" t="s">
        <v>33</v>
      </c>
      <c r="C189" s="7">
        <v>9.9749999999999996</v>
      </c>
      <c r="D189" s="7">
        <v>14.94</v>
      </c>
      <c r="E189" s="85">
        <f t="shared" si="14"/>
        <v>149.0265</v>
      </c>
    </row>
    <row r="190" spans="1:5" ht="18" x14ac:dyDescent="0.35">
      <c r="A190" s="5" t="s">
        <v>659</v>
      </c>
      <c r="B190" s="50" t="s">
        <v>88</v>
      </c>
      <c r="C190" s="7">
        <v>4</v>
      </c>
      <c r="D190" s="7">
        <v>2.2400000000000002</v>
      </c>
      <c r="E190" s="85">
        <f t="shared" si="14"/>
        <v>8.9600000000000009</v>
      </c>
    </row>
    <row r="191" spans="1:5" ht="18" x14ac:dyDescent="0.35">
      <c r="A191" s="5"/>
      <c r="B191" s="50" t="s">
        <v>34</v>
      </c>
      <c r="C191" s="7">
        <v>1</v>
      </c>
      <c r="D191" s="7">
        <v>14.61</v>
      </c>
      <c r="E191" s="85">
        <f t="shared" si="14"/>
        <v>14.61</v>
      </c>
    </row>
    <row r="192" spans="1:5" ht="18" x14ac:dyDescent="0.35">
      <c r="A192" s="5"/>
      <c r="B192" s="50" t="s">
        <v>35</v>
      </c>
      <c r="C192" s="7">
        <v>8</v>
      </c>
      <c r="D192" s="7">
        <v>2.89</v>
      </c>
      <c r="E192" s="85">
        <f t="shared" si="14"/>
        <v>23.12</v>
      </c>
    </row>
    <row r="193" spans="1:5" ht="18" x14ac:dyDescent="0.35">
      <c r="A193" s="5"/>
      <c r="B193" s="50" t="s">
        <v>36</v>
      </c>
      <c r="C193" s="7">
        <v>4</v>
      </c>
      <c r="D193" s="7">
        <v>0.6</v>
      </c>
      <c r="E193" s="85">
        <f t="shared" si="14"/>
        <v>2.4</v>
      </c>
    </row>
    <row r="194" spans="1:5" ht="18" x14ac:dyDescent="0.35">
      <c r="A194" s="5"/>
      <c r="B194" s="5"/>
      <c r="C194" s="54"/>
      <c r="D194" s="54"/>
      <c r="E194" s="89">
        <f>SUM(E188:E193)</f>
        <v>275.54658000000001</v>
      </c>
    </row>
    <row r="195" spans="1:5" ht="18" x14ac:dyDescent="0.35">
      <c r="A195" s="5"/>
      <c r="B195" s="5"/>
      <c r="C195" s="54"/>
      <c r="D195" s="54" t="s">
        <v>1066</v>
      </c>
      <c r="E195" s="89">
        <f>E194+E194*40%</f>
        <v>385.76521200000002</v>
      </c>
    </row>
    <row r="196" spans="1:5" ht="18" x14ac:dyDescent="0.35">
      <c r="A196" s="5"/>
      <c r="B196" s="50" t="s">
        <v>37</v>
      </c>
      <c r="C196" s="54">
        <v>2</v>
      </c>
      <c r="D196" s="54">
        <v>200</v>
      </c>
      <c r="E196" s="85">
        <f>C196*D196</f>
        <v>400</v>
      </c>
    </row>
    <row r="197" spans="1:5" ht="18" x14ac:dyDescent="0.35">
      <c r="A197" s="5"/>
      <c r="B197" s="5"/>
      <c r="C197" s="54"/>
      <c r="D197" s="54"/>
      <c r="E197" s="85">
        <f>SUM(E195:E196)</f>
        <v>785.76521200000002</v>
      </c>
    </row>
  </sheetData>
  <mergeCells count="1">
    <mergeCell ref="G4:H4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61"/>
  <sheetViews>
    <sheetView topLeftCell="A151" workbookViewId="0">
      <selection activeCell="D164" sqref="D164"/>
    </sheetView>
  </sheetViews>
  <sheetFormatPr baseColWidth="10" defaultRowHeight="14.4" x14ac:dyDescent="0.3"/>
  <cols>
    <col min="1" max="1" width="16.44140625" customWidth="1"/>
    <col min="2" max="2" width="22" customWidth="1"/>
    <col min="3" max="3" width="16.33203125" customWidth="1"/>
    <col min="4" max="4" width="17.88671875" customWidth="1"/>
    <col min="5" max="5" width="19" customWidth="1"/>
  </cols>
  <sheetData>
    <row r="2" spans="1:5" ht="18" x14ac:dyDescent="0.35">
      <c r="A2" s="5" t="s">
        <v>579</v>
      </c>
    </row>
    <row r="3" spans="1:5" ht="21" x14ac:dyDescent="0.4">
      <c r="A3" s="40" t="s">
        <v>577</v>
      </c>
      <c r="B3" s="40"/>
      <c r="C3" s="40"/>
    </row>
    <row r="4" spans="1:5" x14ac:dyDescent="0.3">
      <c r="A4" t="s">
        <v>578</v>
      </c>
    </row>
    <row r="5" spans="1:5" ht="18" x14ac:dyDescent="0.35">
      <c r="A5" s="65" t="s">
        <v>572</v>
      </c>
      <c r="B5" s="65" t="s">
        <v>573</v>
      </c>
      <c r="C5" s="65" t="s">
        <v>574</v>
      </c>
      <c r="D5" s="65" t="s">
        <v>575</v>
      </c>
      <c r="E5" s="65" t="s">
        <v>576</v>
      </c>
    </row>
    <row r="6" spans="1:5" ht="18" x14ac:dyDescent="0.35">
      <c r="A6" s="66">
        <v>3.67</v>
      </c>
      <c r="B6" s="66">
        <v>0.11</v>
      </c>
      <c r="C6" s="66">
        <f>A6*B6</f>
        <v>0.4037</v>
      </c>
      <c r="D6" s="67">
        <f>C6*2170</f>
        <v>876.029</v>
      </c>
      <c r="E6" s="67">
        <f>D6+D6*20%</f>
        <v>1051.2348</v>
      </c>
    </row>
    <row r="7" spans="1:5" ht="18" x14ac:dyDescent="0.35">
      <c r="A7" s="66">
        <v>0.83</v>
      </c>
      <c r="B7" s="66">
        <v>0.13</v>
      </c>
      <c r="C7" s="66">
        <f>A7*B7</f>
        <v>0.1079</v>
      </c>
      <c r="D7" s="67">
        <f t="shared" ref="D7:D72" si="0">C7*2170</f>
        <v>234.143</v>
      </c>
      <c r="E7" s="67">
        <f t="shared" ref="E7:E72" si="1">D7+D7*20%</f>
        <v>280.97160000000002</v>
      </c>
    </row>
    <row r="8" spans="1:5" ht="18" x14ac:dyDescent="0.35">
      <c r="A8" s="66">
        <v>0.6</v>
      </c>
      <c r="B8" s="66">
        <v>0.1</v>
      </c>
      <c r="C8" s="66">
        <f t="shared" ref="C8:C73" si="2">A8*B8</f>
        <v>0.06</v>
      </c>
      <c r="D8" s="67">
        <f t="shared" si="0"/>
        <v>130.19999999999999</v>
      </c>
      <c r="E8" s="67">
        <f t="shared" si="1"/>
        <v>156.23999999999998</v>
      </c>
    </row>
    <row r="9" spans="1:5" ht="18" x14ac:dyDescent="0.35">
      <c r="A9" s="66">
        <v>3.64</v>
      </c>
      <c r="B9" s="66">
        <v>0.1</v>
      </c>
      <c r="C9" s="66">
        <f t="shared" si="2"/>
        <v>0.36400000000000005</v>
      </c>
      <c r="D9" s="67">
        <f t="shared" si="0"/>
        <v>789.88000000000011</v>
      </c>
      <c r="E9" s="67">
        <f t="shared" si="1"/>
        <v>947.85600000000011</v>
      </c>
    </row>
    <row r="10" spans="1:5" ht="18" x14ac:dyDescent="0.35">
      <c r="A10" s="66">
        <v>0.84</v>
      </c>
      <c r="B10" s="66">
        <v>0.13</v>
      </c>
      <c r="C10" s="66">
        <f t="shared" si="2"/>
        <v>0.10920000000000001</v>
      </c>
      <c r="D10" s="67">
        <f t="shared" si="0"/>
        <v>236.964</v>
      </c>
      <c r="E10" s="67">
        <f t="shared" si="1"/>
        <v>284.35680000000002</v>
      </c>
    </row>
    <row r="11" spans="1:5" ht="18" x14ac:dyDescent="0.35">
      <c r="A11" s="66">
        <v>0.6</v>
      </c>
      <c r="B11" s="66">
        <v>0.1</v>
      </c>
      <c r="C11" s="66">
        <f t="shared" si="2"/>
        <v>0.06</v>
      </c>
      <c r="D11" s="67">
        <f t="shared" si="0"/>
        <v>130.19999999999999</v>
      </c>
      <c r="E11" s="67">
        <f t="shared" si="1"/>
        <v>156.23999999999998</v>
      </c>
    </row>
    <row r="12" spans="1:5" ht="18" x14ac:dyDescent="0.35">
      <c r="A12" s="66">
        <v>3.66</v>
      </c>
      <c r="B12" s="66">
        <v>0.1</v>
      </c>
      <c r="C12" s="66">
        <f t="shared" si="2"/>
        <v>0.36600000000000005</v>
      </c>
      <c r="D12" s="67">
        <f t="shared" si="0"/>
        <v>794.22000000000014</v>
      </c>
      <c r="E12" s="67">
        <f t="shared" si="1"/>
        <v>953.06400000000019</v>
      </c>
    </row>
    <row r="13" spans="1:5" ht="18" x14ac:dyDescent="0.35">
      <c r="A13" s="66">
        <v>0.85</v>
      </c>
      <c r="B13" s="66">
        <v>0.13</v>
      </c>
      <c r="C13" s="66">
        <f t="shared" si="2"/>
        <v>0.1105</v>
      </c>
      <c r="D13" s="67">
        <f t="shared" si="0"/>
        <v>239.785</v>
      </c>
      <c r="E13" s="67">
        <f t="shared" si="1"/>
        <v>287.74200000000002</v>
      </c>
    </row>
    <row r="14" spans="1:5" ht="18" x14ac:dyDescent="0.35">
      <c r="A14" s="66">
        <v>0.6</v>
      </c>
      <c r="B14" s="66">
        <v>0.1</v>
      </c>
      <c r="C14" s="66">
        <f t="shared" si="2"/>
        <v>0.06</v>
      </c>
      <c r="D14" s="67">
        <f t="shared" si="0"/>
        <v>130.19999999999999</v>
      </c>
      <c r="E14" s="67">
        <f t="shared" si="1"/>
        <v>156.23999999999998</v>
      </c>
    </row>
    <row r="15" spans="1:5" ht="18" x14ac:dyDescent="0.35">
      <c r="A15" s="66">
        <v>3.66</v>
      </c>
      <c r="B15" s="66">
        <v>0.11</v>
      </c>
      <c r="C15" s="66">
        <f t="shared" si="2"/>
        <v>0.40260000000000001</v>
      </c>
      <c r="D15" s="67">
        <f t="shared" si="0"/>
        <v>873.64200000000005</v>
      </c>
      <c r="E15" s="67">
        <f t="shared" si="1"/>
        <v>1048.3704</v>
      </c>
    </row>
    <row r="16" spans="1:5" ht="18" x14ac:dyDescent="0.35">
      <c r="A16" s="66">
        <v>0.85</v>
      </c>
      <c r="B16" s="66">
        <v>0.13</v>
      </c>
      <c r="C16" s="66">
        <f t="shared" si="2"/>
        <v>0.1105</v>
      </c>
      <c r="D16" s="67">
        <f t="shared" si="0"/>
        <v>239.785</v>
      </c>
      <c r="E16" s="67">
        <f t="shared" si="1"/>
        <v>287.74200000000002</v>
      </c>
    </row>
    <row r="17" spans="1:5" ht="18" x14ac:dyDescent="0.35">
      <c r="A17" s="66">
        <v>0.6</v>
      </c>
      <c r="B17" s="66">
        <v>0.1</v>
      </c>
      <c r="C17" s="66">
        <f t="shared" si="2"/>
        <v>0.06</v>
      </c>
      <c r="D17" s="67">
        <f t="shared" si="0"/>
        <v>130.19999999999999</v>
      </c>
      <c r="E17" s="67">
        <f t="shared" si="1"/>
        <v>156.23999999999998</v>
      </c>
    </row>
    <row r="18" spans="1:5" ht="18" x14ac:dyDescent="0.35">
      <c r="A18" s="66">
        <v>3.67</v>
      </c>
      <c r="B18" s="66">
        <v>0.1</v>
      </c>
      <c r="C18" s="66">
        <f t="shared" si="2"/>
        <v>0.36699999999999999</v>
      </c>
      <c r="D18" s="67">
        <f t="shared" si="0"/>
        <v>796.39</v>
      </c>
      <c r="E18" s="67">
        <f t="shared" si="1"/>
        <v>955.66800000000001</v>
      </c>
    </row>
    <row r="19" spans="1:5" ht="18" x14ac:dyDescent="0.35">
      <c r="A19" s="66">
        <v>0.85</v>
      </c>
      <c r="B19" s="66">
        <v>0.13</v>
      </c>
      <c r="C19" s="66">
        <f t="shared" si="2"/>
        <v>0.1105</v>
      </c>
      <c r="D19" s="67">
        <f t="shared" si="0"/>
        <v>239.785</v>
      </c>
      <c r="E19" s="67">
        <f t="shared" si="1"/>
        <v>287.74200000000002</v>
      </c>
    </row>
    <row r="20" spans="1:5" ht="18" x14ac:dyDescent="0.35">
      <c r="A20" s="66">
        <v>4.18</v>
      </c>
      <c r="B20" s="66">
        <v>0.1</v>
      </c>
      <c r="C20" s="66">
        <f t="shared" si="2"/>
        <v>0.41799999999999998</v>
      </c>
      <c r="D20" s="67">
        <f t="shared" si="0"/>
        <v>907.06</v>
      </c>
      <c r="E20" s="67">
        <f t="shared" si="1"/>
        <v>1088.472</v>
      </c>
    </row>
    <row r="21" spans="1:5" ht="18" x14ac:dyDescent="0.35">
      <c r="A21" s="66">
        <v>0.88</v>
      </c>
      <c r="B21" s="66">
        <v>0.13</v>
      </c>
      <c r="C21" s="66">
        <f t="shared" si="2"/>
        <v>0.1144</v>
      </c>
      <c r="D21" s="67">
        <f t="shared" si="0"/>
        <v>248.24799999999999</v>
      </c>
      <c r="E21" s="67">
        <f t="shared" si="1"/>
        <v>297.89760000000001</v>
      </c>
    </row>
    <row r="22" spans="1:5" ht="18" x14ac:dyDescent="0.35">
      <c r="A22" s="66">
        <v>0.57999999999999996</v>
      </c>
      <c r="B22" s="66">
        <v>0.1</v>
      </c>
      <c r="C22" s="66">
        <f t="shared" si="2"/>
        <v>5.7999999999999996E-2</v>
      </c>
      <c r="D22" s="67">
        <f t="shared" si="0"/>
        <v>125.85999999999999</v>
      </c>
      <c r="E22" s="67">
        <f t="shared" si="1"/>
        <v>151.03199999999998</v>
      </c>
    </row>
    <row r="23" spans="1:5" ht="18" x14ac:dyDescent="0.35">
      <c r="A23" s="66">
        <v>0.6</v>
      </c>
      <c r="B23" s="66">
        <v>0.1</v>
      </c>
      <c r="C23" s="66">
        <f t="shared" si="2"/>
        <v>0.06</v>
      </c>
      <c r="D23" s="67">
        <f t="shared" si="0"/>
        <v>130.19999999999999</v>
      </c>
      <c r="E23" s="67">
        <f t="shared" si="1"/>
        <v>156.23999999999998</v>
      </c>
    </row>
    <row r="24" spans="1:5" ht="18" x14ac:dyDescent="0.35">
      <c r="A24" s="66">
        <v>4.1900000000000004</v>
      </c>
      <c r="B24" s="66">
        <v>0.09</v>
      </c>
      <c r="C24" s="66">
        <f t="shared" si="2"/>
        <v>0.37710000000000005</v>
      </c>
      <c r="D24" s="67">
        <f t="shared" si="0"/>
        <v>818.30700000000013</v>
      </c>
      <c r="E24" s="67">
        <f t="shared" si="1"/>
        <v>981.9684000000002</v>
      </c>
    </row>
    <row r="25" spans="1:5" ht="18" x14ac:dyDescent="0.35">
      <c r="A25" s="66">
        <v>0.59</v>
      </c>
      <c r="B25" s="66">
        <v>0.1</v>
      </c>
      <c r="C25" s="66">
        <f t="shared" si="2"/>
        <v>5.8999999999999997E-2</v>
      </c>
      <c r="D25" s="67">
        <f t="shared" si="0"/>
        <v>128.03</v>
      </c>
      <c r="E25" s="67">
        <f t="shared" si="1"/>
        <v>153.636</v>
      </c>
    </row>
    <row r="26" spans="1:5" ht="18" x14ac:dyDescent="0.35">
      <c r="A26" s="66">
        <v>4.2</v>
      </c>
      <c r="B26" s="66">
        <v>0.14000000000000001</v>
      </c>
      <c r="C26" s="66">
        <f t="shared" si="2"/>
        <v>0.58800000000000008</v>
      </c>
      <c r="D26" s="67">
        <f t="shared" si="0"/>
        <v>1275.9600000000003</v>
      </c>
      <c r="E26" s="67">
        <f t="shared" si="1"/>
        <v>1531.1520000000003</v>
      </c>
    </row>
    <row r="27" spans="1:5" ht="18" x14ac:dyDescent="0.35">
      <c r="A27" s="66">
        <v>0.8</v>
      </c>
      <c r="B27" s="66">
        <v>0.1</v>
      </c>
      <c r="C27" s="66">
        <f t="shared" si="2"/>
        <v>8.0000000000000016E-2</v>
      </c>
      <c r="D27" s="67">
        <f t="shared" si="0"/>
        <v>173.60000000000002</v>
      </c>
      <c r="E27" s="67">
        <f t="shared" si="1"/>
        <v>208.32000000000002</v>
      </c>
    </row>
    <row r="28" spans="1:5" ht="18" x14ac:dyDescent="0.35">
      <c r="A28" s="66">
        <v>4.16</v>
      </c>
      <c r="B28" s="66">
        <v>0.13</v>
      </c>
      <c r="C28" s="66">
        <f t="shared" si="2"/>
        <v>0.54080000000000006</v>
      </c>
      <c r="D28" s="67">
        <f t="shared" si="0"/>
        <v>1173.5360000000001</v>
      </c>
      <c r="E28" s="67">
        <f t="shared" si="1"/>
        <v>1408.2432000000001</v>
      </c>
    </row>
    <row r="29" spans="1:5" ht="18" x14ac:dyDescent="0.35">
      <c r="A29" s="66">
        <v>0.9</v>
      </c>
      <c r="B29" s="66">
        <v>0.15</v>
      </c>
      <c r="C29" s="66">
        <f t="shared" si="2"/>
        <v>0.13500000000000001</v>
      </c>
      <c r="D29" s="67">
        <f t="shared" si="0"/>
        <v>292.95000000000005</v>
      </c>
      <c r="E29" s="67">
        <f t="shared" si="1"/>
        <v>351.54000000000008</v>
      </c>
    </row>
    <row r="30" spans="1:5" ht="18" x14ac:dyDescent="0.35">
      <c r="A30" s="66">
        <v>0.56999999999999995</v>
      </c>
      <c r="B30" s="66">
        <v>0.1</v>
      </c>
      <c r="C30" s="66">
        <f t="shared" si="2"/>
        <v>5.6999999999999995E-2</v>
      </c>
      <c r="D30" s="67">
        <f t="shared" si="0"/>
        <v>123.68999999999998</v>
      </c>
      <c r="E30" s="67">
        <f t="shared" si="1"/>
        <v>148.428</v>
      </c>
    </row>
    <row r="31" spans="1:5" ht="18" x14ac:dyDescent="0.35">
      <c r="A31" s="66">
        <v>4.0999999999999996</v>
      </c>
      <c r="B31" s="66">
        <v>0.1</v>
      </c>
      <c r="C31" s="66">
        <f t="shared" si="2"/>
        <v>0.41</v>
      </c>
      <c r="D31" s="67">
        <f t="shared" si="0"/>
        <v>889.69999999999993</v>
      </c>
      <c r="E31" s="67">
        <f t="shared" si="1"/>
        <v>1067.6399999999999</v>
      </c>
    </row>
    <row r="32" spans="1:5" ht="18" x14ac:dyDescent="0.35">
      <c r="A32" s="66">
        <v>0.94</v>
      </c>
      <c r="B32" s="66">
        <v>0.12</v>
      </c>
      <c r="C32" s="66">
        <f t="shared" si="2"/>
        <v>0.11279999999999998</v>
      </c>
      <c r="D32" s="67">
        <f t="shared" si="0"/>
        <v>244.77599999999995</v>
      </c>
      <c r="E32" s="67">
        <f t="shared" si="1"/>
        <v>293.73119999999994</v>
      </c>
    </row>
    <row r="33" spans="1:5" ht="18" x14ac:dyDescent="0.35">
      <c r="A33" s="66">
        <v>0.9</v>
      </c>
      <c r="B33" s="66">
        <v>0.13</v>
      </c>
      <c r="C33" s="66">
        <f t="shared" si="2"/>
        <v>0.11700000000000001</v>
      </c>
      <c r="D33" s="67">
        <f t="shared" si="0"/>
        <v>253.89000000000001</v>
      </c>
      <c r="E33" s="67">
        <f t="shared" si="1"/>
        <v>304.66800000000001</v>
      </c>
    </row>
    <row r="34" spans="1:5" ht="18" x14ac:dyDescent="0.35">
      <c r="A34" s="66">
        <v>0.75</v>
      </c>
      <c r="B34" s="66">
        <v>0.15</v>
      </c>
      <c r="C34" s="66">
        <f t="shared" si="2"/>
        <v>0.11249999999999999</v>
      </c>
      <c r="D34" s="67">
        <f t="shared" si="0"/>
        <v>244.12499999999997</v>
      </c>
      <c r="E34" s="67">
        <f t="shared" si="1"/>
        <v>292.95</v>
      </c>
    </row>
    <row r="35" spans="1:5" ht="18" x14ac:dyDescent="0.35">
      <c r="A35" s="66">
        <v>3.2</v>
      </c>
      <c r="B35" s="66">
        <v>0.09</v>
      </c>
      <c r="C35" s="66">
        <f t="shared" si="2"/>
        <v>0.28799999999999998</v>
      </c>
      <c r="D35" s="67">
        <f t="shared" si="0"/>
        <v>624.95999999999992</v>
      </c>
      <c r="E35" s="67">
        <f t="shared" si="1"/>
        <v>749.95199999999988</v>
      </c>
    </row>
    <row r="36" spans="1:5" ht="18" x14ac:dyDescent="0.35">
      <c r="A36" s="66">
        <v>0.9</v>
      </c>
      <c r="B36" s="66">
        <v>0.14000000000000001</v>
      </c>
      <c r="C36" s="66">
        <f t="shared" si="2"/>
        <v>0.12600000000000003</v>
      </c>
      <c r="D36" s="67">
        <f t="shared" si="0"/>
        <v>273.42000000000007</v>
      </c>
      <c r="E36" s="67">
        <f t="shared" si="1"/>
        <v>328.1040000000001</v>
      </c>
    </row>
    <row r="37" spans="1:5" ht="18" x14ac:dyDescent="0.35">
      <c r="A37" s="66">
        <v>0.88</v>
      </c>
      <c r="B37" s="66">
        <v>0.14000000000000001</v>
      </c>
      <c r="C37" s="66">
        <f t="shared" si="2"/>
        <v>0.12320000000000002</v>
      </c>
      <c r="D37" s="67">
        <f t="shared" si="0"/>
        <v>267.34400000000005</v>
      </c>
      <c r="E37" s="67">
        <f t="shared" si="1"/>
        <v>320.81280000000004</v>
      </c>
    </row>
    <row r="38" spans="1:5" ht="18" x14ac:dyDescent="0.35">
      <c r="A38" s="66">
        <v>3.96</v>
      </c>
      <c r="B38" s="66">
        <v>0.13</v>
      </c>
      <c r="C38" s="66">
        <f t="shared" si="2"/>
        <v>0.51480000000000004</v>
      </c>
      <c r="D38" s="67">
        <f t="shared" si="0"/>
        <v>1117.116</v>
      </c>
      <c r="E38" s="67">
        <f t="shared" si="1"/>
        <v>1340.5391999999999</v>
      </c>
    </row>
    <row r="39" spans="1:5" ht="18" x14ac:dyDescent="0.35">
      <c r="A39" s="66">
        <v>0.97</v>
      </c>
      <c r="B39" s="66">
        <v>0.13</v>
      </c>
      <c r="C39" s="66">
        <f t="shared" si="2"/>
        <v>0.12609999999999999</v>
      </c>
      <c r="D39" s="67">
        <f t="shared" si="0"/>
        <v>273.637</v>
      </c>
      <c r="E39" s="67">
        <f t="shared" si="1"/>
        <v>328.36439999999999</v>
      </c>
    </row>
    <row r="40" spans="1:5" ht="18" x14ac:dyDescent="0.35">
      <c r="A40" s="66">
        <v>1.08</v>
      </c>
      <c r="B40" s="66">
        <v>0.14000000000000001</v>
      </c>
      <c r="C40" s="66">
        <f t="shared" si="2"/>
        <v>0.15120000000000003</v>
      </c>
      <c r="D40" s="67">
        <f t="shared" si="0"/>
        <v>328.10400000000004</v>
      </c>
      <c r="E40" s="67">
        <f t="shared" si="1"/>
        <v>393.72480000000007</v>
      </c>
    </row>
    <row r="41" spans="1:5" ht="18" x14ac:dyDescent="0.35">
      <c r="A41" s="66">
        <v>1.37</v>
      </c>
      <c r="B41" s="66">
        <v>0.13</v>
      </c>
      <c r="C41" s="66">
        <f t="shared" si="2"/>
        <v>0.17810000000000001</v>
      </c>
      <c r="D41" s="67">
        <f t="shared" si="0"/>
        <v>386.47700000000003</v>
      </c>
      <c r="E41" s="67">
        <f t="shared" si="1"/>
        <v>463.77240000000006</v>
      </c>
    </row>
    <row r="42" spans="1:5" ht="18" x14ac:dyDescent="0.35">
      <c r="A42" s="66">
        <v>3.94</v>
      </c>
      <c r="B42" s="66">
        <v>0.11</v>
      </c>
      <c r="C42" s="66">
        <f t="shared" si="2"/>
        <v>0.43340000000000001</v>
      </c>
      <c r="D42" s="67">
        <f t="shared" si="0"/>
        <v>940.47800000000007</v>
      </c>
      <c r="E42" s="67">
        <f t="shared" si="1"/>
        <v>1128.5736000000002</v>
      </c>
    </row>
    <row r="43" spans="1:5" ht="18" x14ac:dyDescent="0.35">
      <c r="A43" s="68">
        <v>1.35</v>
      </c>
      <c r="B43" s="68">
        <v>0.12</v>
      </c>
      <c r="C43" s="68">
        <f t="shared" si="2"/>
        <v>0.16200000000000001</v>
      </c>
      <c r="D43" s="69">
        <f t="shared" si="0"/>
        <v>351.54</v>
      </c>
      <c r="E43" s="69">
        <f t="shared" si="1"/>
        <v>421.84800000000001</v>
      </c>
    </row>
    <row r="44" spans="1:5" ht="18" x14ac:dyDescent="0.35">
      <c r="A44" s="72"/>
      <c r="B44" s="72"/>
      <c r="C44" s="72"/>
      <c r="D44" s="73">
        <f>SUM(D6:D43)</f>
        <v>17434.431000000004</v>
      </c>
      <c r="E44" s="73">
        <f t="shared" si="1"/>
        <v>20921.317200000005</v>
      </c>
    </row>
    <row r="45" spans="1:5" ht="18" x14ac:dyDescent="0.35">
      <c r="A45" s="65" t="s">
        <v>572</v>
      </c>
      <c r="B45" s="65" t="s">
        <v>573</v>
      </c>
      <c r="C45" s="65" t="s">
        <v>574</v>
      </c>
      <c r="D45" s="65" t="s">
        <v>575</v>
      </c>
      <c r="E45" s="65" t="s">
        <v>576</v>
      </c>
    </row>
    <row r="46" spans="1:5" ht="18" x14ac:dyDescent="0.35">
      <c r="A46" s="70">
        <v>1.08</v>
      </c>
      <c r="B46" s="70">
        <v>0.13</v>
      </c>
      <c r="C46" s="70">
        <f t="shared" si="2"/>
        <v>0.14040000000000002</v>
      </c>
      <c r="D46" s="71">
        <f t="shared" si="0"/>
        <v>304.66800000000006</v>
      </c>
      <c r="E46" s="71">
        <f t="shared" si="1"/>
        <v>365.60160000000008</v>
      </c>
    </row>
    <row r="47" spans="1:5" ht="18" x14ac:dyDescent="0.35">
      <c r="A47" s="66">
        <v>3.93</v>
      </c>
      <c r="B47" s="66">
        <v>0.11</v>
      </c>
      <c r="C47" s="66">
        <f t="shared" si="2"/>
        <v>0.43230000000000002</v>
      </c>
      <c r="D47" s="67">
        <f t="shared" si="0"/>
        <v>938.09100000000001</v>
      </c>
      <c r="E47" s="67">
        <f t="shared" si="1"/>
        <v>1125.7092</v>
      </c>
    </row>
    <row r="48" spans="1:5" ht="18" x14ac:dyDescent="0.35">
      <c r="A48" s="66">
        <v>1.54</v>
      </c>
      <c r="B48" s="66">
        <v>0.13</v>
      </c>
      <c r="C48" s="66">
        <f t="shared" si="2"/>
        <v>0.20020000000000002</v>
      </c>
      <c r="D48" s="67">
        <f t="shared" si="0"/>
        <v>434.43400000000003</v>
      </c>
      <c r="E48" s="67">
        <f t="shared" si="1"/>
        <v>521.32080000000008</v>
      </c>
    </row>
    <row r="49" spans="1:5" ht="18" x14ac:dyDescent="0.35">
      <c r="A49" s="66">
        <v>1.34</v>
      </c>
      <c r="B49" s="66">
        <v>0.17</v>
      </c>
      <c r="C49" s="66">
        <f t="shared" si="2"/>
        <v>0.22780000000000003</v>
      </c>
      <c r="D49" s="67">
        <f t="shared" si="0"/>
        <v>494.32600000000008</v>
      </c>
      <c r="E49" s="67">
        <f t="shared" si="1"/>
        <v>593.19120000000009</v>
      </c>
    </row>
    <row r="50" spans="1:5" ht="18" x14ac:dyDescent="0.35">
      <c r="A50" s="66">
        <v>1.08</v>
      </c>
      <c r="B50" s="66">
        <v>0.14000000000000001</v>
      </c>
      <c r="C50" s="66">
        <f t="shared" si="2"/>
        <v>0.15120000000000003</v>
      </c>
      <c r="D50" s="67">
        <f t="shared" si="0"/>
        <v>328.10400000000004</v>
      </c>
      <c r="E50" s="67">
        <f t="shared" si="1"/>
        <v>393.72480000000007</v>
      </c>
    </row>
    <row r="51" spans="1:5" ht="18" x14ac:dyDescent="0.35">
      <c r="A51" s="66">
        <v>3.94</v>
      </c>
      <c r="B51" s="66">
        <v>0.11</v>
      </c>
      <c r="C51" s="66">
        <f t="shared" si="2"/>
        <v>0.43340000000000001</v>
      </c>
      <c r="D51" s="67">
        <f t="shared" si="0"/>
        <v>940.47800000000007</v>
      </c>
      <c r="E51" s="67">
        <f t="shared" si="1"/>
        <v>1128.5736000000002</v>
      </c>
    </row>
    <row r="52" spans="1:5" ht="18" x14ac:dyDescent="0.35">
      <c r="A52" s="66">
        <v>1.5</v>
      </c>
      <c r="B52" s="66">
        <v>0.14000000000000001</v>
      </c>
      <c r="C52" s="66">
        <f t="shared" si="2"/>
        <v>0.21000000000000002</v>
      </c>
      <c r="D52" s="67">
        <f t="shared" si="0"/>
        <v>455.70000000000005</v>
      </c>
      <c r="E52" s="67">
        <f t="shared" si="1"/>
        <v>546.84</v>
      </c>
    </row>
    <row r="53" spans="1:5" ht="18" x14ac:dyDescent="0.35">
      <c r="A53" s="66">
        <v>1.35</v>
      </c>
      <c r="B53" s="66">
        <v>0.14000000000000001</v>
      </c>
      <c r="C53" s="66">
        <f t="shared" si="2"/>
        <v>0.18900000000000003</v>
      </c>
      <c r="D53" s="67">
        <f t="shared" si="0"/>
        <v>410.13000000000005</v>
      </c>
      <c r="E53" s="67">
        <f t="shared" si="1"/>
        <v>492.15600000000006</v>
      </c>
    </row>
    <row r="54" spans="1:5" ht="18" x14ac:dyDescent="0.35">
      <c r="A54" s="66">
        <v>1.08</v>
      </c>
      <c r="B54" s="66">
        <v>0.11</v>
      </c>
      <c r="C54" s="66">
        <f t="shared" si="2"/>
        <v>0.1188</v>
      </c>
      <c r="D54" s="67">
        <f t="shared" si="0"/>
        <v>257.79599999999999</v>
      </c>
      <c r="E54" s="67">
        <f t="shared" si="1"/>
        <v>309.35519999999997</v>
      </c>
    </row>
    <row r="55" spans="1:5" ht="18" x14ac:dyDescent="0.35">
      <c r="A55" s="66">
        <v>3.93</v>
      </c>
      <c r="B55" s="66">
        <v>0.1</v>
      </c>
      <c r="C55" s="66">
        <f t="shared" si="2"/>
        <v>0.39300000000000002</v>
      </c>
      <c r="D55" s="67">
        <f t="shared" si="0"/>
        <v>852.81000000000006</v>
      </c>
      <c r="E55" s="67">
        <f t="shared" si="1"/>
        <v>1023.3720000000001</v>
      </c>
    </row>
    <row r="56" spans="1:5" ht="18" x14ac:dyDescent="0.35">
      <c r="A56" s="66">
        <v>1.59</v>
      </c>
      <c r="B56" s="66">
        <v>0.13</v>
      </c>
      <c r="C56" s="66">
        <f t="shared" si="2"/>
        <v>0.20670000000000002</v>
      </c>
      <c r="D56" s="67">
        <f t="shared" si="0"/>
        <v>448.53900000000004</v>
      </c>
      <c r="E56" s="67">
        <f t="shared" si="1"/>
        <v>538.24680000000012</v>
      </c>
    </row>
    <row r="57" spans="1:5" ht="18" x14ac:dyDescent="0.35">
      <c r="A57" s="66">
        <v>1.37</v>
      </c>
      <c r="B57" s="66">
        <v>0.13</v>
      </c>
      <c r="C57" s="66">
        <f t="shared" si="2"/>
        <v>0.17810000000000001</v>
      </c>
      <c r="D57" s="67">
        <f t="shared" si="0"/>
        <v>386.47700000000003</v>
      </c>
      <c r="E57" s="67">
        <f t="shared" si="1"/>
        <v>463.77240000000006</v>
      </c>
    </row>
    <row r="58" spans="1:5" ht="18" x14ac:dyDescent="0.35">
      <c r="A58" s="66">
        <v>1.0900000000000001</v>
      </c>
      <c r="B58" s="66">
        <v>0.13</v>
      </c>
      <c r="C58" s="66">
        <f t="shared" si="2"/>
        <v>0.14170000000000002</v>
      </c>
      <c r="D58" s="67">
        <f t="shared" si="0"/>
        <v>307.48900000000003</v>
      </c>
      <c r="E58" s="67">
        <f t="shared" si="1"/>
        <v>368.98680000000002</v>
      </c>
    </row>
    <row r="59" spans="1:5" ht="18" x14ac:dyDescent="0.35">
      <c r="A59" s="66">
        <v>3.94</v>
      </c>
      <c r="B59" s="66">
        <v>0.13</v>
      </c>
      <c r="C59" s="66">
        <f t="shared" si="2"/>
        <v>0.51219999999999999</v>
      </c>
      <c r="D59" s="67">
        <f t="shared" si="0"/>
        <v>1111.4739999999999</v>
      </c>
      <c r="E59" s="67">
        <f t="shared" si="1"/>
        <v>1333.7687999999998</v>
      </c>
    </row>
    <row r="60" spans="1:5" ht="18" x14ac:dyDescent="0.35">
      <c r="A60" s="66">
        <v>1.36</v>
      </c>
      <c r="B60" s="66">
        <v>0.14000000000000001</v>
      </c>
      <c r="C60" s="66">
        <f t="shared" si="2"/>
        <v>0.19040000000000004</v>
      </c>
      <c r="D60" s="67">
        <f t="shared" si="0"/>
        <v>413.16800000000006</v>
      </c>
      <c r="E60" s="67">
        <f t="shared" si="1"/>
        <v>495.80160000000006</v>
      </c>
    </row>
    <row r="61" spans="1:5" ht="18" x14ac:dyDescent="0.35">
      <c r="A61" s="66">
        <v>3.92</v>
      </c>
      <c r="B61" s="66">
        <v>0.1</v>
      </c>
      <c r="C61" s="66">
        <f t="shared" si="2"/>
        <v>0.39200000000000002</v>
      </c>
      <c r="D61" s="67">
        <f t="shared" si="0"/>
        <v>850.64</v>
      </c>
      <c r="E61" s="67">
        <f t="shared" si="1"/>
        <v>1020.768</v>
      </c>
    </row>
    <row r="62" spans="1:5" ht="18" x14ac:dyDescent="0.35">
      <c r="A62" s="66">
        <v>1.53</v>
      </c>
      <c r="B62" s="66">
        <v>0.13</v>
      </c>
      <c r="C62" s="66">
        <f t="shared" si="2"/>
        <v>0.19890000000000002</v>
      </c>
      <c r="D62" s="67">
        <f t="shared" si="0"/>
        <v>431.61300000000006</v>
      </c>
      <c r="E62" s="67">
        <f t="shared" si="1"/>
        <v>517.93560000000002</v>
      </c>
    </row>
    <row r="63" spans="1:5" ht="18" x14ac:dyDescent="0.35">
      <c r="A63" s="66">
        <v>1.35</v>
      </c>
      <c r="B63" s="66">
        <v>0.13</v>
      </c>
      <c r="C63" s="66">
        <f t="shared" si="2"/>
        <v>0.17550000000000002</v>
      </c>
      <c r="D63" s="67">
        <f t="shared" si="0"/>
        <v>380.83500000000004</v>
      </c>
      <c r="E63" s="67">
        <f t="shared" si="1"/>
        <v>457.00200000000007</v>
      </c>
    </row>
    <row r="64" spans="1:5" ht="18" x14ac:dyDescent="0.35">
      <c r="A64" s="66">
        <v>1.07</v>
      </c>
      <c r="B64" s="66">
        <v>0.12</v>
      </c>
      <c r="C64" s="66">
        <f t="shared" si="2"/>
        <v>0.12840000000000001</v>
      </c>
      <c r="D64" s="67">
        <f t="shared" si="0"/>
        <v>278.62800000000004</v>
      </c>
      <c r="E64" s="67">
        <f t="shared" si="1"/>
        <v>334.35360000000003</v>
      </c>
    </row>
    <row r="65" spans="1:5" ht="18" x14ac:dyDescent="0.35">
      <c r="A65" s="66">
        <v>3.94</v>
      </c>
      <c r="B65" s="66">
        <v>0.11</v>
      </c>
      <c r="C65" s="66">
        <f t="shared" si="2"/>
        <v>0.43340000000000001</v>
      </c>
      <c r="D65" s="67">
        <f t="shared" si="0"/>
        <v>940.47800000000007</v>
      </c>
      <c r="E65" s="67">
        <f t="shared" si="1"/>
        <v>1128.5736000000002</v>
      </c>
    </row>
    <row r="66" spans="1:5" ht="18" x14ac:dyDescent="0.35">
      <c r="A66" s="66">
        <v>1.5</v>
      </c>
      <c r="B66" s="66">
        <v>0.13</v>
      </c>
      <c r="C66" s="66">
        <f t="shared" si="2"/>
        <v>0.19500000000000001</v>
      </c>
      <c r="D66" s="67">
        <f t="shared" si="0"/>
        <v>423.15000000000003</v>
      </c>
      <c r="E66" s="67">
        <f t="shared" si="1"/>
        <v>507.78000000000003</v>
      </c>
    </row>
    <row r="67" spans="1:5" ht="18" x14ac:dyDescent="0.35">
      <c r="A67" s="66">
        <v>1.08</v>
      </c>
      <c r="B67" s="66">
        <v>0.13</v>
      </c>
      <c r="C67" s="66">
        <f t="shared" si="2"/>
        <v>0.14040000000000002</v>
      </c>
      <c r="D67" s="67">
        <f t="shared" si="0"/>
        <v>304.66800000000006</v>
      </c>
      <c r="E67" s="67">
        <f t="shared" si="1"/>
        <v>365.60160000000008</v>
      </c>
    </row>
    <row r="68" spans="1:5" ht="18" x14ac:dyDescent="0.35">
      <c r="A68" s="66">
        <v>3.96</v>
      </c>
      <c r="B68" s="66">
        <v>0.11</v>
      </c>
      <c r="C68" s="66">
        <f t="shared" si="2"/>
        <v>0.43559999999999999</v>
      </c>
      <c r="D68" s="67">
        <f t="shared" si="0"/>
        <v>945.25199999999995</v>
      </c>
      <c r="E68" s="67">
        <f t="shared" si="1"/>
        <v>1134.3024</v>
      </c>
    </row>
    <row r="69" spans="1:5" ht="18" x14ac:dyDescent="0.35">
      <c r="A69" s="66">
        <v>1.33</v>
      </c>
      <c r="B69" s="66">
        <v>0.14000000000000001</v>
      </c>
      <c r="C69" s="66">
        <f t="shared" si="2"/>
        <v>0.18620000000000003</v>
      </c>
      <c r="D69" s="67">
        <f t="shared" si="0"/>
        <v>404.05400000000009</v>
      </c>
      <c r="E69" s="67">
        <f t="shared" si="1"/>
        <v>484.86480000000012</v>
      </c>
    </row>
    <row r="70" spans="1:5" ht="18" x14ac:dyDescent="0.35">
      <c r="A70" s="66">
        <v>1.07</v>
      </c>
      <c r="B70" s="66">
        <v>0.14000000000000001</v>
      </c>
      <c r="C70" s="66">
        <f t="shared" si="2"/>
        <v>0.14980000000000002</v>
      </c>
      <c r="D70" s="67">
        <f t="shared" si="0"/>
        <v>325.06600000000003</v>
      </c>
      <c r="E70" s="67">
        <f t="shared" si="1"/>
        <v>390.07920000000001</v>
      </c>
    </row>
    <row r="71" spans="1:5" ht="18" x14ac:dyDescent="0.35">
      <c r="A71" s="66">
        <v>1.1000000000000001</v>
      </c>
      <c r="B71" s="66">
        <v>0.15</v>
      </c>
      <c r="C71" s="66">
        <f t="shared" si="2"/>
        <v>0.16500000000000001</v>
      </c>
      <c r="D71" s="67">
        <f t="shared" si="0"/>
        <v>358.05</v>
      </c>
      <c r="E71" s="67">
        <f t="shared" si="1"/>
        <v>429.66</v>
      </c>
    </row>
    <row r="72" spans="1:5" ht="18" x14ac:dyDescent="0.35">
      <c r="A72" s="66">
        <v>3.8</v>
      </c>
      <c r="B72" s="66">
        <v>0.1</v>
      </c>
      <c r="C72" s="66">
        <f t="shared" si="2"/>
        <v>0.38</v>
      </c>
      <c r="D72" s="67">
        <f t="shared" si="0"/>
        <v>824.6</v>
      </c>
      <c r="E72" s="67">
        <f t="shared" si="1"/>
        <v>989.52</v>
      </c>
    </row>
    <row r="73" spans="1:5" ht="18" x14ac:dyDescent="0.35">
      <c r="A73" s="66">
        <v>0.88</v>
      </c>
      <c r="B73" s="66">
        <v>0.11</v>
      </c>
      <c r="C73" s="66">
        <f t="shared" si="2"/>
        <v>9.6799999999999997E-2</v>
      </c>
      <c r="D73" s="67">
        <f t="shared" ref="D73:D148" si="3">C73*2170</f>
        <v>210.05599999999998</v>
      </c>
      <c r="E73" s="67">
        <f t="shared" ref="E73:E149" si="4">D73+D73*20%</f>
        <v>252.06719999999999</v>
      </c>
    </row>
    <row r="74" spans="1:5" ht="18" x14ac:dyDescent="0.35">
      <c r="A74" s="66">
        <v>0.6</v>
      </c>
      <c r="B74" s="66">
        <v>0.1</v>
      </c>
      <c r="C74" s="66">
        <f t="shared" ref="C74:C148" si="5">A74*B74</f>
        <v>0.06</v>
      </c>
      <c r="D74" s="67">
        <f t="shared" si="3"/>
        <v>130.19999999999999</v>
      </c>
      <c r="E74" s="67">
        <f t="shared" si="4"/>
        <v>156.23999999999998</v>
      </c>
    </row>
    <row r="75" spans="1:5" ht="18" x14ac:dyDescent="0.35">
      <c r="A75" s="66">
        <v>3.75</v>
      </c>
      <c r="B75" s="66">
        <v>0.1</v>
      </c>
      <c r="C75" s="66">
        <f t="shared" si="5"/>
        <v>0.375</v>
      </c>
      <c r="D75" s="67">
        <f t="shared" si="3"/>
        <v>813.75</v>
      </c>
      <c r="E75" s="67">
        <f t="shared" si="4"/>
        <v>976.5</v>
      </c>
    </row>
    <row r="76" spans="1:5" ht="18" x14ac:dyDescent="0.35">
      <c r="A76" s="66">
        <v>0.88</v>
      </c>
      <c r="B76" s="66">
        <v>0.1</v>
      </c>
      <c r="C76" s="66">
        <f t="shared" si="5"/>
        <v>8.8000000000000009E-2</v>
      </c>
      <c r="D76" s="67">
        <f t="shared" si="3"/>
        <v>190.96</v>
      </c>
      <c r="E76" s="67">
        <f t="shared" si="4"/>
        <v>229.15200000000002</v>
      </c>
    </row>
    <row r="77" spans="1:5" ht="18" x14ac:dyDescent="0.35">
      <c r="A77" s="66">
        <v>4.1100000000000003</v>
      </c>
      <c r="B77" s="66">
        <v>0.09</v>
      </c>
      <c r="C77" s="66">
        <f t="shared" si="5"/>
        <v>0.36990000000000001</v>
      </c>
      <c r="D77" s="67">
        <f t="shared" si="3"/>
        <v>802.68299999999999</v>
      </c>
      <c r="E77" s="67">
        <f t="shared" si="4"/>
        <v>963.21960000000001</v>
      </c>
    </row>
    <row r="78" spans="1:5" ht="18" x14ac:dyDescent="0.35">
      <c r="A78" s="66">
        <v>0.96</v>
      </c>
      <c r="B78" s="66">
        <v>0.12</v>
      </c>
      <c r="C78" s="66">
        <f t="shared" si="5"/>
        <v>0.1152</v>
      </c>
      <c r="D78" s="67">
        <f t="shared" si="3"/>
        <v>249.98399999999998</v>
      </c>
      <c r="E78" s="67">
        <f t="shared" si="4"/>
        <v>299.98079999999999</v>
      </c>
    </row>
    <row r="79" spans="1:5" ht="18" x14ac:dyDescent="0.35">
      <c r="A79" s="66">
        <v>0.88</v>
      </c>
      <c r="B79" s="66">
        <v>0.12</v>
      </c>
      <c r="C79" s="66">
        <f t="shared" si="5"/>
        <v>0.1056</v>
      </c>
      <c r="D79" s="67">
        <f t="shared" si="3"/>
        <v>229.15199999999999</v>
      </c>
      <c r="E79" s="67">
        <f t="shared" si="4"/>
        <v>274.98239999999998</v>
      </c>
    </row>
    <row r="80" spans="1:5" ht="18" x14ac:dyDescent="0.35">
      <c r="A80" s="66">
        <v>0.73</v>
      </c>
      <c r="B80" s="66">
        <v>0.17</v>
      </c>
      <c r="C80" s="66">
        <f t="shared" si="5"/>
        <v>0.1241</v>
      </c>
      <c r="D80" s="67">
        <f t="shared" si="3"/>
        <v>269.29700000000003</v>
      </c>
      <c r="E80" s="67">
        <f t="shared" si="4"/>
        <v>323.15640000000002</v>
      </c>
    </row>
    <row r="81" spans="1:5" ht="18" x14ac:dyDescent="0.35">
      <c r="A81" s="66">
        <v>3.2</v>
      </c>
      <c r="B81" s="66">
        <v>0.1</v>
      </c>
      <c r="C81" s="66">
        <f t="shared" si="5"/>
        <v>0.32000000000000006</v>
      </c>
      <c r="D81" s="67">
        <f t="shared" si="3"/>
        <v>694.40000000000009</v>
      </c>
      <c r="E81" s="67">
        <f t="shared" si="4"/>
        <v>833.28000000000009</v>
      </c>
    </row>
    <row r="82" spans="1:5" ht="18" x14ac:dyDescent="0.35">
      <c r="A82" s="66">
        <v>0.92</v>
      </c>
      <c r="B82" s="66">
        <v>0.13</v>
      </c>
      <c r="C82" s="66">
        <f t="shared" si="5"/>
        <v>0.11960000000000001</v>
      </c>
      <c r="D82" s="67">
        <f t="shared" si="3"/>
        <v>259.53200000000004</v>
      </c>
      <c r="E82" s="67">
        <f t="shared" si="4"/>
        <v>311.43840000000006</v>
      </c>
    </row>
    <row r="83" spans="1:5" ht="18" x14ac:dyDescent="0.35">
      <c r="A83" s="66">
        <v>0.88</v>
      </c>
      <c r="B83" s="66">
        <v>0.14000000000000001</v>
      </c>
      <c r="C83" s="66">
        <f t="shared" si="5"/>
        <v>0.12320000000000002</v>
      </c>
      <c r="D83" s="67">
        <f t="shared" si="3"/>
        <v>267.34400000000005</v>
      </c>
      <c r="E83" s="67">
        <f t="shared" si="4"/>
        <v>320.81280000000004</v>
      </c>
    </row>
    <row r="84" spans="1:5" ht="18" x14ac:dyDescent="0.35">
      <c r="A84" s="66">
        <v>3.21</v>
      </c>
      <c r="B84" s="66">
        <v>0.1</v>
      </c>
      <c r="C84" s="66">
        <f t="shared" si="5"/>
        <v>0.32100000000000001</v>
      </c>
      <c r="D84" s="67">
        <f t="shared" si="3"/>
        <v>696.57</v>
      </c>
      <c r="E84" s="67">
        <f t="shared" si="4"/>
        <v>835.88400000000001</v>
      </c>
    </row>
    <row r="85" spans="1:5" ht="18" x14ac:dyDescent="0.35">
      <c r="A85" s="66">
        <v>1.1499999999999999</v>
      </c>
      <c r="B85" s="66">
        <v>0.13</v>
      </c>
      <c r="C85" s="66">
        <f t="shared" si="5"/>
        <v>0.14949999999999999</v>
      </c>
      <c r="D85" s="67">
        <f t="shared" si="3"/>
        <v>324.41499999999996</v>
      </c>
      <c r="E85" s="67">
        <f t="shared" si="4"/>
        <v>389.29799999999994</v>
      </c>
    </row>
    <row r="86" spans="1:5" ht="18" x14ac:dyDescent="0.35">
      <c r="A86" s="68">
        <v>1.1000000000000001</v>
      </c>
      <c r="B86" s="68">
        <v>0.11</v>
      </c>
      <c r="C86" s="68">
        <f t="shared" si="5"/>
        <v>0.12100000000000001</v>
      </c>
      <c r="D86" s="69">
        <f t="shared" si="3"/>
        <v>262.57000000000005</v>
      </c>
      <c r="E86" s="69">
        <f t="shared" si="4"/>
        <v>315.08400000000006</v>
      </c>
    </row>
    <row r="87" spans="1:5" ht="18" x14ac:dyDescent="0.35">
      <c r="A87" s="72"/>
      <c r="B87" s="72"/>
      <c r="C87" s="72"/>
      <c r="D87" s="73">
        <f>SUM(D46:D86)</f>
        <v>19951.631000000001</v>
      </c>
      <c r="E87" s="73">
        <f t="shared" si="4"/>
        <v>23941.957200000001</v>
      </c>
    </row>
    <row r="88" spans="1:5" ht="18" x14ac:dyDescent="0.35">
      <c r="A88" s="65" t="s">
        <v>572</v>
      </c>
      <c r="B88" s="65" t="s">
        <v>573</v>
      </c>
      <c r="C88" s="65" t="s">
        <v>574</v>
      </c>
      <c r="D88" s="65" t="s">
        <v>575</v>
      </c>
      <c r="E88" s="65" t="s">
        <v>576</v>
      </c>
    </row>
    <row r="89" spans="1:5" ht="18" x14ac:dyDescent="0.35">
      <c r="A89" s="70">
        <v>3.19</v>
      </c>
      <c r="B89" s="70">
        <v>0.11</v>
      </c>
      <c r="C89" s="70">
        <f t="shared" si="5"/>
        <v>0.35089999999999999</v>
      </c>
      <c r="D89" s="71">
        <f t="shared" si="3"/>
        <v>761.45299999999997</v>
      </c>
      <c r="E89" s="71">
        <f t="shared" si="4"/>
        <v>913.74360000000001</v>
      </c>
    </row>
    <row r="90" spans="1:5" ht="18" x14ac:dyDescent="0.35">
      <c r="A90" s="66">
        <v>0.9</v>
      </c>
      <c r="B90" s="66">
        <v>0.14000000000000001</v>
      </c>
      <c r="C90" s="66">
        <f t="shared" si="5"/>
        <v>0.12600000000000003</v>
      </c>
      <c r="D90" s="67">
        <f t="shared" si="3"/>
        <v>273.42000000000007</v>
      </c>
      <c r="E90" s="67">
        <f t="shared" si="4"/>
        <v>328.1040000000001</v>
      </c>
    </row>
    <row r="91" spans="1:5" ht="18" x14ac:dyDescent="0.35">
      <c r="A91" s="66">
        <v>0.87</v>
      </c>
      <c r="B91" s="66">
        <v>0.14000000000000001</v>
      </c>
      <c r="C91" s="66">
        <f t="shared" si="5"/>
        <v>0.12180000000000001</v>
      </c>
      <c r="D91" s="67">
        <f t="shared" si="3"/>
        <v>264.30600000000004</v>
      </c>
      <c r="E91" s="67">
        <f t="shared" si="4"/>
        <v>317.16720000000004</v>
      </c>
    </row>
    <row r="92" spans="1:5" ht="18" x14ac:dyDescent="0.35">
      <c r="A92" s="66">
        <v>3.21</v>
      </c>
      <c r="B92" s="66">
        <v>0.12</v>
      </c>
      <c r="C92" s="66">
        <f t="shared" si="5"/>
        <v>0.38519999999999999</v>
      </c>
      <c r="D92" s="67">
        <f t="shared" si="3"/>
        <v>835.88400000000001</v>
      </c>
      <c r="E92" s="67">
        <f t="shared" si="4"/>
        <v>1003.0608</v>
      </c>
    </row>
    <row r="93" spans="1:5" ht="18" x14ac:dyDescent="0.35">
      <c r="A93" s="66">
        <v>0.92</v>
      </c>
      <c r="B93" s="66">
        <v>0.14000000000000001</v>
      </c>
      <c r="C93" s="66">
        <f t="shared" si="5"/>
        <v>0.12880000000000003</v>
      </c>
      <c r="D93" s="67">
        <f t="shared" si="3"/>
        <v>279.49600000000004</v>
      </c>
      <c r="E93" s="67">
        <f t="shared" si="4"/>
        <v>335.39520000000005</v>
      </c>
    </row>
    <row r="94" spans="1:5" ht="18" x14ac:dyDescent="0.35">
      <c r="A94" s="66">
        <v>0.88</v>
      </c>
      <c r="B94" s="66">
        <v>0.15</v>
      </c>
      <c r="C94" s="66">
        <f t="shared" si="5"/>
        <v>0.13200000000000001</v>
      </c>
      <c r="D94" s="67">
        <f t="shared" si="3"/>
        <v>286.44</v>
      </c>
      <c r="E94" s="67">
        <f t="shared" si="4"/>
        <v>343.72800000000001</v>
      </c>
    </row>
    <row r="95" spans="1:5" ht="18" x14ac:dyDescent="0.35">
      <c r="A95" s="66">
        <v>3.2</v>
      </c>
      <c r="B95" s="66">
        <v>0.11</v>
      </c>
      <c r="C95" s="66">
        <f t="shared" si="5"/>
        <v>0.35200000000000004</v>
      </c>
      <c r="D95" s="67">
        <f t="shared" si="3"/>
        <v>763.84</v>
      </c>
      <c r="E95" s="67">
        <f t="shared" si="4"/>
        <v>916.60800000000006</v>
      </c>
    </row>
    <row r="96" spans="1:5" ht="18" x14ac:dyDescent="0.35">
      <c r="A96" s="66">
        <v>0.91</v>
      </c>
      <c r="B96" s="66">
        <v>0.14000000000000001</v>
      </c>
      <c r="C96" s="66">
        <f t="shared" si="5"/>
        <v>0.12740000000000001</v>
      </c>
      <c r="D96" s="67">
        <f t="shared" si="3"/>
        <v>276.45800000000003</v>
      </c>
      <c r="E96" s="67">
        <f t="shared" si="4"/>
        <v>331.74960000000004</v>
      </c>
    </row>
    <row r="97" spans="1:5" ht="18" x14ac:dyDescent="0.35">
      <c r="A97" s="66">
        <v>0.89</v>
      </c>
      <c r="B97" s="66">
        <v>0.14000000000000001</v>
      </c>
      <c r="C97" s="66">
        <f t="shared" si="5"/>
        <v>0.12460000000000002</v>
      </c>
      <c r="D97" s="67">
        <f t="shared" si="3"/>
        <v>270.38200000000006</v>
      </c>
      <c r="E97" s="67">
        <f t="shared" si="4"/>
        <v>324.4584000000001</v>
      </c>
    </row>
    <row r="98" spans="1:5" ht="18" x14ac:dyDescent="0.35">
      <c r="A98" s="66">
        <v>3.2</v>
      </c>
      <c r="B98" s="66">
        <v>0.12</v>
      </c>
      <c r="C98" s="66">
        <f t="shared" si="5"/>
        <v>0.38400000000000001</v>
      </c>
      <c r="D98" s="67">
        <f t="shared" si="3"/>
        <v>833.28</v>
      </c>
      <c r="E98" s="67">
        <f t="shared" si="4"/>
        <v>999.93599999999992</v>
      </c>
    </row>
    <row r="99" spans="1:5" ht="18" x14ac:dyDescent="0.35">
      <c r="A99" s="66">
        <v>0.91</v>
      </c>
      <c r="B99" s="66">
        <v>0.15</v>
      </c>
      <c r="C99" s="66">
        <f t="shared" si="5"/>
        <v>0.13650000000000001</v>
      </c>
      <c r="D99" s="67">
        <f t="shared" si="3"/>
        <v>296.20500000000004</v>
      </c>
      <c r="E99" s="67">
        <f t="shared" si="4"/>
        <v>355.44600000000003</v>
      </c>
    </row>
    <row r="100" spans="1:5" ht="18" x14ac:dyDescent="0.35">
      <c r="A100" s="66">
        <v>0.87</v>
      </c>
      <c r="B100" s="66">
        <v>0.15</v>
      </c>
      <c r="C100" s="66">
        <f t="shared" si="5"/>
        <v>0.1305</v>
      </c>
      <c r="D100" s="67">
        <f t="shared" si="3"/>
        <v>283.185</v>
      </c>
      <c r="E100" s="67">
        <f t="shared" si="4"/>
        <v>339.822</v>
      </c>
    </row>
    <row r="101" spans="1:5" ht="18" x14ac:dyDescent="0.35">
      <c r="A101" s="66">
        <v>3.2</v>
      </c>
      <c r="B101" s="66">
        <v>0.11</v>
      </c>
      <c r="C101" s="66">
        <f t="shared" si="5"/>
        <v>0.35200000000000004</v>
      </c>
      <c r="D101" s="67">
        <f t="shared" si="3"/>
        <v>763.84</v>
      </c>
      <c r="E101" s="67">
        <f t="shared" si="4"/>
        <v>916.60800000000006</v>
      </c>
    </row>
    <row r="102" spans="1:5" ht="18" x14ac:dyDescent="0.35">
      <c r="A102" s="66">
        <v>0.91</v>
      </c>
      <c r="B102" s="66">
        <v>0.14000000000000001</v>
      </c>
      <c r="C102" s="66">
        <f t="shared" si="5"/>
        <v>0.12740000000000001</v>
      </c>
      <c r="D102" s="67">
        <f t="shared" si="3"/>
        <v>276.45800000000003</v>
      </c>
      <c r="E102" s="67">
        <f t="shared" si="4"/>
        <v>331.74960000000004</v>
      </c>
    </row>
    <row r="103" spans="1:5" ht="18" x14ac:dyDescent="0.35">
      <c r="A103" s="66">
        <v>0.82</v>
      </c>
      <c r="B103" s="66">
        <v>0.14000000000000001</v>
      </c>
      <c r="C103" s="66">
        <f t="shared" si="5"/>
        <v>0.1148</v>
      </c>
      <c r="D103" s="67">
        <f t="shared" si="3"/>
        <v>249.11599999999999</v>
      </c>
      <c r="E103" s="67">
        <f t="shared" si="4"/>
        <v>298.93919999999997</v>
      </c>
    </row>
    <row r="104" spans="1:5" ht="18" x14ac:dyDescent="0.35">
      <c r="A104" s="66">
        <v>0.93</v>
      </c>
      <c r="B104" s="66">
        <v>0.14000000000000001</v>
      </c>
      <c r="C104" s="66">
        <f t="shared" si="5"/>
        <v>0.13020000000000001</v>
      </c>
      <c r="D104" s="67">
        <f t="shared" si="3"/>
        <v>282.53400000000005</v>
      </c>
      <c r="E104" s="67">
        <f t="shared" si="4"/>
        <v>339.04080000000005</v>
      </c>
    </row>
    <row r="105" spans="1:5" ht="18" x14ac:dyDescent="0.35">
      <c r="A105" s="66">
        <v>0.9</v>
      </c>
      <c r="B105" s="66">
        <v>0.15</v>
      </c>
      <c r="C105" s="66">
        <f t="shared" si="5"/>
        <v>0.13500000000000001</v>
      </c>
      <c r="D105" s="67">
        <f t="shared" si="3"/>
        <v>292.95000000000005</v>
      </c>
      <c r="E105" s="67">
        <f t="shared" si="4"/>
        <v>351.54000000000008</v>
      </c>
    </row>
    <row r="106" spans="1:5" ht="18" x14ac:dyDescent="0.35">
      <c r="A106" s="66">
        <v>3.22</v>
      </c>
      <c r="B106" s="66">
        <v>0.11</v>
      </c>
      <c r="C106" s="66">
        <f t="shared" si="5"/>
        <v>0.35420000000000001</v>
      </c>
      <c r="D106" s="67">
        <f t="shared" si="3"/>
        <v>768.61400000000003</v>
      </c>
      <c r="E106" s="67">
        <f t="shared" si="4"/>
        <v>922.33680000000004</v>
      </c>
    </row>
    <row r="107" spans="1:5" ht="18" x14ac:dyDescent="0.35">
      <c r="A107" s="66">
        <v>0.92</v>
      </c>
      <c r="B107" s="66">
        <v>0.13</v>
      </c>
      <c r="C107" s="66">
        <f t="shared" si="5"/>
        <v>0.11960000000000001</v>
      </c>
      <c r="D107" s="67">
        <f t="shared" si="3"/>
        <v>259.53200000000004</v>
      </c>
      <c r="E107" s="67">
        <f t="shared" si="4"/>
        <v>311.43840000000006</v>
      </c>
    </row>
    <row r="108" spans="1:5" ht="18" x14ac:dyDescent="0.35">
      <c r="A108" s="66">
        <v>0.88</v>
      </c>
      <c r="B108" s="66">
        <v>0.14000000000000001</v>
      </c>
      <c r="C108" s="66">
        <f t="shared" si="5"/>
        <v>0.12320000000000002</v>
      </c>
      <c r="D108" s="67">
        <f t="shared" si="3"/>
        <v>267.34400000000005</v>
      </c>
      <c r="E108" s="67">
        <f t="shared" si="4"/>
        <v>320.81280000000004</v>
      </c>
    </row>
    <row r="109" spans="1:5" ht="18" x14ac:dyDescent="0.35">
      <c r="A109" s="66">
        <v>4.12</v>
      </c>
      <c r="B109" s="66">
        <v>0.11</v>
      </c>
      <c r="C109" s="66">
        <f t="shared" si="5"/>
        <v>0.45319999999999999</v>
      </c>
      <c r="D109" s="67">
        <f t="shared" si="3"/>
        <v>983.44399999999996</v>
      </c>
      <c r="E109" s="67">
        <f t="shared" si="4"/>
        <v>1180.1327999999999</v>
      </c>
    </row>
    <row r="110" spans="1:5" ht="18" x14ac:dyDescent="0.35">
      <c r="A110" s="66">
        <v>0.94</v>
      </c>
      <c r="B110" s="66">
        <v>0.14000000000000001</v>
      </c>
      <c r="C110" s="66">
        <f t="shared" si="5"/>
        <v>0.13159999999999999</v>
      </c>
      <c r="D110" s="67">
        <f t="shared" si="3"/>
        <v>285.572</v>
      </c>
      <c r="E110" s="67">
        <f t="shared" si="4"/>
        <v>342.68639999999999</v>
      </c>
    </row>
    <row r="111" spans="1:5" ht="18" x14ac:dyDescent="0.35">
      <c r="A111" s="66">
        <v>0.88</v>
      </c>
      <c r="B111" s="66">
        <v>0.11</v>
      </c>
      <c r="C111" s="66">
        <f t="shared" si="5"/>
        <v>9.6799999999999997E-2</v>
      </c>
      <c r="D111" s="67">
        <f t="shared" si="3"/>
        <v>210.05599999999998</v>
      </c>
      <c r="E111" s="67">
        <f t="shared" si="4"/>
        <v>252.06719999999999</v>
      </c>
    </row>
    <row r="112" spans="1:5" ht="18" x14ac:dyDescent="0.35">
      <c r="A112" s="66">
        <v>0.79</v>
      </c>
      <c r="B112" s="66">
        <v>0.14000000000000001</v>
      </c>
      <c r="C112" s="66">
        <f t="shared" si="5"/>
        <v>0.11060000000000002</v>
      </c>
      <c r="D112" s="67">
        <f t="shared" si="3"/>
        <v>240.00200000000004</v>
      </c>
      <c r="E112" s="67">
        <f t="shared" si="4"/>
        <v>288.00240000000008</v>
      </c>
    </row>
    <row r="113" spans="1:5" ht="18" x14ac:dyDescent="0.35">
      <c r="A113" s="66">
        <v>4.1399999999999997</v>
      </c>
      <c r="B113" s="66">
        <v>0.12</v>
      </c>
      <c r="C113" s="66">
        <f t="shared" si="5"/>
        <v>0.49679999999999996</v>
      </c>
      <c r="D113" s="67">
        <f t="shared" si="3"/>
        <v>1078.0559999999998</v>
      </c>
      <c r="E113" s="67">
        <f t="shared" si="4"/>
        <v>1293.6671999999999</v>
      </c>
    </row>
    <row r="114" spans="1:5" ht="18" x14ac:dyDescent="0.35">
      <c r="A114" s="66">
        <v>0.93</v>
      </c>
      <c r="B114" s="66">
        <v>0.13</v>
      </c>
      <c r="C114" s="66">
        <f t="shared" si="5"/>
        <v>0.12090000000000001</v>
      </c>
      <c r="D114" s="67">
        <f t="shared" si="3"/>
        <v>262.35300000000001</v>
      </c>
      <c r="E114" s="67">
        <f t="shared" si="4"/>
        <v>314.8236</v>
      </c>
    </row>
    <row r="115" spans="1:5" ht="18" x14ac:dyDescent="0.35">
      <c r="A115" s="66">
        <v>0.86</v>
      </c>
      <c r="B115" s="66">
        <v>0.13</v>
      </c>
      <c r="C115" s="66">
        <f t="shared" si="5"/>
        <v>0.1118</v>
      </c>
      <c r="D115" s="67">
        <f t="shared" si="3"/>
        <v>242.60599999999999</v>
      </c>
      <c r="E115" s="67">
        <f t="shared" si="4"/>
        <v>291.12720000000002</v>
      </c>
    </row>
    <row r="116" spans="1:5" ht="18" x14ac:dyDescent="0.35">
      <c r="A116" s="66">
        <v>0.77</v>
      </c>
      <c r="B116" s="66">
        <v>0.14000000000000001</v>
      </c>
      <c r="C116" s="66">
        <f t="shared" si="5"/>
        <v>0.10780000000000001</v>
      </c>
      <c r="D116" s="67">
        <f t="shared" si="3"/>
        <v>233.92600000000002</v>
      </c>
      <c r="E116" s="67">
        <f t="shared" si="4"/>
        <v>280.71120000000002</v>
      </c>
    </row>
    <row r="117" spans="1:5" ht="18" x14ac:dyDescent="0.35">
      <c r="A117" s="66">
        <v>4.1100000000000003</v>
      </c>
      <c r="B117" s="66">
        <v>0.1</v>
      </c>
      <c r="C117" s="66">
        <f t="shared" si="5"/>
        <v>0.41100000000000003</v>
      </c>
      <c r="D117" s="67">
        <f t="shared" si="3"/>
        <v>891.87000000000012</v>
      </c>
      <c r="E117" s="67">
        <f t="shared" si="4"/>
        <v>1070.2440000000001</v>
      </c>
    </row>
    <row r="118" spans="1:5" ht="18" x14ac:dyDescent="0.35">
      <c r="A118" s="66">
        <v>0.94</v>
      </c>
      <c r="B118" s="66">
        <v>0.14000000000000001</v>
      </c>
      <c r="C118" s="66">
        <f t="shared" si="5"/>
        <v>0.13159999999999999</v>
      </c>
      <c r="D118" s="67">
        <f t="shared" si="3"/>
        <v>285.572</v>
      </c>
      <c r="E118" s="67">
        <f t="shared" si="4"/>
        <v>342.68639999999999</v>
      </c>
    </row>
    <row r="119" spans="1:5" ht="18" x14ac:dyDescent="0.35">
      <c r="A119" s="66">
        <v>0.86</v>
      </c>
      <c r="B119" s="66">
        <v>0.14000000000000001</v>
      </c>
      <c r="C119" s="66">
        <f t="shared" si="5"/>
        <v>0.12040000000000001</v>
      </c>
      <c r="D119" s="67">
        <f t="shared" si="3"/>
        <v>261.26800000000003</v>
      </c>
      <c r="E119" s="67">
        <f t="shared" si="4"/>
        <v>313.52160000000003</v>
      </c>
    </row>
    <row r="120" spans="1:5" ht="18" x14ac:dyDescent="0.35">
      <c r="A120" s="66">
        <v>0.77</v>
      </c>
      <c r="B120" s="66">
        <v>0.14000000000000001</v>
      </c>
      <c r="C120" s="66">
        <f t="shared" si="5"/>
        <v>0.10780000000000001</v>
      </c>
      <c r="D120" s="67">
        <f t="shared" si="3"/>
        <v>233.92600000000002</v>
      </c>
      <c r="E120" s="67">
        <f t="shared" si="4"/>
        <v>280.71120000000002</v>
      </c>
    </row>
    <row r="121" spans="1:5" ht="18" x14ac:dyDescent="0.35">
      <c r="A121" s="66">
        <v>4.13</v>
      </c>
      <c r="B121" s="66">
        <v>0.12</v>
      </c>
      <c r="C121" s="66">
        <f t="shared" si="5"/>
        <v>0.49559999999999998</v>
      </c>
      <c r="D121" s="67">
        <f t="shared" si="3"/>
        <v>1075.452</v>
      </c>
      <c r="E121" s="67">
        <f t="shared" si="4"/>
        <v>1290.5424</v>
      </c>
    </row>
    <row r="122" spans="1:5" ht="18" x14ac:dyDescent="0.35">
      <c r="A122" s="66">
        <v>0.9</v>
      </c>
      <c r="B122" s="66">
        <v>0.14000000000000001</v>
      </c>
      <c r="C122" s="66">
        <f t="shared" si="5"/>
        <v>0.12600000000000003</v>
      </c>
      <c r="D122" s="67">
        <f t="shared" si="3"/>
        <v>273.42000000000007</v>
      </c>
      <c r="E122" s="67">
        <f t="shared" si="4"/>
        <v>328.1040000000001</v>
      </c>
    </row>
    <row r="123" spans="1:5" ht="18" x14ac:dyDescent="0.35">
      <c r="A123" s="66">
        <v>0.88</v>
      </c>
      <c r="B123" s="66">
        <v>0.14000000000000001</v>
      </c>
      <c r="C123" s="66">
        <f t="shared" si="5"/>
        <v>0.12320000000000002</v>
      </c>
      <c r="D123" s="67">
        <f t="shared" si="3"/>
        <v>267.34400000000005</v>
      </c>
      <c r="E123" s="67">
        <f t="shared" si="4"/>
        <v>320.81280000000004</v>
      </c>
    </row>
    <row r="124" spans="1:5" ht="18" x14ac:dyDescent="0.35">
      <c r="A124" s="66">
        <v>0.8</v>
      </c>
      <c r="B124" s="66">
        <v>0.13</v>
      </c>
      <c r="C124" s="66">
        <f t="shared" si="5"/>
        <v>0.10400000000000001</v>
      </c>
      <c r="D124" s="67">
        <f t="shared" si="3"/>
        <v>225.68</v>
      </c>
      <c r="E124" s="67">
        <f t="shared" si="4"/>
        <v>270.81600000000003</v>
      </c>
    </row>
    <row r="125" spans="1:5" ht="18" x14ac:dyDescent="0.35">
      <c r="A125" s="66">
        <v>4.0999999999999996</v>
      </c>
      <c r="B125" s="66">
        <v>0.11</v>
      </c>
      <c r="C125" s="66">
        <f>A125*B125</f>
        <v>0.45099999999999996</v>
      </c>
      <c r="D125" s="67">
        <f>C125*2170</f>
        <v>978.67</v>
      </c>
      <c r="E125" s="67">
        <f>D125+D125*20%</f>
        <v>1174.404</v>
      </c>
    </row>
    <row r="126" spans="1:5" ht="18" x14ac:dyDescent="0.35">
      <c r="A126" s="66">
        <v>0.9</v>
      </c>
      <c r="B126" s="66">
        <v>0.14000000000000001</v>
      </c>
      <c r="C126" s="66">
        <f>A126*B126</f>
        <v>0.12600000000000003</v>
      </c>
      <c r="D126" s="67">
        <f>C126*2170</f>
        <v>273.42000000000007</v>
      </c>
      <c r="E126" s="67">
        <f>D126+D126*20%</f>
        <v>328.1040000000001</v>
      </c>
    </row>
    <row r="127" spans="1:5" ht="18" x14ac:dyDescent="0.35">
      <c r="A127" s="66">
        <v>0.88</v>
      </c>
      <c r="B127" s="66">
        <v>0.13</v>
      </c>
      <c r="C127" s="66">
        <f>A127*B127</f>
        <v>0.1144</v>
      </c>
      <c r="D127" s="67">
        <f>C127*2170</f>
        <v>248.24799999999999</v>
      </c>
      <c r="E127" s="67">
        <f>D127+D127*20%</f>
        <v>297.89760000000001</v>
      </c>
    </row>
    <row r="128" spans="1:5" ht="18" x14ac:dyDescent="0.35">
      <c r="D128" s="74">
        <f>SUM(D89:D127)</f>
        <v>17135.621999999996</v>
      </c>
      <c r="E128" s="74">
        <f>D128+D128*20%</f>
        <v>20562.746399999996</v>
      </c>
    </row>
    <row r="131" spans="1:5" ht="18" x14ac:dyDescent="0.35">
      <c r="A131" s="65" t="s">
        <v>572</v>
      </c>
      <c r="B131" s="65" t="s">
        <v>573</v>
      </c>
      <c r="C131" s="65" t="s">
        <v>574</v>
      </c>
      <c r="D131" s="65" t="s">
        <v>575</v>
      </c>
      <c r="E131" s="65" t="s">
        <v>576</v>
      </c>
    </row>
    <row r="132" spans="1:5" ht="18" x14ac:dyDescent="0.35">
      <c r="A132" s="66">
        <v>0.74</v>
      </c>
      <c r="B132" s="66">
        <v>0.14000000000000001</v>
      </c>
      <c r="C132" s="66">
        <f t="shared" si="5"/>
        <v>0.10360000000000001</v>
      </c>
      <c r="D132" s="67">
        <f t="shared" si="3"/>
        <v>224.81200000000001</v>
      </c>
      <c r="E132" s="67">
        <f t="shared" si="4"/>
        <v>269.77440000000001</v>
      </c>
    </row>
    <row r="133" spans="1:5" ht="18" x14ac:dyDescent="0.35">
      <c r="A133" s="66">
        <v>4.13</v>
      </c>
      <c r="B133" s="66">
        <v>0.12</v>
      </c>
      <c r="C133" s="66">
        <f t="shared" si="5"/>
        <v>0.49559999999999998</v>
      </c>
      <c r="D133" s="67">
        <f t="shared" si="3"/>
        <v>1075.452</v>
      </c>
      <c r="E133" s="67">
        <f t="shared" si="4"/>
        <v>1290.5424</v>
      </c>
    </row>
    <row r="134" spans="1:5" ht="18" x14ac:dyDescent="0.35">
      <c r="A134" s="66">
        <v>0.94</v>
      </c>
      <c r="B134" s="66">
        <v>0.15</v>
      </c>
      <c r="C134" s="66">
        <f t="shared" si="5"/>
        <v>0.14099999999999999</v>
      </c>
      <c r="D134" s="67">
        <f t="shared" si="3"/>
        <v>305.96999999999997</v>
      </c>
      <c r="E134" s="67">
        <f t="shared" si="4"/>
        <v>367.16399999999999</v>
      </c>
    </row>
    <row r="135" spans="1:5" ht="18" x14ac:dyDescent="0.35">
      <c r="A135" s="66">
        <v>0.89</v>
      </c>
      <c r="B135" s="66">
        <v>0.14000000000000001</v>
      </c>
      <c r="C135" s="66">
        <f t="shared" si="5"/>
        <v>0.12460000000000002</v>
      </c>
      <c r="D135" s="67">
        <f t="shared" si="3"/>
        <v>270.38200000000006</v>
      </c>
      <c r="E135" s="67">
        <f t="shared" si="4"/>
        <v>324.4584000000001</v>
      </c>
    </row>
    <row r="136" spans="1:5" ht="18" x14ac:dyDescent="0.35">
      <c r="A136" s="66">
        <v>0.81</v>
      </c>
      <c r="B136" s="66">
        <v>0.15</v>
      </c>
      <c r="C136" s="66">
        <f t="shared" si="5"/>
        <v>0.1215</v>
      </c>
      <c r="D136" s="67">
        <f t="shared" si="3"/>
        <v>263.65499999999997</v>
      </c>
      <c r="E136" s="67">
        <f t="shared" si="4"/>
        <v>316.38599999999997</v>
      </c>
    </row>
    <row r="137" spans="1:5" ht="18" x14ac:dyDescent="0.35">
      <c r="A137" s="66">
        <v>4.12</v>
      </c>
      <c r="B137" s="66">
        <v>0.1</v>
      </c>
      <c r="C137" s="66">
        <f t="shared" si="5"/>
        <v>0.41200000000000003</v>
      </c>
      <c r="D137" s="67">
        <f t="shared" si="3"/>
        <v>894.04000000000008</v>
      </c>
      <c r="E137" s="67">
        <f t="shared" si="4"/>
        <v>1072.8480000000002</v>
      </c>
    </row>
    <row r="138" spans="1:5" ht="18" x14ac:dyDescent="0.35">
      <c r="A138" s="66">
        <v>0.91</v>
      </c>
      <c r="B138" s="66">
        <v>0.13</v>
      </c>
      <c r="C138" s="66">
        <f t="shared" si="5"/>
        <v>0.1183</v>
      </c>
      <c r="D138" s="67">
        <f t="shared" si="3"/>
        <v>256.71100000000001</v>
      </c>
      <c r="E138" s="67">
        <f t="shared" si="4"/>
        <v>308.0532</v>
      </c>
    </row>
    <row r="139" spans="1:5" ht="18" x14ac:dyDescent="0.35">
      <c r="A139" s="66">
        <v>0.87</v>
      </c>
      <c r="B139" s="66">
        <v>0.14000000000000001</v>
      </c>
      <c r="C139" s="66">
        <f t="shared" si="5"/>
        <v>0.12180000000000001</v>
      </c>
      <c r="D139" s="67">
        <f t="shared" si="3"/>
        <v>264.30600000000004</v>
      </c>
      <c r="E139" s="67">
        <f t="shared" si="4"/>
        <v>317.16720000000004</v>
      </c>
    </row>
    <row r="140" spans="1:5" ht="18" x14ac:dyDescent="0.35">
      <c r="A140" s="66">
        <v>0.77</v>
      </c>
      <c r="B140" s="66">
        <v>0.14000000000000001</v>
      </c>
      <c r="C140" s="66">
        <f t="shared" si="5"/>
        <v>0.10780000000000001</v>
      </c>
      <c r="D140" s="67">
        <f t="shared" si="3"/>
        <v>233.92600000000002</v>
      </c>
      <c r="E140" s="67">
        <f t="shared" si="4"/>
        <v>280.71120000000002</v>
      </c>
    </row>
    <row r="141" spans="1:5" ht="18" x14ac:dyDescent="0.35">
      <c r="A141" s="66">
        <v>4.0999999999999996</v>
      </c>
      <c r="B141" s="66">
        <v>0.1</v>
      </c>
      <c r="C141" s="66">
        <f t="shared" si="5"/>
        <v>0.41</v>
      </c>
      <c r="D141" s="67">
        <f t="shared" si="3"/>
        <v>889.69999999999993</v>
      </c>
      <c r="E141" s="67">
        <f t="shared" si="4"/>
        <v>1067.6399999999999</v>
      </c>
    </row>
    <row r="142" spans="1:5" ht="18" x14ac:dyDescent="0.35">
      <c r="A142" s="66">
        <v>0.92</v>
      </c>
      <c r="B142" s="66">
        <v>0.14000000000000001</v>
      </c>
      <c r="C142" s="66">
        <f t="shared" si="5"/>
        <v>0.12880000000000003</v>
      </c>
      <c r="D142" s="67">
        <f t="shared" si="3"/>
        <v>279.49600000000004</v>
      </c>
      <c r="E142" s="67">
        <f t="shared" si="4"/>
        <v>335.39520000000005</v>
      </c>
    </row>
    <row r="143" spans="1:5" ht="18" x14ac:dyDescent="0.35">
      <c r="A143" s="66">
        <v>0.87009999999999998</v>
      </c>
      <c r="B143" s="66">
        <v>0.14000000000000001</v>
      </c>
      <c r="C143" s="66">
        <f t="shared" si="5"/>
        <v>0.12181400000000001</v>
      </c>
      <c r="D143" s="67">
        <f t="shared" si="3"/>
        <v>264.33638000000002</v>
      </c>
      <c r="E143" s="67">
        <f t="shared" si="4"/>
        <v>317.20365600000002</v>
      </c>
    </row>
    <row r="144" spans="1:5" ht="18" x14ac:dyDescent="0.35">
      <c r="A144" s="66">
        <v>0.79</v>
      </c>
      <c r="B144" s="66">
        <v>0.14000000000000001</v>
      </c>
      <c r="C144" s="66">
        <f t="shared" si="5"/>
        <v>0.11060000000000002</v>
      </c>
      <c r="D144" s="67">
        <f t="shared" si="3"/>
        <v>240.00200000000004</v>
      </c>
      <c r="E144" s="67">
        <f t="shared" si="4"/>
        <v>288.00240000000008</v>
      </c>
    </row>
    <row r="145" spans="1:5" ht="18" x14ac:dyDescent="0.35">
      <c r="A145" s="66">
        <v>4.13</v>
      </c>
      <c r="B145" s="66">
        <v>0.1</v>
      </c>
      <c r="C145" s="66">
        <f t="shared" si="5"/>
        <v>0.41300000000000003</v>
      </c>
      <c r="D145" s="67">
        <f t="shared" si="3"/>
        <v>896.21</v>
      </c>
      <c r="E145" s="67">
        <f t="shared" si="4"/>
        <v>1075.452</v>
      </c>
    </row>
    <row r="146" spans="1:5" ht="18" x14ac:dyDescent="0.35">
      <c r="A146" s="66">
        <v>0.92</v>
      </c>
      <c r="B146" s="66">
        <v>0.14000000000000001</v>
      </c>
      <c r="C146" s="66">
        <f t="shared" si="5"/>
        <v>0.12880000000000003</v>
      </c>
      <c r="D146" s="67">
        <f t="shared" si="3"/>
        <v>279.49600000000004</v>
      </c>
      <c r="E146" s="67">
        <f t="shared" si="4"/>
        <v>335.39520000000005</v>
      </c>
    </row>
    <row r="147" spans="1:5" ht="18" x14ac:dyDescent="0.35">
      <c r="A147" s="66">
        <v>0.88</v>
      </c>
      <c r="B147" s="66">
        <v>0.14000000000000001</v>
      </c>
      <c r="C147" s="66">
        <f t="shared" si="5"/>
        <v>0.12320000000000002</v>
      </c>
      <c r="D147" s="67">
        <f t="shared" si="3"/>
        <v>267.34400000000005</v>
      </c>
      <c r="E147" s="67">
        <f t="shared" si="4"/>
        <v>320.81280000000004</v>
      </c>
    </row>
    <row r="148" spans="1:5" ht="18" x14ac:dyDescent="0.35">
      <c r="A148" s="66">
        <v>0.78</v>
      </c>
      <c r="B148" s="66">
        <v>0.14000000000000001</v>
      </c>
      <c r="C148" s="66">
        <f t="shared" si="5"/>
        <v>0.10920000000000002</v>
      </c>
      <c r="D148" s="67">
        <f t="shared" si="3"/>
        <v>236.96400000000006</v>
      </c>
      <c r="E148" s="67">
        <f t="shared" si="4"/>
        <v>284.35680000000008</v>
      </c>
    </row>
    <row r="149" spans="1:5" ht="18" x14ac:dyDescent="0.35">
      <c r="D149" s="64">
        <f>SUM(D132:D148)</f>
        <v>7142.8023800000001</v>
      </c>
      <c r="E149" s="95">
        <f t="shared" si="4"/>
        <v>8571.3628559999997</v>
      </c>
    </row>
    <row r="152" spans="1:5" ht="21" x14ac:dyDescent="0.4">
      <c r="A152" s="40" t="s">
        <v>640</v>
      </c>
      <c r="B152" s="40"/>
      <c r="C152" s="40"/>
    </row>
    <row r="154" spans="1:5" ht="18" x14ac:dyDescent="0.35">
      <c r="A154" s="5"/>
      <c r="B154" s="5"/>
      <c r="C154" s="7" t="s">
        <v>28</v>
      </c>
      <c r="D154" s="7" t="s">
        <v>29</v>
      </c>
      <c r="E154" s="7" t="s">
        <v>30</v>
      </c>
    </row>
    <row r="155" spans="1:5" ht="18" x14ac:dyDescent="0.35">
      <c r="A155" s="5" t="s">
        <v>641</v>
      </c>
      <c r="B155" s="50" t="s">
        <v>32</v>
      </c>
      <c r="C155" s="7">
        <v>10.199</v>
      </c>
      <c r="D155" s="7">
        <v>30.29</v>
      </c>
      <c r="E155" s="85">
        <f t="shared" ref="E155:E160" si="6">C155*D155</f>
        <v>308.92770999999999</v>
      </c>
    </row>
    <row r="156" spans="1:5" ht="18" x14ac:dyDescent="0.35">
      <c r="A156" s="5" t="s">
        <v>53</v>
      </c>
      <c r="B156" s="50" t="s">
        <v>33</v>
      </c>
      <c r="C156" s="7">
        <v>68.067999999999998</v>
      </c>
      <c r="D156" s="7">
        <v>16</v>
      </c>
      <c r="E156" s="85">
        <f t="shared" si="6"/>
        <v>1089.088</v>
      </c>
    </row>
    <row r="157" spans="1:5" ht="18" x14ac:dyDescent="0.35">
      <c r="A157" s="5">
        <v>0.622</v>
      </c>
      <c r="B157" s="50" t="s">
        <v>137</v>
      </c>
      <c r="C157" s="7">
        <v>1.96</v>
      </c>
      <c r="D157" s="7">
        <v>17.190000000000001</v>
      </c>
      <c r="E157" s="85">
        <f t="shared" si="6"/>
        <v>33.692399999999999</v>
      </c>
    </row>
    <row r="158" spans="1:5" ht="18" x14ac:dyDescent="0.35">
      <c r="A158" s="5"/>
      <c r="B158" s="50" t="s">
        <v>35</v>
      </c>
      <c r="C158" s="7">
        <v>4</v>
      </c>
      <c r="D158" s="7">
        <v>2.89</v>
      </c>
      <c r="E158" s="85">
        <f t="shared" si="6"/>
        <v>11.56</v>
      </c>
    </row>
    <row r="159" spans="1:5" ht="18" x14ac:dyDescent="0.35">
      <c r="A159" s="5" t="s">
        <v>642</v>
      </c>
      <c r="B159" s="50" t="s">
        <v>36</v>
      </c>
      <c r="C159" s="7">
        <v>4</v>
      </c>
      <c r="D159" s="7">
        <v>0.6</v>
      </c>
      <c r="E159" s="85">
        <f t="shared" si="6"/>
        <v>2.4</v>
      </c>
    </row>
    <row r="160" spans="1:5" ht="18" x14ac:dyDescent="0.35">
      <c r="A160" s="5"/>
      <c r="B160" s="50" t="s">
        <v>37</v>
      </c>
      <c r="C160" s="54">
        <v>4.5</v>
      </c>
      <c r="D160" s="86">
        <v>101.32</v>
      </c>
      <c r="E160" s="85">
        <f t="shared" si="6"/>
        <v>455.93999999999994</v>
      </c>
    </row>
    <row r="161" spans="1:5" ht="18" x14ac:dyDescent="0.35">
      <c r="A161" s="5"/>
      <c r="B161" s="5"/>
      <c r="C161" s="54"/>
      <c r="D161" s="54"/>
      <c r="E161" s="85">
        <f>SUM(E155:E160)</f>
        <v>1901.6081099999997</v>
      </c>
    </row>
  </sheetData>
  <pageMargins left="0.31496062992125984" right="0.11811023622047245" top="0.35433070866141736" bottom="0.35433070866141736" header="0.31496062992125984" footer="0.31496062992125984"/>
  <pageSetup paperSize="9" orientation="portrait" horizontalDpi="0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E258"/>
  <sheetViews>
    <sheetView topLeftCell="A118" workbookViewId="0">
      <selection activeCell="B129" sqref="B129"/>
    </sheetView>
  </sheetViews>
  <sheetFormatPr baseColWidth="10" defaultRowHeight="14.4" x14ac:dyDescent="0.3"/>
  <cols>
    <col min="1" max="1" width="57.5546875" customWidth="1"/>
    <col min="4" max="4" width="13.88671875" customWidth="1"/>
  </cols>
  <sheetData>
    <row r="1" spans="1:5" ht="18" x14ac:dyDescent="0.35">
      <c r="A1" s="126" t="s">
        <v>0</v>
      </c>
      <c r="B1" s="26"/>
      <c r="C1" s="26"/>
      <c r="D1" s="26"/>
      <c r="E1" s="26"/>
    </row>
    <row r="2" spans="1:5" x14ac:dyDescent="0.3">
      <c r="A2" t="s">
        <v>1249</v>
      </c>
    </row>
    <row r="3" spans="1:5" ht="15.6" x14ac:dyDescent="0.3">
      <c r="A3" s="3" t="s">
        <v>1</v>
      </c>
      <c r="B3" s="114" t="s">
        <v>593</v>
      </c>
      <c r="C3" s="125" t="s">
        <v>1181</v>
      </c>
      <c r="D3" s="129" t="s">
        <v>1246</v>
      </c>
      <c r="E3" s="130" t="s">
        <v>1247</v>
      </c>
    </row>
    <row r="4" spans="1:5" ht="18" x14ac:dyDescent="0.35">
      <c r="A4" s="43" t="s">
        <v>1243</v>
      </c>
      <c r="B4" s="115">
        <v>29.12</v>
      </c>
      <c r="C4" s="118">
        <v>29.12</v>
      </c>
      <c r="D4" s="121">
        <v>11.37</v>
      </c>
      <c r="E4" s="124">
        <v>68.19</v>
      </c>
    </row>
    <row r="5" spans="1:5" ht="18" x14ac:dyDescent="0.35">
      <c r="A5" s="79" t="s">
        <v>5</v>
      </c>
      <c r="B5" s="115">
        <v>30.29</v>
      </c>
      <c r="C5" s="117">
        <v>30.44</v>
      </c>
      <c r="D5" s="131">
        <v>10.34</v>
      </c>
      <c r="E5" s="124">
        <v>61.99</v>
      </c>
    </row>
    <row r="6" spans="1:5" ht="18" x14ac:dyDescent="0.35">
      <c r="A6" s="43" t="s">
        <v>1242</v>
      </c>
      <c r="B6" s="115">
        <v>29.24</v>
      </c>
      <c r="C6" s="118">
        <v>29.24</v>
      </c>
      <c r="D6" s="121">
        <v>16.43</v>
      </c>
      <c r="E6" s="124">
        <v>98.54</v>
      </c>
    </row>
    <row r="7" spans="1:5" ht="18" x14ac:dyDescent="0.35">
      <c r="A7" s="79" t="s">
        <v>6</v>
      </c>
      <c r="B7" s="115">
        <v>42.29</v>
      </c>
      <c r="C7" s="117">
        <v>45.07</v>
      </c>
      <c r="D7" s="121">
        <v>14.93</v>
      </c>
      <c r="E7" s="124">
        <v>89.58</v>
      </c>
    </row>
    <row r="8" spans="1:5" ht="18" x14ac:dyDescent="0.35">
      <c r="A8" s="43" t="s">
        <v>1244</v>
      </c>
      <c r="B8" s="115">
        <v>14.94</v>
      </c>
      <c r="C8" s="118">
        <v>14.94</v>
      </c>
      <c r="D8" s="121">
        <v>4.8099999999999996</v>
      </c>
      <c r="E8" s="124">
        <f>D8*6</f>
        <v>28.86</v>
      </c>
    </row>
    <row r="9" spans="1:5" ht="18" x14ac:dyDescent="0.35">
      <c r="A9" s="79" t="s">
        <v>7</v>
      </c>
      <c r="B9" s="115">
        <v>16.085999999999999</v>
      </c>
      <c r="C9" s="117">
        <v>16.170000000000002</v>
      </c>
      <c r="D9" s="121">
        <v>4.38</v>
      </c>
      <c r="E9" s="124">
        <f>D9*6</f>
        <v>26.28</v>
      </c>
    </row>
    <row r="10" spans="1:5" ht="18" x14ac:dyDescent="0.35">
      <c r="A10" s="43" t="s">
        <v>1245</v>
      </c>
      <c r="B10" s="115">
        <v>15.25</v>
      </c>
      <c r="C10" s="118">
        <v>15.25</v>
      </c>
      <c r="D10" s="121"/>
      <c r="E10" s="124">
        <f>D10*6</f>
        <v>0</v>
      </c>
    </row>
    <row r="11" spans="1:5" ht="18" x14ac:dyDescent="0.35">
      <c r="A11" s="79" t="s">
        <v>8</v>
      </c>
      <c r="B11" s="115">
        <v>16</v>
      </c>
      <c r="C11" s="117">
        <v>17.059999999999999</v>
      </c>
      <c r="D11" s="121">
        <v>3.89</v>
      </c>
      <c r="E11" s="124">
        <f>D11*6</f>
        <v>23.34</v>
      </c>
    </row>
    <row r="12" spans="1:5" ht="15.6" x14ac:dyDescent="0.3">
      <c r="A12" s="43" t="s">
        <v>9</v>
      </c>
      <c r="B12" s="115">
        <v>14.61</v>
      </c>
      <c r="C12" s="117">
        <v>18.059999999999999</v>
      </c>
    </row>
    <row r="13" spans="1:5" ht="15.6" x14ac:dyDescent="0.3">
      <c r="A13" s="43" t="s">
        <v>10</v>
      </c>
      <c r="B13" s="115">
        <v>17.190000000000001</v>
      </c>
      <c r="C13" s="118">
        <v>17.190000000000001</v>
      </c>
    </row>
    <row r="14" spans="1:5" ht="15.6" x14ac:dyDescent="0.3">
      <c r="A14" s="43" t="s">
        <v>11</v>
      </c>
      <c r="B14" s="115">
        <v>1.1499999999999999</v>
      </c>
      <c r="C14" s="118">
        <v>1.1499999999999999</v>
      </c>
    </row>
    <row r="15" spans="1:5" ht="15.6" x14ac:dyDescent="0.3">
      <c r="A15" s="43" t="s">
        <v>12</v>
      </c>
      <c r="B15" s="115">
        <v>1.6</v>
      </c>
      <c r="C15" s="118">
        <v>1.6</v>
      </c>
    </row>
    <row r="16" spans="1:5" ht="15.6" x14ac:dyDescent="0.3">
      <c r="A16" s="43" t="s">
        <v>13</v>
      </c>
      <c r="B16" s="115">
        <v>1.48</v>
      </c>
      <c r="C16" s="118">
        <v>1.48</v>
      </c>
    </row>
    <row r="17" spans="1:3" ht="15.6" x14ac:dyDescent="0.3">
      <c r="A17" s="43" t="s">
        <v>14</v>
      </c>
      <c r="B17" s="115">
        <v>1.08</v>
      </c>
      <c r="C17" s="118">
        <v>1.08</v>
      </c>
    </row>
    <row r="18" spans="1:3" ht="15.6" x14ac:dyDescent="0.3">
      <c r="A18" s="43" t="s">
        <v>15</v>
      </c>
      <c r="B18" s="115">
        <v>1.7</v>
      </c>
      <c r="C18" s="118">
        <v>1.7</v>
      </c>
    </row>
    <row r="19" spans="1:3" ht="15.6" x14ac:dyDescent="0.3">
      <c r="A19" s="43" t="s">
        <v>16</v>
      </c>
      <c r="B19" s="115">
        <v>1.81</v>
      </c>
      <c r="C19" s="118">
        <v>1.81</v>
      </c>
    </row>
    <row r="20" spans="1:3" ht="15.6" x14ac:dyDescent="0.3">
      <c r="A20" s="43" t="s">
        <v>17</v>
      </c>
      <c r="B20" s="116">
        <v>2.2400000000000002</v>
      </c>
      <c r="C20" s="118">
        <v>2.2400000000000002</v>
      </c>
    </row>
    <row r="21" spans="1:3" ht="15.6" x14ac:dyDescent="0.3">
      <c r="A21" s="43" t="s">
        <v>18</v>
      </c>
      <c r="B21" s="115">
        <v>0.6</v>
      </c>
      <c r="C21" s="117">
        <v>0.61</v>
      </c>
    </row>
    <row r="22" spans="1:3" ht="15.6" x14ac:dyDescent="0.3">
      <c r="A22" s="43" t="s">
        <v>19</v>
      </c>
      <c r="B22" s="115">
        <v>2.89</v>
      </c>
      <c r="C22" s="117">
        <v>2.91</v>
      </c>
    </row>
    <row r="23" spans="1:3" ht="15.6" x14ac:dyDescent="0.3">
      <c r="A23" s="43" t="s">
        <v>20</v>
      </c>
      <c r="B23" s="115">
        <v>1.03</v>
      </c>
      <c r="C23" s="118">
        <v>1.03</v>
      </c>
    </row>
    <row r="24" spans="1:3" ht="15.6" x14ac:dyDescent="0.3">
      <c r="A24" s="43" t="s">
        <v>21</v>
      </c>
      <c r="B24" s="116"/>
      <c r="C24" s="118"/>
    </row>
    <row r="26" spans="1:3" ht="18" x14ac:dyDescent="0.35">
      <c r="A26" s="5" t="s">
        <v>26</v>
      </c>
      <c r="B26" s="5"/>
      <c r="C26" s="5"/>
    </row>
    <row r="28" spans="1:3" ht="18" x14ac:dyDescent="0.35">
      <c r="A28" s="5"/>
      <c r="B28" s="5"/>
      <c r="C28" s="5"/>
    </row>
    <row r="29" spans="1:3" ht="18" x14ac:dyDescent="0.35">
      <c r="A29" s="1" t="s">
        <v>27</v>
      </c>
      <c r="B29" s="2"/>
      <c r="C29" s="2"/>
    </row>
    <row r="30" spans="1:3" ht="18" x14ac:dyDescent="0.35">
      <c r="A30" s="5"/>
    </row>
    <row r="31" spans="1:3" x14ac:dyDescent="0.3">
      <c r="A31" s="3" t="s">
        <v>23</v>
      </c>
      <c r="B31" s="3" t="s">
        <v>24</v>
      </c>
      <c r="C31" s="3" t="s">
        <v>25</v>
      </c>
    </row>
    <row r="32" spans="1:3" ht="21" x14ac:dyDescent="0.4">
      <c r="A32" s="6">
        <v>100</v>
      </c>
      <c r="B32" s="6">
        <v>40</v>
      </c>
      <c r="C32" s="7">
        <v>1</v>
      </c>
    </row>
    <row r="33" spans="1:3" ht="21" x14ac:dyDescent="0.4">
      <c r="A33" s="6">
        <v>100</v>
      </c>
      <c r="B33" s="6">
        <v>50</v>
      </c>
      <c r="C33" s="7">
        <v>2</v>
      </c>
    </row>
    <row r="34" spans="1:3" ht="21" x14ac:dyDescent="0.4">
      <c r="A34" s="6">
        <v>100</v>
      </c>
      <c r="B34" s="6">
        <v>60</v>
      </c>
      <c r="C34" s="7">
        <v>2</v>
      </c>
    </row>
    <row r="35" spans="1:3" ht="21" x14ac:dyDescent="0.4">
      <c r="A35" s="6">
        <v>100</v>
      </c>
      <c r="B35" s="6">
        <v>80</v>
      </c>
      <c r="C35" s="7">
        <v>3</v>
      </c>
    </row>
    <row r="36" spans="1:3" ht="21" x14ac:dyDescent="0.4">
      <c r="A36" s="6">
        <v>100</v>
      </c>
      <c r="B36" s="6">
        <v>100</v>
      </c>
      <c r="C36" s="7">
        <v>4</v>
      </c>
    </row>
    <row r="37" spans="1:3" ht="21" x14ac:dyDescent="0.4">
      <c r="A37" s="6">
        <v>200</v>
      </c>
      <c r="B37" s="6">
        <v>150</v>
      </c>
      <c r="C37" s="7">
        <v>6</v>
      </c>
    </row>
    <row r="38" spans="1:3" ht="21" x14ac:dyDescent="0.4">
      <c r="A38" s="6">
        <v>200</v>
      </c>
      <c r="B38" s="6">
        <v>200</v>
      </c>
      <c r="C38" s="7">
        <v>9</v>
      </c>
    </row>
    <row r="39" spans="1:3" ht="21" x14ac:dyDescent="0.4">
      <c r="A39" s="6">
        <v>200</v>
      </c>
      <c r="B39" s="6">
        <v>250</v>
      </c>
      <c r="C39" s="7">
        <v>11</v>
      </c>
    </row>
    <row r="40" spans="1:3" ht="21" x14ac:dyDescent="0.4">
      <c r="A40" s="6">
        <v>200</v>
      </c>
      <c r="B40" s="6">
        <v>300</v>
      </c>
      <c r="C40" s="7">
        <v>14</v>
      </c>
    </row>
    <row r="41" spans="1:3" ht="21" x14ac:dyDescent="0.4">
      <c r="A41" s="6">
        <v>200</v>
      </c>
      <c r="B41" s="6">
        <v>400</v>
      </c>
      <c r="C41" s="7">
        <v>19</v>
      </c>
    </row>
    <row r="42" spans="1:3" ht="21" x14ac:dyDescent="0.4">
      <c r="A42" s="6">
        <v>200</v>
      </c>
      <c r="B42" s="6">
        <v>500</v>
      </c>
      <c r="C42" s="7">
        <v>24</v>
      </c>
    </row>
    <row r="43" spans="1:3" ht="21" x14ac:dyDescent="0.4">
      <c r="A43" s="6">
        <v>300</v>
      </c>
      <c r="B43" s="6">
        <v>600</v>
      </c>
      <c r="C43" s="7">
        <v>29</v>
      </c>
    </row>
    <row r="52" spans="1:3" ht="15.6" x14ac:dyDescent="0.3">
      <c r="A52" s="15" t="s">
        <v>130</v>
      </c>
    </row>
    <row r="53" spans="1:3" x14ac:dyDescent="0.3">
      <c r="A53" s="13" t="s">
        <v>131</v>
      </c>
      <c r="B53" s="13" t="s">
        <v>132</v>
      </c>
      <c r="C53" s="13" t="s">
        <v>134</v>
      </c>
    </row>
    <row r="54" spans="1:3" x14ac:dyDescent="0.3">
      <c r="A54" s="14">
        <v>600</v>
      </c>
      <c r="B54" s="14">
        <v>100</v>
      </c>
      <c r="C54" s="14">
        <v>1</v>
      </c>
    </row>
    <row r="55" spans="1:3" x14ac:dyDescent="0.3">
      <c r="A55" s="14">
        <v>700</v>
      </c>
      <c r="B55" s="14">
        <v>100</v>
      </c>
      <c r="C55" s="14">
        <v>1</v>
      </c>
    </row>
    <row r="56" spans="1:3" x14ac:dyDescent="0.3">
      <c r="A56" s="14">
        <v>800</v>
      </c>
      <c r="B56" s="14">
        <v>100</v>
      </c>
      <c r="C56" s="14">
        <v>1</v>
      </c>
    </row>
    <row r="57" spans="1:3" x14ac:dyDescent="0.3">
      <c r="A57" s="14">
        <v>900</v>
      </c>
      <c r="B57" s="14">
        <v>100</v>
      </c>
      <c r="C57" s="14">
        <v>1</v>
      </c>
    </row>
    <row r="58" spans="1:3" x14ac:dyDescent="0.3">
      <c r="A58" s="14">
        <v>1000</v>
      </c>
      <c r="B58" s="14">
        <v>100</v>
      </c>
      <c r="C58" s="14">
        <v>1</v>
      </c>
    </row>
    <row r="59" spans="1:3" x14ac:dyDescent="0.3">
      <c r="A59" s="14">
        <v>1200</v>
      </c>
      <c r="B59" s="14">
        <v>100</v>
      </c>
      <c r="C59" s="14">
        <v>2</v>
      </c>
    </row>
    <row r="60" spans="1:3" x14ac:dyDescent="0.3">
      <c r="A60" s="12"/>
      <c r="B60" s="12"/>
      <c r="C60" s="12"/>
    </row>
    <row r="61" spans="1:3" x14ac:dyDescent="0.3">
      <c r="A61" s="14">
        <v>600</v>
      </c>
      <c r="B61" s="14">
        <v>150</v>
      </c>
      <c r="C61" s="14">
        <v>1</v>
      </c>
    </row>
    <row r="62" spans="1:3" x14ac:dyDescent="0.3">
      <c r="A62" s="14">
        <v>700</v>
      </c>
      <c r="B62" s="14">
        <v>150</v>
      </c>
      <c r="C62" s="14">
        <v>1</v>
      </c>
    </row>
    <row r="63" spans="1:3" x14ac:dyDescent="0.3">
      <c r="A63" s="14">
        <v>800</v>
      </c>
      <c r="B63" s="14">
        <v>150</v>
      </c>
      <c r="C63" s="14">
        <v>1</v>
      </c>
    </row>
    <row r="64" spans="1:3" x14ac:dyDescent="0.3">
      <c r="A64" s="14">
        <v>900</v>
      </c>
      <c r="B64" s="14">
        <v>150</v>
      </c>
      <c r="C64" s="14">
        <v>1</v>
      </c>
    </row>
    <row r="65" spans="1:3" x14ac:dyDescent="0.3">
      <c r="A65" s="14">
        <v>1000</v>
      </c>
      <c r="B65" s="14">
        <v>150</v>
      </c>
      <c r="C65" s="14">
        <v>1</v>
      </c>
    </row>
    <row r="66" spans="1:3" x14ac:dyDescent="0.3">
      <c r="A66" s="14">
        <v>1200</v>
      </c>
      <c r="B66" s="14">
        <v>150</v>
      </c>
      <c r="C66" s="14">
        <v>2</v>
      </c>
    </row>
    <row r="67" spans="1:3" x14ac:dyDescent="0.3">
      <c r="A67" s="12"/>
      <c r="B67" s="12"/>
      <c r="C67" s="12"/>
    </row>
    <row r="68" spans="1:3" x14ac:dyDescent="0.3">
      <c r="A68" s="14">
        <v>600</v>
      </c>
      <c r="B68" s="14">
        <v>200</v>
      </c>
      <c r="C68" s="14">
        <v>1</v>
      </c>
    </row>
    <row r="69" spans="1:3" x14ac:dyDescent="0.3">
      <c r="A69" s="14">
        <v>700</v>
      </c>
      <c r="B69" s="14">
        <v>200</v>
      </c>
      <c r="C69" s="14">
        <v>1</v>
      </c>
    </row>
    <row r="70" spans="1:3" x14ac:dyDescent="0.3">
      <c r="A70" s="14">
        <v>800</v>
      </c>
      <c r="B70" s="14">
        <v>200</v>
      </c>
      <c r="C70" s="14">
        <v>1</v>
      </c>
    </row>
    <row r="71" spans="1:3" x14ac:dyDescent="0.3">
      <c r="A71" s="14">
        <v>900</v>
      </c>
      <c r="B71" s="14">
        <v>200</v>
      </c>
      <c r="C71" s="14">
        <v>1</v>
      </c>
    </row>
    <row r="72" spans="1:3" x14ac:dyDescent="0.3">
      <c r="A72" s="14">
        <v>1000</v>
      </c>
      <c r="B72" s="14">
        <v>200</v>
      </c>
      <c r="C72" s="14">
        <v>1</v>
      </c>
    </row>
    <row r="73" spans="1:3" x14ac:dyDescent="0.3">
      <c r="A73" s="14">
        <v>1200</v>
      </c>
      <c r="B73" s="14">
        <v>200</v>
      </c>
      <c r="C73" s="14">
        <v>2</v>
      </c>
    </row>
    <row r="74" spans="1:3" x14ac:dyDescent="0.3">
      <c r="A74" s="12"/>
      <c r="B74" s="12"/>
      <c r="C74" s="12"/>
    </row>
    <row r="75" spans="1:3" x14ac:dyDescent="0.3">
      <c r="A75" s="14">
        <v>600</v>
      </c>
      <c r="B75" s="14">
        <v>300</v>
      </c>
      <c r="C75" s="14">
        <v>1</v>
      </c>
    </row>
    <row r="76" spans="1:3" x14ac:dyDescent="0.3">
      <c r="A76" s="14">
        <v>700</v>
      </c>
      <c r="B76" s="14">
        <v>300</v>
      </c>
      <c r="C76" s="14">
        <v>1</v>
      </c>
    </row>
    <row r="77" spans="1:3" x14ac:dyDescent="0.3">
      <c r="A77" s="14">
        <v>800</v>
      </c>
      <c r="B77" s="14">
        <v>300</v>
      </c>
      <c r="C77" s="14">
        <v>1</v>
      </c>
    </row>
    <row r="78" spans="1:3" x14ac:dyDescent="0.3">
      <c r="A78" s="14">
        <v>900</v>
      </c>
      <c r="B78" s="14">
        <v>300</v>
      </c>
      <c r="C78" s="14">
        <v>1</v>
      </c>
    </row>
    <row r="79" spans="1:3" x14ac:dyDescent="0.3">
      <c r="A79" s="14">
        <v>1000</v>
      </c>
      <c r="B79" s="14">
        <v>300</v>
      </c>
      <c r="C79" s="14">
        <v>1</v>
      </c>
    </row>
    <row r="80" spans="1:3" x14ac:dyDescent="0.3">
      <c r="A80" s="14">
        <v>1200</v>
      </c>
      <c r="B80" s="14">
        <v>300</v>
      </c>
      <c r="C80" s="14">
        <v>2</v>
      </c>
    </row>
    <row r="81" spans="1:3" x14ac:dyDescent="0.3">
      <c r="A81" s="12"/>
      <c r="B81" s="12"/>
      <c r="C81" s="12"/>
    </row>
    <row r="82" spans="1:3" x14ac:dyDescent="0.3">
      <c r="A82" s="14">
        <v>600</v>
      </c>
      <c r="B82" s="14">
        <v>400</v>
      </c>
      <c r="C82" s="14">
        <v>1</v>
      </c>
    </row>
    <row r="83" spans="1:3" x14ac:dyDescent="0.3">
      <c r="A83" s="14">
        <v>700</v>
      </c>
      <c r="B83" s="14">
        <v>400</v>
      </c>
      <c r="C83" s="14">
        <v>1</v>
      </c>
    </row>
    <row r="84" spans="1:3" x14ac:dyDescent="0.3">
      <c r="A84" s="14">
        <v>800</v>
      </c>
      <c r="B84" s="14">
        <v>400</v>
      </c>
      <c r="C84" s="14">
        <v>1</v>
      </c>
    </row>
    <row r="85" spans="1:3" x14ac:dyDescent="0.3">
      <c r="A85" s="14">
        <v>900</v>
      </c>
      <c r="B85" s="14">
        <v>400</v>
      </c>
      <c r="C85" s="14">
        <v>1</v>
      </c>
    </row>
    <row r="86" spans="1:3" x14ac:dyDescent="0.3">
      <c r="A86" s="14">
        <v>1000</v>
      </c>
      <c r="B86" s="14">
        <v>400</v>
      </c>
      <c r="C86" s="14">
        <v>1</v>
      </c>
    </row>
    <row r="87" spans="1:3" x14ac:dyDescent="0.3">
      <c r="A87" s="14">
        <v>1200</v>
      </c>
      <c r="B87" s="14">
        <v>400</v>
      </c>
      <c r="C87" s="14">
        <v>2</v>
      </c>
    </row>
    <row r="88" spans="1:3" x14ac:dyDescent="0.3">
      <c r="A88" s="12"/>
      <c r="B88" s="12"/>
      <c r="C88" s="12"/>
    </row>
    <row r="89" spans="1:3" x14ac:dyDescent="0.3">
      <c r="A89" s="14">
        <v>600</v>
      </c>
      <c r="B89" s="14">
        <v>500</v>
      </c>
      <c r="C89" s="14">
        <v>1</v>
      </c>
    </row>
    <row r="90" spans="1:3" x14ac:dyDescent="0.3">
      <c r="A90" s="14">
        <v>700</v>
      </c>
      <c r="B90" s="14">
        <v>500</v>
      </c>
      <c r="C90" s="14">
        <v>1</v>
      </c>
    </row>
    <row r="91" spans="1:3" x14ac:dyDescent="0.3">
      <c r="A91" s="14">
        <v>800</v>
      </c>
      <c r="B91" s="14">
        <v>500</v>
      </c>
      <c r="C91" s="14">
        <v>1</v>
      </c>
    </row>
    <row r="92" spans="1:3" x14ac:dyDescent="0.3">
      <c r="A92" s="14">
        <v>900</v>
      </c>
      <c r="B92" s="14">
        <v>500</v>
      </c>
      <c r="C92" s="14">
        <v>1</v>
      </c>
    </row>
    <row r="93" spans="1:3" x14ac:dyDescent="0.3">
      <c r="A93" s="14">
        <v>1000</v>
      </c>
      <c r="B93" s="14">
        <v>500</v>
      </c>
      <c r="C93" s="14">
        <v>1</v>
      </c>
    </row>
    <row r="94" spans="1:3" x14ac:dyDescent="0.3">
      <c r="A94" s="14">
        <v>1200</v>
      </c>
      <c r="B94" s="14">
        <v>500</v>
      </c>
      <c r="C94" s="14">
        <v>2</v>
      </c>
    </row>
    <row r="110" spans="1:4" ht="18" x14ac:dyDescent="0.35">
      <c r="A110" s="1" t="s">
        <v>22</v>
      </c>
      <c r="B110" s="1"/>
      <c r="C110" s="5"/>
    </row>
    <row r="112" spans="1:4" x14ac:dyDescent="0.3">
      <c r="A112" s="3" t="s">
        <v>23</v>
      </c>
      <c r="B112" s="3" t="s">
        <v>24</v>
      </c>
      <c r="C112" s="20" t="s">
        <v>25</v>
      </c>
      <c r="D112" s="3" t="s">
        <v>133</v>
      </c>
    </row>
    <row r="113" spans="1:4" ht="21" x14ac:dyDescent="0.4">
      <c r="A113" s="6">
        <v>200</v>
      </c>
      <c r="B113" s="6">
        <v>40</v>
      </c>
      <c r="C113" s="21">
        <v>1</v>
      </c>
      <c r="D113" s="4">
        <v>2</v>
      </c>
    </row>
    <row r="114" spans="1:4" ht="21" x14ac:dyDescent="0.4">
      <c r="A114" s="6">
        <v>200</v>
      </c>
      <c r="B114" s="6">
        <v>50</v>
      </c>
      <c r="C114" s="21">
        <v>2</v>
      </c>
      <c r="D114" s="4">
        <v>2</v>
      </c>
    </row>
    <row r="115" spans="1:4" ht="21" x14ac:dyDescent="0.4">
      <c r="A115" s="6">
        <v>200</v>
      </c>
      <c r="B115" s="6">
        <v>60</v>
      </c>
      <c r="C115" s="21">
        <v>3</v>
      </c>
      <c r="D115" s="4">
        <v>2</v>
      </c>
    </row>
    <row r="116" spans="1:4" ht="21" x14ac:dyDescent="0.4">
      <c r="A116" s="6">
        <v>200</v>
      </c>
      <c r="B116" s="6">
        <v>65</v>
      </c>
      <c r="C116" s="21">
        <v>3</v>
      </c>
      <c r="D116" s="4">
        <v>2</v>
      </c>
    </row>
    <row r="117" spans="1:4" ht="21" x14ac:dyDescent="0.4">
      <c r="A117" s="6">
        <v>200</v>
      </c>
      <c r="B117" s="6">
        <v>75</v>
      </c>
      <c r="C117" s="21">
        <v>4</v>
      </c>
      <c r="D117" s="4">
        <v>2</v>
      </c>
    </row>
    <row r="118" spans="1:4" ht="21" x14ac:dyDescent="0.4">
      <c r="A118" s="6">
        <v>200</v>
      </c>
      <c r="B118" s="6">
        <v>85</v>
      </c>
      <c r="C118" s="21">
        <v>5</v>
      </c>
      <c r="D118" s="4">
        <v>2</v>
      </c>
    </row>
    <row r="119" spans="1:4" ht="21" x14ac:dyDescent="0.4">
      <c r="A119" s="6">
        <v>200</v>
      </c>
      <c r="B119" s="6">
        <v>90</v>
      </c>
      <c r="C119" s="21">
        <v>5</v>
      </c>
      <c r="D119" s="4">
        <v>2</v>
      </c>
    </row>
    <row r="120" spans="1:4" ht="21" x14ac:dyDescent="0.4">
      <c r="A120" s="6">
        <v>200</v>
      </c>
      <c r="B120" s="6">
        <v>100</v>
      </c>
      <c r="C120" s="21">
        <v>6</v>
      </c>
      <c r="D120" s="4">
        <v>2</v>
      </c>
    </row>
    <row r="121" spans="1:4" ht="21" x14ac:dyDescent="0.4">
      <c r="A121" s="6">
        <v>200</v>
      </c>
      <c r="B121" s="6">
        <v>120</v>
      </c>
      <c r="C121" s="21">
        <v>7</v>
      </c>
      <c r="D121" s="4">
        <v>2</v>
      </c>
    </row>
    <row r="122" spans="1:4" ht="21" x14ac:dyDescent="0.4">
      <c r="A122" s="6">
        <v>200</v>
      </c>
      <c r="B122" s="6">
        <v>130</v>
      </c>
      <c r="C122" s="21">
        <v>8</v>
      </c>
      <c r="D122" s="4">
        <v>2</v>
      </c>
    </row>
    <row r="123" spans="1:4" ht="21" x14ac:dyDescent="0.4">
      <c r="A123" s="6">
        <v>200</v>
      </c>
      <c r="B123" s="6">
        <v>135</v>
      </c>
      <c r="C123" s="21">
        <v>9</v>
      </c>
      <c r="D123" s="4">
        <v>2</v>
      </c>
    </row>
    <row r="124" spans="1:4" ht="21" x14ac:dyDescent="0.4">
      <c r="A124" s="6">
        <v>200</v>
      </c>
      <c r="B124" s="6">
        <v>150</v>
      </c>
      <c r="C124" s="21">
        <v>10</v>
      </c>
      <c r="D124" s="4">
        <v>2</v>
      </c>
    </row>
    <row r="125" spans="1:4" ht="21" x14ac:dyDescent="0.4">
      <c r="A125" s="6">
        <v>200</v>
      </c>
      <c r="B125" s="6">
        <v>200</v>
      </c>
      <c r="C125" s="21">
        <v>14</v>
      </c>
      <c r="D125" s="4">
        <v>2</v>
      </c>
    </row>
    <row r="126" spans="1:4" ht="21" x14ac:dyDescent="0.4">
      <c r="A126" s="16"/>
      <c r="B126" s="16"/>
      <c r="C126" s="22"/>
      <c r="D126" s="23"/>
    </row>
    <row r="127" spans="1:4" ht="21" x14ac:dyDescent="0.4">
      <c r="A127" s="6">
        <v>300</v>
      </c>
      <c r="B127" s="6">
        <v>250</v>
      </c>
      <c r="C127" s="21">
        <v>17</v>
      </c>
      <c r="D127" s="4">
        <v>2</v>
      </c>
    </row>
    <row r="128" spans="1:4" ht="21" x14ac:dyDescent="0.4">
      <c r="A128" s="6">
        <v>300</v>
      </c>
      <c r="B128" s="6">
        <v>300</v>
      </c>
      <c r="C128" s="21">
        <v>21</v>
      </c>
      <c r="D128" s="4">
        <v>2</v>
      </c>
    </row>
    <row r="129" spans="1:4" ht="21" x14ac:dyDescent="0.4">
      <c r="A129" s="6">
        <v>300</v>
      </c>
      <c r="B129" s="6">
        <v>350</v>
      </c>
      <c r="C129" s="21"/>
      <c r="D129" s="4"/>
    </row>
    <row r="130" spans="1:4" ht="21" x14ac:dyDescent="0.4">
      <c r="A130" s="16"/>
      <c r="B130" s="16"/>
      <c r="C130" s="22"/>
      <c r="D130" s="23"/>
    </row>
    <row r="131" spans="1:4" ht="21" x14ac:dyDescent="0.4">
      <c r="A131" s="6">
        <v>400</v>
      </c>
      <c r="B131" s="6">
        <v>400</v>
      </c>
      <c r="C131" s="21">
        <v>29</v>
      </c>
      <c r="D131" s="4">
        <v>2</v>
      </c>
    </row>
    <row r="132" spans="1:4" ht="21" x14ac:dyDescent="0.4">
      <c r="A132" s="6">
        <v>400</v>
      </c>
      <c r="B132" s="6">
        <v>40</v>
      </c>
      <c r="C132" s="21">
        <v>1</v>
      </c>
      <c r="D132" s="4">
        <v>2</v>
      </c>
    </row>
    <row r="133" spans="1:4" ht="21" x14ac:dyDescent="0.4">
      <c r="A133" s="6">
        <v>400</v>
      </c>
      <c r="B133" s="6">
        <v>50</v>
      </c>
      <c r="C133" s="21">
        <v>2</v>
      </c>
      <c r="D133" s="4">
        <v>2</v>
      </c>
    </row>
    <row r="134" spans="1:4" ht="21" x14ac:dyDescent="0.4">
      <c r="A134" s="6">
        <v>400</v>
      </c>
      <c r="B134" s="6">
        <v>60</v>
      </c>
      <c r="C134" s="21">
        <v>3</v>
      </c>
      <c r="D134" s="4">
        <v>2</v>
      </c>
    </row>
    <row r="135" spans="1:4" ht="21" x14ac:dyDescent="0.4">
      <c r="A135" s="6">
        <v>400</v>
      </c>
      <c r="B135" s="6">
        <v>75</v>
      </c>
      <c r="C135" s="21">
        <v>4</v>
      </c>
      <c r="D135" s="4">
        <v>2</v>
      </c>
    </row>
    <row r="136" spans="1:4" ht="21" x14ac:dyDescent="0.4">
      <c r="A136" s="6">
        <v>400</v>
      </c>
      <c r="B136" s="6">
        <v>85</v>
      </c>
      <c r="C136" s="21">
        <v>5</v>
      </c>
      <c r="D136" s="4">
        <v>2</v>
      </c>
    </row>
    <row r="137" spans="1:4" ht="21" x14ac:dyDescent="0.4">
      <c r="A137" s="6">
        <v>400</v>
      </c>
      <c r="B137" s="6">
        <v>90</v>
      </c>
      <c r="C137" s="21">
        <v>5</v>
      </c>
      <c r="D137" s="4">
        <v>2</v>
      </c>
    </row>
    <row r="138" spans="1:4" ht="21" x14ac:dyDescent="0.4">
      <c r="A138" s="6">
        <v>400</v>
      </c>
      <c r="B138" s="6">
        <v>100</v>
      </c>
      <c r="C138" s="21">
        <v>6</v>
      </c>
      <c r="D138" s="4">
        <v>2</v>
      </c>
    </row>
    <row r="139" spans="1:4" ht="21" x14ac:dyDescent="0.4">
      <c r="A139" s="6">
        <v>400</v>
      </c>
      <c r="B139" s="6">
        <v>120</v>
      </c>
      <c r="C139" s="21">
        <v>8</v>
      </c>
      <c r="D139" s="4">
        <v>2</v>
      </c>
    </row>
    <row r="140" spans="1:4" ht="21" x14ac:dyDescent="0.4">
      <c r="A140" s="6">
        <v>400</v>
      </c>
      <c r="B140" s="6">
        <v>130</v>
      </c>
      <c r="C140" s="21">
        <v>8</v>
      </c>
      <c r="D140" s="4">
        <v>2</v>
      </c>
    </row>
    <row r="141" spans="1:4" ht="21" x14ac:dyDescent="0.4">
      <c r="A141" s="6">
        <v>400</v>
      </c>
      <c r="B141" s="6">
        <v>135</v>
      </c>
      <c r="C141" s="21">
        <v>9</v>
      </c>
      <c r="D141" s="4">
        <v>2</v>
      </c>
    </row>
    <row r="142" spans="1:4" ht="21" x14ac:dyDescent="0.4">
      <c r="A142" s="6">
        <v>400</v>
      </c>
      <c r="B142" s="6">
        <v>150</v>
      </c>
      <c r="C142" s="21">
        <v>10</v>
      </c>
      <c r="D142" s="4">
        <v>2</v>
      </c>
    </row>
    <row r="143" spans="1:4" ht="21" x14ac:dyDescent="0.4">
      <c r="A143" s="6">
        <v>400</v>
      </c>
      <c r="B143" s="6">
        <v>200</v>
      </c>
      <c r="C143" s="21">
        <v>14</v>
      </c>
      <c r="D143" s="4">
        <v>2</v>
      </c>
    </row>
    <row r="144" spans="1:4" ht="21" x14ac:dyDescent="0.4">
      <c r="A144" s="6">
        <v>400</v>
      </c>
      <c r="B144" s="6">
        <v>250</v>
      </c>
      <c r="C144" s="21">
        <v>17</v>
      </c>
      <c r="D144" s="4">
        <v>2</v>
      </c>
    </row>
    <row r="145" spans="1:4" ht="21" x14ac:dyDescent="0.4">
      <c r="A145" s="6">
        <v>400</v>
      </c>
      <c r="B145" s="6">
        <v>300</v>
      </c>
      <c r="C145" s="21">
        <v>21</v>
      </c>
      <c r="D145" s="4">
        <v>2</v>
      </c>
    </row>
    <row r="146" spans="1:4" ht="21" x14ac:dyDescent="0.4">
      <c r="A146" s="6">
        <v>400</v>
      </c>
      <c r="B146" s="6">
        <v>400</v>
      </c>
      <c r="C146" s="21">
        <v>29</v>
      </c>
      <c r="D146" s="4">
        <v>2</v>
      </c>
    </row>
    <row r="147" spans="1:4" ht="21" x14ac:dyDescent="0.4">
      <c r="A147" s="17"/>
      <c r="B147" s="16"/>
      <c r="C147" s="22"/>
      <c r="D147" s="23"/>
    </row>
    <row r="148" spans="1:4" ht="21" x14ac:dyDescent="0.4">
      <c r="A148" s="6">
        <v>500</v>
      </c>
      <c r="B148" s="6">
        <v>40</v>
      </c>
      <c r="C148" s="21">
        <v>1</v>
      </c>
      <c r="D148" s="4">
        <v>2</v>
      </c>
    </row>
    <row r="149" spans="1:4" ht="21" x14ac:dyDescent="0.4">
      <c r="A149" s="6">
        <v>500</v>
      </c>
      <c r="B149" s="6">
        <v>50</v>
      </c>
      <c r="C149" s="21">
        <v>2</v>
      </c>
      <c r="D149" s="4">
        <v>2</v>
      </c>
    </row>
    <row r="150" spans="1:4" ht="21" x14ac:dyDescent="0.4">
      <c r="A150" s="6">
        <v>500</v>
      </c>
      <c r="B150" s="6">
        <v>60</v>
      </c>
      <c r="C150" s="21">
        <v>3</v>
      </c>
      <c r="D150" s="4">
        <v>2</v>
      </c>
    </row>
    <row r="151" spans="1:4" ht="21" x14ac:dyDescent="0.4">
      <c r="A151" s="6">
        <v>500</v>
      </c>
      <c r="B151" s="6">
        <v>75</v>
      </c>
      <c r="C151" s="21">
        <v>4</v>
      </c>
      <c r="D151" s="4">
        <v>2</v>
      </c>
    </row>
    <row r="152" spans="1:4" ht="21" x14ac:dyDescent="0.4">
      <c r="A152" s="6">
        <v>500</v>
      </c>
      <c r="B152" s="6">
        <v>85</v>
      </c>
      <c r="C152" s="21">
        <v>5</v>
      </c>
      <c r="D152" s="4">
        <v>2</v>
      </c>
    </row>
    <row r="153" spans="1:4" ht="21" x14ac:dyDescent="0.4">
      <c r="A153" s="6">
        <v>500</v>
      </c>
      <c r="B153" s="6">
        <v>90</v>
      </c>
      <c r="C153" s="21">
        <v>5</v>
      </c>
      <c r="D153" s="4">
        <v>2</v>
      </c>
    </row>
    <row r="154" spans="1:4" ht="21" x14ac:dyDescent="0.4">
      <c r="A154" s="6">
        <v>500</v>
      </c>
      <c r="B154" s="6">
        <v>100</v>
      </c>
      <c r="C154" s="21">
        <v>6</v>
      </c>
      <c r="D154" s="4">
        <v>2</v>
      </c>
    </row>
    <row r="155" spans="1:4" ht="21" x14ac:dyDescent="0.4">
      <c r="A155" s="6">
        <v>500</v>
      </c>
      <c r="B155" s="6">
        <v>120</v>
      </c>
      <c r="C155" s="21">
        <v>8</v>
      </c>
      <c r="D155" s="4">
        <v>2</v>
      </c>
    </row>
    <row r="156" spans="1:4" ht="21" x14ac:dyDescent="0.4">
      <c r="A156" s="6">
        <v>500</v>
      </c>
      <c r="B156" s="6">
        <v>130</v>
      </c>
      <c r="C156" s="21">
        <v>8</v>
      </c>
      <c r="D156" s="4">
        <v>2</v>
      </c>
    </row>
    <row r="157" spans="1:4" ht="21" x14ac:dyDescent="0.4">
      <c r="A157" s="6">
        <v>500</v>
      </c>
      <c r="B157" s="6">
        <v>135</v>
      </c>
      <c r="C157" s="21">
        <v>9</v>
      </c>
      <c r="D157" s="4">
        <v>2</v>
      </c>
    </row>
    <row r="158" spans="1:4" ht="21" x14ac:dyDescent="0.4">
      <c r="A158" s="6">
        <v>500</v>
      </c>
      <c r="B158" s="6">
        <v>150</v>
      </c>
      <c r="C158" s="21">
        <v>10</v>
      </c>
      <c r="D158" s="4">
        <v>2</v>
      </c>
    </row>
    <row r="159" spans="1:4" ht="21" x14ac:dyDescent="0.4">
      <c r="A159" s="6">
        <v>500</v>
      </c>
      <c r="B159" s="6">
        <v>200</v>
      </c>
      <c r="C159" s="21">
        <v>14</v>
      </c>
      <c r="D159" s="4">
        <v>2</v>
      </c>
    </row>
    <row r="160" spans="1:4" ht="21" x14ac:dyDescent="0.4">
      <c r="A160" s="6">
        <v>500</v>
      </c>
      <c r="B160" s="6">
        <v>250</v>
      </c>
      <c r="C160" s="21">
        <v>17</v>
      </c>
      <c r="D160" s="4">
        <v>2</v>
      </c>
    </row>
    <row r="161" spans="1:4" ht="21" x14ac:dyDescent="0.4">
      <c r="A161" s="6">
        <v>500</v>
      </c>
      <c r="B161" s="6">
        <v>300</v>
      </c>
      <c r="C161" s="21">
        <v>21</v>
      </c>
      <c r="D161" s="4">
        <v>2</v>
      </c>
    </row>
    <row r="162" spans="1:4" ht="21" x14ac:dyDescent="0.4">
      <c r="A162" s="6">
        <v>500</v>
      </c>
      <c r="B162" s="6">
        <v>400</v>
      </c>
      <c r="C162" s="21">
        <v>29</v>
      </c>
      <c r="D162" s="4">
        <v>3</v>
      </c>
    </row>
    <row r="163" spans="1:4" ht="21" x14ac:dyDescent="0.4">
      <c r="A163" s="17"/>
      <c r="B163" s="18"/>
      <c r="C163" s="18"/>
      <c r="D163" s="23"/>
    </row>
    <row r="164" spans="1:4" ht="21" x14ac:dyDescent="0.4">
      <c r="A164" s="6">
        <v>600</v>
      </c>
      <c r="B164" s="6">
        <v>40</v>
      </c>
      <c r="C164" s="21">
        <v>1</v>
      </c>
      <c r="D164" s="4">
        <v>2</v>
      </c>
    </row>
    <row r="165" spans="1:4" ht="21" x14ac:dyDescent="0.4">
      <c r="A165" s="6">
        <v>600</v>
      </c>
      <c r="B165" s="6">
        <v>50</v>
      </c>
      <c r="C165" s="21">
        <v>2</v>
      </c>
      <c r="D165" s="4">
        <v>2</v>
      </c>
    </row>
    <row r="166" spans="1:4" ht="21" x14ac:dyDescent="0.4">
      <c r="A166" s="6">
        <v>600</v>
      </c>
      <c r="B166" s="6">
        <v>60</v>
      </c>
      <c r="C166" s="21">
        <v>3</v>
      </c>
      <c r="D166" s="4">
        <v>2</v>
      </c>
    </row>
    <row r="167" spans="1:4" ht="21" x14ac:dyDescent="0.4">
      <c r="A167" s="6">
        <v>600</v>
      </c>
      <c r="B167" s="6">
        <v>75</v>
      </c>
      <c r="C167" s="21">
        <v>4</v>
      </c>
      <c r="D167" s="4">
        <v>2</v>
      </c>
    </row>
    <row r="168" spans="1:4" ht="21" x14ac:dyDescent="0.4">
      <c r="A168" s="6">
        <v>600</v>
      </c>
      <c r="B168" s="6">
        <v>85</v>
      </c>
      <c r="C168" s="21">
        <v>5</v>
      </c>
      <c r="D168" s="4">
        <v>2</v>
      </c>
    </row>
    <row r="169" spans="1:4" ht="21" x14ac:dyDescent="0.4">
      <c r="A169" s="6">
        <v>600</v>
      </c>
      <c r="B169" s="6">
        <v>90</v>
      </c>
      <c r="C169" s="21">
        <v>5</v>
      </c>
      <c r="D169" s="4">
        <v>2</v>
      </c>
    </row>
    <row r="170" spans="1:4" ht="21" x14ac:dyDescent="0.4">
      <c r="A170" s="6">
        <v>600</v>
      </c>
      <c r="B170" s="6">
        <v>100</v>
      </c>
      <c r="C170" s="21">
        <v>6</v>
      </c>
      <c r="D170" s="4">
        <v>2</v>
      </c>
    </row>
    <row r="171" spans="1:4" ht="21" x14ac:dyDescent="0.4">
      <c r="A171" s="6">
        <v>600</v>
      </c>
      <c r="B171" s="6">
        <v>120</v>
      </c>
      <c r="C171" s="21">
        <v>8</v>
      </c>
      <c r="D171" s="4">
        <v>2</v>
      </c>
    </row>
    <row r="172" spans="1:4" ht="21" x14ac:dyDescent="0.4">
      <c r="A172" s="6">
        <v>600</v>
      </c>
      <c r="B172" s="6">
        <v>130</v>
      </c>
      <c r="C172" s="21">
        <v>8</v>
      </c>
      <c r="D172" s="4">
        <v>2</v>
      </c>
    </row>
    <row r="173" spans="1:4" ht="21" x14ac:dyDescent="0.4">
      <c r="A173" s="6">
        <v>600</v>
      </c>
      <c r="B173" s="6">
        <v>135</v>
      </c>
      <c r="C173" s="21">
        <v>9</v>
      </c>
      <c r="D173" s="4">
        <v>2</v>
      </c>
    </row>
    <row r="174" spans="1:4" ht="21" x14ac:dyDescent="0.4">
      <c r="A174" s="6">
        <v>600</v>
      </c>
      <c r="B174" s="6">
        <v>150</v>
      </c>
      <c r="C174" s="21">
        <v>10</v>
      </c>
      <c r="D174" s="4">
        <v>2</v>
      </c>
    </row>
    <row r="175" spans="1:4" ht="21" x14ac:dyDescent="0.4">
      <c r="A175" s="6">
        <v>600</v>
      </c>
      <c r="B175" s="6">
        <v>200</v>
      </c>
      <c r="C175" s="21">
        <v>14</v>
      </c>
      <c r="D175" s="4">
        <v>3</v>
      </c>
    </row>
    <row r="176" spans="1:4" ht="21" x14ac:dyDescent="0.4">
      <c r="A176" s="6">
        <v>600</v>
      </c>
      <c r="B176" s="6">
        <v>250</v>
      </c>
      <c r="C176" s="21">
        <v>17</v>
      </c>
      <c r="D176" s="4">
        <v>3</v>
      </c>
    </row>
    <row r="177" spans="1:4" ht="21" x14ac:dyDescent="0.4">
      <c r="A177" s="6">
        <v>600</v>
      </c>
      <c r="B177" s="6">
        <v>300</v>
      </c>
      <c r="C177" s="21">
        <v>21</v>
      </c>
      <c r="D177" s="4">
        <v>3</v>
      </c>
    </row>
    <row r="178" spans="1:4" ht="21" x14ac:dyDescent="0.4">
      <c r="A178" s="6">
        <v>600</v>
      </c>
      <c r="B178" s="6">
        <v>400</v>
      </c>
      <c r="C178" s="21">
        <v>29</v>
      </c>
      <c r="D178" s="4">
        <v>3</v>
      </c>
    </row>
    <row r="179" spans="1:4" x14ac:dyDescent="0.3">
      <c r="A179" s="19"/>
      <c r="B179" s="19"/>
      <c r="C179" s="19"/>
      <c r="D179" s="23"/>
    </row>
    <row r="180" spans="1:4" ht="21" x14ac:dyDescent="0.4">
      <c r="A180" s="6">
        <v>700</v>
      </c>
      <c r="B180" s="6">
        <v>40</v>
      </c>
      <c r="C180" s="21">
        <v>1</v>
      </c>
      <c r="D180" s="4">
        <v>3</v>
      </c>
    </row>
    <row r="181" spans="1:4" ht="21" x14ac:dyDescent="0.4">
      <c r="A181" s="6">
        <v>700</v>
      </c>
      <c r="B181" s="6">
        <v>50</v>
      </c>
      <c r="C181" s="21">
        <v>2</v>
      </c>
      <c r="D181" s="4">
        <v>3</v>
      </c>
    </row>
    <row r="182" spans="1:4" ht="21" x14ac:dyDescent="0.4">
      <c r="A182" s="6">
        <v>700</v>
      </c>
      <c r="B182" s="6">
        <v>60</v>
      </c>
      <c r="C182" s="21">
        <v>3</v>
      </c>
      <c r="D182" s="4">
        <v>3</v>
      </c>
    </row>
    <row r="183" spans="1:4" ht="21" x14ac:dyDescent="0.4">
      <c r="A183" s="6">
        <v>700</v>
      </c>
      <c r="B183" s="6">
        <v>75</v>
      </c>
      <c r="C183" s="21">
        <v>4</v>
      </c>
      <c r="D183" s="4">
        <v>3</v>
      </c>
    </row>
    <row r="184" spans="1:4" ht="21" x14ac:dyDescent="0.4">
      <c r="A184" s="6">
        <v>700</v>
      </c>
      <c r="B184" s="6">
        <v>85</v>
      </c>
      <c r="C184" s="21">
        <v>5</v>
      </c>
      <c r="D184" s="4">
        <v>3</v>
      </c>
    </row>
    <row r="185" spans="1:4" ht="21" x14ac:dyDescent="0.4">
      <c r="A185" s="6">
        <v>700</v>
      </c>
      <c r="B185" s="6">
        <v>90</v>
      </c>
      <c r="C185" s="21">
        <v>5</v>
      </c>
      <c r="D185" s="4">
        <v>3</v>
      </c>
    </row>
    <row r="186" spans="1:4" ht="21" x14ac:dyDescent="0.4">
      <c r="A186" s="6">
        <v>700</v>
      </c>
      <c r="B186" s="6">
        <v>100</v>
      </c>
      <c r="C186" s="21">
        <v>6</v>
      </c>
      <c r="D186" s="4">
        <v>3</v>
      </c>
    </row>
    <row r="187" spans="1:4" ht="21" x14ac:dyDescent="0.4">
      <c r="A187" s="6">
        <v>700</v>
      </c>
      <c r="B187" s="6">
        <v>120</v>
      </c>
      <c r="C187" s="21">
        <v>8</v>
      </c>
      <c r="D187" s="4">
        <v>3</v>
      </c>
    </row>
    <row r="188" spans="1:4" ht="21" x14ac:dyDescent="0.4">
      <c r="A188" s="6">
        <v>700</v>
      </c>
      <c r="B188" s="6">
        <v>130</v>
      </c>
      <c r="C188" s="21">
        <v>8</v>
      </c>
      <c r="D188" s="4">
        <v>3</v>
      </c>
    </row>
    <row r="189" spans="1:4" ht="21" x14ac:dyDescent="0.4">
      <c r="A189" s="6">
        <v>700</v>
      </c>
      <c r="B189" s="6">
        <v>135</v>
      </c>
      <c r="C189" s="21">
        <v>9</v>
      </c>
      <c r="D189" s="4">
        <v>3</v>
      </c>
    </row>
    <row r="190" spans="1:4" ht="21" x14ac:dyDescent="0.4">
      <c r="A190" s="6">
        <v>700</v>
      </c>
      <c r="B190" s="6">
        <v>150</v>
      </c>
      <c r="C190" s="21">
        <v>10</v>
      </c>
      <c r="D190" s="4">
        <v>3</v>
      </c>
    </row>
    <row r="191" spans="1:4" ht="21" x14ac:dyDescent="0.4">
      <c r="A191" s="6">
        <v>700</v>
      </c>
      <c r="B191" s="6">
        <v>200</v>
      </c>
      <c r="C191" s="21">
        <v>14</v>
      </c>
      <c r="D191" s="4">
        <v>3</v>
      </c>
    </row>
    <row r="192" spans="1:4" ht="21" x14ac:dyDescent="0.4">
      <c r="A192" s="6">
        <v>700</v>
      </c>
      <c r="B192" s="6">
        <v>250</v>
      </c>
      <c r="C192" s="21">
        <v>17</v>
      </c>
      <c r="D192" s="4">
        <v>3</v>
      </c>
    </row>
    <row r="193" spans="1:4" ht="21" x14ac:dyDescent="0.4">
      <c r="A193" s="6">
        <v>700</v>
      </c>
      <c r="B193" s="6">
        <v>300</v>
      </c>
      <c r="C193" s="21">
        <v>21</v>
      </c>
      <c r="D193" s="4">
        <v>3</v>
      </c>
    </row>
    <row r="194" spans="1:4" ht="21" x14ac:dyDescent="0.4">
      <c r="A194" s="6">
        <v>700</v>
      </c>
      <c r="B194" s="6">
        <v>400</v>
      </c>
      <c r="C194" s="21">
        <v>29</v>
      </c>
      <c r="D194" s="4">
        <v>3</v>
      </c>
    </row>
    <row r="195" spans="1:4" x14ac:dyDescent="0.3">
      <c r="A195" s="19"/>
      <c r="B195" s="19"/>
      <c r="C195" s="19"/>
      <c r="D195" s="23"/>
    </row>
    <row r="196" spans="1:4" ht="21" x14ac:dyDescent="0.4">
      <c r="A196" s="6">
        <v>800</v>
      </c>
      <c r="B196" s="6">
        <v>40</v>
      </c>
      <c r="C196" s="21">
        <v>1</v>
      </c>
      <c r="D196" s="4">
        <v>3</v>
      </c>
    </row>
    <row r="197" spans="1:4" ht="21" x14ac:dyDescent="0.4">
      <c r="A197" s="6">
        <v>800</v>
      </c>
      <c r="B197" s="6">
        <v>50</v>
      </c>
      <c r="C197" s="21">
        <v>2</v>
      </c>
      <c r="D197" s="4">
        <v>3</v>
      </c>
    </row>
    <row r="198" spans="1:4" ht="21" x14ac:dyDescent="0.4">
      <c r="A198" s="6">
        <v>800</v>
      </c>
      <c r="B198" s="6">
        <v>60</v>
      </c>
      <c r="C198" s="21">
        <v>3</v>
      </c>
      <c r="D198" s="4">
        <v>3</v>
      </c>
    </row>
    <row r="199" spans="1:4" ht="21" x14ac:dyDescent="0.4">
      <c r="A199" s="6">
        <v>800</v>
      </c>
      <c r="B199" s="6">
        <v>75</v>
      </c>
      <c r="C199" s="21">
        <v>4</v>
      </c>
      <c r="D199" s="4">
        <v>3</v>
      </c>
    </row>
    <row r="200" spans="1:4" ht="21" x14ac:dyDescent="0.4">
      <c r="A200" s="6">
        <v>800</v>
      </c>
      <c r="B200" s="6">
        <v>85</v>
      </c>
      <c r="C200" s="21">
        <v>5</v>
      </c>
      <c r="D200" s="4">
        <v>3</v>
      </c>
    </row>
    <row r="201" spans="1:4" ht="21" x14ac:dyDescent="0.4">
      <c r="A201" s="6">
        <v>800</v>
      </c>
      <c r="B201" s="6">
        <v>90</v>
      </c>
      <c r="C201" s="21">
        <v>5</v>
      </c>
      <c r="D201" s="4">
        <v>3</v>
      </c>
    </row>
    <row r="202" spans="1:4" ht="21" x14ac:dyDescent="0.4">
      <c r="A202" s="6">
        <v>800</v>
      </c>
      <c r="B202" s="6">
        <v>100</v>
      </c>
      <c r="C202" s="21">
        <v>6</v>
      </c>
      <c r="D202" s="4">
        <v>3</v>
      </c>
    </row>
    <row r="203" spans="1:4" ht="21" x14ac:dyDescent="0.4">
      <c r="A203" s="6">
        <v>800</v>
      </c>
      <c r="B203" s="6">
        <v>120</v>
      </c>
      <c r="C203" s="21">
        <v>8</v>
      </c>
      <c r="D203" s="4">
        <v>3</v>
      </c>
    </row>
    <row r="204" spans="1:4" ht="21" x14ac:dyDescent="0.4">
      <c r="A204" s="6">
        <v>800</v>
      </c>
      <c r="B204" s="6">
        <v>130</v>
      </c>
      <c r="C204" s="21">
        <v>8</v>
      </c>
      <c r="D204" s="4">
        <v>3</v>
      </c>
    </row>
    <row r="205" spans="1:4" ht="21" x14ac:dyDescent="0.4">
      <c r="A205" s="6">
        <v>800</v>
      </c>
      <c r="B205" s="6">
        <v>135</v>
      </c>
      <c r="C205" s="21">
        <v>9</v>
      </c>
      <c r="D205" s="4">
        <v>3</v>
      </c>
    </row>
    <row r="206" spans="1:4" ht="21" x14ac:dyDescent="0.4">
      <c r="A206" s="6">
        <v>800</v>
      </c>
      <c r="B206" s="6">
        <v>150</v>
      </c>
      <c r="C206" s="21">
        <v>10</v>
      </c>
      <c r="D206" s="4">
        <v>3</v>
      </c>
    </row>
    <row r="207" spans="1:4" ht="21" x14ac:dyDescent="0.4">
      <c r="A207" s="6">
        <v>800</v>
      </c>
      <c r="B207" s="6">
        <v>200</v>
      </c>
      <c r="C207" s="21">
        <v>14</v>
      </c>
      <c r="D207" s="4">
        <v>3</v>
      </c>
    </row>
    <row r="208" spans="1:4" ht="21" x14ac:dyDescent="0.4">
      <c r="A208" s="6">
        <v>800</v>
      </c>
      <c r="B208" s="6">
        <v>250</v>
      </c>
      <c r="C208" s="21">
        <v>17</v>
      </c>
      <c r="D208" s="4">
        <v>3</v>
      </c>
    </row>
    <row r="209" spans="1:4" ht="21" x14ac:dyDescent="0.4">
      <c r="A209" s="6">
        <v>800</v>
      </c>
      <c r="B209" s="6">
        <v>300</v>
      </c>
      <c r="C209" s="21">
        <v>21</v>
      </c>
      <c r="D209" s="4">
        <v>3</v>
      </c>
    </row>
    <row r="210" spans="1:4" ht="21" x14ac:dyDescent="0.4">
      <c r="A210" s="6">
        <v>800</v>
      </c>
      <c r="B210" s="6">
        <v>400</v>
      </c>
      <c r="C210" s="21">
        <v>29</v>
      </c>
      <c r="D210" s="4">
        <v>3</v>
      </c>
    </row>
    <row r="211" spans="1:4" x14ac:dyDescent="0.3">
      <c r="A211" s="19"/>
      <c r="B211" s="19"/>
      <c r="C211" s="19"/>
      <c r="D211" s="23"/>
    </row>
    <row r="212" spans="1:4" ht="21" x14ac:dyDescent="0.4">
      <c r="A212" s="6">
        <v>900</v>
      </c>
      <c r="B212" s="6">
        <v>40</v>
      </c>
      <c r="C212" s="21">
        <v>1</v>
      </c>
      <c r="D212" s="4">
        <v>3</v>
      </c>
    </row>
    <row r="213" spans="1:4" ht="21" x14ac:dyDescent="0.4">
      <c r="A213" s="6">
        <v>900</v>
      </c>
      <c r="B213" s="6">
        <v>50</v>
      </c>
      <c r="C213" s="21">
        <v>2</v>
      </c>
      <c r="D213" s="4">
        <v>3</v>
      </c>
    </row>
    <row r="214" spans="1:4" ht="21" x14ac:dyDescent="0.4">
      <c r="A214" s="6">
        <v>900</v>
      </c>
      <c r="B214" s="6">
        <v>60</v>
      </c>
      <c r="C214" s="21">
        <v>3</v>
      </c>
      <c r="D214" s="4">
        <v>3</v>
      </c>
    </row>
    <row r="215" spans="1:4" ht="21" x14ac:dyDescent="0.4">
      <c r="A215" s="6">
        <v>900</v>
      </c>
      <c r="B215" s="6">
        <v>75</v>
      </c>
      <c r="C215" s="21">
        <v>4</v>
      </c>
      <c r="D215" s="4">
        <v>3</v>
      </c>
    </row>
    <row r="216" spans="1:4" ht="21" x14ac:dyDescent="0.4">
      <c r="A216" s="6">
        <v>900</v>
      </c>
      <c r="B216" s="6">
        <v>85</v>
      </c>
      <c r="C216" s="21">
        <v>5</v>
      </c>
      <c r="D216" s="4">
        <v>3</v>
      </c>
    </row>
    <row r="217" spans="1:4" ht="21" x14ac:dyDescent="0.4">
      <c r="A217" s="6">
        <v>900</v>
      </c>
      <c r="B217" s="6">
        <v>90</v>
      </c>
      <c r="C217" s="21">
        <v>5</v>
      </c>
      <c r="D217" s="4">
        <v>3</v>
      </c>
    </row>
    <row r="218" spans="1:4" ht="21" x14ac:dyDescent="0.4">
      <c r="A218" s="6">
        <v>900</v>
      </c>
      <c r="B218" s="6">
        <v>100</v>
      </c>
      <c r="C218" s="21">
        <v>6</v>
      </c>
      <c r="D218" s="4">
        <v>3</v>
      </c>
    </row>
    <row r="219" spans="1:4" ht="21" x14ac:dyDescent="0.4">
      <c r="A219" s="6">
        <v>900</v>
      </c>
      <c r="B219" s="6">
        <v>120</v>
      </c>
      <c r="C219" s="21">
        <v>8</v>
      </c>
      <c r="D219" s="4">
        <v>3</v>
      </c>
    </row>
    <row r="220" spans="1:4" ht="21" x14ac:dyDescent="0.4">
      <c r="A220" s="6">
        <v>900</v>
      </c>
      <c r="B220" s="6">
        <v>130</v>
      </c>
      <c r="C220" s="21">
        <v>8</v>
      </c>
      <c r="D220" s="4">
        <v>3</v>
      </c>
    </row>
    <row r="221" spans="1:4" ht="21" x14ac:dyDescent="0.4">
      <c r="A221" s="6">
        <v>900</v>
      </c>
      <c r="B221" s="6">
        <v>135</v>
      </c>
      <c r="C221" s="21">
        <v>9</v>
      </c>
      <c r="D221" s="4">
        <v>3</v>
      </c>
    </row>
    <row r="222" spans="1:4" ht="21" x14ac:dyDescent="0.4">
      <c r="A222" s="6">
        <v>900</v>
      </c>
      <c r="B222" s="6">
        <v>150</v>
      </c>
      <c r="C222" s="21">
        <v>10</v>
      </c>
      <c r="D222" s="4">
        <v>3</v>
      </c>
    </row>
    <row r="223" spans="1:4" ht="21" x14ac:dyDescent="0.4">
      <c r="A223" s="6">
        <v>900</v>
      </c>
      <c r="B223" s="6">
        <v>200</v>
      </c>
      <c r="C223" s="21">
        <v>14</v>
      </c>
      <c r="D223" s="4">
        <v>3</v>
      </c>
    </row>
    <row r="224" spans="1:4" ht="21" x14ac:dyDescent="0.4">
      <c r="A224" s="6">
        <v>900</v>
      </c>
      <c r="B224" s="6">
        <v>250</v>
      </c>
      <c r="C224" s="21">
        <v>17</v>
      </c>
      <c r="D224" s="4">
        <v>3</v>
      </c>
    </row>
    <row r="225" spans="1:4" ht="21" x14ac:dyDescent="0.4">
      <c r="A225" s="6">
        <v>900</v>
      </c>
      <c r="B225" s="6">
        <v>300</v>
      </c>
      <c r="C225" s="21">
        <v>21</v>
      </c>
      <c r="D225" s="4">
        <v>3</v>
      </c>
    </row>
    <row r="226" spans="1:4" ht="21" x14ac:dyDescent="0.4">
      <c r="A226" s="6">
        <v>900</v>
      </c>
      <c r="B226" s="6">
        <v>400</v>
      </c>
      <c r="C226" s="21">
        <v>29</v>
      </c>
      <c r="D226" s="4">
        <v>4</v>
      </c>
    </row>
    <row r="227" spans="1:4" x14ac:dyDescent="0.3">
      <c r="A227" s="19"/>
      <c r="B227" s="19"/>
      <c r="C227" s="19"/>
      <c r="D227" s="23"/>
    </row>
    <row r="228" spans="1:4" ht="21" x14ac:dyDescent="0.4">
      <c r="A228" s="6">
        <v>1000</v>
      </c>
      <c r="B228" s="6">
        <v>40</v>
      </c>
      <c r="C228" s="21">
        <v>1</v>
      </c>
      <c r="D228" s="4">
        <v>3</v>
      </c>
    </row>
    <row r="229" spans="1:4" ht="21" x14ac:dyDescent="0.4">
      <c r="A229" s="6">
        <v>1000</v>
      </c>
      <c r="B229" s="6">
        <v>50</v>
      </c>
      <c r="C229" s="21">
        <v>2</v>
      </c>
      <c r="D229" s="4">
        <v>3</v>
      </c>
    </row>
    <row r="230" spans="1:4" ht="21" x14ac:dyDescent="0.4">
      <c r="A230" s="6">
        <v>1000</v>
      </c>
      <c r="B230" s="6">
        <v>60</v>
      </c>
      <c r="C230" s="21">
        <v>3</v>
      </c>
      <c r="D230" s="4">
        <v>3</v>
      </c>
    </row>
    <row r="231" spans="1:4" ht="21" x14ac:dyDescent="0.4">
      <c r="A231" s="6">
        <v>1000</v>
      </c>
      <c r="B231" s="6">
        <v>75</v>
      </c>
      <c r="C231" s="21">
        <v>4</v>
      </c>
      <c r="D231" s="4">
        <v>3</v>
      </c>
    </row>
    <row r="232" spans="1:4" ht="21" x14ac:dyDescent="0.4">
      <c r="A232" s="6">
        <v>1000</v>
      </c>
      <c r="B232" s="6">
        <v>85</v>
      </c>
      <c r="C232" s="21">
        <v>5</v>
      </c>
      <c r="D232" s="4">
        <v>3</v>
      </c>
    </row>
    <row r="233" spans="1:4" ht="21" x14ac:dyDescent="0.4">
      <c r="A233" s="6">
        <v>1000</v>
      </c>
      <c r="B233" s="6">
        <v>90</v>
      </c>
      <c r="C233" s="21">
        <v>5</v>
      </c>
      <c r="D233" s="4">
        <v>3</v>
      </c>
    </row>
    <row r="234" spans="1:4" ht="21" x14ac:dyDescent="0.4">
      <c r="A234" s="6">
        <v>1000</v>
      </c>
      <c r="B234" s="6">
        <v>100</v>
      </c>
      <c r="C234" s="21">
        <v>6</v>
      </c>
      <c r="D234" s="4">
        <v>3</v>
      </c>
    </row>
    <row r="235" spans="1:4" ht="21" x14ac:dyDescent="0.4">
      <c r="A235" s="6">
        <v>1000</v>
      </c>
      <c r="B235" s="6">
        <v>120</v>
      </c>
      <c r="C235" s="21">
        <v>8</v>
      </c>
      <c r="D235" s="4">
        <v>3</v>
      </c>
    </row>
    <row r="236" spans="1:4" ht="21" x14ac:dyDescent="0.4">
      <c r="A236" s="6">
        <v>1000</v>
      </c>
      <c r="B236" s="6">
        <v>130</v>
      </c>
      <c r="C236" s="21">
        <v>8</v>
      </c>
      <c r="D236" s="4">
        <v>3</v>
      </c>
    </row>
    <row r="237" spans="1:4" ht="21" x14ac:dyDescent="0.4">
      <c r="A237" s="6">
        <v>1000</v>
      </c>
      <c r="B237" s="6">
        <v>135</v>
      </c>
      <c r="C237" s="21">
        <v>9</v>
      </c>
      <c r="D237" s="4">
        <v>3</v>
      </c>
    </row>
    <row r="238" spans="1:4" ht="21" x14ac:dyDescent="0.4">
      <c r="A238" s="6">
        <v>1000</v>
      </c>
      <c r="B238" s="6">
        <v>150</v>
      </c>
      <c r="C238" s="21">
        <v>10</v>
      </c>
      <c r="D238" s="4">
        <v>3</v>
      </c>
    </row>
    <row r="239" spans="1:4" ht="21" x14ac:dyDescent="0.4">
      <c r="A239" s="6">
        <v>1000</v>
      </c>
      <c r="B239" s="6">
        <v>200</v>
      </c>
      <c r="C239" s="21">
        <v>14</v>
      </c>
      <c r="D239" s="4">
        <v>3</v>
      </c>
    </row>
    <row r="240" spans="1:4" ht="21" x14ac:dyDescent="0.4">
      <c r="A240" s="6">
        <v>1000</v>
      </c>
      <c r="B240" s="6">
        <v>250</v>
      </c>
      <c r="C240" s="21">
        <v>17</v>
      </c>
      <c r="D240" s="4">
        <v>4</v>
      </c>
    </row>
    <row r="241" spans="1:4" ht="21" x14ac:dyDescent="0.4">
      <c r="A241" s="6">
        <v>1000</v>
      </c>
      <c r="B241" s="6">
        <v>300</v>
      </c>
      <c r="C241" s="21">
        <v>21</v>
      </c>
      <c r="D241" s="4">
        <v>4</v>
      </c>
    </row>
    <row r="242" spans="1:4" ht="21" x14ac:dyDescent="0.4">
      <c r="A242" s="6">
        <v>1000</v>
      </c>
      <c r="B242" s="6">
        <v>400</v>
      </c>
      <c r="C242" s="21">
        <v>29</v>
      </c>
      <c r="D242" s="4">
        <v>4</v>
      </c>
    </row>
    <row r="243" spans="1:4" x14ac:dyDescent="0.3">
      <c r="A243" s="19"/>
      <c r="B243" s="19"/>
      <c r="C243" s="19"/>
      <c r="D243" s="23"/>
    </row>
    <row r="244" spans="1:4" ht="21" x14ac:dyDescent="0.4">
      <c r="A244" s="6">
        <v>1200</v>
      </c>
      <c r="B244" s="6">
        <v>40</v>
      </c>
      <c r="C244" s="21">
        <v>1</v>
      </c>
      <c r="D244" s="4">
        <v>4</v>
      </c>
    </row>
    <row r="245" spans="1:4" ht="21" x14ac:dyDescent="0.4">
      <c r="A245" s="6">
        <v>1200</v>
      </c>
      <c r="B245" s="6">
        <v>50</v>
      </c>
      <c r="C245" s="21">
        <v>2</v>
      </c>
      <c r="D245" s="4">
        <v>4</v>
      </c>
    </row>
    <row r="246" spans="1:4" ht="21" x14ac:dyDescent="0.4">
      <c r="A246" s="6">
        <v>1200</v>
      </c>
      <c r="B246" s="6">
        <v>60</v>
      </c>
      <c r="C246" s="21">
        <v>3</v>
      </c>
      <c r="D246" s="4">
        <v>4</v>
      </c>
    </row>
    <row r="247" spans="1:4" ht="21" x14ac:dyDescent="0.4">
      <c r="A247" s="6">
        <v>1200</v>
      </c>
      <c r="B247" s="6">
        <v>75</v>
      </c>
      <c r="C247" s="21">
        <v>4</v>
      </c>
      <c r="D247" s="4">
        <v>4</v>
      </c>
    </row>
    <row r="248" spans="1:4" ht="21" x14ac:dyDescent="0.4">
      <c r="A248" s="6">
        <v>1200</v>
      </c>
      <c r="B248" s="6">
        <v>85</v>
      </c>
      <c r="C248" s="21">
        <v>5</v>
      </c>
      <c r="D248" s="4">
        <v>4</v>
      </c>
    </row>
    <row r="249" spans="1:4" ht="21" x14ac:dyDescent="0.4">
      <c r="A249" s="6">
        <v>1200</v>
      </c>
      <c r="B249" s="6">
        <v>90</v>
      </c>
      <c r="C249" s="21">
        <v>5</v>
      </c>
      <c r="D249" s="4">
        <v>4</v>
      </c>
    </row>
    <row r="250" spans="1:4" ht="21" x14ac:dyDescent="0.4">
      <c r="A250" s="6">
        <v>1200</v>
      </c>
      <c r="B250" s="6">
        <v>100</v>
      </c>
      <c r="C250" s="21">
        <v>6</v>
      </c>
      <c r="D250" s="4">
        <v>4</v>
      </c>
    </row>
    <row r="251" spans="1:4" ht="21" x14ac:dyDescent="0.4">
      <c r="A251" s="6">
        <v>1200</v>
      </c>
      <c r="B251" s="6">
        <v>120</v>
      </c>
      <c r="C251" s="21">
        <v>8</v>
      </c>
      <c r="D251" s="4">
        <v>4</v>
      </c>
    </row>
    <row r="252" spans="1:4" ht="21" x14ac:dyDescent="0.4">
      <c r="A252" s="6">
        <v>1200</v>
      </c>
      <c r="B252" s="6">
        <v>130</v>
      </c>
      <c r="C252" s="21">
        <v>8</v>
      </c>
      <c r="D252" s="4">
        <v>4</v>
      </c>
    </row>
    <row r="253" spans="1:4" ht="21" x14ac:dyDescent="0.4">
      <c r="A253" s="6">
        <v>1200</v>
      </c>
      <c r="B253" s="6">
        <v>135</v>
      </c>
      <c r="C253" s="21">
        <v>9</v>
      </c>
      <c r="D253" s="4">
        <v>4</v>
      </c>
    </row>
    <row r="254" spans="1:4" ht="21" x14ac:dyDescent="0.4">
      <c r="A254" s="6">
        <v>1200</v>
      </c>
      <c r="B254" s="6">
        <v>150</v>
      </c>
      <c r="C254" s="21">
        <v>10</v>
      </c>
      <c r="D254" s="4">
        <v>4</v>
      </c>
    </row>
    <row r="255" spans="1:4" ht="21" x14ac:dyDescent="0.4">
      <c r="A255" s="6">
        <v>1200</v>
      </c>
      <c r="B255" s="6">
        <v>200</v>
      </c>
      <c r="C255" s="21">
        <v>14</v>
      </c>
      <c r="D255" s="4">
        <v>4</v>
      </c>
    </row>
    <row r="256" spans="1:4" ht="21" x14ac:dyDescent="0.4">
      <c r="A256" s="6">
        <v>1200</v>
      </c>
      <c r="B256" s="6">
        <v>250</v>
      </c>
      <c r="C256" s="21">
        <v>17</v>
      </c>
      <c r="D256" s="4">
        <v>4</v>
      </c>
    </row>
    <row r="257" spans="1:4" ht="21" x14ac:dyDescent="0.4">
      <c r="A257" s="6">
        <v>1200</v>
      </c>
      <c r="B257" s="6">
        <v>300</v>
      </c>
      <c r="C257" s="21">
        <v>21</v>
      </c>
      <c r="D257" s="4">
        <v>4</v>
      </c>
    </row>
    <row r="258" spans="1:4" ht="21" x14ac:dyDescent="0.4">
      <c r="A258" s="6">
        <v>1200</v>
      </c>
      <c r="B258" s="6">
        <v>400</v>
      </c>
      <c r="C258" s="21">
        <v>29</v>
      </c>
      <c r="D258" s="4">
        <v>4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3:K3050"/>
  <sheetViews>
    <sheetView topLeftCell="A3037" workbookViewId="0">
      <selection activeCell="E3050" sqref="E3050"/>
    </sheetView>
  </sheetViews>
  <sheetFormatPr baseColWidth="10" defaultRowHeight="14.4" x14ac:dyDescent="0.3"/>
  <cols>
    <col min="1" max="1" width="25" customWidth="1"/>
    <col min="2" max="2" width="13.5546875" customWidth="1"/>
    <col min="4" max="4" width="17.33203125" customWidth="1"/>
    <col min="5" max="5" width="20" customWidth="1"/>
    <col min="7" max="7" width="17.33203125" customWidth="1"/>
    <col min="8" max="8" width="14.88671875" customWidth="1"/>
    <col min="9" max="9" width="15.6640625" customWidth="1"/>
    <col min="10" max="10" width="13" customWidth="1"/>
    <col min="11" max="11" width="15.33203125" customWidth="1"/>
  </cols>
  <sheetData>
    <row r="3" spans="1:11" ht="18" x14ac:dyDescent="0.35">
      <c r="A3" s="5" t="s">
        <v>594</v>
      </c>
      <c r="B3" s="5"/>
      <c r="C3" s="5"/>
      <c r="D3" s="5"/>
      <c r="E3" s="5"/>
      <c r="F3" s="5"/>
    </row>
    <row r="4" spans="1:11" ht="18" x14ac:dyDescent="0.35">
      <c r="A4" s="5"/>
      <c r="B4" s="5"/>
      <c r="C4" s="5"/>
      <c r="D4" s="5"/>
      <c r="E4" s="5"/>
      <c r="F4" s="5"/>
    </row>
    <row r="5" spans="1:11" ht="18" x14ac:dyDescent="0.35">
      <c r="A5" s="5" t="s">
        <v>643</v>
      </c>
      <c r="B5" s="5"/>
      <c r="C5" s="50" t="s">
        <v>28</v>
      </c>
      <c r="D5" s="50" t="s">
        <v>29</v>
      </c>
      <c r="E5" s="50" t="s">
        <v>30</v>
      </c>
      <c r="F5" s="5"/>
    </row>
    <row r="6" spans="1:11" ht="18" x14ac:dyDescent="0.35">
      <c r="A6" s="5" t="s">
        <v>180</v>
      </c>
      <c r="B6" s="50" t="s">
        <v>32</v>
      </c>
      <c r="C6" s="50">
        <v>1.5980000000000001</v>
      </c>
      <c r="D6" s="50">
        <v>30.29</v>
      </c>
      <c r="E6" s="51">
        <f t="shared" ref="E6:E11" si="0">C6*D6</f>
        <v>48.403420000000004</v>
      </c>
      <c r="F6" s="5"/>
    </row>
    <row r="7" spans="1:11" ht="18" x14ac:dyDescent="0.35">
      <c r="A7" s="5" t="s">
        <v>214</v>
      </c>
      <c r="B7" s="50" t="s">
        <v>33</v>
      </c>
      <c r="C7" s="50">
        <v>1.9470000000000001</v>
      </c>
      <c r="D7" s="51">
        <v>16</v>
      </c>
      <c r="E7" s="51">
        <f t="shared" si="0"/>
        <v>31.152000000000001</v>
      </c>
      <c r="F7" s="5"/>
    </row>
    <row r="8" spans="1:11" ht="18" x14ac:dyDescent="0.35">
      <c r="A8" s="5"/>
      <c r="B8" s="50" t="s">
        <v>137</v>
      </c>
      <c r="C8" s="50">
        <v>0.12</v>
      </c>
      <c r="D8" s="50">
        <v>17.190000000000001</v>
      </c>
      <c r="E8" s="51">
        <f t="shared" si="0"/>
        <v>2.0628000000000002</v>
      </c>
      <c r="F8" s="5"/>
    </row>
    <row r="9" spans="1:11" ht="18" x14ac:dyDescent="0.35">
      <c r="A9" s="5"/>
      <c r="B9" s="50" t="s">
        <v>35</v>
      </c>
      <c r="C9" s="50">
        <v>4</v>
      </c>
      <c r="D9" s="50">
        <v>2.89</v>
      </c>
      <c r="E9" s="51">
        <f t="shared" si="0"/>
        <v>11.56</v>
      </c>
      <c r="F9" s="5"/>
    </row>
    <row r="10" spans="1:11" ht="18" x14ac:dyDescent="0.35">
      <c r="A10" s="5"/>
      <c r="B10" s="50" t="s">
        <v>36</v>
      </c>
      <c r="C10" s="50">
        <v>4</v>
      </c>
      <c r="D10" s="50">
        <v>0.6</v>
      </c>
      <c r="E10" s="51">
        <f t="shared" si="0"/>
        <v>2.4</v>
      </c>
      <c r="F10" s="52">
        <f>SUM(E6:E10)</f>
        <v>95.578220000000002</v>
      </c>
    </row>
    <row r="11" spans="1:11" ht="18" x14ac:dyDescent="0.35">
      <c r="A11" s="5"/>
      <c r="B11" s="50" t="s">
        <v>37</v>
      </c>
      <c r="C11" s="5">
        <v>20</v>
      </c>
      <c r="D11" s="80">
        <v>1.69</v>
      </c>
      <c r="E11" s="51">
        <f t="shared" si="0"/>
        <v>33.799999999999997</v>
      </c>
      <c r="F11" s="52"/>
    </row>
    <row r="12" spans="1:11" ht="18" x14ac:dyDescent="0.35">
      <c r="A12" s="5"/>
      <c r="B12" s="5"/>
      <c r="C12" s="5"/>
      <c r="D12" s="5">
        <v>101.32</v>
      </c>
      <c r="E12" s="51">
        <f>SUM(E6:E11)</f>
        <v>129.37822</v>
      </c>
      <c r="F12" s="5"/>
    </row>
    <row r="13" spans="1:11" ht="18" x14ac:dyDescent="0.35">
      <c r="A13" s="5"/>
      <c r="B13" s="5"/>
      <c r="C13" s="5"/>
      <c r="D13" s="5"/>
      <c r="E13" s="81">
        <v>0.03</v>
      </c>
      <c r="F13" s="5"/>
    </row>
    <row r="14" spans="1:11" ht="18" x14ac:dyDescent="0.35">
      <c r="A14" s="5"/>
      <c r="B14" s="5"/>
      <c r="C14" s="5"/>
      <c r="D14" s="5"/>
      <c r="E14" s="52">
        <v>132</v>
      </c>
      <c r="F14" s="5"/>
    </row>
    <row r="15" spans="1:11" ht="18" x14ac:dyDescent="0.35">
      <c r="A15" s="5" t="s">
        <v>719</v>
      </c>
      <c r="B15" s="5"/>
      <c r="C15" s="5"/>
      <c r="D15" s="5"/>
      <c r="E15" s="5"/>
      <c r="F15" s="5"/>
      <c r="G15" s="5" t="s">
        <v>719</v>
      </c>
      <c r="H15" s="5"/>
      <c r="I15" s="5"/>
      <c r="J15" s="5"/>
      <c r="K15" s="5"/>
    </row>
    <row r="16" spans="1:11" ht="18" x14ac:dyDescent="0.35">
      <c r="A16" s="5"/>
      <c r="B16" s="5"/>
      <c r="C16" s="50" t="s">
        <v>28</v>
      </c>
      <c r="D16" s="50" t="s">
        <v>29</v>
      </c>
      <c r="E16" s="50" t="s">
        <v>30</v>
      </c>
      <c r="G16" s="5"/>
      <c r="H16" s="5"/>
      <c r="I16" s="50" t="s">
        <v>28</v>
      </c>
      <c r="J16" s="50" t="s">
        <v>29</v>
      </c>
      <c r="K16" s="50" t="s">
        <v>30</v>
      </c>
    </row>
    <row r="17" spans="1:11" ht="18" x14ac:dyDescent="0.35">
      <c r="A17" s="5" t="s">
        <v>180</v>
      </c>
      <c r="B17" s="50" t="s">
        <v>32</v>
      </c>
      <c r="C17" s="7">
        <v>1.524</v>
      </c>
      <c r="D17" s="7">
        <v>30.29</v>
      </c>
      <c r="E17" s="85">
        <f>C17*D17</f>
        <v>46.161960000000001</v>
      </c>
      <c r="G17" s="5" t="s">
        <v>44</v>
      </c>
      <c r="H17" s="50" t="s">
        <v>32</v>
      </c>
      <c r="I17" s="7">
        <v>1.577</v>
      </c>
      <c r="J17" s="7">
        <v>30.29</v>
      </c>
      <c r="K17" s="85">
        <f>I17*J17</f>
        <v>47.767329999999994</v>
      </c>
    </row>
    <row r="18" spans="1:11" ht="18" x14ac:dyDescent="0.35">
      <c r="A18" s="5" t="s">
        <v>717</v>
      </c>
      <c r="B18" s="50" t="s">
        <v>33</v>
      </c>
      <c r="C18" s="7">
        <v>1.8580000000000001</v>
      </c>
      <c r="D18" s="85">
        <v>16</v>
      </c>
      <c r="E18" s="85">
        <f>C18*D18</f>
        <v>29.728000000000002</v>
      </c>
      <c r="G18" s="5" t="s">
        <v>720</v>
      </c>
      <c r="H18" s="50" t="s">
        <v>33</v>
      </c>
      <c r="I18" s="7">
        <v>3.6459999999999999</v>
      </c>
      <c r="J18" s="85">
        <v>16</v>
      </c>
      <c r="K18" s="85">
        <f>I18*J18</f>
        <v>58.335999999999999</v>
      </c>
    </row>
    <row r="19" spans="1:11" ht="18" x14ac:dyDescent="0.35">
      <c r="A19" s="5"/>
      <c r="B19" s="50" t="s">
        <v>137</v>
      </c>
      <c r="C19" s="7">
        <v>0.12</v>
      </c>
      <c r="D19" s="7">
        <v>17.190000000000001</v>
      </c>
      <c r="E19" s="85">
        <f>C19*D19</f>
        <v>2.0628000000000002</v>
      </c>
      <c r="G19" s="5"/>
      <c r="H19" s="50" t="s">
        <v>137</v>
      </c>
      <c r="I19" s="7">
        <v>0.2</v>
      </c>
      <c r="J19" s="7">
        <v>17.190000000000001</v>
      </c>
      <c r="K19" s="85">
        <f>I19*J19</f>
        <v>3.4380000000000006</v>
      </c>
    </row>
    <row r="20" spans="1:11" ht="18" x14ac:dyDescent="0.35">
      <c r="A20" s="5"/>
      <c r="B20" s="50" t="s">
        <v>35</v>
      </c>
      <c r="C20" s="7">
        <v>4</v>
      </c>
      <c r="D20" s="7">
        <v>2.89</v>
      </c>
      <c r="E20" s="85">
        <f>C20*D20</f>
        <v>11.56</v>
      </c>
      <c r="G20" s="5"/>
      <c r="H20" s="50" t="s">
        <v>35</v>
      </c>
      <c r="I20" s="7">
        <v>4</v>
      </c>
      <c r="J20" s="7">
        <v>2.89</v>
      </c>
      <c r="K20" s="85">
        <f>I20*J20</f>
        <v>11.56</v>
      </c>
    </row>
    <row r="21" spans="1:11" ht="18" x14ac:dyDescent="0.35">
      <c r="A21" s="5"/>
      <c r="B21" s="50" t="s">
        <v>36</v>
      </c>
      <c r="C21" s="7">
        <v>4</v>
      </c>
      <c r="D21" s="7">
        <v>0.6</v>
      </c>
      <c r="E21" s="85">
        <f>C21*D21</f>
        <v>2.4</v>
      </c>
      <c r="F21" s="52"/>
      <c r="G21" s="5"/>
      <c r="H21" s="50" t="s">
        <v>36</v>
      </c>
      <c r="I21" s="7">
        <v>4</v>
      </c>
      <c r="J21" s="7">
        <v>0.6</v>
      </c>
      <c r="K21" s="85">
        <f>I21*J21</f>
        <v>2.4</v>
      </c>
    </row>
    <row r="22" spans="1:11" ht="18" x14ac:dyDescent="0.35">
      <c r="A22" s="5"/>
      <c r="B22" s="96"/>
      <c r="C22" s="87"/>
      <c r="D22" s="87" t="s">
        <v>718</v>
      </c>
      <c r="E22" s="97">
        <f>SUM(E17:E21)</f>
        <v>91.912760000000006</v>
      </c>
      <c r="F22" s="52"/>
      <c r="G22" s="5"/>
      <c r="H22" s="96"/>
      <c r="I22" s="87"/>
      <c r="J22" s="87" t="s">
        <v>718</v>
      </c>
      <c r="K22" s="97">
        <f>SUM(K17:K21)</f>
        <v>123.50133000000001</v>
      </c>
    </row>
    <row r="23" spans="1:11" ht="18" x14ac:dyDescent="0.35">
      <c r="A23" s="5"/>
      <c r="B23" s="50" t="s">
        <v>37</v>
      </c>
      <c r="C23" s="7" t="s">
        <v>716</v>
      </c>
      <c r="D23" s="93">
        <v>1.59</v>
      </c>
      <c r="E23" s="85">
        <v>23.85</v>
      </c>
      <c r="G23" s="5"/>
      <c r="H23" s="50" t="s">
        <v>37</v>
      </c>
      <c r="I23" s="7" t="s">
        <v>716</v>
      </c>
      <c r="J23" s="93">
        <v>1.59</v>
      </c>
      <c r="K23" s="85">
        <v>23.85</v>
      </c>
    </row>
    <row r="24" spans="1:11" ht="18" x14ac:dyDescent="0.35">
      <c r="A24" s="5"/>
      <c r="B24" s="5"/>
      <c r="C24" s="54"/>
      <c r="D24" s="54"/>
      <c r="E24" s="97">
        <f>SUM(E22:E23)</f>
        <v>115.76276000000001</v>
      </c>
      <c r="G24" s="5"/>
      <c r="H24" s="5"/>
      <c r="I24" s="54"/>
      <c r="J24" s="54"/>
      <c r="K24" s="97">
        <f>SUM(K22:K23)</f>
        <v>147.35133000000002</v>
      </c>
    </row>
    <row r="25" spans="1:11" ht="18" x14ac:dyDescent="0.35">
      <c r="E25" s="81"/>
    </row>
    <row r="26" spans="1:11" ht="18" x14ac:dyDescent="0.35">
      <c r="E26" s="51"/>
    </row>
    <row r="28" spans="1:11" ht="18" x14ac:dyDescent="0.35">
      <c r="A28" s="5" t="s">
        <v>643</v>
      </c>
    </row>
    <row r="29" spans="1:11" x14ac:dyDescent="0.3">
      <c r="C29" s="4" t="s">
        <v>28</v>
      </c>
      <c r="D29" s="4" t="s">
        <v>29</v>
      </c>
      <c r="E29" s="4" t="s">
        <v>30</v>
      </c>
    </row>
    <row r="30" spans="1:11" x14ac:dyDescent="0.3">
      <c r="A30" t="s">
        <v>609</v>
      </c>
      <c r="B30" s="4" t="s">
        <v>32</v>
      </c>
      <c r="C30" s="4">
        <v>3.2040000000000002</v>
      </c>
      <c r="D30" s="4">
        <v>30.29</v>
      </c>
      <c r="E30" s="8">
        <f>C30*D30</f>
        <v>97.049160000000001</v>
      </c>
    </row>
    <row r="31" spans="1:11" x14ac:dyDescent="0.3">
      <c r="A31" t="s">
        <v>201</v>
      </c>
      <c r="B31" s="4" t="s">
        <v>33</v>
      </c>
      <c r="C31" s="4">
        <v>2.9260000000000002</v>
      </c>
      <c r="D31" s="4">
        <v>16</v>
      </c>
      <c r="E31" s="8">
        <f>C31*D31</f>
        <v>46.816000000000003</v>
      </c>
    </row>
    <row r="32" spans="1:11" x14ac:dyDescent="0.3">
      <c r="B32" s="4" t="s">
        <v>137</v>
      </c>
      <c r="C32" s="4">
        <v>0.2</v>
      </c>
      <c r="D32" s="4">
        <v>17.190000000000001</v>
      </c>
      <c r="E32" s="8">
        <f>C32*D32</f>
        <v>3.4380000000000006</v>
      </c>
    </row>
    <row r="33" spans="2:5" x14ac:dyDescent="0.3">
      <c r="B33" s="4" t="s">
        <v>35</v>
      </c>
      <c r="C33" s="4">
        <v>4</v>
      </c>
      <c r="D33" s="4">
        <v>2.89</v>
      </c>
      <c r="E33" s="8">
        <f>C33*D33</f>
        <v>11.56</v>
      </c>
    </row>
    <row r="34" spans="2:5" x14ac:dyDescent="0.3">
      <c r="B34" s="4" t="s">
        <v>36</v>
      </c>
      <c r="C34" s="4">
        <v>4</v>
      </c>
      <c r="D34" s="4">
        <v>0.6</v>
      </c>
      <c r="E34" s="8">
        <f>C34*D34</f>
        <v>2.4</v>
      </c>
    </row>
    <row r="35" spans="2:5" x14ac:dyDescent="0.3">
      <c r="B35" s="4"/>
      <c r="C35" s="59"/>
      <c r="D35" s="10"/>
      <c r="E35" s="8">
        <f>SUM(E30:E34)</f>
        <v>161.26316</v>
      </c>
    </row>
    <row r="36" spans="2:5" x14ac:dyDescent="0.3">
      <c r="B36" s="4" t="s">
        <v>37</v>
      </c>
      <c r="C36">
        <v>20</v>
      </c>
      <c r="D36" s="61">
        <v>1.69</v>
      </c>
      <c r="E36" s="8">
        <f>C36*D36</f>
        <v>33.799999999999997</v>
      </c>
    </row>
    <row r="37" spans="2:5" x14ac:dyDescent="0.3">
      <c r="B37" s="61" t="s">
        <v>610</v>
      </c>
      <c r="E37" s="8">
        <f>SUM(E35:E36)</f>
        <v>195.06315999999998</v>
      </c>
    </row>
    <row r="38" spans="2:5" x14ac:dyDescent="0.3">
      <c r="E38" t="s">
        <v>611</v>
      </c>
    </row>
    <row r="39" spans="2:5" x14ac:dyDescent="0.3">
      <c r="E39">
        <v>201</v>
      </c>
    </row>
    <row r="41" spans="2:5" ht="20.100000000000001" customHeight="1" x14ac:dyDescent="0.3"/>
    <row r="42" spans="2:5" ht="20.100000000000001" customHeight="1" x14ac:dyDescent="0.3"/>
    <row r="43" spans="2:5" ht="20.100000000000001" customHeight="1" x14ac:dyDescent="0.3"/>
    <row r="44" spans="2:5" ht="20.100000000000001" customHeight="1" x14ac:dyDescent="0.3"/>
    <row r="45" spans="2:5" ht="20.100000000000001" customHeight="1" x14ac:dyDescent="0.3"/>
    <row r="46" spans="2:5" ht="20.100000000000001" customHeight="1" x14ac:dyDescent="0.3"/>
    <row r="47" spans="2:5" ht="20.100000000000001" customHeight="1" x14ac:dyDescent="0.3"/>
    <row r="48" spans="2:5" ht="20.100000000000001" customHeight="1" x14ac:dyDescent="0.3"/>
    <row r="49" spans="1:5" ht="20.100000000000001" customHeight="1" x14ac:dyDescent="0.4">
      <c r="A49" s="40" t="s">
        <v>614</v>
      </c>
      <c r="B49" s="40"/>
      <c r="C49" s="40"/>
    </row>
    <row r="50" spans="1:5" ht="20.100000000000001" customHeight="1" x14ac:dyDescent="0.35">
      <c r="C50" s="50" t="s">
        <v>28</v>
      </c>
      <c r="D50" s="50" t="s">
        <v>29</v>
      </c>
      <c r="E50" s="50" t="s">
        <v>30</v>
      </c>
    </row>
    <row r="51" spans="1:5" ht="20.100000000000001" customHeight="1" x14ac:dyDescent="0.4">
      <c r="A51" t="s">
        <v>490</v>
      </c>
      <c r="B51" s="50" t="s">
        <v>32</v>
      </c>
      <c r="C51" s="91">
        <v>5.6459999999999999</v>
      </c>
      <c r="D51" s="91">
        <v>29.24</v>
      </c>
      <c r="E51" s="92">
        <f t="shared" ref="E51:E58" si="1">C51*D51</f>
        <v>165.08903999999998</v>
      </c>
    </row>
    <row r="52" spans="1:5" ht="20.100000000000001" customHeight="1" x14ac:dyDescent="0.4">
      <c r="A52" t="s">
        <v>293</v>
      </c>
      <c r="B52" s="50" t="s">
        <v>33</v>
      </c>
      <c r="C52" s="91">
        <v>50.148000000000003</v>
      </c>
      <c r="D52" s="91">
        <v>14.94</v>
      </c>
      <c r="E52" s="92">
        <f t="shared" si="1"/>
        <v>749.21112000000005</v>
      </c>
    </row>
    <row r="53" spans="1:5" ht="21" x14ac:dyDescent="0.4">
      <c r="A53" t="s">
        <v>613</v>
      </c>
      <c r="B53" s="50" t="s">
        <v>33</v>
      </c>
      <c r="C53" s="91">
        <v>50.420999999999999</v>
      </c>
      <c r="D53" s="91">
        <v>14.94</v>
      </c>
      <c r="E53" s="92">
        <f t="shared" si="1"/>
        <v>753.28973999999994</v>
      </c>
    </row>
    <row r="54" spans="1:5" ht="21" x14ac:dyDescent="0.4">
      <c r="B54" s="50" t="s">
        <v>88</v>
      </c>
      <c r="C54" s="91">
        <v>2</v>
      </c>
      <c r="D54" s="91">
        <v>1.98</v>
      </c>
      <c r="E54" s="92">
        <f t="shared" si="1"/>
        <v>3.96</v>
      </c>
    </row>
    <row r="55" spans="1:5" ht="21" x14ac:dyDescent="0.4">
      <c r="B55" s="50" t="s">
        <v>582</v>
      </c>
      <c r="C55" s="91">
        <v>8</v>
      </c>
      <c r="D55" s="91">
        <v>1.98</v>
      </c>
      <c r="E55" s="91">
        <f t="shared" si="1"/>
        <v>15.84</v>
      </c>
    </row>
    <row r="56" spans="1:5" ht="21" x14ac:dyDescent="0.4">
      <c r="B56" s="50" t="s">
        <v>34</v>
      </c>
      <c r="C56" s="91">
        <v>2</v>
      </c>
      <c r="D56" s="91">
        <v>14.93</v>
      </c>
      <c r="E56" s="92">
        <f t="shared" si="1"/>
        <v>29.86</v>
      </c>
    </row>
    <row r="57" spans="1:5" ht="21" x14ac:dyDescent="0.4">
      <c r="B57" s="50" t="s">
        <v>35</v>
      </c>
      <c r="C57" s="91">
        <v>12</v>
      </c>
      <c r="D57" s="91">
        <v>1.89</v>
      </c>
      <c r="E57" s="92">
        <f t="shared" si="1"/>
        <v>22.68</v>
      </c>
    </row>
    <row r="58" spans="1:5" ht="21" x14ac:dyDescent="0.4">
      <c r="B58" s="50" t="s">
        <v>36</v>
      </c>
      <c r="C58" s="91">
        <v>4</v>
      </c>
      <c r="D58" s="91">
        <v>0.24</v>
      </c>
      <c r="E58" s="92">
        <f t="shared" si="1"/>
        <v>0.96</v>
      </c>
    </row>
    <row r="59" spans="1:5" ht="21" x14ac:dyDescent="0.4">
      <c r="C59" s="40"/>
      <c r="D59" s="40"/>
      <c r="E59" s="41">
        <f>SUM(E51:E58)</f>
        <v>1740.8898999999999</v>
      </c>
    </row>
    <row r="60" spans="1:5" ht="21" x14ac:dyDescent="0.4">
      <c r="B60" s="4" t="s">
        <v>37</v>
      </c>
      <c r="C60" s="40">
        <v>3</v>
      </c>
      <c r="D60" s="40">
        <v>101.32</v>
      </c>
      <c r="E60" s="92">
        <f>C60*D60</f>
        <v>303.95999999999998</v>
      </c>
    </row>
    <row r="61" spans="1:5" ht="21" x14ac:dyDescent="0.4">
      <c r="C61" s="40"/>
      <c r="D61" s="40"/>
      <c r="E61" s="92">
        <f>SUM(E59:E60)</f>
        <v>2044.8498999999999</v>
      </c>
    </row>
    <row r="64" spans="1:5" ht="21" x14ac:dyDescent="0.4">
      <c r="A64" s="40" t="s">
        <v>598</v>
      </c>
      <c r="B64" s="40"/>
      <c r="C64" s="84"/>
      <c r="D64" s="12"/>
      <c r="E64" s="83"/>
    </row>
    <row r="65" spans="1:5" x14ac:dyDescent="0.3">
      <c r="A65" t="s">
        <v>628</v>
      </c>
      <c r="C65" s="12"/>
      <c r="D65" s="12"/>
      <c r="E65" s="12"/>
    </row>
    <row r="66" spans="1:5" ht="18" x14ac:dyDescent="0.35">
      <c r="A66" s="5"/>
      <c r="B66" s="5"/>
      <c r="C66" s="7" t="s">
        <v>28</v>
      </c>
      <c r="D66" s="7" t="s">
        <v>29</v>
      </c>
      <c r="E66" s="7" t="s">
        <v>30</v>
      </c>
    </row>
    <row r="67" spans="1:5" ht="18" x14ac:dyDescent="0.35">
      <c r="A67" s="5" t="s">
        <v>627</v>
      </c>
      <c r="B67" s="50" t="s">
        <v>32</v>
      </c>
      <c r="C67" s="7">
        <v>2.7210000000000001</v>
      </c>
      <c r="D67" s="7">
        <v>29.12</v>
      </c>
      <c r="E67" s="85">
        <f t="shared" ref="E67:E72" si="2">C67*D67</f>
        <v>79.235520000000008</v>
      </c>
    </row>
    <row r="68" spans="1:5" ht="18" x14ac:dyDescent="0.35">
      <c r="A68" s="5" t="s">
        <v>293</v>
      </c>
      <c r="B68" s="50" t="s">
        <v>33</v>
      </c>
      <c r="C68" s="7">
        <v>18.143999999999998</v>
      </c>
      <c r="D68" s="7">
        <v>14.94</v>
      </c>
      <c r="E68" s="85">
        <f t="shared" si="2"/>
        <v>271.07135999999997</v>
      </c>
    </row>
    <row r="69" spans="1:5" ht="18" x14ac:dyDescent="0.35">
      <c r="A69" s="5" t="s">
        <v>626</v>
      </c>
      <c r="B69" s="50" t="s">
        <v>88</v>
      </c>
      <c r="C69" s="7">
        <v>2</v>
      </c>
      <c r="D69" s="7">
        <v>2.2400000000000002</v>
      </c>
      <c r="E69" s="85">
        <f t="shared" si="2"/>
        <v>4.4800000000000004</v>
      </c>
    </row>
    <row r="70" spans="1:5" ht="18" x14ac:dyDescent="0.35">
      <c r="A70" s="5"/>
      <c r="B70" s="50" t="s">
        <v>34</v>
      </c>
      <c r="C70" s="7">
        <v>1</v>
      </c>
      <c r="D70" s="7">
        <v>14.61</v>
      </c>
      <c r="E70" s="85">
        <f t="shared" si="2"/>
        <v>14.61</v>
      </c>
    </row>
    <row r="71" spans="1:5" ht="18" x14ac:dyDescent="0.35">
      <c r="A71" s="5"/>
      <c r="B71" s="50" t="s">
        <v>35</v>
      </c>
      <c r="C71" s="7">
        <v>8</v>
      </c>
      <c r="D71" s="7">
        <v>2.89</v>
      </c>
      <c r="E71" s="85">
        <f t="shared" si="2"/>
        <v>23.12</v>
      </c>
    </row>
    <row r="72" spans="1:5" ht="18" x14ac:dyDescent="0.35">
      <c r="A72" s="5"/>
      <c r="B72" s="50" t="s">
        <v>36</v>
      </c>
      <c r="C72" s="7">
        <v>4</v>
      </c>
      <c r="D72" s="7">
        <v>0.6</v>
      </c>
      <c r="E72" s="85">
        <f t="shared" si="2"/>
        <v>2.4</v>
      </c>
    </row>
    <row r="73" spans="1:5" ht="18" x14ac:dyDescent="0.35">
      <c r="A73" s="5"/>
      <c r="B73" s="5"/>
      <c r="C73" s="54"/>
      <c r="D73" s="54"/>
      <c r="E73" s="89">
        <f>SUM(E67:E72)</f>
        <v>394.91687999999999</v>
      </c>
    </row>
    <row r="74" spans="1:5" ht="18" x14ac:dyDescent="0.35">
      <c r="A74" s="5"/>
      <c r="B74" s="50" t="s">
        <v>37</v>
      </c>
      <c r="C74" s="54">
        <v>1</v>
      </c>
      <c r="D74" s="54">
        <v>101.32</v>
      </c>
      <c r="E74" s="85">
        <f>C74*D74</f>
        <v>101.32</v>
      </c>
    </row>
    <row r="75" spans="1:5" ht="18" x14ac:dyDescent="0.35">
      <c r="A75" s="5"/>
      <c r="B75" s="5"/>
      <c r="C75" s="54"/>
      <c r="D75" s="54"/>
      <c r="E75" s="85">
        <f>SUM(E73:E74)</f>
        <v>496.23687999999999</v>
      </c>
    </row>
    <row r="77" spans="1:5" ht="21" x14ac:dyDescent="0.4">
      <c r="A77" s="40" t="s">
        <v>599</v>
      </c>
      <c r="B77" s="40"/>
      <c r="C77" s="84"/>
      <c r="D77" s="12"/>
      <c r="E77" s="12"/>
    </row>
    <row r="78" spans="1:5" x14ac:dyDescent="0.3">
      <c r="A78" t="s">
        <v>628</v>
      </c>
      <c r="C78" s="12"/>
      <c r="D78" s="12"/>
      <c r="E78" s="12"/>
    </row>
    <row r="79" spans="1:5" ht="18" x14ac:dyDescent="0.35">
      <c r="A79" s="5"/>
      <c r="B79" s="5"/>
      <c r="C79" s="7" t="s">
        <v>28</v>
      </c>
      <c r="D79" s="7" t="s">
        <v>29</v>
      </c>
      <c r="E79" s="7" t="s">
        <v>30</v>
      </c>
    </row>
    <row r="80" spans="1:5" ht="18" x14ac:dyDescent="0.35">
      <c r="A80" s="5" t="s">
        <v>627</v>
      </c>
      <c r="B80" s="50" t="s">
        <v>32</v>
      </c>
      <c r="C80" s="7">
        <v>2.7210000000000001</v>
      </c>
      <c r="D80" s="7">
        <v>30.29</v>
      </c>
      <c r="E80" s="85">
        <f t="shared" ref="E80:E85" si="3">C80*D80</f>
        <v>82.419089999999997</v>
      </c>
    </row>
    <row r="81" spans="1:5" ht="18" x14ac:dyDescent="0.35">
      <c r="A81" s="5" t="s">
        <v>625</v>
      </c>
      <c r="B81" s="50" t="s">
        <v>33</v>
      </c>
      <c r="C81" s="7">
        <v>18.143999999999998</v>
      </c>
      <c r="D81" s="7">
        <v>16.09</v>
      </c>
      <c r="E81" s="85">
        <f t="shared" si="3"/>
        <v>291.93696</v>
      </c>
    </row>
    <row r="82" spans="1:5" ht="18" x14ac:dyDescent="0.35">
      <c r="A82" s="5" t="s">
        <v>626</v>
      </c>
      <c r="B82" s="50" t="s">
        <v>88</v>
      </c>
      <c r="C82" s="7">
        <v>2</v>
      </c>
      <c r="D82" s="7">
        <v>2.2400000000000002</v>
      </c>
      <c r="E82" s="85">
        <f t="shared" si="3"/>
        <v>4.4800000000000004</v>
      </c>
    </row>
    <row r="83" spans="1:5" ht="18" x14ac:dyDescent="0.35">
      <c r="A83" s="5"/>
      <c r="B83" s="50" t="s">
        <v>34</v>
      </c>
      <c r="C83" s="7">
        <v>1</v>
      </c>
      <c r="D83" s="7">
        <v>14.61</v>
      </c>
      <c r="E83" s="85">
        <f t="shared" si="3"/>
        <v>14.61</v>
      </c>
    </row>
    <row r="84" spans="1:5" ht="18" x14ac:dyDescent="0.35">
      <c r="A84" s="5"/>
      <c r="B84" s="50" t="s">
        <v>35</v>
      </c>
      <c r="C84" s="7">
        <v>8</v>
      </c>
      <c r="D84" s="7">
        <v>2.89</v>
      </c>
      <c r="E84" s="85">
        <f t="shared" si="3"/>
        <v>23.12</v>
      </c>
    </row>
    <row r="85" spans="1:5" ht="18" x14ac:dyDescent="0.35">
      <c r="A85" s="5"/>
      <c r="B85" s="50" t="s">
        <v>36</v>
      </c>
      <c r="C85" s="7">
        <v>4</v>
      </c>
      <c r="D85" s="7">
        <v>0.6</v>
      </c>
      <c r="E85" s="85">
        <f t="shared" si="3"/>
        <v>2.4</v>
      </c>
    </row>
    <row r="86" spans="1:5" ht="18" x14ac:dyDescent="0.35">
      <c r="A86" s="5"/>
      <c r="B86" s="5"/>
      <c r="C86" s="54"/>
      <c r="D86" s="54"/>
      <c r="E86" s="89">
        <f>SUM(E80:E85)</f>
        <v>418.96605</v>
      </c>
    </row>
    <row r="87" spans="1:5" ht="18" x14ac:dyDescent="0.35">
      <c r="A87" s="5"/>
      <c r="B87" s="50" t="s">
        <v>37</v>
      </c>
      <c r="C87" s="54">
        <v>1</v>
      </c>
      <c r="D87" s="54">
        <v>101.32</v>
      </c>
      <c r="E87" s="85">
        <f>C87*D87</f>
        <v>101.32</v>
      </c>
    </row>
    <row r="88" spans="1:5" ht="18" x14ac:dyDescent="0.35">
      <c r="A88" s="5"/>
      <c r="B88" s="5"/>
      <c r="C88" s="54"/>
      <c r="D88" s="54"/>
      <c r="E88" s="85">
        <f>SUM(E86:E87)</f>
        <v>520.28604999999993</v>
      </c>
    </row>
    <row r="91" spans="1:5" ht="21" x14ac:dyDescent="0.4">
      <c r="A91" s="40" t="s">
        <v>601</v>
      </c>
      <c r="B91" s="40"/>
      <c r="C91" s="84"/>
      <c r="D91" s="12"/>
      <c r="E91" s="12"/>
    </row>
    <row r="92" spans="1:5" x14ac:dyDescent="0.3">
      <c r="A92" t="s">
        <v>628</v>
      </c>
      <c r="C92" s="12"/>
      <c r="D92" s="12"/>
      <c r="E92" s="12"/>
    </row>
    <row r="93" spans="1:5" ht="18" x14ac:dyDescent="0.35">
      <c r="A93" s="5"/>
      <c r="B93" s="5"/>
      <c r="C93" s="7" t="s">
        <v>28</v>
      </c>
      <c r="D93" s="7" t="s">
        <v>29</v>
      </c>
      <c r="E93" s="7" t="s">
        <v>30</v>
      </c>
    </row>
    <row r="94" spans="1:5" ht="18" x14ac:dyDescent="0.35">
      <c r="A94" s="5" t="s">
        <v>627</v>
      </c>
      <c r="B94" s="50" t="s">
        <v>32</v>
      </c>
      <c r="C94" s="7">
        <v>2.7210000000000001</v>
      </c>
      <c r="D94" s="7">
        <v>29.24</v>
      </c>
      <c r="E94" s="85">
        <f t="shared" ref="E94:E100" si="4">C94*D94</f>
        <v>79.562039999999996</v>
      </c>
    </row>
    <row r="95" spans="1:5" ht="18" x14ac:dyDescent="0.35">
      <c r="A95" s="5" t="s">
        <v>293</v>
      </c>
      <c r="B95" s="50" t="s">
        <v>33</v>
      </c>
      <c r="C95" s="7">
        <v>18.143999999999998</v>
      </c>
      <c r="D95" s="7">
        <v>14.94</v>
      </c>
      <c r="E95" s="85">
        <f t="shared" si="4"/>
        <v>271.07135999999997</v>
      </c>
    </row>
    <row r="96" spans="1:5" ht="18" x14ac:dyDescent="0.35">
      <c r="A96" s="5" t="s">
        <v>538</v>
      </c>
      <c r="B96" s="50" t="s">
        <v>33</v>
      </c>
      <c r="C96" s="7">
        <v>18.007000000000001</v>
      </c>
      <c r="D96" s="7">
        <v>14.94</v>
      </c>
      <c r="E96" s="85">
        <f t="shared" si="4"/>
        <v>269.02458000000001</v>
      </c>
    </row>
    <row r="97" spans="1:5" ht="18" x14ac:dyDescent="0.35">
      <c r="A97" s="5" t="s">
        <v>626</v>
      </c>
      <c r="B97" s="50" t="s">
        <v>88</v>
      </c>
      <c r="C97" s="7">
        <v>2</v>
      </c>
      <c r="D97" s="7">
        <v>3.97</v>
      </c>
      <c r="E97" s="85">
        <f t="shared" si="4"/>
        <v>7.94</v>
      </c>
    </row>
    <row r="98" spans="1:5" ht="18" x14ac:dyDescent="0.35">
      <c r="A98" s="5"/>
      <c r="B98" s="50" t="s">
        <v>34</v>
      </c>
      <c r="C98" s="7">
        <v>2</v>
      </c>
      <c r="D98" s="7">
        <v>13.67</v>
      </c>
      <c r="E98" s="85">
        <f t="shared" si="4"/>
        <v>27.34</v>
      </c>
    </row>
    <row r="99" spans="1:5" ht="18" x14ac:dyDescent="0.35">
      <c r="A99" s="5"/>
      <c r="B99" s="50" t="s">
        <v>35</v>
      </c>
      <c r="C99" s="7">
        <v>8</v>
      </c>
      <c r="D99" s="7">
        <v>2.89</v>
      </c>
      <c r="E99" s="85">
        <f t="shared" si="4"/>
        <v>23.12</v>
      </c>
    </row>
    <row r="100" spans="1:5" ht="18" x14ac:dyDescent="0.35">
      <c r="A100" s="5"/>
      <c r="B100" s="50" t="s">
        <v>36</v>
      </c>
      <c r="C100" s="7">
        <v>4</v>
      </c>
      <c r="D100" s="7">
        <v>0.6</v>
      </c>
      <c r="E100" s="85">
        <f t="shared" si="4"/>
        <v>2.4</v>
      </c>
    </row>
    <row r="101" spans="1:5" ht="18" x14ac:dyDescent="0.35">
      <c r="A101" s="5"/>
      <c r="B101" s="5"/>
      <c r="C101" s="54"/>
      <c r="D101" s="54"/>
      <c r="E101" s="89">
        <f>SUM(E94:E100)</f>
        <v>680.45798000000002</v>
      </c>
    </row>
    <row r="102" spans="1:5" ht="18" x14ac:dyDescent="0.35">
      <c r="A102" s="5"/>
      <c r="B102" s="50" t="s">
        <v>37</v>
      </c>
      <c r="C102" s="54">
        <v>1.5</v>
      </c>
      <c r="D102" s="54">
        <v>101.32</v>
      </c>
      <c r="E102" s="85">
        <f>C102*D102</f>
        <v>151.97999999999999</v>
      </c>
    </row>
    <row r="103" spans="1:5" ht="18" x14ac:dyDescent="0.35">
      <c r="A103" s="5"/>
      <c r="B103" s="5"/>
      <c r="C103" s="54"/>
      <c r="D103" s="54"/>
      <c r="E103" s="85">
        <f>SUM(E101:E102)</f>
        <v>832.43798000000004</v>
      </c>
    </row>
    <row r="106" spans="1:5" ht="21" x14ac:dyDescent="0.4">
      <c r="A106" s="40" t="s">
        <v>602</v>
      </c>
      <c r="B106" s="40"/>
      <c r="C106" s="84"/>
      <c r="D106" s="12"/>
      <c r="E106" s="12"/>
    </row>
    <row r="107" spans="1:5" ht="21" x14ac:dyDescent="0.4">
      <c r="A107" t="s">
        <v>628</v>
      </c>
      <c r="B107" s="40"/>
      <c r="C107" s="84"/>
      <c r="D107" s="12"/>
      <c r="E107" s="12"/>
    </row>
    <row r="108" spans="1:5" ht="18" x14ac:dyDescent="0.35">
      <c r="A108" s="5"/>
      <c r="B108" s="5"/>
      <c r="C108" s="7" t="s">
        <v>28</v>
      </c>
      <c r="D108" s="7" t="s">
        <v>29</v>
      </c>
      <c r="E108" s="7" t="s">
        <v>30</v>
      </c>
    </row>
    <row r="109" spans="1:5" ht="18" x14ac:dyDescent="0.35">
      <c r="A109" s="5" t="s">
        <v>627</v>
      </c>
      <c r="B109" s="50" t="s">
        <v>32</v>
      </c>
      <c r="C109" s="7">
        <v>2.7210000000000001</v>
      </c>
      <c r="D109" s="7">
        <v>42.29</v>
      </c>
      <c r="E109" s="85">
        <f t="shared" ref="E109:E115" si="5">C109*D109</f>
        <v>115.07109</v>
      </c>
    </row>
    <row r="110" spans="1:5" ht="18" x14ac:dyDescent="0.35">
      <c r="A110" s="5" t="s">
        <v>293</v>
      </c>
      <c r="B110" s="50" t="s">
        <v>33</v>
      </c>
      <c r="C110" s="7">
        <v>18.143999999999998</v>
      </c>
      <c r="D110" s="7">
        <v>16.09</v>
      </c>
      <c r="E110" s="85">
        <f t="shared" si="5"/>
        <v>291.93696</v>
      </c>
    </row>
    <row r="111" spans="1:5" ht="18" x14ac:dyDescent="0.35">
      <c r="A111" s="5" t="s">
        <v>538</v>
      </c>
      <c r="B111" s="50" t="s">
        <v>33</v>
      </c>
      <c r="C111" s="7">
        <v>18.007000000000001</v>
      </c>
      <c r="D111" s="7">
        <v>16.09</v>
      </c>
      <c r="E111" s="85">
        <f t="shared" si="5"/>
        <v>289.73263000000003</v>
      </c>
    </row>
    <row r="112" spans="1:5" ht="18" x14ac:dyDescent="0.35">
      <c r="A112" s="5" t="s">
        <v>626</v>
      </c>
      <c r="B112" s="50" t="s">
        <v>88</v>
      </c>
      <c r="C112" s="7">
        <v>2</v>
      </c>
      <c r="D112" s="7">
        <v>3.97</v>
      </c>
      <c r="E112" s="85">
        <f t="shared" si="5"/>
        <v>7.94</v>
      </c>
    </row>
    <row r="113" spans="1:5" ht="18" x14ac:dyDescent="0.35">
      <c r="A113" s="5"/>
      <c r="B113" s="50" t="s">
        <v>34</v>
      </c>
      <c r="C113" s="7">
        <v>2</v>
      </c>
      <c r="D113" s="7">
        <v>11.49</v>
      </c>
      <c r="E113" s="85">
        <f t="shared" si="5"/>
        <v>22.98</v>
      </c>
    </row>
    <row r="114" spans="1:5" ht="18" x14ac:dyDescent="0.35">
      <c r="A114" s="5"/>
      <c r="B114" s="50" t="s">
        <v>35</v>
      </c>
      <c r="C114" s="7">
        <v>8</v>
      </c>
      <c r="D114" s="7">
        <v>2.89</v>
      </c>
      <c r="E114" s="85">
        <f t="shared" si="5"/>
        <v>23.12</v>
      </c>
    </row>
    <row r="115" spans="1:5" ht="18" x14ac:dyDescent="0.35">
      <c r="A115" s="5"/>
      <c r="B115" s="50" t="s">
        <v>36</v>
      </c>
      <c r="C115" s="7">
        <v>4</v>
      </c>
      <c r="D115" s="7">
        <v>0.6</v>
      </c>
      <c r="E115" s="85">
        <f t="shared" si="5"/>
        <v>2.4</v>
      </c>
    </row>
    <row r="116" spans="1:5" ht="18" x14ac:dyDescent="0.35">
      <c r="A116" s="5"/>
      <c r="B116" s="5"/>
      <c r="C116" s="54"/>
      <c r="D116" s="54"/>
      <c r="E116" s="89">
        <f>SUM(E109:E115)</f>
        <v>753.18068000000017</v>
      </c>
    </row>
    <row r="117" spans="1:5" ht="18" x14ac:dyDescent="0.35">
      <c r="A117" s="5"/>
      <c r="B117" s="50" t="s">
        <v>37</v>
      </c>
      <c r="C117" s="54">
        <v>1.5</v>
      </c>
      <c r="D117" s="54">
        <v>101.32</v>
      </c>
      <c r="E117" s="85">
        <f>C117*D117</f>
        <v>151.97999999999999</v>
      </c>
    </row>
    <row r="118" spans="1:5" ht="18" x14ac:dyDescent="0.35">
      <c r="A118" s="5"/>
      <c r="B118" s="5"/>
      <c r="C118" s="54"/>
      <c r="D118" s="54"/>
      <c r="E118" s="85">
        <f>SUM(E116:E117)</f>
        <v>905.16068000000018</v>
      </c>
    </row>
    <row r="121" spans="1:5" ht="21" x14ac:dyDescent="0.4">
      <c r="A121" s="40" t="s">
        <v>599</v>
      </c>
      <c r="B121" s="40"/>
      <c r="C121" s="84"/>
      <c r="D121" s="12"/>
      <c r="E121" s="12"/>
    </row>
    <row r="122" spans="1:5" x14ac:dyDescent="0.3">
      <c r="C122" s="12"/>
      <c r="D122" s="12"/>
      <c r="E122" s="12"/>
    </row>
    <row r="123" spans="1:5" ht="18" x14ac:dyDescent="0.35">
      <c r="A123" s="5"/>
      <c r="B123" s="5"/>
      <c r="C123" s="7" t="s">
        <v>28</v>
      </c>
      <c r="D123" s="7" t="s">
        <v>29</v>
      </c>
      <c r="E123" s="7" t="s">
        <v>30</v>
      </c>
    </row>
    <row r="124" spans="1:5" ht="18" x14ac:dyDescent="0.35">
      <c r="A124" s="5" t="s">
        <v>180</v>
      </c>
      <c r="B124" s="50" t="s">
        <v>32</v>
      </c>
      <c r="C124" s="7">
        <v>1.524</v>
      </c>
      <c r="D124" s="7">
        <v>30.29</v>
      </c>
      <c r="E124" s="85">
        <f t="shared" ref="E124:E129" si="6">C124*D124</f>
        <v>46.161960000000001</v>
      </c>
    </row>
    <row r="125" spans="1:5" ht="18" x14ac:dyDescent="0.35">
      <c r="A125" s="5" t="s">
        <v>644</v>
      </c>
      <c r="B125" s="50" t="s">
        <v>33</v>
      </c>
      <c r="C125" s="7">
        <v>1.2390000000000001</v>
      </c>
      <c r="D125" s="7">
        <v>16.09</v>
      </c>
      <c r="E125" s="85">
        <f t="shared" si="6"/>
        <v>19.935510000000001</v>
      </c>
    </row>
    <row r="126" spans="1:5" ht="18" x14ac:dyDescent="0.35">
      <c r="A126" s="5" t="s">
        <v>645</v>
      </c>
      <c r="B126" s="50" t="s">
        <v>646</v>
      </c>
      <c r="C126" s="7">
        <v>2</v>
      </c>
      <c r="D126" s="7">
        <v>1.24</v>
      </c>
      <c r="E126" s="85">
        <f t="shared" si="6"/>
        <v>2.48</v>
      </c>
    </row>
    <row r="127" spans="1:5" ht="18" x14ac:dyDescent="0.35">
      <c r="A127" s="5"/>
      <c r="B127" s="50" t="s">
        <v>34</v>
      </c>
      <c r="C127" s="7">
        <v>6.3E-2</v>
      </c>
      <c r="D127" s="7">
        <v>11.49</v>
      </c>
      <c r="E127" s="85">
        <f t="shared" si="6"/>
        <v>0.72387000000000001</v>
      </c>
    </row>
    <row r="128" spans="1:5" ht="18" x14ac:dyDescent="0.35">
      <c r="A128" s="5"/>
      <c r="B128" s="50" t="s">
        <v>35</v>
      </c>
      <c r="C128" s="7">
        <v>4</v>
      </c>
      <c r="D128" s="7">
        <v>2.89</v>
      </c>
      <c r="E128" s="85">
        <f t="shared" si="6"/>
        <v>11.56</v>
      </c>
    </row>
    <row r="129" spans="1:5" ht="18" x14ac:dyDescent="0.35">
      <c r="A129" s="5"/>
      <c r="B129" s="50" t="s">
        <v>36</v>
      </c>
      <c r="C129" s="7">
        <v>4</v>
      </c>
      <c r="D129" s="7">
        <v>0.6</v>
      </c>
      <c r="E129" s="85">
        <f t="shared" si="6"/>
        <v>2.4</v>
      </c>
    </row>
    <row r="130" spans="1:5" ht="18" x14ac:dyDescent="0.35">
      <c r="A130" s="5"/>
      <c r="B130" s="5"/>
      <c r="C130" s="54"/>
      <c r="D130" s="54"/>
      <c r="E130" s="89">
        <f>SUM(E124:E129)</f>
        <v>83.261340000000018</v>
      </c>
    </row>
    <row r="131" spans="1:5" ht="18" x14ac:dyDescent="0.35">
      <c r="A131" s="5"/>
      <c r="B131" s="50" t="s">
        <v>37</v>
      </c>
      <c r="C131" s="54">
        <v>0.1</v>
      </c>
      <c r="D131" s="54">
        <v>1.42</v>
      </c>
      <c r="E131" s="85">
        <v>14.2</v>
      </c>
    </row>
    <row r="132" spans="1:5" ht="18" x14ac:dyDescent="0.35">
      <c r="A132" s="5"/>
      <c r="B132" s="5"/>
      <c r="C132" s="54"/>
      <c r="D132" s="54"/>
      <c r="E132" s="85">
        <f>SUM(E130:E131)</f>
        <v>97.461340000000021</v>
      </c>
    </row>
    <row r="133" spans="1:5" x14ac:dyDescent="0.3">
      <c r="C133" s="12"/>
      <c r="D133" s="12"/>
      <c r="E133" s="12" t="s">
        <v>611</v>
      </c>
    </row>
    <row r="134" spans="1:5" ht="21" x14ac:dyDescent="0.4">
      <c r="A134" s="40" t="s">
        <v>599</v>
      </c>
      <c r="B134" s="40"/>
      <c r="C134" s="12"/>
      <c r="D134" s="12"/>
      <c r="E134" s="12">
        <v>124.03</v>
      </c>
    </row>
    <row r="136" spans="1:5" ht="18" x14ac:dyDescent="0.35">
      <c r="A136" s="5"/>
      <c r="B136" s="5"/>
      <c r="C136" s="7" t="s">
        <v>28</v>
      </c>
      <c r="D136" s="7" t="s">
        <v>29</v>
      </c>
      <c r="E136" s="7" t="s">
        <v>30</v>
      </c>
    </row>
    <row r="137" spans="1:5" ht="18" x14ac:dyDescent="0.35">
      <c r="A137" s="5" t="s">
        <v>118</v>
      </c>
      <c r="B137" s="50" t="s">
        <v>32</v>
      </c>
      <c r="C137" s="7">
        <v>2.125</v>
      </c>
      <c r="D137" s="7">
        <v>30.29</v>
      </c>
      <c r="E137" s="85">
        <f t="shared" ref="E137:E142" si="7">C137*D137</f>
        <v>64.366249999999994</v>
      </c>
    </row>
    <row r="138" spans="1:5" ht="18" x14ac:dyDescent="0.35">
      <c r="A138" s="5" t="s">
        <v>658</v>
      </c>
      <c r="B138" s="50" t="s">
        <v>33</v>
      </c>
      <c r="C138" s="7">
        <v>9.7750000000000004</v>
      </c>
      <c r="D138" s="7">
        <v>16.09</v>
      </c>
      <c r="E138" s="85">
        <f t="shared" si="7"/>
        <v>157.27975000000001</v>
      </c>
    </row>
    <row r="139" spans="1:5" ht="18" x14ac:dyDescent="0.35">
      <c r="A139" s="5" t="s">
        <v>659</v>
      </c>
      <c r="B139" s="50" t="s">
        <v>128</v>
      </c>
      <c r="C139" s="7">
        <v>2</v>
      </c>
      <c r="D139" s="7">
        <v>1.81</v>
      </c>
      <c r="E139" s="85">
        <f t="shared" si="7"/>
        <v>3.62</v>
      </c>
    </row>
    <row r="140" spans="1:5" ht="18" x14ac:dyDescent="0.35">
      <c r="A140" s="5"/>
      <c r="B140" s="50" t="s">
        <v>34</v>
      </c>
      <c r="C140" s="7">
        <v>0.4</v>
      </c>
      <c r="D140" s="7">
        <v>14.61</v>
      </c>
      <c r="E140" s="85">
        <f t="shared" si="7"/>
        <v>5.8440000000000003</v>
      </c>
    </row>
    <row r="141" spans="1:5" ht="18" x14ac:dyDescent="0.35">
      <c r="A141" s="5"/>
      <c r="B141" s="50" t="s">
        <v>35</v>
      </c>
      <c r="C141" s="7">
        <v>4</v>
      </c>
      <c r="D141" s="7">
        <v>2.89</v>
      </c>
      <c r="E141" s="85">
        <f t="shared" si="7"/>
        <v>11.56</v>
      </c>
    </row>
    <row r="142" spans="1:5" ht="18" x14ac:dyDescent="0.35">
      <c r="A142" s="5"/>
      <c r="B142" s="50" t="s">
        <v>36</v>
      </c>
      <c r="C142" s="7">
        <v>4</v>
      </c>
      <c r="D142" s="7">
        <v>0.6</v>
      </c>
      <c r="E142" s="85">
        <f t="shared" si="7"/>
        <v>2.4</v>
      </c>
    </row>
    <row r="143" spans="1:5" ht="18" x14ac:dyDescent="0.35">
      <c r="A143" s="5"/>
      <c r="B143" s="5"/>
      <c r="C143" s="54"/>
      <c r="D143" s="54"/>
      <c r="E143" s="89">
        <f>SUM(E137:E142)</f>
        <v>245.07000000000002</v>
      </c>
    </row>
    <row r="144" spans="1:5" ht="18" x14ac:dyDescent="0.35">
      <c r="A144" s="5"/>
      <c r="B144" s="50" t="s">
        <v>37</v>
      </c>
      <c r="C144" s="54">
        <v>0.5</v>
      </c>
      <c r="D144" s="54">
        <v>101.32</v>
      </c>
      <c r="E144" s="85">
        <f>C144*D144</f>
        <v>50.66</v>
      </c>
    </row>
    <row r="145" spans="1:5" ht="18" x14ac:dyDescent="0.35">
      <c r="A145" s="5"/>
      <c r="B145" s="5"/>
      <c r="C145" s="54"/>
      <c r="D145" s="54"/>
      <c r="E145" s="85">
        <f>SUM(E143:E144)</f>
        <v>295.73</v>
      </c>
    </row>
    <row r="146" spans="1:5" x14ac:dyDescent="0.3">
      <c r="C146" s="12"/>
      <c r="D146" s="12"/>
      <c r="E146" s="12" t="s">
        <v>611</v>
      </c>
    </row>
    <row r="147" spans="1:5" x14ac:dyDescent="0.3">
      <c r="C147" s="12"/>
      <c r="D147" s="12"/>
      <c r="E147" s="12">
        <v>124.03</v>
      </c>
    </row>
    <row r="149" spans="1:5" ht="21" x14ac:dyDescent="0.4">
      <c r="A149" s="40" t="s">
        <v>599</v>
      </c>
      <c r="B149" s="40"/>
      <c r="C149" s="12"/>
      <c r="D149" s="12"/>
      <c r="E149" s="12"/>
    </row>
    <row r="151" spans="1:5" ht="18" x14ac:dyDescent="0.35">
      <c r="A151" s="5" t="s">
        <v>665</v>
      </c>
      <c r="B151" s="5"/>
      <c r="C151" s="7" t="s">
        <v>28</v>
      </c>
      <c r="D151" s="7" t="s">
        <v>29</v>
      </c>
      <c r="E151" s="7" t="s">
        <v>30</v>
      </c>
    </row>
    <row r="152" spans="1:5" ht="18" x14ac:dyDescent="0.35">
      <c r="A152" s="5" t="s">
        <v>48</v>
      </c>
      <c r="B152" s="50" t="s">
        <v>32</v>
      </c>
      <c r="C152" s="7">
        <v>2.448</v>
      </c>
      <c r="D152" s="7">
        <v>30.29</v>
      </c>
      <c r="E152" s="85">
        <f t="shared" ref="E152:E157" si="8">C152*D152</f>
        <v>74.149919999999995</v>
      </c>
    </row>
    <row r="153" spans="1:5" ht="18" x14ac:dyDescent="0.35">
      <c r="A153" s="5" t="s">
        <v>664</v>
      </c>
      <c r="B153" s="50" t="s">
        <v>33</v>
      </c>
      <c r="C153" s="7">
        <v>4.1580000000000004</v>
      </c>
      <c r="D153" s="7">
        <v>16.09</v>
      </c>
      <c r="E153" s="85">
        <f t="shared" si="8"/>
        <v>66.90222</v>
      </c>
    </row>
    <row r="154" spans="1:5" ht="18" x14ac:dyDescent="0.35">
      <c r="A154" s="5" t="s">
        <v>621</v>
      </c>
      <c r="B154" s="50" t="s">
        <v>43</v>
      </c>
      <c r="C154" s="7">
        <v>2</v>
      </c>
      <c r="D154" s="7">
        <v>1.1499999999999999</v>
      </c>
      <c r="E154" s="85">
        <f t="shared" si="8"/>
        <v>2.2999999999999998</v>
      </c>
    </row>
    <row r="155" spans="1:5" ht="18" x14ac:dyDescent="0.35">
      <c r="A155" s="5"/>
      <c r="B155" s="50" t="s">
        <v>34</v>
      </c>
      <c r="C155" s="7">
        <v>0.2</v>
      </c>
      <c r="D155" s="7">
        <v>14.61</v>
      </c>
      <c r="E155" s="85">
        <f t="shared" si="8"/>
        <v>2.9220000000000002</v>
      </c>
    </row>
    <row r="156" spans="1:5" ht="18" x14ac:dyDescent="0.35">
      <c r="A156" s="5"/>
      <c r="B156" s="50" t="s">
        <v>35</v>
      </c>
      <c r="C156" s="7">
        <v>4</v>
      </c>
      <c r="D156" s="7">
        <v>2.89</v>
      </c>
      <c r="E156" s="85">
        <f t="shared" si="8"/>
        <v>11.56</v>
      </c>
    </row>
    <row r="157" spans="1:5" ht="18" x14ac:dyDescent="0.35">
      <c r="A157" s="5"/>
      <c r="B157" s="50" t="s">
        <v>36</v>
      </c>
      <c r="C157" s="7">
        <v>4</v>
      </c>
      <c r="D157" s="7">
        <v>0.6</v>
      </c>
      <c r="E157" s="85">
        <f t="shared" si="8"/>
        <v>2.4</v>
      </c>
    </row>
    <row r="158" spans="1:5" ht="18" x14ac:dyDescent="0.35">
      <c r="A158" s="5"/>
      <c r="B158" s="5"/>
      <c r="C158" s="54"/>
      <c r="D158" s="54"/>
      <c r="E158" s="89">
        <f>SUM(E152:E157)</f>
        <v>160.23414000000002</v>
      </c>
    </row>
    <row r="159" spans="1:5" ht="18" x14ac:dyDescent="0.35">
      <c r="A159" s="5"/>
      <c r="B159" s="50" t="s">
        <v>37</v>
      </c>
      <c r="C159" s="54">
        <v>0.5</v>
      </c>
      <c r="D159" s="54">
        <v>101.32</v>
      </c>
      <c r="E159" s="85">
        <f>C159*D159</f>
        <v>50.66</v>
      </c>
    </row>
    <row r="160" spans="1:5" ht="18" x14ac:dyDescent="0.35">
      <c r="A160" s="5"/>
      <c r="B160" s="5"/>
      <c r="C160" s="54"/>
      <c r="D160" s="54"/>
      <c r="E160" s="85">
        <f>SUM(E158:E159)</f>
        <v>210.89414000000002</v>
      </c>
    </row>
    <row r="161" spans="1:5" x14ac:dyDescent="0.3">
      <c r="C161" s="12"/>
      <c r="D161" s="12"/>
      <c r="E161" s="12"/>
    </row>
    <row r="162" spans="1:5" ht="21" x14ac:dyDescent="0.4">
      <c r="A162" s="40" t="s">
        <v>602</v>
      </c>
      <c r="B162" s="40"/>
      <c r="C162" s="84"/>
      <c r="D162" s="12"/>
      <c r="E162" s="12"/>
    </row>
    <row r="163" spans="1:5" ht="21" x14ac:dyDescent="0.4">
      <c r="A163" t="s">
        <v>665</v>
      </c>
      <c r="B163" s="40"/>
      <c r="C163" s="84"/>
      <c r="D163" s="12"/>
      <c r="E163" s="12"/>
    </row>
    <row r="164" spans="1:5" ht="18" x14ac:dyDescent="0.35">
      <c r="A164" s="5"/>
      <c r="B164" s="5"/>
      <c r="C164" s="7" t="s">
        <v>28</v>
      </c>
      <c r="D164" s="7" t="s">
        <v>29</v>
      </c>
      <c r="E164" s="7" t="s">
        <v>30</v>
      </c>
    </row>
    <row r="165" spans="1:5" ht="18" x14ac:dyDescent="0.35">
      <c r="A165" s="5" t="s">
        <v>48</v>
      </c>
      <c r="B165" s="50" t="s">
        <v>32</v>
      </c>
      <c r="C165" s="7">
        <v>2.448</v>
      </c>
      <c r="D165" s="7">
        <v>42.29</v>
      </c>
      <c r="E165" s="85">
        <f t="shared" ref="E165:E172" si="9">C165*D165</f>
        <v>103.52592</v>
      </c>
    </row>
    <row r="166" spans="1:5" ht="18" x14ac:dyDescent="0.35">
      <c r="A166" s="5" t="s">
        <v>39</v>
      </c>
      <c r="B166" s="50" t="s">
        <v>33</v>
      </c>
      <c r="C166" s="7">
        <v>4.1580000000000004</v>
      </c>
      <c r="D166" s="7">
        <v>16.09</v>
      </c>
      <c r="E166" s="85">
        <f t="shared" si="9"/>
        <v>66.90222</v>
      </c>
    </row>
    <row r="167" spans="1:5" ht="18" x14ac:dyDescent="0.35">
      <c r="A167" s="5" t="s">
        <v>377</v>
      </c>
      <c r="B167" s="50" t="s">
        <v>33</v>
      </c>
      <c r="C167" s="7">
        <v>4.7249999999999996</v>
      </c>
      <c r="D167" s="7">
        <v>16.09</v>
      </c>
      <c r="E167" s="85">
        <f t="shared" si="9"/>
        <v>76.02525</v>
      </c>
    </row>
    <row r="168" spans="1:5" ht="18" x14ac:dyDescent="0.35">
      <c r="A168" s="5" t="s">
        <v>621</v>
      </c>
      <c r="B168" s="50" t="s">
        <v>88</v>
      </c>
      <c r="C168" s="7">
        <v>4</v>
      </c>
      <c r="D168" s="7">
        <v>2.2400000000000002</v>
      </c>
      <c r="E168" s="85">
        <f t="shared" si="9"/>
        <v>8.9600000000000009</v>
      </c>
    </row>
    <row r="169" spans="1:5" ht="18" x14ac:dyDescent="0.35">
      <c r="A169" s="5"/>
      <c r="B169" s="50" t="s">
        <v>42</v>
      </c>
      <c r="C169" s="7">
        <v>2</v>
      </c>
      <c r="D169" s="7">
        <v>1.1499999999999999</v>
      </c>
      <c r="E169" s="85">
        <f t="shared" si="9"/>
        <v>2.2999999999999998</v>
      </c>
    </row>
    <row r="170" spans="1:5" ht="18" x14ac:dyDescent="0.35">
      <c r="A170" s="5"/>
      <c r="B170" s="50" t="s">
        <v>34</v>
      </c>
      <c r="C170" s="7">
        <v>2</v>
      </c>
      <c r="D170" s="7">
        <v>11.49</v>
      </c>
      <c r="E170" s="85">
        <f t="shared" si="9"/>
        <v>22.98</v>
      </c>
    </row>
    <row r="171" spans="1:5" ht="18" x14ac:dyDescent="0.35">
      <c r="A171" s="5"/>
      <c r="B171" s="50" t="s">
        <v>35</v>
      </c>
      <c r="C171" s="7">
        <v>8</v>
      </c>
      <c r="D171" s="7">
        <v>2.89</v>
      </c>
      <c r="E171" s="85">
        <f t="shared" si="9"/>
        <v>23.12</v>
      </c>
    </row>
    <row r="172" spans="1:5" ht="18" x14ac:dyDescent="0.35">
      <c r="A172" s="5"/>
      <c r="B172" s="50" t="s">
        <v>36</v>
      </c>
      <c r="C172" s="7">
        <v>4</v>
      </c>
      <c r="D172" s="7">
        <v>0.6</v>
      </c>
      <c r="E172" s="85">
        <f t="shared" si="9"/>
        <v>2.4</v>
      </c>
    </row>
    <row r="173" spans="1:5" ht="18" x14ac:dyDescent="0.35">
      <c r="A173" s="5"/>
      <c r="B173" s="5"/>
      <c r="C173" s="54"/>
      <c r="D173" s="54"/>
      <c r="E173" s="89">
        <f>SUM(E165:E172)</f>
        <v>306.21339</v>
      </c>
    </row>
    <row r="174" spans="1:5" ht="18" x14ac:dyDescent="0.35">
      <c r="A174" s="5"/>
      <c r="B174" s="50" t="s">
        <v>37</v>
      </c>
      <c r="C174" s="54">
        <v>1</v>
      </c>
      <c r="D174" s="54">
        <v>101.32</v>
      </c>
      <c r="E174" s="85">
        <f>C174*D174</f>
        <v>101.32</v>
      </c>
    </row>
    <row r="175" spans="1:5" ht="18" x14ac:dyDescent="0.35">
      <c r="A175" s="5"/>
      <c r="B175" s="5"/>
      <c r="C175" s="54"/>
      <c r="D175" s="54"/>
      <c r="E175" s="85">
        <f>SUM(E173:E174)</f>
        <v>407.53339</v>
      </c>
    </row>
    <row r="178" spans="1:5" ht="21" x14ac:dyDescent="0.4">
      <c r="A178" s="40" t="s">
        <v>599</v>
      </c>
      <c r="B178" s="40"/>
      <c r="C178" s="12"/>
      <c r="D178" s="12"/>
      <c r="E178" s="12"/>
    </row>
    <row r="180" spans="1:5" ht="18" x14ac:dyDescent="0.35">
      <c r="A180" s="5" t="s">
        <v>665</v>
      </c>
      <c r="B180" s="5"/>
      <c r="C180" s="7" t="s">
        <v>28</v>
      </c>
      <c r="D180" s="7" t="s">
        <v>29</v>
      </c>
      <c r="E180" s="7" t="s">
        <v>30</v>
      </c>
    </row>
    <row r="181" spans="1:5" ht="18" x14ac:dyDescent="0.35">
      <c r="A181" s="5" t="s">
        <v>73</v>
      </c>
      <c r="B181" s="50" t="s">
        <v>32</v>
      </c>
      <c r="C181" s="7">
        <v>0.97799999999999998</v>
      </c>
      <c r="D181" s="7">
        <v>30.29</v>
      </c>
      <c r="E181" s="85">
        <f t="shared" ref="E181:E186" si="10">C181*D181</f>
        <v>29.623619999999999</v>
      </c>
    </row>
    <row r="182" spans="1:5" ht="18" x14ac:dyDescent="0.35">
      <c r="A182" s="5" t="s">
        <v>676</v>
      </c>
      <c r="B182" s="50" t="s">
        <v>33</v>
      </c>
      <c r="C182" s="7">
        <v>1.7949999999999999</v>
      </c>
      <c r="D182" s="7">
        <v>16.09</v>
      </c>
      <c r="E182" s="85">
        <f t="shared" si="10"/>
        <v>28.881549999999997</v>
      </c>
    </row>
    <row r="183" spans="1:5" ht="18" x14ac:dyDescent="0.35">
      <c r="A183" s="5" t="s">
        <v>677</v>
      </c>
      <c r="B183" s="50" t="s">
        <v>43</v>
      </c>
      <c r="C183" s="7">
        <v>2</v>
      </c>
      <c r="D183" s="7">
        <v>1.48</v>
      </c>
      <c r="E183" s="85">
        <f t="shared" si="10"/>
        <v>2.96</v>
      </c>
    </row>
    <row r="184" spans="1:5" ht="18" x14ac:dyDescent="0.35">
      <c r="A184" s="5"/>
      <c r="B184" s="50" t="s">
        <v>34</v>
      </c>
      <c r="C184" s="7"/>
      <c r="D184" s="7"/>
      <c r="E184" s="85"/>
    </row>
    <row r="185" spans="1:5" ht="18" x14ac:dyDescent="0.35">
      <c r="A185" s="5"/>
      <c r="B185" s="50" t="s">
        <v>35</v>
      </c>
      <c r="C185" s="7">
        <v>4</v>
      </c>
      <c r="D185" s="7">
        <v>2.89</v>
      </c>
      <c r="E185" s="85">
        <f t="shared" si="10"/>
        <v>11.56</v>
      </c>
    </row>
    <row r="186" spans="1:5" ht="18" x14ac:dyDescent="0.35">
      <c r="A186" s="5"/>
      <c r="B186" s="50" t="s">
        <v>36</v>
      </c>
      <c r="C186" s="7">
        <v>4</v>
      </c>
      <c r="D186" s="7">
        <v>0.6</v>
      </c>
      <c r="E186" s="85">
        <f t="shared" si="10"/>
        <v>2.4</v>
      </c>
    </row>
    <row r="187" spans="1:5" ht="18" x14ac:dyDescent="0.35">
      <c r="A187" s="5"/>
      <c r="B187" s="5"/>
      <c r="C187" s="54"/>
      <c r="D187" s="54"/>
      <c r="E187" s="89">
        <f>SUM(E181:E186)</f>
        <v>75.425169999999994</v>
      </c>
    </row>
    <row r="188" spans="1:5" ht="18" x14ac:dyDescent="0.35">
      <c r="A188" s="5"/>
      <c r="B188" s="50" t="s">
        <v>37</v>
      </c>
      <c r="C188" s="54">
        <v>25</v>
      </c>
      <c r="D188" s="54">
        <v>101.32</v>
      </c>
      <c r="E188" s="85">
        <v>25</v>
      </c>
    </row>
    <row r="189" spans="1:5" ht="18" x14ac:dyDescent="0.35">
      <c r="A189" s="5"/>
      <c r="B189" s="5"/>
      <c r="C189" s="54"/>
      <c r="D189" s="54"/>
      <c r="E189" s="85">
        <f>SUM(E187:E188)</f>
        <v>100.42516999999999</v>
      </c>
    </row>
    <row r="192" spans="1:5" ht="21" x14ac:dyDescent="0.4">
      <c r="A192" s="40" t="s">
        <v>599</v>
      </c>
      <c r="B192" s="40"/>
      <c r="C192" s="12"/>
      <c r="D192" s="12"/>
      <c r="E192" s="12"/>
    </row>
    <row r="194" spans="1:11" ht="18" x14ac:dyDescent="0.35">
      <c r="A194" s="5" t="s">
        <v>665</v>
      </c>
      <c r="B194" s="5"/>
      <c r="C194" s="7" t="s">
        <v>28</v>
      </c>
      <c r="D194" s="7" t="s">
        <v>29</v>
      </c>
      <c r="E194" s="7" t="s">
        <v>30</v>
      </c>
    </row>
    <row r="195" spans="1:11" ht="18" x14ac:dyDescent="0.35">
      <c r="A195" s="5" t="s">
        <v>45</v>
      </c>
      <c r="B195" s="50" t="s">
        <v>32</v>
      </c>
      <c r="C195" s="7">
        <v>1.8180000000000001</v>
      </c>
      <c r="D195" s="7">
        <v>30.29</v>
      </c>
      <c r="E195" s="85">
        <f>C195*D195</f>
        <v>55.067219999999999</v>
      </c>
    </row>
    <row r="196" spans="1:11" ht="18" x14ac:dyDescent="0.35">
      <c r="A196" s="5" t="s">
        <v>664</v>
      </c>
      <c r="B196" s="50" t="s">
        <v>33</v>
      </c>
      <c r="C196" s="7">
        <v>2.8980000000000001</v>
      </c>
      <c r="D196" s="7">
        <v>16.09</v>
      </c>
      <c r="E196" s="85">
        <f>C196*D196</f>
        <v>46.628820000000005</v>
      </c>
    </row>
    <row r="197" spans="1:11" ht="18" x14ac:dyDescent="0.35">
      <c r="A197" s="5" t="s">
        <v>677</v>
      </c>
      <c r="B197" s="50" t="s">
        <v>43</v>
      </c>
      <c r="C197" s="7">
        <v>2</v>
      </c>
      <c r="D197" s="7">
        <v>1.48</v>
      </c>
      <c r="E197" s="85">
        <f>C197*D197</f>
        <v>2.96</v>
      </c>
    </row>
    <row r="198" spans="1:11" ht="18" x14ac:dyDescent="0.35">
      <c r="A198" s="5"/>
      <c r="B198" s="50" t="s">
        <v>34</v>
      </c>
      <c r="C198" s="7"/>
      <c r="D198" s="7"/>
      <c r="E198" s="85"/>
    </row>
    <row r="199" spans="1:11" ht="18" x14ac:dyDescent="0.35">
      <c r="A199" s="5"/>
      <c r="B199" s="50" t="s">
        <v>35</v>
      </c>
      <c r="C199" s="7">
        <v>4</v>
      </c>
      <c r="D199" s="7">
        <v>2.89</v>
      </c>
      <c r="E199" s="85">
        <f>C199*D199</f>
        <v>11.56</v>
      </c>
    </row>
    <row r="200" spans="1:11" ht="18" x14ac:dyDescent="0.35">
      <c r="A200" s="5"/>
      <c r="B200" s="50" t="s">
        <v>36</v>
      </c>
      <c r="C200" s="7">
        <v>4</v>
      </c>
      <c r="D200" s="7">
        <v>0.6</v>
      </c>
      <c r="E200" s="85">
        <f>C200*D200</f>
        <v>2.4</v>
      </c>
    </row>
    <row r="201" spans="1:11" ht="18" x14ac:dyDescent="0.35">
      <c r="A201" s="5"/>
      <c r="B201" s="5"/>
      <c r="C201" s="54"/>
      <c r="D201" s="54"/>
      <c r="E201" s="89">
        <f>SUM(E195:E200)</f>
        <v>118.61604000000001</v>
      </c>
    </row>
    <row r="202" spans="1:11" ht="18" x14ac:dyDescent="0.35">
      <c r="A202" s="5"/>
      <c r="B202" s="50" t="s">
        <v>37</v>
      </c>
      <c r="C202" s="54">
        <v>25</v>
      </c>
      <c r="D202" s="54">
        <v>101.32</v>
      </c>
      <c r="E202" s="85">
        <v>25</v>
      </c>
    </row>
    <row r="203" spans="1:11" ht="18" x14ac:dyDescent="0.35">
      <c r="A203" s="5"/>
      <c r="B203" s="5"/>
      <c r="C203" s="54"/>
      <c r="D203" s="54"/>
      <c r="E203" s="85">
        <f>SUM(E201:E202)</f>
        <v>143.61604</v>
      </c>
    </row>
    <row r="206" spans="1:11" ht="21" x14ac:dyDescent="0.4">
      <c r="A206" s="40" t="s">
        <v>737</v>
      </c>
      <c r="B206" s="40"/>
      <c r="C206" s="40"/>
      <c r="D206" s="12"/>
      <c r="E206" s="12"/>
      <c r="G206" s="40" t="s">
        <v>737</v>
      </c>
      <c r="H206" s="40"/>
      <c r="I206" s="40"/>
      <c r="J206" s="12"/>
      <c r="K206" s="12"/>
    </row>
    <row r="207" spans="1:11" ht="18" x14ac:dyDescent="0.35">
      <c r="A207" s="5"/>
      <c r="B207" s="5"/>
      <c r="C207" s="7" t="s">
        <v>28</v>
      </c>
      <c r="D207" s="7" t="s">
        <v>29</v>
      </c>
      <c r="E207" s="7" t="s">
        <v>30</v>
      </c>
      <c r="G207" s="5"/>
      <c r="H207" s="5"/>
      <c r="I207" s="7" t="s">
        <v>28</v>
      </c>
      <c r="J207" s="7" t="s">
        <v>29</v>
      </c>
      <c r="K207" s="7" t="s">
        <v>30</v>
      </c>
    </row>
    <row r="208" spans="1:11" ht="18" x14ac:dyDescent="0.35">
      <c r="A208" s="5" t="s">
        <v>180</v>
      </c>
      <c r="B208" s="50" t="s">
        <v>32</v>
      </c>
      <c r="C208" s="7">
        <v>1.452</v>
      </c>
      <c r="D208" s="7">
        <v>30.29</v>
      </c>
      <c r="E208" s="85">
        <f>C208*D208</f>
        <v>43.981079999999999</v>
      </c>
      <c r="G208" s="5" t="s">
        <v>180</v>
      </c>
      <c r="H208" s="50" t="s">
        <v>32</v>
      </c>
      <c r="I208" s="7">
        <v>1.452</v>
      </c>
      <c r="J208" s="7">
        <v>30.44</v>
      </c>
      <c r="K208" s="85">
        <f>I208*J208</f>
        <v>44.198880000000003</v>
      </c>
    </row>
    <row r="209" spans="1:11" ht="18" x14ac:dyDescent="0.35">
      <c r="A209" s="5" t="s">
        <v>261</v>
      </c>
      <c r="B209" s="50" t="s">
        <v>33</v>
      </c>
      <c r="C209" s="7">
        <v>1.77</v>
      </c>
      <c r="D209" s="7">
        <v>16</v>
      </c>
      <c r="E209" s="85">
        <f>C209*D209</f>
        <v>28.32</v>
      </c>
      <c r="G209" s="5" t="s">
        <v>261</v>
      </c>
      <c r="H209" s="50" t="s">
        <v>33</v>
      </c>
      <c r="I209" s="7">
        <v>1.77</v>
      </c>
      <c r="J209" s="7">
        <v>17.059999999999999</v>
      </c>
      <c r="K209" s="85">
        <f>I209*J209</f>
        <v>30.196199999999997</v>
      </c>
    </row>
    <row r="210" spans="1:11" ht="18" x14ac:dyDescent="0.35">
      <c r="A210" s="5"/>
      <c r="B210" s="50" t="s">
        <v>137</v>
      </c>
      <c r="C210" s="7">
        <v>0.12</v>
      </c>
      <c r="D210" s="7">
        <v>17.190000000000001</v>
      </c>
      <c r="E210" s="85">
        <f>C210*D210</f>
        <v>2.0628000000000002</v>
      </c>
      <c r="G210" s="5"/>
      <c r="H210" s="50" t="s">
        <v>137</v>
      </c>
      <c r="I210" s="7">
        <v>0.12</v>
      </c>
      <c r="J210" s="7">
        <v>17.190000000000001</v>
      </c>
      <c r="K210" s="85">
        <f>I210*J210</f>
        <v>2.0628000000000002</v>
      </c>
    </row>
    <row r="211" spans="1:11" ht="18" x14ac:dyDescent="0.35">
      <c r="A211" s="5" t="s">
        <v>677</v>
      </c>
      <c r="B211" s="50" t="s">
        <v>35</v>
      </c>
      <c r="C211" s="7">
        <v>4</v>
      </c>
      <c r="D211" s="7">
        <v>2.89</v>
      </c>
      <c r="E211" s="85">
        <f>C211*D211</f>
        <v>11.56</v>
      </c>
      <c r="G211" s="5" t="s">
        <v>677</v>
      </c>
      <c r="H211" s="50" t="s">
        <v>35</v>
      </c>
      <c r="I211" s="7">
        <v>4</v>
      </c>
      <c r="J211" s="7">
        <v>2.89</v>
      </c>
      <c r="K211" s="85">
        <f>I211*J211</f>
        <v>11.56</v>
      </c>
    </row>
    <row r="212" spans="1:11" ht="18" x14ac:dyDescent="0.35">
      <c r="A212" s="5"/>
      <c r="B212" s="50" t="s">
        <v>36</v>
      </c>
      <c r="C212" s="7">
        <v>4</v>
      </c>
      <c r="D212" s="7">
        <v>0.6</v>
      </c>
      <c r="E212" s="85">
        <f>C212*D212</f>
        <v>2.4</v>
      </c>
      <c r="G212" s="5"/>
      <c r="H212" s="50" t="s">
        <v>36</v>
      </c>
      <c r="I212" s="7">
        <v>4</v>
      </c>
      <c r="J212" s="7">
        <v>0.6</v>
      </c>
      <c r="K212" s="85">
        <f>I212*J212</f>
        <v>2.4</v>
      </c>
    </row>
    <row r="213" spans="1:11" ht="18" x14ac:dyDescent="0.35">
      <c r="A213" s="5"/>
      <c r="E213" s="85">
        <f>SUM(E208:E212)</f>
        <v>88.323880000000003</v>
      </c>
      <c r="G213" s="5"/>
      <c r="K213" s="85">
        <f>SUM(K208:K212)</f>
        <v>90.417880000000011</v>
      </c>
    </row>
    <row r="214" spans="1:11" ht="18" x14ac:dyDescent="0.35">
      <c r="A214" s="5"/>
      <c r="B214" s="50" t="s">
        <v>37</v>
      </c>
      <c r="C214" s="7" t="s">
        <v>738</v>
      </c>
      <c r="D214" s="93">
        <v>1.05</v>
      </c>
      <c r="E214" s="85">
        <v>10.5</v>
      </c>
      <c r="G214" s="5"/>
      <c r="H214" s="50" t="s">
        <v>37</v>
      </c>
      <c r="I214" s="7" t="s">
        <v>738</v>
      </c>
      <c r="J214" s="93">
        <v>1.05</v>
      </c>
      <c r="K214" s="85">
        <v>10.5</v>
      </c>
    </row>
    <row r="215" spans="1:11" ht="18" x14ac:dyDescent="0.35">
      <c r="B215" s="5" t="s">
        <v>739</v>
      </c>
      <c r="C215" s="54"/>
      <c r="D215" s="54"/>
      <c r="E215" s="98">
        <f>SUM(E213:E214)</f>
        <v>98.823880000000003</v>
      </c>
      <c r="H215" s="5" t="s">
        <v>739</v>
      </c>
      <c r="I215" s="54"/>
      <c r="J215" s="54"/>
      <c r="K215" s="98">
        <f>SUM(K213:K214)</f>
        <v>100.91788000000001</v>
      </c>
    </row>
    <row r="216" spans="1:11" x14ac:dyDescent="0.3">
      <c r="E216" t="s">
        <v>743</v>
      </c>
    </row>
    <row r="220" spans="1:11" ht="21" x14ac:dyDescent="0.4">
      <c r="A220" s="40" t="s">
        <v>735</v>
      </c>
      <c r="B220" s="40"/>
      <c r="C220" s="40"/>
      <c r="D220" s="12"/>
      <c r="E220" s="12"/>
    </row>
    <row r="221" spans="1:11" ht="18" x14ac:dyDescent="0.35">
      <c r="A221" s="5"/>
      <c r="B221" s="5"/>
      <c r="C221" s="7" t="s">
        <v>28</v>
      </c>
      <c r="D221" s="7" t="s">
        <v>29</v>
      </c>
      <c r="E221" s="7" t="s">
        <v>30</v>
      </c>
    </row>
    <row r="222" spans="1:11" ht="18" x14ac:dyDescent="0.35">
      <c r="A222" s="5" t="s">
        <v>736</v>
      </c>
      <c r="B222" s="50" t="s">
        <v>32</v>
      </c>
      <c r="C222" s="7">
        <v>1.714</v>
      </c>
      <c r="D222" s="7">
        <v>30.44</v>
      </c>
      <c r="E222" s="85">
        <f t="shared" ref="E222:E227" si="11">C222*D222</f>
        <v>52.174160000000001</v>
      </c>
    </row>
    <row r="223" spans="1:11" ht="18" x14ac:dyDescent="0.35">
      <c r="A223" s="5" t="s">
        <v>229</v>
      </c>
      <c r="B223" s="50" t="s">
        <v>33</v>
      </c>
      <c r="C223" s="7">
        <v>5.1239999999999997</v>
      </c>
      <c r="D223" s="7">
        <v>17.059999999999999</v>
      </c>
      <c r="E223" s="85">
        <f t="shared" si="11"/>
        <v>87.41543999999999</v>
      </c>
    </row>
    <row r="224" spans="1:11" ht="18" x14ac:dyDescent="0.35">
      <c r="A224" s="5" t="s">
        <v>674</v>
      </c>
      <c r="B224" s="50" t="s">
        <v>137</v>
      </c>
      <c r="C224" s="7">
        <v>0.28000000000000003</v>
      </c>
      <c r="D224" s="7">
        <v>17.190000000000001</v>
      </c>
      <c r="E224" s="85">
        <f t="shared" si="11"/>
        <v>4.813200000000001</v>
      </c>
    </row>
    <row r="225" spans="1:5" ht="18" x14ac:dyDescent="0.35">
      <c r="A225" s="5"/>
      <c r="B225" s="50" t="s">
        <v>35</v>
      </c>
      <c r="C225" s="7">
        <v>4</v>
      </c>
      <c r="D225" s="7">
        <v>2.91</v>
      </c>
      <c r="E225" s="85">
        <f t="shared" si="11"/>
        <v>11.64</v>
      </c>
    </row>
    <row r="226" spans="1:5" ht="18" x14ac:dyDescent="0.35">
      <c r="A226" s="5"/>
      <c r="B226" s="50" t="s">
        <v>36</v>
      </c>
      <c r="C226" s="7">
        <v>4</v>
      </c>
      <c r="D226" s="7">
        <v>0.61</v>
      </c>
      <c r="E226" s="85">
        <f t="shared" si="11"/>
        <v>2.44</v>
      </c>
    </row>
    <row r="227" spans="1:5" ht="18" x14ac:dyDescent="0.35">
      <c r="A227" s="5"/>
      <c r="B227" s="50" t="s">
        <v>37</v>
      </c>
      <c r="C227" s="7">
        <v>0.5</v>
      </c>
      <c r="D227" s="93">
        <v>85</v>
      </c>
      <c r="E227" s="85">
        <f t="shared" si="11"/>
        <v>42.5</v>
      </c>
    </row>
    <row r="228" spans="1:5" ht="18" x14ac:dyDescent="0.35">
      <c r="A228" s="5"/>
      <c r="B228" s="5"/>
      <c r="C228" s="54"/>
      <c r="D228" s="54"/>
      <c r="E228" s="85">
        <f>SUM(E222:E227)</f>
        <v>200.9828</v>
      </c>
    </row>
    <row r="231" spans="1:5" ht="21" x14ac:dyDescent="0.4">
      <c r="A231" s="40" t="s">
        <v>599</v>
      </c>
      <c r="B231" s="40"/>
      <c r="C231" s="84"/>
    </row>
    <row r="232" spans="1:5" ht="18" x14ac:dyDescent="0.35">
      <c r="A232" s="5" t="s">
        <v>740</v>
      </c>
      <c r="B232" s="5"/>
      <c r="C232" s="7" t="s">
        <v>28</v>
      </c>
      <c r="D232" s="7" t="s">
        <v>29</v>
      </c>
      <c r="E232" s="7" t="s">
        <v>30</v>
      </c>
    </row>
    <row r="233" spans="1:5" ht="18" x14ac:dyDescent="0.35">
      <c r="A233" s="5" t="s">
        <v>741</v>
      </c>
      <c r="B233" s="50" t="s">
        <v>32</v>
      </c>
      <c r="C233" s="7">
        <v>2.952</v>
      </c>
      <c r="D233" s="7">
        <v>30.44</v>
      </c>
      <c r="E233" s="85">
        <f t="shared" ref="E233:E238" si="12">C233*D233</f>
        <v>89.858879999999999</v>
      </c>
    </row>
    <row r="234" spans="1:5" ht="18" x14ac:dyDescent="0.35">
      <c r="A234" s="5" t="s">
        <v>742</v>
      </c>
      <c r="B234" s="50" t="s">
        <v>33</v>
      </c>
      <c r="C234" s="7">
        <v>19.404</v>
      </c>
      <c r="D234" s="7">
        <v>16.170000000000002</v>
      </c>
      <c r="E234" s="85">
        <f t="shared" si="12"/>
        <v>313.76268000000005</v>
      </c>
    </row>
    <row r="235" spans="1:5" ht="18" x14ac:dyDescent="0.35">
      <c r="B235" s="50" t="s">
        <v>715</v>
      </c>
      <c r="C235" s="7">
        <v>2</v>
      </c>
      <c r="D235" s="7">
        <v>1.81</v>
      </c>
      <c r="E235" s="85">
        <f t="shared" si="12"/>
        <v>3.62</v>
      </c>
    </row>
    <row r="236" spans="1:5" ht="18" x14ac:dyDescent="0.35">
      <c r="A236" s="5"/>
      <c r="B236" s="50" t="s">
        <v>34</v>
      </c>
      <c r="C236" s="7">
        <v>1</v>
      </c>
      <c r="D236" s="7">
        <v>14.61</v>
      </c>
      <c r="E236" s="85">
        <f t="shared" si="12"/>
        <v>14.61</v>
      </c>
    </row>
    <row r="237" spans="1:5" ht="18" x14ac:dyDescent="0.35">
      <c r="A237" s="5"/>
      <c r="B237" s="50" t="s">
        <v>35</v>
      </c>
      <c r="C237" s="7">
        <v>4</v>
      </c>
      <c r="D237" s="7">
        <v>2.89</v>
      </c>
      <c r="E237" s="85">
        <f t="shared" si="12"/>
        <v>11.56</v>
      </c>
    </row>
    <row r="238" spans="1:5" ht="18" x14ac:dyDescent="0.35">
      <c r="A238" s="5"/>
      <c r="B238" s="50" t="s">
        <v>36</v>
      </c>
      <c r="C238" s="7">
        <v>4</v>
      </c>
      <c r="D238" s="7">
        <v>0.6</v>
      </c>
      <c r="E238" s="85">
        <f t="shared" si="12"/>
        <v>2.4</v>
      </c>
    </row>
    <row r="239" spans="1:5" ht="18" x14ac:dyDescent="0.35">
      <c r="A239" s="5"/>
      <c r="B239" s="5"/>
      <c r="C239" s="54"/>
      <c r="D239" s="54"/>
      <c r="E239" s="89">
        <f>SUM(E233:E238)</f>
        <v>435.81156000000004</v>
      </c>
    </row>
    <row r="240" spans="1:5" ht="18" x14ac:dyDescent="0.35">
      <c r="A240" s="5"/>
      <c r="B240" s="50" t="s">
        <v>37</v>
      </c>
      <c r="C240" s="54">
        <v>1</v>
      </c>
      <c r="D240" s="54">
        <v>101</v>
      </c>
      <c r="E240" s="85">
        <f>C240*D240</f>
        <v>101</v>
      </c>
    </row>
    <row r="241" spans="1:5" ht="18" x14ac:dyDescent="0.35">
      <c r="A241" s="5"/>
      <c r="B241" s="5"/>
      <c r="C241" s="54"/>
      <c r="D241" s="54"/>
      <c r="E241" s="85">
        <f>SUM(E239:E240)</f>
        <v>536.8115600000001</v>
      </c>
    </row>
    <row r="244" spans="1:5" ht="21" x14ac:dyDescent="0.4">
      <c r="A244" s="40" t="s">
        <v>599</v>
      </c>
      <c r="B244" s="40"/>
      <c r="C244" s="84"/>
    </row>
    <row r="245" spans="1:5" ht="18" x14ac:dyDescent="0.35">
      <c r="A245" s="5" t="s">
        <v>116</v>
      </c>
      <c r="B245" s="5"/>
      <c r="C245" s="7" t="s">
        <v>28</v>
      </c>
      <c r="D245" s="7" t="s">
        <v>29</v>
      </c>
      <c r="E245" s="7" t="s">
        <v>30</v>
      </c>
    </row>
    <row r="246" spans="1:5" ht="18" x14ac:dyDescent="0.35">
      <c r="A246" s="5" t="s">
        <v>54</v>
      </c>
      <c r="B246" s="50" t="s">
        <v>32</v>
      </c>
      <c r="C246" s="7">
        <v>1.8180000000000001</v>
      </c>
      <c r="D246" s="7">
        <v>30.44</v>
      </c>
      <c r="E246" s="85">
        <f t="shared" ref="E246:E251" si="13">C246*D246</f>
        <v>55.339920000000006</v>
      </c>
    </row>
    <row r="247" spans="1:5" ht="18" x14ac:dyDescent="0.35">
      <c r="A247" s="5" t="s">
        <v>744</v>
      </c>
      <c r="B247" s="50" t="s">
        <v>33</v>
      </c>
      <c r="C247" s="7">
        <v>7.78</v>
      </c>
      <c r="D247" s="7">
        <v>16.170000000000002</v>
      </c>
      <c r="E247" s="85">
        <f t="shared" si="13"/>
        <v>125.80260000000001</v>
      </c>
    </row>
    <row r="248" spans="1:5" ht="18" x14ac:dyDescent="0.35">
      <c r="B248" s="50" t="s">
        <v>128</v>
      </c>
      <c r="C248" s="7">
        <v>2</v>
      </c>
      <c r="D248" s="7">
        <v>1.81</v>
      </c>
      <c r="E248" s="85">
        <f t="shared" si="13"/>
        <v>3.62</v>
      </c>
    </row>
    <row r="249" spans="1:5" ht="18" x14ac:dyDescent="0.35">
      <c r="A249" s="5"/>
      <c r="B249" s="50" t="s">
        <v>34</v>
      </c>
      <c r="C249" s="7">
        <v>0.4</v>
      </c>
      <c r="D249" s="7">
        <v>14.61</v>
      </c>
      <c r="E249" s="85">
        <f t="shared" si="13"/>
        <v>5.8440000000000003</v>
      </c>
    </row>
    <row r="250" spans="1:5" ht="18" x14ac:dyDescent="0.35">
      <c r="A250" s="5"/>
      <c r="B250" s="50" t="s">
        <v>35</v>
      </c>
      <c r="C250" s="7">
        <v>4</v>
      </c>
      <c r="D250" s="7">
        <v>2.89</v>
      </c>
      <c r="E250" s="85">
        <f t="shared" si="13"/>
        <v>11.56</v>
      </c>
    </row>
    <row r="251" spans="1:5" ht="18" x14ac:dyDescent="0.35">
      <c r="A251" s="5"/>
      <c r="B251" s="50" t="s">
        <v>36</v>
      </c>
      <c r="C251" s="7">
        <v>4</v>
      </c>
      <c r="D251" s="7">
        <v>0.6</v>
      </c>
      <c r="E251" s="85">
        <f t="shared" si="13"/>
        <v>2.4</v>
      </c>
    </row>
    <row r="252" spans="1:5" ht="18" x14ac:dyDescent="0.35">
      <c r="A252" s="5"/>
      <c r="B252" s="5"/>
      <c r="C252" s="54"/>
      <c r="D252" s="54"/>
      <c r="E252" s="89">
        <f>SUM(E246:E251)</f>
        <v>204.56652000000003</v>
      </c>
    </row>
    <row r="253" spans="1:5" ht="18" x14ac:dyDescent="0.35">
      <c r="A253" s="5"/>
      <c r="B253" s="50" t="s">
        <v>37</v>
      </c>
      <c r="C253" s="54">
        <v>0.5</v>
      </c>
      <c r="D253" s="54">
        <v>101</v>
      </c>
      <c r="E253" s="85">
        <f>C253*D253</f>
        <v>50.5</v>
      </c>
    </row>
    <row r="254" spans="1:5" ht="18" x14ac:dyDescent="0.35">
      <c r="A254" s="5"/>
      <c r="B254" s="5"/>
      <c r="C254" s="54"/>
      <c r="D254" s="54"/>
      <c r="E254" s="85">
        <f>SUM(E252:E253)</f>
        <v>255.06652000000003</v>
      </c>
    </row>
    <row r="257" spans="1:5" ht="21" x14ac:dyDescent="0.4">
      <c r="A257" s="40" t="s">
        <v>599</v>
      </c>
      <c r="B257" s="40"/>
      <c r="C257" s="84"/>
    </row>
    <row r="258" spans="1:5" ht="18" x14ac:dyDescent="0.35">
      <c r="A258" s="5" t="s">
        <v>745</v>
      </c>
      <c r="B258" s="5"/>
      <c r="C258" s="7" t="s">
        <v>28</v>
      </c>
      <c r="D258" s="7" t="s">
        <v>29</v>
      </c>
      <c r="E258" s="7" t="s">
        <v>30</v>
      </c>
    </row>
    <row r="259" spans="1:5" ht="18" x14ac:dyDescent="0.35">
      <c r="A259" s="5" t="s">
        <v>213</v>
      </c>
      <c r="B259" s="50" t="s">
        <v>32</v>
      </c>
      <c r="C259" s="7">
        <v>2.9740000000000002</v>
      </c>
      <c r="D259" s="7">
        <v>30.44</v>
      </c>
      <c r="E259" s="85">
        <f t="shared" ref="E259:E264" si="14">C259*D259</f>
        <v>90.528560000000013</v>
      </c>
    </row>
    <row r="260" spans="1:5" ht="18" x14ac:dyDescent="0.35">
      <c r="A260" s="5" t="s">
        <v>744</v>
      </c>
      <c r="B260" s="50" t="s">
        <v>33</v>
      </c>
      <c r="C260" s="7">
        <v>19.623999999999999</v>
      </c>
      <c r="D260" s="7">
        <v>16.170000000000002</v>
      </c>
      <c r="E260" s="85">
        <f t="shared" si="14"/>
        <v>317.32008000000002</v>
      </c>
    </row>
    <row r="261" spans="1:5" ht="18" x14ac:dyDescent="0.35">
      <c r="B261" s="50" t="s">
        <v>715</v>
      </c>
      <c r="C261" s="7">
        <v>2</v>
      </c>
      <c r="D261" s="7">
        <v>1.81</v>
      </c>
      <c r="E261" s="85">
        <f t="shared" si="14"/>
        <v>3.62</v>
      </c>
    </row>
    <row r="262" spans="1:5" ht="18" x14ac:dyDescent="0.35">
      <c r="A262" s="5"/>
      <c r="B262" s="50" t="s">
        <v>34</v>
      </c>
      <c r="C262" s="7">
        <v>0.45</v>
      </c>
      <c r="D262" s="7">
        <v>14.61</v>
      </c>
      <c r="E262" s="85">
        <f t="shared" si="14"/>
        <v>6.5744999999999996</v>
      </c>
    </row>
    <row r="263" spans="1:5" ht="18" x14ac:dyDescent="0.35">
      <c r="A263" s="5"/>
      <c r="B263" s="50" t="s">
        <v>35</v>
      </c>
      <c r="C263" s="7">
        <v>4</v>
      </c>
      <c r="D263" s="7">
        <v>2.89</v>
      </c>
      <c r="E263" s="85">
        <f t="shared" si="14"/>
        <v>11.56</v>
      </c>
    </row>
    <row r="264" spans="1:5" ht="18" x14ac:dyDescent="0.35">
      <c r="A264" s="5"/>
      <c r="B264" s="50" t="s">
        <v>36</v>
      </c>
      <c r="C264" s="7">
        <v>4</v>
      </c>
      <c r="D264" s="7">
        <v>0.6</v>
      </c>
      <c r="E264" s="85">
        <f t="shared" si="14"/>
        <v>2.4</v>
      </c>
    </row>
    <row r="265" spans="1:5" ht="18" x14ac:dyDescent="0.35">
      <c r="A265" s="5"/>
      <c r="B265" s="5"/>
      <c r="C265" s="54"/>
      <c r="D265" s="54"/>
      <c r="E265" s="89">
        <f>SUM(E259:E264)</f>
        <v>432.00314000000003</v>
      </c>
    </row>
    <row r="266" spans="1:5" ht="18" x14ac:dyDescent="0.35">
      <c r="A266" s="5"/>
      <c r="B266" s="50" t="s">
        <v>37</v>
      </c>
      <c r="C266" s="54">
        <v>0.5</v>
      </c>
      <c r="D266" s="54">
        <v>101</v>
      </c>
      <c r="E266" s="85">
        <f>C266*D266</f>
        <v>50.5</v>
      </c>
    </row>
    <row r="267" spans="1:5" ht="18" x14ac:dyDescent="0.35">
      <c r="A267" s="5"/>
      <c r="B267" s="5"/>
      <c r="C267" s="54"/>
      <c r="D267" s="54"/>
      <c r="E267" s="85">
        <f>SUM(E265:E266)</f>
        <v>482.50314000000003</v>
      </c>
    </row>
    <row r="270" spans="1:5" ht="21" x14ac:dyDescent="0.4">
      <c r="A270" s="40" t="s">
        <v>599</v>
      </c>
      <c r="B270" s="40"/>
      <c r="C270" s="84"/>
    </row>
    <row r="271" spans="1:5" ht="18" x14ac:dyDescent="0.35">
      <c r="A271" s="5" t="s">
        <v>758</v>
      </c>
      <c r="B271" s="5"/>
      <c r="C271" s="7" t="s">
        <v>28</v>
      </c>
      <c r="D271" s="7" t="s">
        <v>29</v>
      </c>
      <c r="E271" s="7" t="s">
        <v>30</v>
      </c>
    </row>
    <row r="272" spans="1:5" ht="18" x14ac:dyDescent="0.35">
      <c r="A272" s="5" t="s">
        <v>219</v>
      </c>
      <c r="B272" s="50" t="s">
        <v>32</v>
      </c>
      <c r="C272" s="7">
        <v>3.3730000000000002</v>
      </c>
      <c r="D272" s="7">
        <v>30.44</v>
      </c>
      <c r="E272" s="85">
        <f t="shared" ref="E272:E277" si="15">C272*D272</f>
        <v>102.67412000000002</v>
      </c>
    </row>
    <row r="273" spans="1:5" ht="18" x14ac:dyDescent="0.35">
      <c r="A273" s="5" t="s">
        <v>759</v>
      </c>
      <c r="B273" s="50" t="s">
        <v>33</v>
      </c>
      <c r="C273" s="7">
        <v>1.5649999999999999</v>
      </c>
      <c r="D273" s="7">
        <v>16.170000000000002</v>
      </c>
      <c r="E273" s="85">
        <f t="shared" si="15"/>
        <v>25.306050000000003</v>
      </c>
    </row>
    <row r="274" spans="1:5" ht="18" x14ac:dyDescent="0.35">
      <c r="B274" s="50" t="s">
        <v>760</v>
      </c>
      <c r="C274" s="7">
        <v>2</v>
      </c>
      <c r="D274" s="7">
        <v>1.1499999999999999</v>
      </c>
      <c r="E274" s="85">
        <f t="shared" si="15"/>
        <v>2.2999999999999998</v>
      </c>
    </row>
    <row r="275" spans="1:5" ht="18" x14ac:dyDescent="0.35">
      <c r="A275" s="5"/>
      <c r="B275" s="50" t="s">
        <v>34</v>
      </c>
      <c r="C275" s="7">
        <v>0.2</v>
      </c>
      <c r="D275" s="7">
        <v>14.61</v>
      </c>
      <c r="E275" s="85">
        <f t="shared" si="15"/>
        <v>2.9220000000000002</v>
      </c>
    </row>
    <row r="276" spans="1:5" ht="18" x14ac:dyDescent="0.35">
      <c r="A276" s="5"/>
      <c r="B276" s="50" t="s">
        <v>35</v>
      </c>
      <c r="C276" s="7">
        <v>8</v>
      </c>
      <c r="D276" s="7">
        <v>2.91</v>
      </c>
      <c r="E276" s="85">
        <f t="shared" si="15"/>
        <v>23.28</v>
      </c>
    </row>
    <row r="277" spans="1:5" ht="18" x14ac:dyDescent="0.35">
      <c r="A277" s="5"/>
      <c r="B277" s="50" t="s">
        <v>36</v>
      </c>
      <c r="C277" s="7">
        <v>4</v>
      </c>
      <c r="D277" s="7">
        <v>0.61</v>
      </c>
      <c r="E277" s="85">
        <f t="shared" si="15"/>
        <v>2.44</v>
      </c>
    </row>
    <row r="278" spans="1:5" ht="18" x14ac:dyDescent="0.35">
      <c r="A278" s="5"/>
      <c r="B278" s="5"/>
      <c r="C278" s="54"/>
      <c r="D278" s="54"/>
      <c r="E278" s="89">
        <f>SUM(E272:E277)</f>
        <v>158.92217000000002</v>
      </c>
    </row>
    <row r="279" spans="1:5" ht="18" x14ac:dyDescent="0.35">
      <c r="A279" s="5"/>
      <c r="B279" s="50" t="s">
        <v>37</v>
      </c>
      <c r="C279" s="54">
        <v>0.5</v>
      </c>
      <c r="D279" s="54">
        <v>65</v>
      </c>
      <c r="E279" s="85">
        <f>C279*D279</f>
        <v>32.5</v>
      </c>
    </row>
    <row r="280" spans="1:5" ht="18" x14ac:dyDescent="0.35">
      <c r="A280" s="5"/>
      <c r="B280" s="5"/>
      <c r="C280" s="54"/>
      <c r="D280" s="54"/>
      <c r="E280" s="85">
        <f>SUM(E278:E279)</f>
        <v>191.42217000000002</v>
      </c>
    </row>
    <row r="282" spans="1:5" ht="21" x14ac:dyDescent="0.4">
      <c r="A282" s="40" t="s">
        <v>599</v>
      </c>
      <c r="B282" s="40"/>
      <c r="C282" s="84"/>
    </row>
    <row r="283" spans="1:5" ht="18" x14ac:dyDescent="0.35">
      <c r="A283" s="5" t="s">
        <v>234</v>
      </c>
      <c r="B283" s="5"/>
      <c r="C283" s="7" t="s">
        <v>28</v>
      </c>
      <c r="D283" s="7" t="s">
        <v>29</v>
      </c>
      <c r="E283" s="7" t="s">
        <v>30</v>
      </c>
    </row>
    <row r="284" spans="1:5" ht="18" x14ac:dyDescent="0.35">
      <c r="A284" s="5" t="s">
        <v>219</v>
      </c>
      <c r="B284" s="50" t="s">
        <v>32</v>
      </c>
      <c r="C284" s="7">
        <v>2.3220000000000001</v>
      </c>
      <c r="D284" s="7">
        <v>30.44</v>
      </c>
      <c r="E284" s="85">
        <f t="shared" ref="E284:E289" si="16">C284*D284</f>
        <v>70.68168</v>
      </c>
    </row>
    <row r="285" spans="1:5" ht="18" x14ac:dyDescent="0.35">
      <c r="A285" s="5" t="s">
        <v>755</v>
      </c>
      <c r="B285" s="50" t="s">
        <v>33</v>
      </c>
      <c r="C285" s="7">
        <v>1.04</v>
      </c>
      <c r="D285" s="7">
        <v>16.170000000000002</v>
      </c>
      <c r="E285" s="85">
        <f t="shared" si="16"/>
        <v>16.816800000000001</v>
      </c>
    </row>
    <row r="286" spans="1:5" ht="18" x14ac:dyDescent="0.35">
      <c r="B286" s="50" t="s">
        <v>760</v>
      </c>
      <c r="C286" s="7">
        <v>2</v>
      </c>
      <c r="D286" s="7">
        <v>1.1499999999999999</v>
      </c>
      <c r="E286" s="85">
        <f t="shared" si="16"/>
        <v>2.2999999999999998</v>
      </c>
    </row>
    <row r="287" spans="1:5" ht="18" x14ac:dyDescent="0.35">
      <c r="A287" s="5"/>
      <c r="B287" s="50" t="s">
        <v>34</v>
      </c>
      <c r="C287" s="7">
        <v>0.2</v>
      </c>
      <c r="D287" s="7">
        <v>14.61</v>
      </c>
      <c r="E287" s="85">
        <f t="shared" si="16"/>
        <v>2.9220000000000002</v>
      </c>
    </row>
    <row r="288" spans="1:5" ht="18" x14ac:dyDescent="0.35">
      <c r="A288" s="5"/>
      <c r="B288" s="50" t="s">
        <v>35</v>
      </c>
      <c r="C288" s="7">
        <v>8</v>
      </c>
      <c r="D288" s="7">
        <v>2.89</v>
      </c>
      <c r="E288" s="85">
        <f t="shared" si="16"/>
        <v>23.12</v>
      </c>
    </row>
    <row r="289" spans="1:5" ht="18" x14ac:dyDescent="0.35">
      <c r="A289" s="5"/>
      <c r="B289" s="50" t="s">
        <v>36</v>
      </c>
      <c r="C289" s="7">
        <v>4</v>
      </c>
      <c r="D289" s="7">
        <v>0.6</v>
      </c>
      <c r="E289" s="85">
        <f t="shared" si="16"/>
        <v>2.4</v>
      </c>
    </row>
    <row r="290" spans="1:5" ht="18" x14ac:dyDescent="0.35">
      <c r="A290" s="5"/>
      <c r="B290" s="5"/>
      <c r="C290" s="54"/>
      <c r="D290" s="54"/>
      <c r="E290" s="89">
        <f>SUM(E284:E289)</f>
        <v>118.24048000000001</v>
      </c>
    </row>
    <row r="291" spans="1:5" ht="18" x14ac:dyDescent="0.35">
      <c r="A291" s="5"/>
      <c r="B291" s="50" t="s">
        <v>37</v>
      </c>
      <c r="C291" s="54">
        <v>0.5</v>
      </c>
      <c r="D291" s="54">
        <v>101.32</v>
      </c>
      <c r="E291" s="85">
        <f>C291*D291</f>
        <v>50.66</v>
      </c>
    </row>
    <row r="292" spans="1:5" ht="18" x14ac:dyDescent="0.35">
      <c r="A292" s="5"/>
      <c r="B292" s="5"/>
      <c r="C292" s="54"/>
      <c r="D292" s="54"/>
      <c r="E292" s="85">
        <f>SUM(E290:E291)</f>
        <v>168.90048000000002</v>
      </c>
    </row>
    <row r="295" spans="1:5" ht="21" x14ac:dyDescent="0.4">
      <c r="A295" s="40" t="s">
        <v>775</v>
      </c>
      <c r="B295" s="40"/>
      <c r="C295" s="40"/>
      <c r="D295" s="12"/>
      <c r="E295" s="12"/>
    </row>
    <row r="296" spans="1:5" ht="18" x14ac:dyDescent="0.35">
      <c r="A296" s="5"/>
      <c r="B296" s="5"/>
      <c r="C296" s="7" t="s">
        <v>28</v>
      </c>
      <c r="D296" s="7" t="s">
        <v>29</v>
      </c>
      <c r="E296" s="7" t="s">
        <v>30</v>
      </c>
    </row>
    <row r="297" spans="1:5" ht="18" x14ac:dyDescent="0.35">
      <c r="A297" s="5" t="s">
        <v>745</v>
      </c>
      <c r="B297" s="50" t="s">
        <v>32</v>
      </c>
      <c r="C297" s="7">
        <v>2.9740000000000002</v>
      </c>
      <c r="D297" s="7">
        <v>30.44</v>
      </c>
      <c r="E297" s="85">
        <f t="shared" ref="E297:E302" si="17">C297*D297</f>
        <v>90.528560000000013</v>
      </c>
    </row>
    <row r="298" spans="1:5" ht="18" x14ac:dyDescent="0.35">
      <c r="A298" s="5" t="s">
        <v>712</v>
      </c>
      <c r="B298" s="50" t="s">
        <v>33</v>
      </c>
      <c r="C298" s="7">
        <v>28.97</v>
      </c>
      <c r="D298" s="7">
        <v>17.059999999999999</v>
      </c>
      <c r="E298" s="85">
        <f t="shared" si="17"/>
        <v>494.22819999999996</v>
      </c>
    </row>
    <row r="299" spans="1:5" ht="18" x14ac:dyDescent="0.35">
      <c r="A299" s="5" t="s">
        <v>774</v>
      </c>
      <c r="B299" s="50" t="s">
        <v>137</v>
      </c>
      <c r="C299" s="7">
        <v>0.28000000000000003</v>
      </c>
      <c r="D299" s="7">
        <v>17.190000000000001</v>
      </c>
      <c r="E299" s="85">
        <f t="shared" si="17"/>
        <v>4.813200000000001</v>
      </c>
    </row>
    <row r="300" spans="1:5" ht="18" x14ac:dyDescent="0.35">
      <c r="A300" s="5"/>
      <c r="B300" s="50" t="s">
        <v>35</v>
      </c>
      <c r="C300" s="7">
        <v>4</v>
      </c>
      <c r="D300" s="7">
        <v>2.91</v>
      </c>
      <c r="E300" s="85">
        <f t="shared" si="17"/>
        <v>11.64</v>
      </c>
    </row>
    <row r="301" spans="1:5" ht="18" x14ac:dyDescent="0.35">
      <c r="A301" s="5"/>
      <c r="B301" s="50" t="s">
        <v>36</v>
      </c>
      <c r="C301" s="7">
        <v>4</v>
      </c>
      <c r="D301" s="7">
        <v>0.61</v>
      </c>
      <c r="E301" s="85">
        <f t="shared" si="17"/>
        <v>2.44</v>
      </c>
    </row>
    <row r="302" spans="1:5" ht="18" x14ac:dyDescent="0.35">
      <c r="A302" s="5"/>
      <c r="B302" s="50" t="s">
        <v>37</v>
      </c>
      <c r="C302" s="7">
        <v>1</v>
      </c>
      <c r="D302" s="93">
        <v>85</v>
      </c>
      <c r="E302" s="85">
        <f t="shared" si="17"/>
        <v>85</v>
      </c>
    </row>
    <row r="303" spans="1:5" ht="18" x14ac:dyDescent="0.35">
      <c r="A303" s="5"/>
      <c r="B303" s="5"/>
      <c r="C303" s="54"/>
      <c r="D303" s="54"/>
      <c r="E303" s="85">
        <f>SUM(E297:E302)</f>
        <v>688.64996000000008</v>
      </c>
    </row>
    <row r="311" spans="1:5" ht="21" x14ac:dyDescent="0.4">
      <c r="A311" s="40" t="s">
        <v>599</v>
      </c>
      <c r="B311" s="40"/>
      <c r="C311" s="84"/>
    </row>
    <row r="312" spans="1:5" ht="18" x14ac:dyDescent="0.35">
      <c r="A312" s="5" t="s">
        <v>235</v>
      </c>
      <c r="B312" s="5"/>
      <c r="C312" s="7" t="s">
        <v>28</v>
      </c>
      <c r="D312" s="7" t="s">
        <v>29</v>
      </c>
      <c r="E312" s="7" t="s">
        <v>30</v>
      </c>
    </row>
    <row r="313" spans="1:5" ht="18" x14ac:dyDescent="0.35">
      <c r="A313" s="5" t="s">
        <v>171</v>
      </c>
      <c r="B313" s="50" t="s">
        <v>32</v>
      </c>
      <c r="C313" s="7">
        <v>2.3439999999999999</v>
      </c>
      <c r="D313" s="7">
        <v>30.44</v>
      </c>
      <c r="E313" s="85">
        <f t="shared" ref="E313:E318" si="18">C313*D313</f>
        <v>71.35136</v>
      </c>
    </row>
    <row r="314" spans="1:5" ht="18" x14ac:dyDescent="0.35">
      <c r="A314" s="5" t="s">
        <v>799</v>
      </c>
      <c r="B314" s="50" t="s">
        <v>33</v>
      </c>
      <c r="C314" s="7">
        <v>2.0790000000000002</v>
      </c>
      <c r="D314" s="7">
        <v>16.170000000000002</v>
      </c>
      <c r="E314" s="85">
        <f t="shared" si="18"/>
        <v>33.617430000000006</v>
      </c>
    </row>
    <row r="315" spans="1:5" ht="18" x14ac:dyDescent="0.35">
      <c r="B315" s="50" t="s">
        <v>507</v>
      </c>
      <c r="C315" s="7">
        <v>2</v>
      </c>
      <c r="D315" s="7">
        <v>1.1499999999999999</v>
      </c>
      <c r="E315" s="85">
        <f t="shared" si="18"/>
        <v>2.2999999999999998</v>
      </c>
    </row>
    <row r="316" spans="1:5" ht="18" x14ac:dyDescent="0.35">
      <c r="A316" s="5"/>
      <c r="B316" s="50" t="s">
        <v>34</v>
      </c>
      <c r="C316" s="7">
        <v>0.2</v>
      </c>
      <c r="D316" s="7">
        <v>14.61</v>
      </c>
      <c r="E316" s="85">
        <f t="shared" si="18"/>
        <v>2.9220000000000002</v>
      </c>
    </row>
    <row r="317" spans="1:5" ht="18" x14ac:dyDescent="0.35">
      <c r="A317" s="5"/>
      <c r="B317" s="50" t="s">
        <v>35</v>
      </c>
      <c r="C317" s="7">
        <v>4</v>
      </c>
      <c r="D317" s="7">
        <v>2.89</v>
      </c>
      <c r="E317" s="85">
        <f t="shared" si="18"/>
        <v>11.56</v>
      </c>
    </row>
    <row r="318" spans="1:5" ht="18" x14ac:dyDescent="0.35">
      <c r="A318" s="5"/>
      <c r="B318" s="50" t="s">
        <v>36</v>
      </c>
      <c r="C318" s="7">
        <v>4</v>
      </c>
      <c r="D318" s="7">
        <v>0.6</v>
      </c>
      <c r="E318" s="85">
        <f t="shared" si="18"/>
        <v>2.4</v>
      </c>
    </row>
    <row r="319" spans="1:5" ht="18" x14ac:dyDescent="0.35">
      <c r="A319" s="5"/>
      <c r="B319" s="5"/>
      <c r="C319" s="54"/>
      <c r="D319" s="54"/>
      <c r="E319" s="89">
        <f>SUM(E313:E318)</f>
        <v>124.15079000000001</v>
      </c>
    </row>
    <row r="320" spans="1:5" ht="18" x14ac:dyDescent="0.35">
      <c r="A320" s="5"/>
      <c r="B320" s="50" t="s">
        <v>37</v>
      </c>
      <c r="C320" s="54">
        <v>0.5</v>
      </c>
      <c r="D320" s="54">
        <v>101.32</v>
      </c>
      <c r="E320" s="85">
        <f>C320*D320</f>
        <v>50.66</v>
      </c>
    </row>
    <row r="321" spans="1:5" ht="18" x14ac:dyDescent="0.35">
      <c r="A321" s="5"/>
      <c r="B321" s="5"/>
      <c r="C321" s="54"/>
      <c r="D321" s="54"/>
      <c r="E321" s="85">
        <f>SUM(E319:E320)</f>
        <v>174.81079</v>
      </c>
    </row>
    <row r="324" spans="1:5" ht="21" x14ac:dyDescent="0.4">
      <c r="A324" s="40" t="s">
        <v>599</v>
      </c>
      <c r="B324" s="40"/>
      <c r="C324" s="84"/>
    </row>
    <row r="325" spans="1:5" ht="18" x14ac:dyDescent="0.35">
      <c r="A325" s="5" t="s">
        <v>811</v>
      </c>
      <c r="B325" s="5"/>
      <c r="C325" s="7" t="s">
        <v>28</v>
      </c>
      <c r="D325" s="7" t="s">
        <v>29</v>
      </c>
      <c r="E325" s="7" t="s">
        <v>30</v>
      </c>
    </row>
    <row r="326" spans="1:5" ht="18" x14ac:dyDescent="0.35">
      <c r="A326" s="5" t="s">
        <v>259</v>
      </c>
      <c r="B326" s="50" t="s">
        <v>32</v>
      </c>
      <c r="C326" s="7">
        <v>3.4670000000000001</v>
      </c>
      <c r="D326" s="7">
        <v>30.44</v>
      </c>
      <c r="E326" s="85">
        <f t="shared" ref="E326:E331" si="19">C326*D326</f>
        <v>105.53548000000001</v>
      </c>
    </row>
    <row r="327" spans="1:5" ht="18" x14ac:dyDescent="0.35">
      <c r="A327" s="5" t="s">
        <v>799</v>
      </c>
      <c r="B327" s="50" t="s">
        <v>33</v>
      </c>
      <c r="C327" s="7">
        <v>2.5720000000000001</v>
      </c>
      <c r="D327" s="7">
        <v>16.170000000000002</v>
      </c>
      <c r="E327" s="85">
        <f t="shared" si="19"/>
        <v>41.589240000000004</v>
      </c>
    </row>
    <row r="328" spans="1:5" ht="18" x14ac:dyDescent="0.35">
      <c r="B328" s="50" t="s">
        <v>812</v>
      </c>
      <c r="C328" s="7">
        <v>2</v>
      </c>
      <c r="D328" s="7">
        <v>1.1499999999999999</v>
      </c>
      <c r="E328" s="85">
        <f t="shared" si="19"/>
        <v>2.2999999999999998</v>
      </c>
    </row>
    <row r="329" spans="1:5" ht="18" x14ac:dyDescent="0.35">
      <c r="A329" s="5"/>
      <c r="B329" s="50" t="s">
        <v>34</v>
      </c>
      <c r="C329" s="7">
        <v>0.4</v>
      </c>
      <c r="D329" s="7">
        <v>14.61</v>
      </c>
      <c r="E329" s="85">
        <f t="shared" si="19"/>
        <v>5.8440000000000003</v>
      </c>
    </row>
    <row r="330" spans="1:5" ht="18" x14ac:dyDescent="0.35">
      <c r="A330" s="5"/>
      <c r="B330" s="50" t="s">
        <v>35</v>
      </c>
      <c r="C330" s="7">
        <v>4</v>
      </c>
      <c r="D330" s="7">
        <v>2.89</v>
      </c>
      <c r="E330" s="85">
        <f t="shared" si="19"/>
        <v>11.56</v>
      </c>
    </row>
    <row r="331" spans="1:5" ht="18" x14ac:dyDescent="0.35">
      <c r="A331" s="5"/>
      <c r="B331" s="50" t="s">
        <v>36</v>
      </c>
      <c r="C331" s="7">
        <v>4</v>
      </c>
      <c r="D331" s="7">
        <v>0.6</v>
      </c>
      <c r="E331" s="85">
        <f t="shared" si="19"/>
        <v>2.4</v>
      </c>
    </row>
    <row r="332" spans="1:5" ht="18" x14ac:dyDescent="0.35">
      <c r="A332" s="5"/>
      <c r="B332" s="5"/>
      <c r="C332" s="54"/>
      <c r="D332" s="54"/>
      <c r="E332" s="89">
        <f>SUM(E326:E331)</f>
        <v>169.22872000000004</v>
      </c>
    </row>
    <row r="333" spans="1:5" ht="18" x14ac:dyDescent="0.35">
      <c r="A333" s="5"/>
      <c r="B333" s="50" t="s">
        <v>37</v>
      </c>
      <c r="C333" s="54">
        <v>0.5</v>
      </c>
      <c r="D333" s="54">
        <v>101.32</v>
      </c>
      <c r="E333" s="85">
        <f>C333*D333</f>
        <v>50.66</v>
      </c>
    </row>
    <row r="334" spans="1:5" ht="18" x14ac:dyDescent="0.35">
      <c r="A334" s="5"/>
      <c r="B334" s="5"/>
      <c r="C334" s="54"/>
      <c r="D334" s="54"/>
      <c r="E334" s="85">
        <f>SUM(E332:E333)</f>
        <v>219.88872000000003</v>
      </c>
    </row>
    <row r="335" spans="1:5" ht="21" x14ac:dyDescent="0.4">
      <c r="A335" s="40" t="s">
        <v>602</v>
      </c>
      <c r="B335" s="40"/>
      <c r="C335" s="84"/>
      <c r="D335" s="12"/>
      <c r="E335" s="12"/>
    </row>
    <row r="336" spans="1:5" ht="21" x14ac:dyDescent="0.4">
      <c r="A336" s="40"/>
      <c r="B336" s="40"/>
      <c r="C336" s="84"/>
      <c r="D336" s="12"/>
      <c r="E336" s="12"/>
    </row>
    <row r="337" spans="1:5" ht="18" x14ac:dyDescent="0.35">
      <c r="A337" s="5"/>
      <c r="B337" s="5"/>
      <c r="C337" s="7" t="s">
        <v>28</v>
      </c>
      <c r="D337" s="7" t="s">
        <v>29</v>
      </c>
      <c r="E337" s="7" t="s">
        <v>30</v>
      </c>
    </row>
    <row r="338" spans="1:5" ht="18" x14ac:dyDescent="0.35">
      <c r="A338" s="5" t="s">
        <v>73</v>
      </c>
      <c r="B338" s="50" t="s">
        <v>32</v>
      </c>
      <c r="C338" s="7">
        <v>0.97799999999999998</v>
      </c>
      <c r="D338" s="7">
        <v>42.29</v>
      </c>
      <c r="E338" s="85">
        <f t="shared" ref="E338:E345" si="20">C338*D338</f>
        <v>41.35962</v>
      </c>
    </row>
    <row r="339" spans="1:5" ht="18" x14ac:dyDescent="0.35">
      <c r="A339" s="5" t="s">
        <v>52</v>
      </c>
      <c r="B339" s="50" t="s">
        <v>33</v>
      </c>
      <c r="C339" s="7">
        <v>1.7949999999999999</v>
      </c>
      <c r="D339" s="7">
        <v>16.09</v>
      </c>
      <c r="E339" s="85">
        <f t="shared" si="20"/>
        <v>28.881549999999997</v>
      </c>
    </row>
    <row r="340" spans="1:5" ht="18" x14ac:dyDescent="0.35">
      <c r="A340" s="5" t="s">
        <v>178</v>
      </c>
      <c r="B340" s="50" t="s">
        <v>33</v>
      </c>
      <c r="C340" s="7">
        <v>1.7949999999999999</v>
      </c>
      <c r="D340" s="7">
        <v>16.09</v>
      </c>
      <c r="E340" s="85">
        <f t="shared" si="20"/>
        <v>28.881549999999997</v>
      </c>
    </row>
    <row r="341" spans="1:5" ht="18" x14ac:dyDescent="0.35">
      <c r="A341" s="5"/>
      <c r="B341" s="50" t="s">
        <v>97</v>
      </c>
      <c r="C341" s="7">
        <v>2</v>
      </c>
      <c r="D341" s="7">
        <v>1.48</v>
      </c>
      <c r="E341" s="85">
        <f t="shared" si="20"/>
        <v>2.96</v>
      </c>
    </row>
    <row r="342" spans="1:5" ht="18" x14ac:dyDescent="0.35">
      <c r="A342" s="5"/>
      <c r="B342" s="50" t="s">
        <v>97</v>
      </c>
      <c r="C342" s="88">
        <v>2</v>
      </c>
      <c r="D342" s="88">
        <v>1.48</v>
      </c>
      <c r="E342" s="90">
        <f t="shared" si="20"/>
        <v>2.96</v>
      </c>
    </row>
    <row r="343" spans="1:5" ht="18" x14ac:dyDescent="0.35">
      <c r="A343" s="5"/>
      <c r="B343" s="50" t="s">
        <v>34</v>
      </c>
      <c r="C343" s="7"/>
      <c r="D343" s="7">
        <v>13.67</v>
      </c>
      <c r="E343" s="85">
        <f t="shared" si="20"/>
        <v>0</v>
      </c>
    </row>
    <row r="344" spans="1:5" ht="18" x14ac:dyDescent="0.35">
      <c r="A344" s="5"/>
      <c r="B344" s="50" t="s">
        <v>35</v>
      </c>
      <c r="C344" s="7">
        <v>4</v>
      </c>
      <c r="D344" s="7">
        <v>2.89</v>
      </c>
      <c r="E344" s="85">
        <f t="shared" si="20"/>
        <v>11.56</v>
      </c>
    </row>
    <row r="345" spans="1:5" ht="18" x14ac:dyDescent="0.35">
      <c r="A345" s="5"/>
      <c r="B345" s="50" t="s">
        <v>36</v>
      </c>
      <c r="C345" s="7">
        <v>4</v>
      </c>
      <c r="D345" s="7">
        <v>0.6</v>
      </c>
      <c r="E345" s="85">
        <f t="shared" si="20"/>
        <v>2.4</v>
      </c>
    </row>
    <row r="346" spans="1:5" ht="18" x14ac:dyDescent="0.35">
      <c r="A346" s="5"/>
      <c r="B346" s="5"/>
      <c r="C346" s="54"/>
      <c r="D346" s="54"/>
      <c r="E346" s="89">
        <f>SUM(E338:E345)</f>
        <v>119.00271999999998</v>
      </c>
    </row>
    <row r="347" spans="1:5" ht="18" x14ac:dyDescent="0.35">
      <c r="A347" s="5"/>
      <c r="B347" s="50" t="s">
        <v>37</v>
      </c>
      <c r="C347" s="54">
        <v>0.5</v>
      </c>
      <c r="D347" s="54">
        <v>101.32</v>
      </c>
      <c r="E347" s="85">
        <f>C347*D347</f>
        <v>50.66</v>
      </c>
    </row>
    <row r="348" spans="1:5" ht="18" x14ac:dyDescent="0.35">
      <c r="A348" s="5"/>
      <c r="B348" s="5"/>
      <c r="C348" s="54"/>
      <c r="D348" s="54"/>
      <c r="E348" s="85">
        <f>SUM(E346:E347)</f>
        <v>169.66271999999998</v>
      </c>
    </row>
    <row r="350" spans="1:5" ht="21" x14ac:dyDescent="0.4">
      <c r="A350" s="40" t="s">
        <v>813</v>
      </c>
      <c r="B350" s="40"/>
      <c r="C350" s="40"/>
      <c r="D350" s="12"/>
      <c r="E350" s="12"/>
    </row>
    <row r="351" spans="1:5" ht="18" x14ac:dyDescent="0.35">
      <c r="A351" s="5"/>
      <c r="B351" s="5"/>
      <c r="C351" s="7" t="s">
        <v>28</v>
      </c>
      <c r="D351" s="7" t="s">
        <v>29</v>
      </c>
      <c r="E351" s="7" t="s">
        <v>30</v>
      </c>
    </row>
    <row r="352" spans="1:5" ht="18" x14ac:dyDescent="0.35">
      <c r="A352" s="5" t="s">
        <v>46</v>
      </c>
      <c r="B352" s="50" t="s">
        <v>32</v>
      </c>
      <c r="C352" s="7">
        <v>2.028</v>
      </c>
      <c r="D352" s="7">
        <v>30.44</v>
      </c>
      <c r="E352" s="85">
        <f t="shared" ref="E352:E357" si="21">C352*D352</f>
        <v>61.732320000000001</v>
      </c>
    </row>
    <row r="353" spans="1:5" ht="18" x14ac:dyDescent="0.35">
      <c r="A353" s="5" t="s">
        <v>814</v>
      </c>
      <c r="B353" s="50" t="s">
        <v>33</v>
      </c>
      <c r="C353" s="7">
        <v>4.9770000000000003</v>
      </c>
      <c r="D353" s="7">
        <v>17.059999999999999</v>
      </c>
      <c r="E353" s="85">
        <f t="shared" si="21"/>
        <v>84.907619999999994</v>
      </c>
    </row>
    <row r="354" spans="1:5" ht="18" x14ac:dyDescent="0.35">
      <c r="A354" s="5" t="s">
        <v>674</v>
      </c>
      <c r="B354" s="50" t="s">
        <v>137</v>
      </c>
      <c r="C354" s="7">
        <v>0.25</v>
      </c>
      <c r="D354" s="7">
        <v>17.190000000000001</v>
      </c>
      <c r="E354" s="85">
        <f t="shared" si="21"/>
        <v>4.2975000000000003</v>
      </c>
    </row>
    <row r="355" spans="1:5" ht="18" x14ac:dyDescent="0.35">
      <c r="A355" s="5"/>
      <c r="B355" s="50" t="s">
        <v>35</v>
      </c>
      <c r="C355" s="7">
        <v>4</v>
      </c>
      <c r="D355" s="7">
        <v>2.91</v>
      </c>
      <c r="E355" s="85">
        <f t="shared" si="21"/>
        <v>11.64</v>
      </c>
    </row>
    <row r="356" spans="1:5" ht="18" x14ac:dyDescent="0.35">
      <c r="A356" s="5"/>
      <c r="B356" s="50" t="s">
        <v>36</v>
      </c>
      <c r="C356" s="7">
        <v>4</v>
      </c>
      <c r="D356" s="7">
        <v>0.61</v>
      </c>
      <c r="E356" s="85">
        <f t="shared" si="21"/>
        <v>2.44</v>
      </c>
    </row>
    <row r="357" spans="1:5" ht="18" x14ac:dyDescent="0.35">
      <c r="A357" s="5"/>
      <c r="B357" s="50" t="s">
        <v>37</v>
      </c>
      <c r="C357" s="7">
        <v>1</v>
      </c>
      <c r="D357" s="93">
        <v>50</v>
      </c>
      <c r="E357" s="85">
        <f t="shared" si="21"/>
        <v>50</v>
      </c>
    </row>
    <row r="358" spans="1:5" ht="18" x14ac:dyDescent="0.35">
      <c r="A358" s="5"/>
      <c r="B358" s="5"/>
      <c r="C358" s="54"/>
      <c r="D358" s="54"/>
      <c r="E358" s="85">
        <f>SUM(E352:E357)</f>
        <v>215.01744000000002</v>
      </c>
    </row>
    <row r="359" spans="1:5" x14ac:dyDescent="0.3">
      <c r="E359" s="12" t="s">
        <v>822</v>
      </c>
    </row>
    <row r="360" spans="1:5" x14ac:dyDescent="0.3">
      <c r="E360" s="12">
        <v>225</v>
      </c>
    </row>
    <row r="361" spans="1:5" ht="21" x14ac:dyDescent="0.4">
      <c r="A361" s="40" t="s">
        <v>815</v>
      </c>
      <c r="B361" s="40"/>
      <c r="C361" s="40"/>
      <c r="D361" s="12"/>
      <c r="E361" s="12"/>
    </row>
    <row r="362" spans="1:5" ht="18" x14ac:dyDescent="0.35">
      <c r="A362" s="5"/>
      <c r="B362" s="5"/>
      <c r="C362" s="7" t="s">
        <v>28</v>
      </c>
      <c r="D362" s="7" t="s">
        <v>29</v>
      </c>
      <c r="E362" s="7" t="s">
        <v>30</v>
      </c>
    </row>
    <row r="363" spans="1:5" ht="18" x14ac:dyDescent="0.35">
      <c r="A363" s="5" t="s">
        <v>816</v>
      </c>
      <c r="B363" s="50" t="s">
        <v>32</v>
      </c>
      <c r="C363" s="7">
        <v>1.41</v>
      </c>
      <c r="D363" s="7">
        <v>30.44</v>
      </c>
      <c r="E363" s="85">
        <f>C363*D363</f>
        <v>42.920400000000001</v>
      </c>
    </row>
    <row r="364" spans="1:5" ht="18" x14ac:dyDescent="0.35">
      <c r="A364" s="5" t="s">
        <v>817</v>
      </c>
      <c r="B364" s="50" t="s">
        <v>33</v>
      </c>
      <c r="C364" s="7">
        <v>3.528</v>
      </c>
      <c r="D364" s="7">
        <v>17.059999999999999</v>
      </c>
      <c r="E364" s="85">
        <f>C364*D364</f>
        <v>60.187679999999993</v>
      </c>
    </row>
    <row r="365" spans="1:5" ht="18" x14ac:dyDescent="0.35">
      <c r="A365" s="5" t="s">
        <v>818</v>
      </c>
      <c r="B365" s="50" t="s">
        <v>137</v>
      </c>
      <c r="C365" s="7">
        <v>0.25</v>
      </c>
      <c r="D365" s="7">
        <v>17.190000000000001</v>
      </c>
      <c r="E365" s="85">
        <f>C365*D365</f>
        <v>4.2975000000000003</v>
      </c>
    </row>
    <row r="366" spans="1:5" ht="18" x14ac:dyDescent="0.35">
      <c r="A366" s="5"/>
      <c r="B366" s="50" t="s">
        <v>35</v>
      </c>
      <c r="C366" s="7">
        <v>4</v>
      </c>
      <c r="D366" s="7">
        <v>2.91</v>
      </c>
      <c r="E366" s="85">
        <f>C366*D366</f>
        <v>11.64</v>
      </c>
    </row>
    <row r="367" spans="1:5" ht="18" x14ac:dyDescent="0.35">
      <c r="A367" s="5"/>
      <c r="B367" s="50" t="s">
        <v>36</v>
      </c>
      <c r="C367" s="7">
        <v>4</v>
      </c>
      <c r="D367" s="7">
        <v>0.61</v>
      </c>
      <c r="E367" s="85">
        <f>C367*D367</f>
        <v>2.44</v>
      </c>
    </row>
    <row r="368" spans="1:5" ht="18" x14ac:dyDescent="0.35">
      <c r="A368" s="5"/>
      <c r="B368" s="50" t="s">
        <v>37</v>
      </c>
      <c r="C368" s="7">
        <v>1</v>
      </c>
      <c r="D368" s="93">
        <v>50</v>
      </c>
      <c r="E368" s="85">
        <v>65</v>
      </c>
    </row>
    <row r="369" spans="1:5" ht="18" x14ac:dyDescent="0.35">
      <c r="A369" s="5"/>
      <c r="B369" s="5"/>
      <c r="C369" s="54"/>
      <c r="D369" s="54"/>
      <c r="E369" s="85">
        <f>SUM(E363:E368)</f>
        <v>186.48558</v>
      </c>
    </row>
    <row r="370" spans="1:5" x14ac:dyDescent="0.3">
      <c r="E370" s="12" t="s">
        <v>822</v>
      </c>
    </row>
    <row r="371" spans="1:5" x14ac:dyDescent="0.3">
      <c r="E371" s="12">
        <v>196</v>
      </c>
    </row>
    <row r="372" spans="1:5" ht="21" x14ac:dyDescent="0.4">
      <c r="A372" s="40" t="s">
        <v>599</v>
      </c>
      <c r="B372" s="40"/>
      <c r="C372" s="84"/>
    </row>
    <row r="373" spans="1:5" ht="18" x14ac:dyDescent="0.35">
      <c r="A373" s="5" t="s">
        <v>102</v>
      </c>
      <c r="B373" s="5"/>
      <c r="C373" s="7" t="s">
        <v>28</v>
      </c>
      <c r="D373" s="7" t="s">
        <v>29</v>
      </c>
      <c r="E373" s="7" t="s">
        <v>30</v>
      </c>
    </row>
    <row r="374" spans="1:5" ht="18" x14ac:dyDescent="0.35">
      <c r="A374" s="5" t="s">
        <v>217</v>
      </c>
      <c r="B374" s="50" t="s">
        <v>32</v>
      </c>
      <c r="C374" s="7">
        <v>1.3979999999999999</v>
      </c>
      <c r="D374" s="7">
        <v>30.44</v>
      </c>
      <c r="E374" s="85">
        <f t="shared" ref="E374:E379" si="22">C374*D374</f>
        <v>42.555120000000002</v>
      </c>
    </row>
    <row r="375" spans="1:5" ht="18" x14ac:dyDescent="0.35">
      <c r="A375" s="5" t="s">
        <v>821</v>
      </c>
      <c r="B375" s="50" t="s">
        <v>33</v>
      </c>
      <c r="C375" s="7">
        <v>4.2629999999999999</v>
      </c>
      <c r="D375" s="7">
        <v>16.170000000000002</v>
      </c>
      <c r="E375" s="85">
        <f t="shared" si="22"/>
        <v>68.93271</v>
      </c>
    </row>
    <row r="376" spans="1:5" ht="18" x14ac:dyDescent="0.35">
      <c r="B376" s="50" t="s">
        <v>90</v>
      </c>
      <c r="C376" s="7">
        <v>2</v>
      </c>
      <c r="D376" s="7">
        <v>1.7</v>
      </c>
      <c r="E376" s="85">
        <f t="shared" si="22"/>
        <v>3.4</v>
      </c>
    </row>
    <row r="377" spans="1:5" ht="18" x14ac:dyDescent="0.35">
      <c r="A377" s="5"/>
      <c r="B377" s="50" t="s">
        <v>34</v>
      </c>
      <c r="C377" s="7"/>
      <c r="D377" s="7">
        <v>14.61</v>
      </c>
      <c r="E377" s="85">
        <f t="shared" si="22"/>
        <v>0</v>
      </c>
    </row>
    <row r="378" spans="1:5" ht="18" x14ac:dyDescent="0.35">
      <c r="A378" s="5"/>
      <c r="B378" s="50" t="s">
        <v>35</v>
      </c>
      <c r="C378" s="7">
        <v>4</v>
      </c>
      <c r="D378" s="7">
        <v>2.89</v>
      </c>
      <c r="E378" s="85">
        <f t="shared" si="22"/>
        <v>11.56</v>
      </c>
    </row>
    <row r="379" spans="1:5" ht="18" x14ac:dyDescent="0.35">
      <c r="A379" s="5"/>
      <c r="B379" s="50" t="s">
        <v>36</v>
      </c>
      <c r="C379" s="7">
        <v>4</v>
      </c>
      <c r="D379" s="7">
        <v>0.6</v>
      </c>
      <c r="E379" s="85">
        <f t="shared" si="22"/>
        <v>2.4</v>
      </c>
    </row>
    <row r="380" spans="1:5" ht="18" x14ac:dyDescent="0.35">
      <c r="A380" s="5"/>
      <c r="B380" s="5"/>
      <c r="C380" s="54"/>
      <c r="D380" s="54"/>
      <c r="E380" s="89">
        <f>SUM(E374:E379)</f>
        <v>128.84783000000002</v>
      </c>
    </row>
    <row r="381" spans="1:5" ht="18" x14ac:dyDescent="0.35">
      <c r="A381" s="5"/>
      <c r="B381" s="50" t="s">
        <v>37</v>
      </c>
      <c r="C381" s="54">
        <v>0.5</v>
      </c>
      <c r="D381" s="54">
        <v>101.32</v>
      </c>
      <c r="E381" s="85">
        <f>C381*D381</f>
        <v>50.66</v>
      </c>
    </row>
    <row r="382" spans="1:5" ht="18" x14ac:dyDescent="0.35">
      <c r="A382" s="5"/>
      <c r="B382" s="5"/>
      <c r="C382" s="54"/>
      <c r="D382" s="54"/>
      <c r="E382" s="85">
        <f>SUM(E380:E381)</f>
        <v>179.50783000000001</v>
      </c>
    </row>
    <row r="385" spans="1:5" ht="21" x14ac:dyDescent="0.4">
      <c r="A385" s="40" t="s">
        <v>827</v>
      </c>
      <c r="B385" s="40"/>
      <c r="C385" s="84"/>
    </row>
    <row r="386" spans="1:5" ht="18" x14ac:dyDescent="0.35">
      <c r="A386" s="5" t="s">
        <v>421</v>
      </c>
      <c r="B386" s="5"/>
      <c r="C386" s="7" t="s">
        <v>28</v>
      </c>
      <c r="D386" s="7" t="s">
        <v>29</v>
      </c>
      <c r="E386" s="7" t="s">
        <v>30</v>
      </c>
    </row>
    <row r="387" spans="1:5" ht="18" x14ac:dyDescent="0.35">
      <c r="A387" s="5" t="s">
        <v>377</v>
      </c>
      <c r="B387" s="50" t="s">
        <v>32</v>
      </c>
      <c r="C387" s="7">
        <v>4.3380000000000001</v>
      </c>
      <c r="D387" s="7">
        <v>29.12</v>
      </c>
      <c r="E387" s="85">
        <f t="shared" ref="E387:E392" si="23">C387*D387</f>
        <v>126.32256000000001</v>
      </c>
    </row>
    <row r="388" spans="1:5" ht="18" x14ac:dyDescent="0.35">
      <c r="A388" s="5" t="s">
        <v>583</v>
      </c>
      <c r="B388" s="50" t="s">
        <v>33</v>
      </c>
      <c r="C388" s="7">
        <v>51.975000000000001</v>
      </c>
      <c r="D388" s="7">
        <v>14.94</v>
      </c>
      <c r="E388" s="85">
        <f t="shared" si="23"/>
        <v>776.50649999999996</v>
      </c>
    </row>
    <row r="389" spans="1:5" ht="18" x14ac:dyDescent="0.35">
      <c r="B389" s="50" t="s">
        <v>88</v>
      </c>
      <c r="C389" s="7">
        <v>4</v>
      </c>
      <c r="D389" s="7">
        <v>2.2400000000000002</v>
      </c>
      <c r="E389" s="85">
        <f t="shared" si="23"/>
        <v>8.9600000000000009</v>
      </c>
    </row>
    <row r="390" spans="1:5" ht="18" x14ac:dyDescent="0.35">
      <c r="A390" s="5"/>
      <c r="B390" s="50" t="s">
        <v>34</v>
      </c>
      <c r="C390" s="7">
        <v>1.1000000000000001</v>
      </c>
      <c r="D390" s="7">
        <v>18.05</v>
      </c>
      <c r="E390" s="85">
        <f t="shared" si="23"/>
        <v>19.855000000000004</v>
      </c>
    </row>
    <row r="391" spans="1:5" ht="18" x14ac:dyDescent="0.35">
      <c r="A391" s="5"/>
      <c r="B391" s="50" t="s">
        <v>35</v>
      </c>
      <c r="C391" s="7">
        <v>4</v>
      </c>
      <c r="D391" s="7">
        <v>2.89</v>
      </c>
      <c r="E391" s="85">
        <f t="shared" si="23"/>
        <v>11.56</v>
      </c>
    </row>
    <row r="392" spans="1:5" ht="18" x14ac:dyDescent="0.35">
      <c r="A392" s="5"/>
      <c r="B392" s="50" t="s">
        <v>36</v>
      </c>
      <c r="C392" s="7">
        <v>4</v>
      </c>
      <c r="D392" s="7">
        <v>0.6</v>
      </c>
      <c r="E392" s="85">
        <f t="shared" si="23"/>
        <v>2.4</v>
      </c>
    </row>
    <row r="393" spans="1:5" ht="18" x14ac:dyDescent="0.35">
      <c r="A393" s="5"/>
      <c r="B393" s="5"/>
      <c r="C393" s="54"/>
      <c r="D393" s="54"/>
      <c r="E393" s="89">
        <f>SUM(E387:E392)</f>
        <v>945.60406</v>
      </c>
    </row>
    <row r="394" spans="1:5" ht="18" x14ac:dyDescent="0.35">
      <c r="A394" s="5"/>
      <c r="B394" s="50" t="s">
        <v>37</v>
      </c>
      <c r="C394" s="54">
        <v>2</v>
      </c>
      <c r="D394" s="54">
        <v>65</v>
      </c>
      <c r="E394" s="85">
        <f>C394*D394</f>
        <v>130</v>
      </c>
    </row>
    <row r="395" spans="1:5" ht="18" x14ac:dyDescent="0.35">
      <c r="A395" s="5"/>
      <c r="B395" s="5"/>
      <c r="C395" s="54"/>
      <c r="D395" s="54"/>
      <c r="E395" s="85">
        <f>SUM(E393:E394)</f>
        <v>1075.6040600000001</v>
      </c>
    </row>
    <row r="397" spans="1:5" ht="21" x14ac:dyDescent="0.4">
      <c r="A397" s="40" t="s">
        <v>599</v>
      </c>
      <c r="B397" s="40"/>
      <c r="C397" s="84"/>
    </row>
    <row r="398" spans="1:5" ht="18" x14ac:dyDescent="0.35">
      <c r="A398" s="5" t="s">
        <v>291</v>
      </c>
      <c r="B398" s="5"/>
      <c r="C398" s="7" t="s">
        <v>28</v>
      </c>
      <c r="D398" s="7" t="s">
        <v>29</v>
      </c>
      <c r="E398" s="7" t="s">
        <v>30</v>
      </c>
    </row>
    <row r="399" spans="1:5" ht="18" x14ac:dyDescent="0.35">
      <c r="A399" s="5" t="s">
        <v>56</v>
      </c>
      <c r="B399" s="50" t="s">
        <v>32</v>
      </c>
      <c r="C399" s="7">
        <v>2.6579999999999999</v>
      </c>
      <c r="D399" s="7">
        <v>30.44</v>
      </c>
      <c r="E399" s="85">
        <f t="shared" ref="E399:E404" si="24">C399*D399</f>
        <v>80.909520000000001</v>
      </c>
    </row>
    <row r="400" spans="1:5" ht="18" x14ac:dyDescent="0.35">
      <c r="A400" s="5" t="s">
        <v>837</v>
      </c>
      <c r="B400" s="50" t="s">
        <v>33</v>
      </c>
      <c r="C400" s="7">
        <v>17.965</v>
      </c>
      <c r="D400" s="7">
        <v>16.170000000000002</v>
      </c>
      <c r="E400" s="85">
        <f t="shared" si="24"/>
        <v>290.49405000000002</v>
      </c>
    </row>
    <row r="401" spans="1:5" ht="18" x14ac:dyDescent="0.35">
      <c r="B401" s="50" t="s">
        <v>89</v>
      </c>
      <c r="C401" s="7">
        <v>2</v>
      </c>
      <c r="D401" s="7">
        <v>3.39</v>
      </c>
      <c r="E401" s="85">
        <f t="shared" si="24"/>
        <v>6.78</v>
      </c>
    </row>
    <row r="402" spans="1:5" ht="18" x14ac:dyDescent="0.35">
      <c r="A402" s="5"/>
      <c r="B402" s="50" t="s">
        <v>34</v>
      </c>
      <c r="C402" s="7">
        <v>0.63</v>
      </c>
      <c r="D402" s="7">
        <v>14.61</v>
      </c>
      <c r="E402" s="85">
        <f t="shared" si="24"/>
        <v>9.2042999999999999</v>
      </c>
    </row>
    <row r="403" spans="1:5" ht="18" x14ac:dyDescent="0.35">
      <c r="A403" s="5"/>
      <c r="B403" s="50" t="s">
        <v>35</v>
      </c>
      <c r="C403" s="7">
        <v>4</v>
      </c>
      <c r="D403" s="7">
        <v>2.89</v>
      </c>
      <c r="E403" s="85">
        <f t="shared" si="24"/>
        <v>11.56</v>
      </c>
    </row>
    <row r="404" spans="1:5" ht="18" x14ac:dyDescent="0.35">
      <c r="A404" s="5"/>
      <c r="B404" s="50" t="s">
        <v>36</v>
      </c>
      <c r="C404" s="7">
        <v>4</v>
      </c>
      <c r="D404" s="7">
        <v>0.6</v>
      </c>
      <c r="E404" s="85">
        <f t="shared" si="24"/>
        <v>2.4</v>
      </c>
    </row>
    <row r="405" spans="1:5" ht="18" x14ac:dyDescent="0.35">
      <c r="A405" s="5"/>
      <c r="B405" s="5"/>
      <c r="C405" s="54"/>
      <c r="D405" s="54"/>
      <c r="E405" s="89">
        <f>SUM(E399:E404)</f>
        <v>401.34786999999994</v>
      </c>
    </row>
    <row r="406" spans="1:5" ht="18" x14ac:dyDescent="0.35">
      <c r="A406" s="5"/>
      <c r="B406" s="50" t="s">
        <v>37</v>
      </c>
      <c r="C406" s="54">
        <v>1</v>
      </c>
      <c r="D406" s="54">
        <v>65</v>
      </c>
      <c r="E406" s="85">
        <f>C406*D406</f>
        <v>65</v>
      </c>
    </row>
    <row r="407" spans="1:5" ht="18" x14ac:dyDescent="0.35">
      <c r="A407" s="5"/>
      <c r="B407" s="5"/>
      <c r="C407" s="54"/>
      <c r="D407" s="54"/>
      <c r="E407" s="85">
        <f>SUM(E405:E406)</f>
        <v>466.34786999999994</v>
      </c>
    </row>
    <row r="409" spans="1:5" ht="21" x14ac:dyDescent="0.4">
      <c r="A409" s="40" t="s">
        <v>840</v>
      </c>
      <c r="B409" s="40"/>
      <c r="C409" s="40"/>
      <c r="D409" s="12"/>
      <c r="E409" s="12"/>
    </row>
    <row r="410" spans="1:5" ht="18" x14ac:dyDescent="0.35">
      <c r="A410" s="5"/>
      <c r="B410" s="5"/>
      <c r="C410" s="7" t="s">
        <v>28</v>
      </c>
      <c r="D410" s="7" t="s">
        <v>29</v>
      </c>
      <c r="E410" s="7" t="s">
        <v>30</v>
      </c>
    </row>
    <row r="411" spans="1:5" ht="18" x14ac:dyDescent="0.35">
      <c r="A411" s="5" t="s">
        <v>102</v>
      </c>
      <c r="B411" s="50" t="s">
        <v>32</v>
      </c>
      <c r="C411" s="7">
        <v>1.3979999999999999</v>
      </c>
      <c r="D411" s="7">
        <v>30.44</v>
      </c>
      <c r="E411" s="85">
        <f t="shared" ref="E411:E416" si="25">C411*D411</f>
        <v>42.555120000000002</v>
      </c>
    </row>
    <row r="412" spans="1:5" ht="18" x14ac:dyDescent="0.35">
      <c r="A412" s="5" t="s">
        <v>786</v>
      </c>
      <c r="B412" s="50" t="s">
        <v>33</v>
      </c>
      <c r="C412" s="7">
        <v>6.3940000000000001</v>
      </c>
      <c r="D412" s="7">
        <v>17.059999999999999</v>
      </c>
      <c r="E412" s="85">
        <f t="shared" si="25"/>
        <v>109.08163999999999</v>
      </c>
    </row>
    <row r="413" spans="1:5" ht="18" x14ac:dyDescent="0.35">
      <c r="A413" s="5" t="s">
        <v>841</v>
      </c>
      <c r="B413" s="50" t="s">
        <v>137</v>
      </c>
      <c r="C413" s="7">
        <v>0.6</v>
      </c>
      <c r="D413" s="7">
        <v>17.190000000000001</v>
      </c>
      <c r="E413" s="85">
        <f t="shared" si="25"/>
        <v>10.314</v>
      </c>
    </row>
    <row r="414" spans="1:5" ht="18" x14ac:dyDescent="0.35">
      <c r="A414" s="5"/>
      <c r="B414" s="50" t="s">
        <v>35</v>
      </c>
      <c r="C414" s="7">
        <v>4</v>
      </c>
      <c r="D414" s="7">
        <v>2.91</v>
      </c>
      <c r="E414" s="85">
        <f t="shared" si="25"/>
        <v>11.64</v>
      </c>
    </row>
    <row r="415" spans="1:5" ht="18" x14ac:dyDescent="0.35">
      <c r="A415" s="5"/>
      <c r="B415" s="50" t="s">
        <v>36</v>
      </c>
      <c r="C415" s="7">
        <v>4</v>
      </c>
      <c r="D415" s="7">
        <v>0.61</v>
      </c>
      <c r="E415" s="85">
        <f t="shared" si="25"/>
        <v>2.44</v>
      </c>
    </row>
    <row r="416" spans="1:5" ht="18" x14ac:dyDescent="0.35">
      <c r="A416" s="5"/>
      <c r="B416" s="50" t="s">
        <v>37</v>
      </c>
      <c r="C416" s="7">
        <v>0.5</v>
      </c>
      <c r="D416" s="93">
        <v>65</v>
      </c>
      <c r="E416" s="85">
        <f t="shared" si="25"/>
        <v>32.5</v>
      </c>
    </row>
    <row r="417" spans="1:5" ht="18" x14ac:dyDescent="0.35">
      <c r="A417" s="5"/>
      <c r="B417" s="5"/>
      <c r="C417" s="54"/>
      <c r="D417" s="54"/>
      <c r="E417" s="85">
        <f>SUM(E411:E416)</f>
        <v>208.53075999999999</v>
      </c>
    </row>
    <row r="418" spans="1:5" ht="18" x14ac:dyDescent="0.35">
      <c r="D418" s="58" t="s">
        <v>822</v>
      </c>
      <c r="E418" s="85">
        <v>219</v>
      </c>
    </row>
    <row r="419" spans="1:5" x14ac:dyDescent="0.3">
      <c r="E419" s="12"/>
    </row>
    <row r="421" spans="1:5" ht="21" x14ac:dyDescent="0.4">
      <c r="A421" s="40" t="s">
        <v>840</v>
      </c>
      <c r="B421" s="40"/>
      <c r="C421" s="40"/>
      <c r="D421" s="12"/>
      <c r="E421" s="12"/>
    </row>
    <row r="422" spans="1:5" ht="18" x14ac:dyDescent="0.35">
      <c r="A422" s="5"/>
      <c r="B422" s="5"/>
      <c r="C422" s="7" t="s">
        <v>28</v>
      </c>
      <c r="D422" s="7" t="s">
        <v>29</v>
      </c>
      <c r="E422" s="7" t="s">
        <v>30</v>
      </c>
    </row>
    <row r="423" spans="1:5" ht="18" x14ac:dyDescent="0.35">
      <c r="A423" s="5" t="s">
        <v>420</v>
      </c>
      <c r="B423" s="50" t="s">
        <v>32</v>
      </c>
      <c r="C423" s="7">
        <v>3.7080000000000002</v>
      </c>
      <c r="D423" s="7">
        <v>30.44</v>
      </c>
      <c r="E423" s="85">
        <f t="shared" ref="E423:E428" si="26">C423*D423</f>
        <v>112.87152</v>
      </c>
    </row>
    <row r="424" spans="1:5" ht="18" x14ac:dyDescent="0.35">
      <c r="A424" s="5" t="s">
        <v>63</v>
      </c>
      <c r="B424" s="50" t="s">
        <v>33</v>
      </c>
      <c r="C424" s="7">
        <v>10.016999999999999</v>
      </c>
      <c r="D424" s="7">
        <v>17.059999999999999</v>
      </c>
      <c r="E424" s="85">
        <f t="shared" si="26"/>
        <v>170.89001999999996</v>
      </c>
    </row>
    <row r="425" spans="1:5" ht="18" x14ac:dyDescent="0.35">
      <c r="A425" s="5" t="s">
        <v>842</v>
      </c>
      <c r="B425" s="50" t="s">
        <v>137</v>
      </c>
      <c r="C425" s="7">
        <v>0.6</v>
      </c>
      <c r="D425" s="7">
        <v>17.190000000000001</v>
      </c>
      <c r="E425" s="85">
        <f t="shared" si="26"/>
        <v>10.314</v>
      </c>
    </row>
    <row r="426" spans="1:5" ht="18" x14ac:dyDescent="0.35">
      <c r="A426" s="5"/>
      <c r="B426" s="50" t="s">
        <v>35</v>
      </c>
      <c r="C426" s="7">
        <v>4</v>
      </c>
      <c r="D426" s="7">
        <v>2.91</v>
      </c>
      <c r="E426" s="85">
        <f t="shared" si="26"/>
        <v>11.64</v>
      </c>
    </row>
    <row r="427" spans="1:5" ht="18" x14ac:dyDescent="0.35">
      <c r="A427" s="5"/>
      <c r="B427" s="50" t="s">
        <v>36</v>
      </c>
      <c r="C427" s="7">
        <v>4</v>
      </c>
      <c r="D427" s="7">
        <v>0.61</v>
      </c>
      <c r="E427" s="85">
        <f t="shared" si="26"/>
        <v>2.44</v>
      </c>
    </row>
    <row r="428" spans="1:5" ht="18" x14ac:dyDescent="0.35">
      <c r="A428" s="5"/>
      <c r="B428" s="50" t="s">
        <v>37</v>
      </c>
      <c r="C428" s="7">
        <v>0.5</v>
      </c>
      <c r="D428" s="93">
        <v>65</v>
      </c>
      <c r="E428" s="85">
        <f t="shared" si="26"/>
        <v>32.5</v>
      </c>
    </row>
    <row r="429" spans="1:5" ht="18" x14ac:dyDescent="0.35">
      <c r="A429" s="5"/>
      <c r="B429" s="5"/>
      <c r="C429" s="54"/>
      <c r="D429" s="54"/>
      <c r="E429" s="85">
        <f>SUM(E423:E428)</f>
        <v>340.65553999999997</v>
      </c>
    </row>
    <row r="430" spans="1:5" ht="18" x14ac:dyDescent="0.35">
      <c r="D430" s="58" t="s">
        <v>822</v>
      </c>
      <c r="E430" s="85">
        <v>358</v>
      </c>
    </row>
    <row r="433" spans="1:5" ht="21" x14ac:dyDescent="0.4">
      <c r="A433" s="40" t="s">
        <v>827</v>
      </c>
      <c r="B433" s="40"/>
      <c r="C433" s="84"/>
    </row>
    <row r="434" spans="1:5" ht="18" x14ac:dyDescent="0.35">
      <c r="A434" s="5" t="s">
        <v>849</v>
      </c>
      <c r="B434" s="5"/>
      <c r="C434" s="7" t="s">
        <v>28</v>
      </c>
      <c r="D434" s="7" t="s">
        <v>29</v>
      </c>
      <c r="E434" s="7" t="s">
        <v>30</v>
      </c>
    </row>
    <row r="435" spans="1:5" ht="18" x14ac:dyDescent="0.35">
      <c r="A435" s="5" t="s">
        <v>259</v>
      </c>
      <c r="B435" s="50" t="s">
        <v>32</v>
      </c>
      <c r="C435" s="7">
        <v>1.6619999999999999</v>
      </c>
      <c r="D435" s="7">
        <v>29.12</v>
      </c>
      <c r="E435" s="85">
        <f t="shared" ref="E435:E440" si="27">C435*D435</f>
        <v>48.397439999999996</v>
      </c>
    </row>
    <row r="436" spans="1:5" ht="18" x14ac:dyDescent="0.35">
      <c r="A436" s="5" t="s">
        <v>850</v>
      </c>
      <c r="B436" s="50" t="s">
        <v>33</v>
      </c>
      <c r="C436" s="7">
        <v>3.3069999999999999</v>
      </c>
      <c r="D436" s="7">
        <v>14.94</v>
      </c>
      <c r="E436" s="85">
        <f t="shared" si="27"/>
        <v>49.406579999999998</v>
      </c>
    </row>
    <row r="437" spans="1:5" ht="18" x14ac:dyDescent="0.35">
      <c r="B437" s="50" t="s">
        <v>43</v>
      </c>
      <c r="C437" s="7">
        <v>1</v>
      </c>
      <c r="D437" s="7">
        <v>1.1499999999999999</v>
      </c>
      <c r="E437" s="85">
        <f t="shared" si="27"/>
        <v>1.1499999999999999</v>
      </c>
    </row>
    <row r="438" spans="1:5" ht="18" x14ac:dyDescent="0.35">
      <c r="A438" s="5"/>
      <c r="B438" s="50" t="s">
        <v>34</v>
      </c>
      <c r="C438" s="7">
        <v>8.5000000000000006E-2</v>
      </c>
      <c r="D438" s="7">
        <v>18.05</v>
      </c>
      <c r="E438" s="85">
        <f t="shared" si="27"/>
        <v>1.5342500000000001</v>
      </c>
    </row>
    <row r="439" spans="1:5" ht="18" x14ac:dyDescent="0.35">
      <c r="A439" s="5"/>
      <c r="B439" s="50" t="s">
        <v>35</v>
      </c>
      <c r="C439" s="7">
        <v>4</v>
      </c>
      <c r="D439" s="7">
        <v>2.89</v>
      </c>
      <c r="E439" s="85">
        <f t="shared" si="27"/>
        <v>11.56</v>
      </c>
    </row>
    <row r="440" spans="1:5" ht="18" x14ac:dyDescent="0.35">
      <c r="A440" s="5"/>
      <c r="B440" s="50" t="s">
        <v>36</v>
      </c>
      <c r="C440" s="7">
        <v>4</v>
      </c>
      <c r="D440" s="7">
        <v>0.6</v>
      </c>
      <c r="E440" s="85">
        <f t="shared" si="27"/>
        <v>2.4</v>
      </c>
    </row>
    <row r="441" spans="1:5" ht="18" x14ac:dyDescent="0.35">
      <c r="A441" s="5"/>
      <c r="B441" s="5"/>
      <c r="C441" s="54"/>
      <c r="D441" s="54"/>
      <c r="E441" s="89">
        <f>SUM(E435:E440)</f>
        <v>114.44827000000001</v>
      </c>
    </row>
    <row r="442" spans="1:5" ht="18" x14ac:dyDescent="0.35">
      <c r="A442" s="5"/>
      <c r="B442" s="50" t="s">
        <v>37</v>
      </c>
      <c r="C442" s="54">
        <v>0.5</v>
      </c>
      <c r="D442" s="54">
        <v>65</v>
      </c>
      <c r="E442" s="85">
        <f>C442*D442</f>
        <v>32.5</v>
      </c>
    </row>
    <row r="443" spans="1:5" ht="18" x14ac:dyDescent="0.35">
      <c r="A443" s="5"/>
      <c r="B443" s="5"/>
      <c r="C443" s="54"/>
      <c r="D443" s="100">
        <v>0.05</v>
      </c>
      <c r="E443" s="85">
        <f>SUM(E441:E442)</f>
        <v>146.94827000000001</v>
      </c>
    </row>
    <row r="444" spans="1:5" ht="18" x14ac:dyDescent="0.35">
      <c r="E444" s="85">
        <v>155</v>
      </c>
    </row>
    <row r="446" spans="1:5" ht="21" x14ac:dyDescent="0.4">
      <c r="A446" s="40" t="s">
        <v>827</v>
      </c>
      <c r="B446" s="40"/>
      <c r="C446" s="84"/>
    </row>
    <row r="447" spans="1:5" ht="18" x14ac:dyDescent="0.35">
      <c r="A447" s="5" t="s">
        <v>851</v>
      </c>
      <c r="B447" s="5"/>
      <c r="C447" s="7" t="s">
        <v>28</v>
      </c>
      <c r="D447" s="7" t="s">
        <v>29</v>
      </c>
      <c r="E447" s="7" t="s">
        <v>30</v>
      </c>
    </row>
    <row r="448" spans="1:5" ht="18" x14ac:dyDescent="0.35">
      <c r="A448" s="5" t="s">
        <v>214</v>
      </c>
      <c r="B448" s="50" t="s">
        <v>32</v>
      </c>
      <c r="C448" s="7">
        <v>1.5349999999999999</v>
      </c>
      <c r="D448" s="7">
        <v>29.12</v>
      </c>
      <c r="E448" s="85">
        <f t="shared" ref="E448:E453" si="28">C448*D448</f>
        <v>44.699199999999998</v>
      </c>
    </row>
    <row r="449" spans="1:5" ht="18" x14ac:dyDescent="0.35">
      <c r="A449" s="5" t="s">
        <v>852</v>
      </c>
      <c r="B449" s="50" t="s">
        <v>33</v>
      </c>
      <c r="C449" s="7">
        <v>1.827</v>
      </c>
      <c r="D449" s="7">
        <v>14.94</v>
      </c>
      <c r="E449" s="85">
        <f t="shared" si="28"/>
        <v>27.295379999999998</v>
      </c>
    </row>
    <row r="450" spans="1:5" ht="18" x14ac:dyDescent="0.35">
      <c r="B450" s="50" t="s">
        <v>43</v>
      </c>
      <c r="C450" s="7">
        <v>1</v>
      </c>
      <c r="D450" s="7">
        <v>1.1499999999999999</v>
      </c>
      <c r="E450" s="85">
        <f t="shared" si="28"/>
        <v>1.1499999999999999</v>
      </c>
    </row>
    <row r="451" spans="1:5" ht="18" x14ac:dyDescent="0.35">
      <c r="A451" s="5"/>
      <c r="B451" s="50" t="s">
        <v>34</v>
      </c>
      <c r="C451" s="7">
        <v>0.75</v>
      </c>
      <c r="D451" s="7">
        <v>18.05</v>
      </c>
      <c r="E451" s="85">
        <f t="shared" si="28"/>
        <v>13.537500000000001</v>
      </c>
    </row>
    <row r="452" spans="1:5" ht="18" x14ac:dyDescent="0.35">
      <c r="A452" s="5"/>
      <c r="B452" s="50" t="s">
        <v>35</v>
      </c>
      <c r="C452" s="7">
        <v>4</v>
      </c>
      <c r="D452" s="7">
        <v>2.89</v>
      </c>
      <c r="E452" s="85">
        <f t="shared" si="28"/>
        <v>11.56</v>
      </c>
    </row>
    <row r="453" spans="1:5" ht="18" x14ac:dyDescent="0.35">
      <c r="A453" s="5"/>
      <c r="B453" s="50" t="s">
        <v>36</v>
      </c>
      <c r="C453" s="7">
        <v>4</v>
      </c>
      <c r="D453" s="7">
        <v>0.6</v>
      </c>
      <c r="E453" s="85">
        <f t="shared" si="28"/>
        <v>2.4</v>
      </c>
    </row>
    <row r="454" spans="1:5" ht="18" x14ac:dyDescent="0.35">
      <c r="A454" s="5"/>
      <c r="B454" s="5"/>
      <c r="C454" s="54"/>
      <c r="D454" s="54"/>
      <c r="E454" s="89">
        <f>SUM(E448:E453)</f>
        <v>100.64208000000002</v>
      </c>
    </row>
    <row r="455" spans="1:5" ht="18" x14ac:dyDescent="0.35">
      <c r="A455" s="5"/>
      <c r="B455" s="50" t="s">
        <v>37</v>
      </c>
      <c r="C455" s="54">
        <v>0.5</v>
      </c>
      <c r="D455" s="54">
        <v>65</v>
      </c>
      <c r="E455" s="85">
        <f>C455*D455</f>
        <v>32.5</v>
      </c>
    </row>
    <row r="456" spans="1:5" ht="18" x14ac:dyDescent="0.35">
      <c r="A456" s="5"/>
      <c r="B456" s="5"/>
      <c r="C456" s="54"/>
      <c r="D456" s="54"/>
      <c r="E456" s="85">
        <f>SUM(E454:E455)</f>
        <v>133.14208000000002</v>
      </c>
    </row>
    <row r="457" spans="1:5" ht="18" x14ac:dyDescent="0.35">
      <c r="D457" s="99">
        <v>0.05</v>
      </c>
      <c r="E457" s="85">
        <v>141</v>
      </c>
    </row>
    <row r="459" spans="1:5" ht="21" x14ac:dyDescent="0.4">
      <c r="A459" s="40" t="s">
        <v>827</v>
      </c>
      <c r="B459" s="40"/>
      <c r="C459" s="84"/>
    </row>
    <row r="460" spans="1:5" ht="18" x14ac:dyDescent="0.35">
      <c r="A460" s="5" t="s">
        <v>853</v>
      </c>
      <c r="B460" s="5"/>
      <c r="C460" s="7" t="s">
        <v>28</v>
      </c>
      <c r="D460" s="7" t="s">
        <v>29</v>
      </c>
      <c r="E460" s="7" t="s">
        <v>30</v>
      </c>
    </row>
    <row r="461" spans="1:5" ht="18" x14ac:dyDescent="0.35">
      <c r="A461" s="5" t="s">
        <v>214</v>
      </c>
      <c r="B461" s="50" t="s">
        <v>32</v>
      </c>
      <c r="C461" s="7">
        <v>1.4510000000000001</v>
      </c>
      <c r="D461" s="7">
        <v>29.12</v>
      </c>
      <c r="E461" s="85">
        <f t="shared" ref="E461:E466" si="29">C461*D461</f>
        <v>42.253120000000003</v>
      </c>
    </row>
    <row r="462" spans="1:5" ht="18" x14ac:dyDescent="0.35">
      <c r="A462" s="5" t="s">
        <v>854</v>
      </c>
      <c r="B462" s="50" t="s">
        <v>33</v>
      </c>
      <c r="C462" s="7">
        <v>1.7330000000000001</v>
      </c>
      <c r="D462" s="7">
        <v>14.94</v>
      </c>
      <c r="E462" s="85">
        <f t="shared" si="29"/>
        <v>25.891020000000001</v>
      </c>
    </row>
    <row r="463" spans="1:5" ht="18" x14ac:dyDescent="0.35">
      <c r="B463" s="50" t="s">
        <v>43</v>
      </c>
      <c r="C463" s="7">
        <v>1</v>
      </c>
      <c r="D463" s="7">
        <v>1.1499999999999999</v>
      </c>
      <c r="E463" s="85">
        <f t="shared" si="29"/>
        <v>1.1499999999999999</v>
      </c>
    </row>
    <row r="464" spans="1:5" ht="18" x14ac:dyDescent="0.35">
      <c r="A464" s="5"/>
      <c r="B464" s="50" t="s">
        <v>34</v>
      </c>
      <c r="C464" s="7">
        <v>6.5000000000000002E-2</v>
      </c>
      <c r="D464" s="7">
        <v>18.05</v>
      </c>
      <c r="E464" s="85">
        <f t="shared" si="29"/>
        <v>1.1732500000000001</v>
      </c>
    </row>
    <row r="465" spans="1:5" ht="18" x14ac:dyDescent="0.35">
      <c r="A465" s="5"/>
      <c r="B465" s="50" t="s">
        <v>35</v>
      </c>
      <c r="C465" s="7">
        <v>4</v>
      </c>
      <c r="D465" s="7">
        <v>2.89</v>
      </c>
      <c r="E465" s="85">
        <f t="shared" si="29"/>
        <v>11.56</v>
      </c>
    </row>
    <row r="466" spans="1:5" ht="18" x14ac:dyDescent="0.35">
      <c r="A466" s="5"/>
      <c r="B466" s="50" t="s">
        <v>36</v>
      </c>
      <c r="C466" s="7">
        <v>4</v>
      </c>
      <c r="D466" s="7">
        <v>0.6</v>
      </c>
      <c r="E466" s="85">
        <f t="shared" si="29"/>
        <v>2.4</v>
      </c>
    </row>
    <row r="467" spans="1:5" ht="18" x14ac:dyDescent="0.35">
      <c r="A467" s="5"/>
      <c r="B467" s="5"/>
      <c r="C467" s="54"/>
      <c r="D467" s="54"/>
      <c r="E467" s="89">
        <f>SUM(E461:E466)</f>
        <v>84.427390000000017</v>
      </c>
    </row>
    <row r="468" spans="1:5" ht="18" x14ac:dyDescent="0.35">
      <c r="A468" s="5"/>
      <c r="B468" s="50" t="s">
        <v>37</v>
      </c>
      <c r="C468" s="54">
        <v>0.5</v>
      </c>
      <c r="D468" s="54">
        <v>65</v>
      </c>
      <c r="E468" s="85">
        <f>C468*D468</f>
        <v>32.5</v>
      </c>
    </row>
    <row r="469" spans="1:5" ht="18" x14ac:dyDescent="0.35">
      <c r="A469" s="5"/>
      <c r="B469" s="5"/>
      <c r="C469" s="54"/>
      <c r="D469" s="100">
        <v>0.05</v>
      </c>
      <c r="E469" s="85">
        <f>SUM(E467:E468)</f>
        <v>116.92739000000002</v>
      </c>
    </row>
    <row r="470" spans="1:5" ht="18" x14ac:dyDescent="0.35">
      <c r="E470" s="85">
        <v>123</v>
      </c>
    </row>
    <row r="471" spans="1:5" ht="21" x14ac:dyDescent="0.4">
      <c r="A471" s="40" t="s">
        <v>827</v>
      </c>
      <c r="B471" s="40"/>
      <c r="C471" s="84"/>
    </row>
    <row r="472" spans="1:5" ht="18" x14ac:dyDescent="0.35">
      <c r="A472" s="5" t="s">
        <v>855</v>
      </c>
      <c r="B472" s="5"/>
      <c r="C472" s="7" t="s">
        <v>28</v>
      </c>
      <c r="D472" s="7" t="s">
        <v>29</v>
      </c>
      <c r="E472" s="7" t="s">
        <v>30</v>
      </c>
    </row>
    <row r="473" spans="1:5" ht="18" x14ac:dyDescent="0.35">
      <c r="A473" s="5" t="s">
        <v>214</v>
      </c>
      <c r="B473" s="50" t="s">
        <v>32</v>
      </c>
      <c r="C473" s="7">
        <v>1.4510000000000001</v>
      </c>
      <c r="D473" s="7">
        <v>29.12</v>
      </c>
      <c r="E473" s="85">
        <f t="shared" ref="E473:E478" si="30">C473*D473</f>
        <v>42.253120000000003</v>
      </c>
    </row>
    <row r="474" spans="1:5" ht="18" x14ac:dyDescent="0.35">
      <c r="A474" s="5" t="s">
        <v>854</v>
      </c>
      <c r="B474" s="50" t="s">
        <v>33</v>
      </c>
      <c r="C474" s="7">
        <v>1.796</v>
      </c>
      <c r="D474" s="7">
        <v>14.94</v>
      </c>
      <c r="E474" s="85">
        <f t="shared" si="30"/>
        <v>26.832239999999999</v>
      </c>
    </row>
    <row r="475" spans="1:5" ht="18" x14ac:dyDescent="0.35">
      <c r="B475" s="50" t="s">
        <v>43</v>
      </c>
      <c r="C475" s="7">
        <v>1</v>
      </c>
      <c r="D475" s="7">
        <v>1.1499999999999999</v>
      </c>
      <c r="E475" s="85">
        <f t="shared" si="30"/>
        <v>1.1499999999999999</v>
      </c>
    </row>
    <row r="476" spans="1:5" ht="18" x14ac:dyDescent="0.35">
      <c r="A476" s="5"/>
      <c r="B476" s="50" t="s">
        <v>34</v>
      </c>
      <c r="C476" s="7">
        <v>6.5000000000000002E-2</v>
      </c>
      <c r="D476" s="7">
        <v>18.05</v>
      </c>
      <c r="E476" s="85">
        <f t="shared" si="30"/>
        <v>1.1732500000000001</v>
      </c>
    </row>
    <row r="477" spans="1:5" ht="18" x14ac:dyDescent="0.35">
      <c r="A477" s="5"/>
      <c r="B477" s="50" t="s">
        <v>35</v>
      </c>
      <c r="C477" s="7">
        <v>4</v>
      </c>
      <c r="D477" s="7">
        <v>2.89</v>
      </c>
      <c r="E477" s="85">
        <f t="shared" si="30"/>
        <v>11.56</v>
      </c>
    </row>
    <row r="478" spans="1:5" ht="18" x14ac:dyDescent="0.35">
      <c r="A478" s="5"/>
      <c r="B478" s="50" t="s">
        <v>36</v>
      </c>
      <c r="C478" s="7">
        <v>4</v>
      </c>
      <c r="D478" s="7">
        <v>0.6</v>
      </c>
      <c r="E478" s="85">
        <f t="shared" si="30"/>
        <v>2.4</v>
      </c>
    </row>
    <row r="479" spans="1:5" ht="18" x14ac:dyDescent="0.35">
      <c r="A479" s="5"/>
      <c r="B479" s="5"/>
      <c r="C479" s="54"/>
      <c r="D479" s="54"/>
      <c r="E479" s="89">
        <f>SUM(E473:E478)</f>
        <v>85.368610000000018</v>
      </c>
    </row>
    <row r="480" spans="1:5" ht="18" x14ac:dyDescent="0.35">
      <c r="A480" s="5"/>
      <c r="B480" s="50" t="s">
        <v>37</v>
      </c>
      <c r="C480" s="54">
        <v>0.5</v>
      </c>
      <c r="D480" s="54">
        <v>65</v>
      </c>
      <c r="E480" s="85">
        <f>C480*D480</f>
        <v>32.5</v>
      </c>
    </row>
    <row r="481" spans="1:5" ht="18" x14ac:dyDescent="0.35">
      <c r="A481" s="5"/>
      <c r="B481" s="5"/>
      <c r="C481" s="54"/>
      <c r="D481" s="100">
        <v>0.05</v>
      </c>
      <c r="E481" s="85">
        <f>SUM(E479:E480)</f>
        <v>117.86861000000002</v>
      </c>
    </row>
    <row r="482" spans="1:5" ht="18" x14ac:dyDescent="0.35">
      <c r="E482" s="85">
        <v>124</v>
      </c>
    </row>
    <row r="484" spans="1:5" ht="21" x14ac:dyDescent="0.4">
      <c r="A484" s="40" t="s">
        <v>865</v>
      </c>
      <c r="B484" s="40"/>
      <c r="C484" s="84"/>
    </row>
    <row r="485" spans="1:5" ht="18" x14ac:dyDescent="0.35">
      <c r="A485" s="5" t="s">
        <v>860</v>
      </c>
      <c r="B485" s="5"/>
      <c r="C485" s="7" t="s">
        <v>28</v>
      </c>
      <c r="D485" s="7" t="s">
        <v>29</v>
      </c>
      <c r="E485" s="7" t="s">
        <v>30</v>
      </c>
    </row>
    <row r="486" spans="1:5" ht="18" x14ac:dyDescent="0.35">
      <c r="A486" s="5" t="s">
        <v>538</v>
      </c>
      <c r="B486" s="50" t="s">
        <v>32</v>
      </c>
      <c r="C486" s="7">
        <v>4.5060000000000002</v>
      </c>
      <c r="D486" s="7">
        <v>30.44</v>
      </c>
      <c r="E486" s="85">
        <f t="shared" ref="E486:E491" si="31">C486*D486</f>
        <v>137.16264000000001</v>
      </c>
    </row>
    <row r="487" spans="1:5" ht="18" x14ac:dyDescent="0.35">
      <c r="A487" s="5" t="s">
        <v>861</v>
      </c>
      <c r="B487" s="50" t="s">
        <v>33</v>
      </c>
      <c r="C487" s="7">
        <v>49.98</v>
      </c>
      <c r="D487" s="7">
        <v>16.170000000000002</v>
      </c>
      <c r="E487" s="85">
        <f t="shared" si="31"/>
        <v>808.17660000000001</v>
      </c>
    </row>
    <row r="488" spans="1:5" ht="18" x14ac:dyDescent="0.35">
      <c r="B488" s="50" t="s">
        <v>91</v>
      </c>
      <c r="C488" s="7">
        <v>2</v>
      </c>
      <c r="D488" s="7">
        <v>3.39</v>
      </c>
      <c r="E488" s="85">
        <f t="shared" si="31"/>
        <v>6.78</v>
      </c>
    </row>
    <row r="489" spans="1:5" ht="18" x14ac:dyDescent="0.35">
      <c r="A489" s="5"/>
      <c r="B489" s="50" t="s">
        <v>34</v>
      </c>
      <c r="C489" s="7">
        <v>1.49</v>
      </c>
      <c r="D489" s="7">
        <v>18.05</v>
      </c>
      <c r="E489" s="85">
        <f t="shared" si="31"/>
        <v>26.894500000000001</v>
      </c>
    </row>
    <row r="490" spans="1:5" ht="18" x14ac:dyDescent="0.35">
      <c r="A490" s="5"/>
      <c r="B490" s="50" t="s">
        <v>35</v>
      </c>
      <c r="C490" s="7">
        <v>4</v>
      </c>
      <c r="D490" s="7">
        <v>2.89</v>
      </c>
      <c r="E490" s="85">
        <f t="shared" si="31"/>
        <v>11.56</v>
      </c>
    </row>
    <row r="491" spans="1:5" ht="18" x14ac:dyDescent="0.35">
      <c r="A491" s="5"/>
      <c r="B491" s="50" t="s">
        <v>36</v>
      </c>
      <c r="C491" s="7">
        <v>4</v>
      </c>
      <c r="D491" s="7">
        <v>0.6</v>
      </c>
      <c r="E491" s="85">
        <f t="shared" si="31"/>
        <v>2.4</v>
      </c>
    </row>
    <row r="492" spans="1:5" ht="18" x14ac:dyDescent="0.35">
      <c r="A492" s="5"/>
      <c r="B492" s="5"/>
      <c r="C492" s="54"/>
      <c r="D492" s="54"/>
      <c r="E492" s="89">
        <f>SUM(E486:E491)</f>
        <v>992.97373999999991</v>
      </c>
    </row>
    <row r="493" spans="1:5" ht="18" x14ac:dyDescent="0.35">
      <c r="A493" s="5"/>
      <c r="B493" s="50" t="s">
        <v>37</v>
      </c>
      <c r="C493" s="54">
        <v>1.5</v>
      </c>
      <c r="D493" s="54">
        <v>65</v>
      </c>
      <c r="E493" s="85">
        <f>C493*D493</f>
        <v>97.5</v>
      </c>
    </row>
    <row r="494" spans="1:5" ht="18" x14ac:dyDescent="0.35">
      <c r="A494" s="5"/>
      <c r="B494" s="5"/>
      <c r="C494" s="54"/>
      <c r="D494" s="101" t="s">
        <v>822</v>
      </c>
      <c r="E494" s="85">
        <f>SUM(E492:E493)</f>
        <v>1090.4737399999999</v>
      </c>
    </row>
    <row r="495" spans="1:5" ht="18" x14ac:dyDescent="0.35">
      <c r="E495" s="85">
        <v>1145</v>
      </c>
    </row>
    <row r="496" spans="1:5" ht="21" x14ac:dyDescent="0.4">
      <c r="A496" s="40" t="s">
        <v>599</v>
      </c>
      <c r="B496" s="40"/>
      <c r="C496" s="84"/>
    </row>
    <row r="497" spans="1:5" ht="18" x14ac:dyDescent="0.35">
      <c r="A497" s="5" t="s">
        <v>862</v>
      </c>
      <c r="B497" s="5"/>
      <c r="C497" s="7" t="s">
        <v>28</v>
      </c>
      <c r="D497" s="7" t="s">
        <v>29</v>
      </c>
      <c r="E497" s="7" t="s">
        <v>30</v>
      </c>
    </row>
    <row r="498" spans="1:5" ht="18" x14ac:dyDescent="0.35">
      <c r="A498" s="5" t="s">
        <v>397</v>
      </c>
      <c r="B498" s="50" t="s">
        <v>32</v>
      </c>
      <c r="C498" s="7">
        <v>3.94</v>
      </c>
      <c r="D498" s="7">
        <v>30.44</v>
      </c>
      <c r="E498" s="85">
        <f t="shared" ref="E498:E503" si="32">C498*D498</f>
        <v>119.9336</v>
      </c>
    </row>
    <row r="499" spans="1:5" ht="18" x14ac:dyDescent="0.35">
      <c r="A499" s="5" t="s">
        <v>863</v>
      </c>
      <c r="B499" s="50" t="s">
        <v>33</v>
      </c>
      <c r="C499" s="7">
        <v>40.32</v>
      </c>
      <c r="D499" s="7">
        <v>16.170000000000002</v>
      </c>
      <c r="E499" s="85">
        <f t="shared" si="32"/>
        <v>651.97440000000006</v>
      </c>
    </row>
    <row r="500" spans="1:5" ht="18" x14ac:dyDescent="0.35">
      <c r="B500" s="50" t="s">
        <v>864</v>
      </c>
      <c r="C500" s="7">
        <v>2</v>
      </c>
      <c r="D500" s="7">
        <v>3.39</v>
      </c>
      <c r="E500" s="85">
        <f t="shared" si="32"/>
        <v>6.78</v>
      </c>
    </row>
    <row r="501" spans="1:5" ht="18" x14ac:dyDescent="0.35">
      <c r="A501" s="5"/>
      <c r="B501" s="50" t="s">
        <v>34</v>
      </c>
      <c r="C501" s="7">
        <v>1.84</v>
      </c>
      <c r="D501" s="7">
        <v>18.05</v>
      </c>
      <c r="E501" s="85">
        <f t="shared" si="32"/>
        <v>33.212000000000003</v>
      </c>
    </row>
    <row r="502" spans="1:5" ht="18" x14ac:dyDescent="0.35">
      <c r="A502" s="5"/>
      <c r="B502" s="50" t="s">
        <v>35</v>
      </c>
      <c r="C502" s="7">
        <v>4</v>
      </c>
      <c r="D502" s="7">
        <v>2.89</v>
      </c>
      <c r="E502" s="85">
        <f t="shared" si="32"/>
        <v>11.56</v>
      </c>
    </row>
    <row r="503" spans="1:5" ht="18" x14ac:dyDescent="0.35">
      <c r="A503" s="5"/>
      <c r="B503" s="50" t="s">
        <v>36</v>
      </c>
      <c r="C503" s="7">
        <v>4</v>
      </c>
      <c r="D503" s="7">
        <v>0.6</v>
      </c>
      <c r="E503" s="85">
        <f t="shared" si="32"/>
        <v>2.4</v>
      </c>
    </row>
    <row r="504" spans="1:5" ht="18" x14ac:dyDescent="0.35">
      <c r="A504" s="5"/>
      <c r="B504" s="5"/>
      <c r="C504" s="54"/>
      <c r="D504" s="54"/>
      <c r="E504" s="89">
        <f>SUM(E498:E503)</f>
        <v>825.8599999999999</v>
      </c>
    </row>
    <row r="505" spans="1:5" ht="18" x14ac:dyDescent="0.35">
      <c r="A505" s="5"/>
      <c r="B505" s="50" t="s">
        <v>37</v>
      </c>
      <c r="C505" s="54">
        <v>1.5</v>
      </c>
      <c r="D505" s="54">
        <v>65</v>
      </c>
      <c r="E505" s="85">
        <f>C505*D505</f>
        <v>97.5</v>
      </c>
    </row>
    <row r="506" spans="1:5" ht="18" x14ac:dyDescent="0.35">
      <c r="A506" s="5"/>
      <c r="B506" s="5"/>
      <c r="C506" s="54"/>
      <c r="D506" s="101" t="s">
        <v>822</v>
      </c>
      <c r="E506" s="85">
        <f>SUM(E504:E505)</f>
        <v>923.3599999999999</v>
      </c>
    </row>
    <row r="507" spans="1:5" ht="18" x14ac:dyDescent="0.35">
      <c r="E507" s="85">
        <v>970</v>
      </c>
    </row>
    <row r="510" spans="1:5" ht="21" x14ac:dyDescent="0.4">
      <c r="A510" s="40" t="s">
        <v>602</v>
      </c>
      <c r="B510" s="40"/>
      <c r="C510" s="84"/>
      <c r="D510" s="12"/>
      <c r="E510" s="12"/>
    </row>
    <row r="511" spans="1:5" ht="21" x14ac:dyDescent="0.4">
      <c r="A511" s="40"/>
      <c r="B511" s="40"/>
      <c r="C511" s="84"/>
      <c r="D511" s="12"/>
      <c r="E511" s="12"/>
    </row>
    <row r="512" spans="1:5" ht="18" x14ac:dyDescent="0.35">
      <c r="A512" s="5"/>
      <c r="B512" s="5"/>
      <c r="C512" s="7" t="s">
        <v>28</v>
      </c>
      <c r="D512" s="7" t="s">
        <v>29</v>
      </c>
      <c r="E512" s="7" t="s">
        <v>30</v>
      </c>
    </row>
    <row r="513" spans="1:5" ht="18" x14ac:dyDescent="0.35">
      <c r="A513" s="5" t="s">
        <v>860</v>
      </c>
      <c r="B513" s="50" t="s">
        <v>32</v>
      </c>
      <c r="C513" s="7">
        <v>4.5069999999999997</v>
      </c>
      <c r="D513" s="7">
        <v>45.07</v>
      </c>
      <c r="E513" s="85">
        <f t="shared" ref="E513:E520" si="33">C513*D513</f>
        <v>203.13048999999998</v>
      </c>
    </row>
    <row r="514" spans="1:5" ht="18" x14ac:dyDescent="0.35">
      <c r="A514" s="5" t="s">
        <v>538</v>
      </c>
      <c r="B514" s="50" t="s">
        <v>33</v>
      </c>
      <c r="C514" s="7">
        <v>49.98</v>
      </c>
      <c r="D514" s="7">
        <v>16.170000000000002</v>
      </c>
      <c r="E514" s="85">
        <f t="shared" si="33"/>
        <v>808.17660000000001</v>
      </c>
    </row>
    <row r="515" spans="1:5" ht="18" x14ac:dyDescent="0.35">
      <c r="A515" s="5" t="s">
        <v>866</v>
      </c>
      <c r="B515" s="50" t="s">
        <v>33</v>
      </c>
      <c r="C515" s="7">
        <v>49.244999999999997</v>
      </c>
      <c r="D515" s="7">
        <v>16.170000000000002</v>
      </c>
      <c r="E515" s="85">
        <f t="shared" si="33"/>
        <v>796.29165</v>
      </c>
    </row>
    <row r="516" spans="1:5" ht="18" x14ac:dyDescent="0.35">
      <c r="A516" s="5" t="s">
        <v>869</v>
      </c>
      <c r="B516" s="50" t="s">
        <v>867</v>
      </c>
      <c r="C516" s="7">
        <v>2</v>
      </c>
      <c r="D516" s="7">
        <v>3.39</v>
      </c>
      <c r="E516" s="85">
        <f t="shared" si="33"/>
        <v>6.78</v>
      </c>
    </row>
    <row r="517" spans="1:5" ht="18" x14ac:dyDescent="0.35">
      <c r="A517" s="5"/>
      <c r="B517" s="50" t="s">
        <v>868</v>
      </c>
      <c r="C517" s="88">
        <v>2</v>
      </c>
      <c r="D517" s="88">
        <v>6.29</v>
      </c>
      <c r="E517" s="90">
        <f t="shared" si="33"/>
        <v>12.58</v>
      </c>
    </row>
    <row r="518" spans="1:5" ht="18" x14ac:dyDescent="0.35">
      <c r="A518" s="5"/>
      <c r="B518" s="50" t="s">
        <v>34</v>
      </c>
      <c r="C518" s="7">
        <v>1.49</v>
      </c>
      <c r="D518" s="7">
        <v>18.05</v>
      </c>
      <c r="E518" s="85">
        <f t="shared" si="33"/>
        <v>26.894500000000001</v>
      </c>
    </row>
    <row r="519" spans="1:5" ht="18" x14ac:dyDescent="0.35">
      <c r="A519" s="5"/>
      <c r="B519" s="50" t="s">
        <v>35</v>
      </c>
      <c r="C519" s="7">
        <v>4</v>
      </c>
      <c r="D519" s="7">
        <v>2.91</v>
      </c>
      <c r="E519" s="85">
        <f t="shared" si="33"/>
        <v>11.64</v>
      </c>
    </row>
    <row r="520" spans="1:5" ht="18" x14ac:dyDescent="0.35">
      <c r="A520" s="5"/>
      <c r="B520" s="50" t="s">
        <v>36</v>
      </c>
      <c r="C520" s="7">
        <v>4</v>
      </c>
      <c r="D520" s="7">
        <v>0.6</v>
      </c>
      <c r="E520" s="85">
        <f t="shared" si="33"/>
        <v>2.4</v>
      </c>
    </row>
    <row r="521" spans="1:5" ht="18" x14ac:dyDescent="0.35">
      <c r="A521" s="5"/>
      <c r="B521" s="5"/>
      <c r="C521" s="54"/>
      <c r="D521" s="54"/>
      <c r="E521" s="89">
        <f>SUM(E513:E520)</f>
        <v>1867.8932400000001</v>
      </c>
    </row>
    <row r="522" spans="1:5" ht="18" x14ac:dyDescent="0.35">
      <c r="A522" s="5"/>
      <c r="B522" s="50" t="s">
        <v>37</v>
      </c>
      <c r="C522" s="54">
        <v>2</v>
      </c>
      <c r="D522" s="54">
        <v>65</v>
      </c>
      <c r="E522" s="85">
        <f>C522*D522</f>
        <v>130</v>
      </c>
    </row>
    <row r="523" spans="1:5" ht="18" x14ac:dyDescent="0.35">
      <c r="A523" s="5"/>
      <c r="B523" s="5"/>
      <c r="C523" s="54"/>
      <c r="D523" s="54"/>
      <c r="E523" s="85">
        <f>SUM(E521:E522)</f>
        <v>1997.8932400000001</v>
      </c>
    </row>
    <row r="524" spans="1:5" ht="18" x14ac:dyDescent="0.35">
      <c r="D524" s="99">
        <v>0.05</v>
      </c>
      <c r="E524" s="85">
        <v>2098</v>
      </c>
    </row>
    <row r="526" spans="1:5" ht="21" x14ac:dyDescent="0.4">
      <c r="A526" s="40" t="s">
        <v>602</v>
      </c>
      <c r="B526" s="40"/>
      <c r="C526" s="84"/>
      <c r="D526" s="12"/>
      <c r="E526" s="12"/>
    </row>
    <row r="527" spans="1:5" ht="21" x14ac:dyDescent="0.4">
      <c r="A527" s="40"/>
      <c r="B527" s="40"/>
      <c r="C527" s="84"/>
      <c r="D527" s="12"/>
      <c r="E527" s="12"/>
    </row>
    <row r="528" spans="1:5" ht="18" x14ac:dyDescent="0.35">
      <c r="A528" s="5"/>
      <c r="B528" s="5"/>
      <c r="C528" s="7" t="s">
        <v>28</v>
      </c>
      <c r="D528" s="7" t="s">
        <v>29</v>
      </c>
      <c r="E528" s="7" t="s">
        <v>30</v>
      </c>
    </row>
    <row r="529" spans="1:5" ht="18" x14ac:dyDescent="0.35">
      <c r="A529" s="5" t="s">
        <v>862</v>
      </c>
      <c r="B529" s="50" t="s">
        <v>32</v>
      </c>
      <c r="C529" s="7">
        <v>3.94</v>
      </c>
      <c r="D529" s="7">
        <v>45.07</v>
      </c>
      <c r="E529" s="85">
        <f t="shared" ref="E529:E536" si="34">C529*D529</f>
        <v>177.57579999999999</v>
      </c>
    </row>
    <row r="530" spans="1:5" ht="18" x14ac:dyDescent="0.35">
      <c r="A530" s="5" t="s">
        <v>346</v>
      </c>
      <c r="B530" s="50" t="s">
        <v>33</v>
      </c>
      <c r="C530" s="7">
        <v>40.32</v>
      </c>
      <c r="D530" s="7">
        <v>16.170000000000002</v>
      </c>
      <c r="E530" s="85">
        <f t="shared" si="34"/>
        <v>651.97440000000006</v>
      </c>
    </row>
    <row r="531" spans="1:5" ht="18" x14ac:dyDescent="0.35">
      <c r="A531" s="5" t="s">
        <v>871</v>
      </c>
      <c r="B531" s="50" t="s">
        <v>33</v>
      </c>
      <c r="C531" s="7">
        <v>40.090000000000003</v>
      </c>
      <c r="D531" s="7">
        <v>16.170000000000002</v>
      </c>
      <c r="E531" s="85">
        <f t="shared" si="34"/>
        <v>648.25530000000015</v>
      </c>
    </row>
    <row r="532" spans="1:5" ht="18" x14ac:dyDescent="0.35">
      <c r="A532" s="5" t="s">
        <v>870</v>
      </c>
      <c r="B532" s="50" t="s">
        <v>864</v>
      </c>
      <c r="C532" s="7">
        <v>2</v>
      </c>
      <c r="D532" s="7">
        <v>3.39</v>
      </c>
      <c r="E532" s="85">
        <f t="shared" si="34"/>
        <v>6.78</v>
      </c>
    </row>
    <row r="533" spans="1:5" ht="18" x14ac:dyDescent="0.35">
      <c r="A533" s="5"/>
      <c r="B533" s="50" t="s">
        <v>872</v>
      </c>
      <c r="C533" s="88">
        <v>2</v>
      </c>
      <c r="D533" s="88">
        <v>5.2</v>
      </c>
      <c r="E533" s="90">
        <f t="shared" si="34"/>
        <v>10.4</v>
      </c>
    </row>
    <row r="534" spans="1:5" ht="18" x14ac:dyDescent="0.35">
      <c r="A534" s="5"/>
      <c r="B534" s="50" t="s">
        <v>34</v>
      </c>
      <c r="C534" s="7">
        <v>1.76</v>
      </c>
      <c r="D534" s="7">
        <v>18.05</v>
      </c>
      <c r="E534" s="85">
        <f t="shared" si="34"/>
        <v>31.768000000000001</v>
      </c>
    </row>
    <row r="535" spans="1:5" ht="18" x14ac:dyDescent="0.35">
      <c r="A535" s="5"/>
      <c r="B535" s="50" t="s">
        <v>35</v>
      </c>
      <c r="C535" s="7">
        <v>4</v>
      </c>
      <c r="D535" s="7">
        <v>2.91</v>
      </c>
      <c r="E535" s="85">
        <f t="shared" si="34"/>
        <v>11.64</v>
      </c>
    </row>
    <row r="536" spans="1:5" ht="18" x14ac:dyDescent="0.35">
      <c r="A536" s="5"/>
      <c r="B536" s="50" t="s">
        <v>36</v>
      </c>
      <c r="C536" s="7">
        <v>4</v>
      </c>
      <c r="D536" s="7">
        <v>0.6</v>
      </c>
      <c r="E536" s="85">
        <f t="shared" si="34"/>
        <v>2.4</v>
      </c>
    </row>
    <row r="537" spans="1:5" ht="18" x14ac:dyDescent="0.35">
      <c r="A537" s="5"/>
      <c r="B537" s="5"/>
      <c r="C537" s="54"/>
      <c r="D537" s="54"/>
      <c r="E537" s="89">
        <f>SUM(E529:E536)</f>
        <v>1540.7935000000004</v>
      </c>
    </row>
    <row r="538" spans="1:5" ht="18" x14ac:dyDescent="0.35">
      <c r="A538" s="5"/>
      <c r="B538" s="50" t="s">
        <v>37</v>
      </c>
      <c r="C538" s="54">
        <v>2</v>
      </c>
      <c r="D538" s="54">
        <v>65</v>
      </c>
      <c r="E538" s="85">
        <f>C538*D538</f>
        <v>130</v>
      </c>
    </row>
    <row r="539" spans="1:5" ht="18" x14ac:dyDescent="0.35">
      <c r="A539" s="5"/>
      <c r="B539" s="5"/>
      <c r="C539" s="54"/>
      <c r="D539" s="54"/>
      <c r="E539" s="85">
        <f>SUM(E537:E538)</f>
        <v>1670.7935000000004</v>
      </c>
    </row>
    <row r="540" spans="1:5" ht="18" x14ac:dyDescent="0.35">
      <c r="D540" s="99">
        <v>0.05</v>
      </c>
      <c r="E540" s="85">
        <v>1755</v>
      </c>
    </row>
    <row r="542" spans="1:5" ht="21" x14ac:dyDescent="0.4">
      <c r="A542" s="40" t="s">
        <v>934</v>
      </c>
      <c r="B542" s="40"/>
      <c r="C542" s="40"/>
      <c r="D542" s="12"/>
      <c r="E542" s="12"/>
    </row>
    <row r="543" spans="1:5" ht="18" x14ac:dyDescent="0.35">
      <c r="A543" s="5"/>
      <c r="B543" s="5"/>
      <c r="C543" s="7" t="s">
        <v>28</v>
      </c>
      <c r="D543" s="7" t="s">
        <v>29</v>
      </c>
      <c r="E543" s="7" t="s">
        <v>30</v>
      </c>
    </row>
    <row r="544" spans="1:5" ht="18" x14ac:dyDescent="0.35">
      <c r="A544" s="5" t="s">
        <v>941</v>
      </c>
      <c r="B544" s="50" t="s">
        <v>32</v>
      </c>
      <c r="C544" s="7">
        <v>3.016</v>
      </c>
      <c r="D544" s="7">
        <v>30.44</v>
      </c>
      <c r="E544" s="85">
        <f t="shared" ref="E544:E549" si="35">C544*D544</f>
        <v>91.807040000000001</v>
      </c>
    </row>
    <row r="545" spans="1:5" ht="18" x14ac:dyDescent="0.35">
      <c r="A545" s="5" t="s">
        <v>786</v>
      </c>
      <c r="B545" s="50" t="s">
        <v>33</v>
      </c>
      <c r="C545" s="7">
        <v>23.373000000000001</v>
      </c>
      <c r="D545" s="7">
        <v>17.059999999999999</v>
      </c>
      <c r="E545" s="85">
        <f t="shared" si="35"/>
        <v>398.74338</v>
      </c>
    </row>
    <row r="546" spans="1:5" ht="18" x14ac:dyDescent="0.35">
      <c r="A546" s="5" t="s">
        <v>942</v>
      </c>
      <c r="B546" s="50" t="s">
        <v>137</v>
      </c>
      <c r="C546" s="7">
        <v>1</v>
      </c>
      <c r="D546" s="7">
        <v>17.190000000000001</v>
      </c>
      <c r="E546" s="85">
        <f t="shared" si="35"/>
        <v>17.190000000000001</v>
      </c>
    </row>
    <row r="547" spans="1:5" ht="18" x14ac:dyDescent="0.35">
      <c r="A547" s="5"/>
      <c r="B547" s="50" t="s">
        <v>35</v>
      </c>
      <c r="C547" s="7">
        <v>4</v>
      </c>
      <c r="D547" s="7">
        <v>2.91</v>
      </c>
      <c r="E547" s="85">
        <f t="shared" si="35"/>
        <v>11.64</v>
      </c>
    </row>
    <row r="548" spans="1:5" ht="18" x14ac:dyDescent="0.35">
      <c r="A548" s="5"/>
      <c r="B548" s="50" t="s">
        <v>36</v>
      </c>
      <c r="C548" s="7">
        <v>4</v>
      </c>
      <c r="D548" s="7">
        <v>0.61</v>
      </c>
      <c r="E548" s="85">
        <f t="shared" si="35"/>
        <v>2.44</v>
      </c>
    </row>
    <row r="549" spans="1:5" ht="18" x14ac:dyDescent="0.35">
      <c r="A549" s="5"/>
      <c r="B549" s="50" t="s">
        <v>37</v>
      </c>
      <c r="C549" s="54">
        <v>0.5</v>
      </c>
      <c r="D549" s="86">
        <v>65</v>
      </c>
      <c r="E549" s="85">
        <f t="shared" si="35"/>
        <v>32.5</v>
      </c>
    </row>
    <row r="550" spans="1:5" ht="18" x14ac:dyDescent="0.35">
      <c r="A550" s="5"/>
      <c r="B550" s="5"/>
      <c r="C550" s="54"/>
      <c r="D550" s="54"/>
      <c r="E550" s="85">
        <f>SUM(E544:E549)</f>
        <v>554.32042000000013</v>
      </c>
    </row>
    <row r="553" spans="1:5" ht="21" x14ac:dyDescent="0.4">
      <c r="A553" s="40" t="s">
        <v>599</v>
      </c>
      <c r="B553" s="40"/>
      <c r="C553" s="84"/>
    </row>
    <row r="554" spans="1:5" ht="18" x14ac:dyDescent="0.35">
      <c r="A554" s="5" t="s">
        <v>967</v>
      </c>
      <c r="B554" s="5"/>
      <c r="C554" s="7" t="s">
        <v>28</v>
      </c>
      <c r="D554" s="7" t="s">
        <v>29</v>
      </c>
      <c r="E554" s="7" t="s">
        <v>30</v>
      </c>
    </row>
    <row r="555" spans="1:5" ht="18" x14ac:dyDescent="0.35">
      <c r="A555" s="5" t="s">
        <v>214</v>
      </c>
      <c r="B555" s="50" t="s">
        <v>32</v>
      </c>
      <c r="C555" s="7">
        <v>2.722</v>
      </c>
      <c r="D555" s="7">
        <v>30.44</v>
      </c>
      <c r="E555" s="85">
        <f t="shared" ref="E555:E560" si="36">C555*D555</f>
        <v>82.857680000000002</v>
      </c>
    </row>
    <row r="556" spans="1:5" ht="18" x14ac:dyDescent="0.35">
      <c r="A556" s="5" t="s">
        <v>968</v>
      </c>
      <c r="B556" s="50" t="s">
        <v>33</v>
      </c>
      <c r="C556" s="7">
        <v>3.5910000000000002</v>
      </c>
      <c r="D556" s="7">
        <v>16.170000000000002</v>
      </c>
      <c r="E556" s="85">
        <f t="shared" si="36"/>
        <v>58.06647000000001</v>
      </c>
    </row>
    <row r="557" spans="1:5" ht="18" x14ac:dyDescent="0.35">
      <c r="B557" s="50" t="s">
        <v>969</v>
      </c>
      <c r="C557" s="7">
        <v>2</v>
      </c>
      <c r="D557" s="7">
        <v>1.1499999999999999</v>
      </c>
      <c r="E557" s="85">
        <f t="shared" si="36"/>
        <v>2.2999999999999998</v>
      </c>
    </row>
    <row r="558" spans="1:5" ht="18" x14ac:dyDescent="0.35">
      <c r="A558" s="5"/>
      <c r="B558" s="50" t="s">
        <v>34</v>
      </c>
      <c r="C558" s="7">
        <v>0.33</v>
      </c>
      <c r="D558" s="7">
        <v>18.05</v>
      </c>
      <c r="E558" s="85">
        <f t="shared" si="36"/>
        <v>5.9565000000000001</v>
      </c>
    </row>
    <row r="559" spans="1:5" ht="18" x14ac:dyDescent="0.35">
      <c r="A559" s="5"/>
      <c r="B559" s="50" t="s">
        <v>35</v>
      </c>
      <c r="C559" s="7">
        <v>4</v>
      </c>
      <c r="D559" s="7">
        <v>2.89</v>
      </c>
      <c r="E559" s="85">
        <f t="shared" si="36"/>
        <v>11.56</v>
      </c>
    </row>
    <row r="560" spans="1:5" ht="18" x14ac:dyDescent="0.35">
      <c r="A560" s="5"/>
      <c r="B560" s="50" t="s">
        <v>36</v>
      </c>
      <c r="C560" s="7">
        <v>4</v>
      </c>
      <c r="D560" s="7">
        <v>0.6</v>
      </c>
      <c r="E560" s="85">
        <f t="shared" si="36"/>
        <v>2.4</v>
      </c>
    </row>
    <row r="561" spans="1:5" ht="18" x14ac:dyDescent="0.35">
      <c r="A561" s="5"/>
      <c r="B561" s="5"/>
      <c r="C561" s="54"/>
      <c r="D561" s="54"/>
      <c r="E561" s="89">
        <f>SUM(E555:E560)</f>
        <v>163.14065000000002</v>
      </c>
    </row>
    <row r="562" spans="1:5" ht="18" x14ac:dyDescent="0.35">
      <c r="A562" s="5"/>
      <c r="B562" s="50" t="s">
        <v>37</v>
      </c>
      <c r="C562" s="54">
        <v>0.2</v>
      </c>
      <c r="D562" s="54">
        <v>65</v>
      </c>
      <c r="E562" s="85">
        <f>C562*D562</f>
        <v>13</v>
      </c>
    </row>
    <row r="563" spans="1:5" ht="18" x14ac:dyDescent="0.35">
      <c r="A563" s="5"/>
      <c r="B563" s="5"/>
      <c r="C563" s="54"/>
      <c r="D563" s="101"/>
      <c r="E563" s="85">
        <f>SUM(E561:E562)</f>
        <v>176.14065000000002</v>
      </c>
    </row>
    <row r="564" spans="1:5" ht="18" x14ac:dyDescent="0.35">
      <c r="E564" s="85">
        <v>194</v>
      </c>
    </row>
    <row r="567" spans="1:5" ht="21" x14ac:dyDescent="0.4">
      <c r="A567" s="40" t="s">
        <v>599</v>
      </c>
      <c r="B567" s="40"/>
      <c r="C567" s="84"/>
    </row>
    <row r="568" spans="1:5" ht="18" x14ac:dyDescent="0.35">
      <c r="A568" s="5"/>
      <c r="B568" s="5"/>
      <c r="C568" s="7" t="s">
        <v>28</v>
      </c>
      <c r="D568" s="7" t="s">
        <v>29</v>
      </c>
      <c r="E568" s="7" t="s">
        <v>30</v>
      </c>
    </row>
    <row r="569" spans="1:5" ht="18" x14ac:dyDescent="0.35">
      <c r="A569" s="5" t="s">
        <v>118</v>
      </c>
      <c r="B569" s="50" t="s">
        <v>32</v>
      </c>
      <c r="C569" s="7">
        <v>2.028</v>
      </c>
      <c r="D569" s="7">
        <v>30.44</v>
      </c>
      <c r="E569" s="85">
        <f t="shared" ref="E569:E574" si="37">C569*D569</f>
        <v>61.732320000000001</v>
      </c>
    </row>
    <row r="570" spans="1:5" ht="18" x14ac:dyDescent="0.35">
      <c r="A570" s="5" t="s">
        <v>54</v>
      </c>
      <c r="B570" s="50" t="s">
        <v>33</v>
      </c>
      <c r="C570" s="7">
        <v>9.7750000000000004</v>
      </c>
      <c r="D570" s="7">
        <v>16.170000000000002</v>
      </c>
      <c r="E570" s="85">
        <f t="shared" si="37"/>
        <v>158.06175000000002</v>
      </c>
    </row>
    <row r="571" spans="1:5" ht="18" x14ac:dyDescent="0.35">
      <c r="A571" s="5" t="s">
        <v>859</v>
      </c>
      <c r="B571" s="50" t="s">
        <v>87</v>
      </c>
      <c r="C571" s="7">
        <v>2</v>
      </c>
      <c r="D571" s="7">
        <v>1.81</v>
      </c>
      <c r="E571" s="85">
        <f t="shared" si="37"/>
        <v>3.62</v>
      </c>
    </row>
    <row r="572" spans="1:5" ht="18" x14ac:dyDescent="0.35">
      <c r="A572" s="5"/>
      <c r="B572" s="50" t="s">
        <v>34</v>
      </c>
      <c r="C572" s="7"/>
      <c r="D572" s="7">
        <v>14.61</v>
      </c>
      <c r="E572" s="85">
        <f t="shared" si="37"/>
        <v>0</v>
      </c>
    </row>
    <row r="573" spans="1:5" ht="18" x14ac:dyDescent="0.35">
      <c r="A573" s="5"/>
      <c r="B573" s="50" t="s">
        <v>35</v>
      </c>
      <c r="C573" s="7">
        <v>4</v>
      </c>
      <c r="D573" s="7">
        <v>2.91</v>
      </c>
      <c r="E573" s="85">
        <f t="shared" si="37"/>
        <v>11.64</v>
      </c>
    </row>
    <row r="574" spans="1:5" ht="18" x14ac:dyDescent="0.35">
      <c r="A574" s="5"/>
      <c r="B574" s="50" t="s">
        <v>36</v>
      </c>
      <c r="C574" s="7">
        <v>4</v>
      </c>
      <c r="D574" s="7">
        <v>0.61</v>
      </c>
      <c r="E574" s="85">
        <f t="shared" si="37"/>
        <v>2.44</v>
      </c>
    </row>
    <row r="575" spans="1:5" ht="18" x14ac:dyDescent="0.35">
      <c r="A575" s="5"/>
      <c r="B575" s="5"/>
      <c r="C575" s="54"/>
      <c r="D575" s="54"/>
      <c r="E575" s="89">
        <f>SUM(E569:E574)</f>
        <v>237.49407000000002</v>
      </c>
    </row>
    <row r="576" spans="1:5" ht="18" x14ac:dyDescent="0.35">
      <c r="A576" s="5"/>
      <c r="B576" s="50" t="s">
        <v>37</v>
      </c>
      <c r="C576" s="54">
        <v>0.5</v>
      </c>
      <c r="D576" s="54">
        <v>65</v>
      </c>
      <c r="E576" s="85">
        <f>C576*D576</f>
        <v>32.5</v>
      </c>
    </row>
    <row r="577" spans="1:5" ht="18" x14ac:dyDescent="0.35">
      <c r="A577" s="5"/>
      <c r="B577" s="5"/>
      <c r="C577" s="54"/>
      <c r="D577" s="54"/>
      <c r="E577" s="85">
        <f>SUM(E575:E576)</f>
        <v>269.99407000000002</v>
      </c>
    </row>
    <row r="580" spans="1:5" ht="21" x14ac:dyDescent="0.4">
      <c r="A580" s="40" t="s">
        <v>602</v>
      </c>
      <c r="B580" s="40"/>
      <c r="C580" s="84"/>
      <c r="D580" s="12"/>
      <c r="E580" s="83"/>
    </row>
    <row r="581" spans="1:5" x14ac:dyDescent="0.3">
      <c r="C581" s="12"/>
      <c r="D581" s="12"/>
      <c r="E581" s="12"/>
    </row>
    <row r="582" spans="1:5" ht="18" x14ac:dyDescent="0.35">
      <c r="A582" s="5"/>
      <c r="B582" s="5"/>
      <c r="C582" s="7" t="s">
        <v>28</v>
      </c>
      <c r="D582" s="7" t="s">
        <v>29</v>
      </c>
      <c r="E582" s="7" t="s">
        <v>30</v>
      </c>
    </row>
    <row r="583" spans="1:5" ht="18" x14ac:dyDescent="0.35">
      <c r="A583" s="5" t="s">
        <v>118</v>
      </c>
      <c r="B583" s="50" t="s">
        <v>32</v>
      </c>
      <c r="C583" s="7">
        <v>2.028</v>
      </c>
      <c r="D583" s="7">
        <v>45.07</v>
      </c>
      <c r="E583" s="85">
        <f t="shared" ref="E583:E590" si="38">C583*D583</f>
        <v>91.401960000000003</v>
      </c>
    </row>
    <row r="584" spans="1:5" ht="18" x14ac:dyDescent="0.35">
      <c r="A584" s="5" t="s">
        <v>54</v>
      </c>
      <c r="B584" s="50" t="s">
        <v>33</v>
      </c>
      <c r="C584" s="7">
        <v>9.7750000000000004</v>
      </c>
      <c r="D584" s="7">
        <v>16.170000000000002</v>
      </c>
      <c r="E584" s="85">
        <f t="shared" si="38"/>
        <v>158.06175000000002</v>
      </c>
    </row>
    <row r="585" spans="1:5" ht="18" x14ac:dyDescent="0.35">
      <c r="A585" s="102" t="s">
        <v>55</v>
      </c>
      <c r="B585" s="50" t="s">
        <v>33</v>
      </c>
      <c r="C585" s="7">
        <v>9.8290000000000006</v>
      </c>
      <c r="D585" s="7">
        <v>16.170000000000002</v>
      </c>
      <c r="E585" s="85">
        <f t="shared" si="38"/>
        <v>158.93493000000004</v>
      </c>
    </row>
    <row r="586" spans="1:5" ht="18" x14ac:dyDescent="0.35">
      <c r="A586" s="5" t="s">
        <v>877</v>
      </c>
      <c r="B586" s="50" t="s">
        <v>87</v>
      </c>
      <c r="C586" s="7">
        <v>2</v>
      </c>
      <c r="D586" s="7">
        <v>1.81</v>
      </c>
      <c r="E586" s="85">
        <f t="shared" si="38"/>
        <v>3.62</v>
      </c>
    </row>
    <row r="587" spans="1:5" ht="18" x14ac:dyDescent="0.35">
      <c r="A587" s="5"/>
      <c r="B587" s="103" t="s">
        <v>113</v>
      </c>
      <c r="C587" s="86">
        <v>2</v>
      </c>
      <c r="D587" s="86">
        <v>2.2400000000000002</v>
      </c>
      <c r="E587" s="104">
        <f t="shared" si="38"/>
        <v>4.4800000000000004</v>
      </c>
    </row>
    <row r="588" spans="1:5" ht="18" x14ac:dyDescent="0.35">
      <c r="A588" s="5"/>
      <c r="B588" s="50" t="s">
        <v>34</v>
      </c>
      <c r="C588" s="7">
        <v>2.13</v>
      </c>
      <c r="D588" s="7">
        <v>14.61</v>
      </c>
      <c r="E588" s="85">
        <f t="shared" si="38"/>
        <v>31.119299999999996</v>
      </c>
    </row>
    <row r="589" spans="1:5" ht="18" x14ac:dyDescent="0.35">
      <c r="A589" s="5"/>
      <c r="B589" s="50" t="s">
        <v>35</v>
      </c>
      <c r="C589" s="7">
        <v>4</v>
      </c>
      <c r="D589" s="7">
        <v>2.89</v>
      </c>
      <c r="E589" s="85">
        <f t="shared" si="38"/>
        <v>11.56</v>
      </c>
    </row>
    <row r="590" spans="1:5" ht="18" x14ac:dyDescent="0.35">
      <c r="A590" s="5"/>
      <c r="B590" s="50" t="s">
        <v>36</v>
      </c>
      <c r="C590" s="7">
        <v>4</v>
      </c>
      <c r="D590" s="7">
        <v>0.6</v>
      </c>
      <c r="E590" s="85">
        <f t="shared" si="38"/>
        <v>2.4</v>
      </c>
    </row>
    <row r="591" spans="1:5" ht="18" x14ac:dyDescent="0.35">
      <c r="B591" s="5"/>
      <c r="C591" s="54"/>
      <c r="D591" s="54"/>
      <c r="E591" s="89">
        <f>SUM(E583:E590)</f>
        <v>461.57794000000007</v>
      </c>
    </row>
    <row r="592" spans="1:5" ht="18" x14ac:dyDescent="0.35">
      <c r="B592" s="50" t="s">
        <v>37</v>
      </c>
      <c r="C592" s="54">
        <v>1</v>
      </c>
      <c r="D592" s="54">
        <v>65</v>
      </c>
      <c r="E592" s="85">
        <f>C592*D592</f>
        <v>65</v>
      </c>
    </row>
    <row r="593" spans="1:5" ht="18" x14ac:dyDescent="0.35">
      <c r="B593" s="5"/>
      <c r="C593" s="54"/>
      <c r="D593" s="54"/>
      <c r="E593" s="85">
        <f>SUM(E591:E592)</f>
        <v>526.57794000000013</v>
      </c>
    </row>
    <row r="596" spans="1:5" ht="21" x14ac:dyDescent="0.4">
      <c r="A596" s="40" t="s">
        <v>599</v>
      </c>
      <c r="B596" s="40"/>
      <c r="C596" s="84"/>
    </row>
    <row r="597" spans="1:5" ht="18" x14ac:dyDescent="0.35">
      <c r="A597" s="5"/>
      <c r="B597" s="5"/>
      <c r="C597" s="7" t="s">
        <v>28</v>
      </c>
      <c r="D597" s="7" t="s">
        <v>29</v>
      </c>
      <c r="E597" s="7" t="s">
        <v>30</v>
      </c>
    </row>
    <row r="598" spans="1:5" ht="18" x14ac:dyDescent="0.35">
      <c r="A598" s="5" t="s">
        <v>972</v>
      </c>
      <c r="B598" s="50" t="s">
        <v>32</v>
      </c>
      <c r="C598" s="7">
        <v>2.1120000000000001</v>
      </c>
      <c r="D598" s="7">
        <v>30.44</v>
      </c>
      <c r="E598" s="85">
        <f t="shared" ref="E598:E603" si="39">C598*D598</f>
        <v>64.289280000000005</v>
      </c>
    </row>
    <row r="599" spans="1:5" ht="18" x14ac:dyDescent="0.35">
      <c r="A599" s="5" t="s">
        <v>962</v>
      </c>
      <c r="B599" s="50" t="s">
        <v>33</v>
      </c>
      <c r="C599" s="7">
        <v>7.97</v>
      </c>
      <c r="D599" s="7">
        <v>16.170000000000002</v>
      </c>
      <c r="E599" s="85">
        <f t="shared" si="39"/>
        <v>128.8749</v>
      </c>
    </row>
    <row r="600" spans="1:5" ht="18" x14ac:dyDescent="0.35">
      <c r="A600" s="5" t="s">
        <v>973</v>
      </c>
      <c r="B600" s="50" t="s">
        <v>974</v>
      </c>
      <c r="C600" s="7">
        <v>2</v>
      </c>
      <c r="D600" s="7">
        <v>1.08</v>
      </c>
      <c r="E600" s="85">
        <f t="shared" si="39"/>
        <v>2.16</v>
      </c>
    </row>
    <row r="601" spans="1:5" ht="18" x14ac:dyDescent="0.35">
      <c r="A601" s="5"/>
      <c r="B601" s="50" t="s">
        <v>34</v>
      </c>
      <c r="C601" s="7">
        <v>0.25</v>
      </c>
      <c r="D601" s="7">
        <v>14.61</v>
      </c>
      <c r="E601" s="85">
        <f t="shared" si="39"/>
        <v>3.6524999999999999</v>
      </c>
    </row>
    <row r="602" spans="1:5" ht="18" x14ac:dyDescent="0.35">
      <c r="A602" s="5"/>
      <c r="B602" s="50" t="s">
        <v>35</v>
      </c>
      <c r="C602" s="7">
        <v>4</v>
      </c>
      <c r="D602" s="7">
        <v>2.89</v>
      </c>
      <c r="E602" s="85">
        <f t="shared" si="39"/>
        <v>11.56</v>
      </c>
    </row>
    <row r="603" spans="1:5" ht="18" x14ac:dyDescent="0.35">
      <c r="A603" s="5"/>
      <c r="B603" s="50" t="s">
        <v>36</v>
      </c>
      <c r="C603" s="7">
        <v>4</v>
      </c>
      <c r="D603" s="7">
        <v>0.61</v>
      </c>
      <c r="E603" s="85">
        <f t="shared" si="39"/>
        <v>2.44</v>
      </c>
    </row>
    <row r="604" spans="1:5" ht="18" x14ac:dyDescent="0.35">
      <c r="A604" s="5"/>
      <c r="B604" s="5"/>
      <c r="C604" s="54"/>
      <c r="D604" s="54"/>
      <c r="E604" s="89">
        <f>SUM(E598:E603)</f>
        <v>212.97667999999999</v>
      </c>
    </row>
    <row r="605" spans="1:5" ht="18" x14ac:dyDescent="0.35">
      <c r="A605" s="5"/>
      <c r="B605" s="50" t="s">
        <v>37</v>
      </c>
      <c r="C605" s="54">
        <v>0.5</v>
      </c>
      <c r="D605" s="54">
        <v>65</v>
      </c>
      <c r="E605" s="85">
        <f>C605*D605</f>
        <v>32.5</v>
      </c>
    </row>
    <row r="606" spans="1:5" ht="18" x14ac:dyDescent="0.35">
      <c r="A606" s="5"/>
      <c r="B606" s="5"/>
      <c r="C606" s="54"/>
      <c r="D606" s="54"/>
      <c r="E606" s="85">
        <f>SUM(E604:E605)</f>
        <v>245.47667999999999</v>
      </c>
    </row>
    <row r="608" spans="1:5" ht="21" x14ac:dyDescent="0.4">
      <c r="A608" s="40" t="s">
        <v>602</v>
      </c>
      <c r="B608" s="40"/>
      <c r="C608" s="84"/>
      <c r="D608" s="12"/>
      <c r="E608" s="83"/>
    </row>
    <row r="609" spans="1:5" x14ac:dyDescent="0.3">
      <c r="C609" s="12"/>
      <c r="D609" s="12"/>
      <c r="E609" s="12"/>
    </row>
    <row r="610" spans="1:5" ht="18" x14ac:dyDescent="0.35">
      <c r="A610" s="5"/>
      <c r="B610" s="5"/>
      <c r="C610" s="7" t="s">
        <v>28</v>
      </c>
      <c r="D610" s="7" t="s">
        <v>29</v>
      </c>
      <c r="E610" s="7" t="s">
        <v>30</v>
      </c>
    </row>
    <row r="611" spans="1:5" ht="18" x14ac:dyDescent="0.35">
      <c r="A611" s="5" t="s">
        <v>76</v>
      </c>
      <c r="B611" s="50" t="s">
        <v>32</v>
      </c>
      <c r="C611" s="7">
        <v>1.609</v>
      </c>
      <c r="D611" s="7">
        <v>45.07</v>
      </c>
      <c r="E611" s="85">
        <f t="shared" ref="E611:E618" si="40">C611*D611</f>
        <v>72.517629999999997</v>
      </c>
    </row>
    <row r="612" spans="1:5" ht="18" x14ac:dyDescent="0.35">
      <c r="A612" s="5" t="s">
        <v>178</v>
      </c>
      <c r="B612" s="50" t="s">
        <v>33</v>
      </c>
      <c r="C612" s="7">
        <v>4.6310000000000002</v>
      </c>
      <c r="D612" s="7">
        <v>16.170000000000002</v>
      </c>
      <c r="E612" s="85">
        <f t="shared" si="40"/>
        <v>74.88327000000001</v>
      </c>
    </row>
    <row r="613" spans="1:5" ht="18" x14ac:dyDescent="0.35">
      <c r="A613" s="102" t="s">
        <v>55</v>
      </c>
      <c r="B613" s="50" t="s">
        <v>33</v>
      </c>
      <c r="C613" s="7">
        <v>4.7880000000000003</v>
      </c>
      <c r="D613" s="7">
        <v>16.170000000000002</v>
      </c>
      <c r="E613" s="85">
        <f t="shared" si="40"/>
        <v>77.421960000000013</v>
      </c>
    </row>
    <row r="614" spans="1:5" ht="18" x14ac:dyDescent="0.35">
      <c r="A614" s="5" t="s">
        <v>746</v>
      </c>
      <c r="B614" s="50" t="s">
        <v>85</v>
      </c>
      <c r="C614" s="7">
        <v>2</v>
      </c>
      <c r="D614" s="7">
        <v>1.08</v>
      </c>
      <c r="E614" s="85">
        <f t="shared" si="40"/>
        <v>2.16</v>
      </c>
    </row>
    <row r="615" spans="1:5" ht="18" x14ac:dyDescent="0.35">
      <c r="A615" s="5"/>
      <c r="B615" s="103" t="s">
        <v>113</v>
      </c>
      <c r="C615" s="86">
        <v>2</v>
      </c>
      <c r="D615" s="86">
        <v>2.2400000000000002</v>
      </c>
      <c r="E615" s="104">
        <f t="shared" si="40"/>
        <v>4.4800000000000004</v>
      </c>
    </row>
    <row r="616" spans="1:5" ht="18" x14ac:dyDescent="0.35">
      <c r="A616" s="5"/>
      <c r="B616" s="50" t="s">
        <v>34</v>
      </c>
      <c r="C616" s="7"/>
      <c r="D616" s="7">
        <v>14.61</v>
      </c>
      <c r="E616" s="85">
        <f t="shared" si="40"/>
        <v>0</v>
      </c>
    </row>
    <row r="617" spans="1:5" ht="18" x14ac:dyDescent="0.35">
      <c r="A617" s="5"/>
      <c r="B617" s="50" t="s">
        <v>35</v>
      </c>
      <c r="C617" s="7">
        <v>4</v>
      </c>
      <c r="D617" s="7">
        <v>2.89</v>
      </c>
      <c r="E617" s="85">
        <f t="shared" si="40"/>
        <v>11.56</v>
      </c>
    </row>
    <row r="618" spans="1:5" ht="18" x14ac:dyDescent="0.35">
      <c r="A618" s="5"/>
      <c r="B618" s="50" t="s">
        <v>36</v>
      </c>
      <c r="C618" s="7">
        <v>4</v>
      </c>
      <c r="D618" s="7">
        <v>0.6</v>
      </c>
      <c r="E618" s="85">
        <f t="shared" si="40"/>
        <v>2.4</v>
      </c>
    </row>
    <row r="619" spans="1:5" ht="18" x14ac:dyDescent="0.35">
      <c r="B619" s="5"/>
      <c r="C619" s="54"/>
      <c r="D619" s="54"/>
      <c r="E619" s="89">
        <f>SUM(E611:E618)</f>
        <v>245.42286000000001</v>
      </c>
    </row>
    <row r="620" spans="1:5" ht="18" x14ac:dyDescent="0.35">
      <c r="B620" s="50" t="s">
        <v>37</v>
      </c>
      <c r="C620" s="54">
        <v>0.5</v>
      </c>
      <c r="D620" s="54">
        <v>65</v>
      </c>
      <c r="E620" s="85">
        <f>C620*D620</f>
        <v>32.5</v>
      </c>
    </row>
    <row r="621" spans="1:5" ht="18" x14ac:dyDescent="0.35">
      <c r="B621" s="5"/>
      <c r="C621" s="54"/>
      <c r="D621" s="54"/>
      <c r="E621" s="85">
        <f>SUM(E619:E620)</f>
        <v>277.92286000000001</v>
      </c>
    </row>
    <row r="624" spans="1:5" ht="21" x14ac:dyDescent="0.4">
      <c r="A624" s="40" t="s">
        <v>599</v>
      </c>
      <c r="B624" s="40"/>
      <c r="C624" s="84"/>
    </row>
    <row r="625" spans="1:5" ht="18" x14ac:dyDescent="0.35">
      <c r="A625" s="5" t="s">
        <v>758</v>
      </c>
      <c r="B625" s="5"/>
      <c r="C625" s="7" t="s">
        <v>28</v>
      </c>
      <c r="D625" s="7" t="s">
        <v>29</v>
      </c>
      <c r="E625" s="7" t="s">
        <v>30</v>
      </c>
    </row>
    <row r="626" spans="1:5" ht="18" x14ac:dyDescent="0.35">
      <c r="A626" s="5" t="s">
        <v>219</v>
      </c>
      <c r="B626" s="50" t="s">
        <v>32</v>
      </c>
      <c r="C626" s="7">
        <v>3.3730000000000002</v>
      </c>
      <c r="D626" s="7">
        <v>30.44</v>
      </c>
      <c r="E626" s="85">
        <f t="shared" ref="E626:E631" si="41">C626*D626</f>
        <v>102.67412000000002</v>
      </c>
    </row>
    <row r="627" spans="1:5" ht="18" x14ac:dyDescent="0.35">
      <c r="A627" s="5" t="s">
        <v>759</v>
      </c>
      <c r="B627" s="50" t="s">
        <v>33</v>
      </c>
      <c r="C627" s="7">
        <v>1.5649999999999999</v>
      </c>
      <c r="D627" s="7">
        <v>16.170000000000002</v>
      </c>
      <c r="E627" s="85">
        <f t="shared" si="41"/>
        <v>25.306050000000003</v>
      </c>
    </row>
    <row r="628" spans="1:5" ht="18" x14ac:dyDescent="0.35">
      <c r="B628" s="50" t="s">
        <v>760</v>
      </c>
      <c r="C628" s="7">
        <v>2</v>
      </c>
      <c r="D628" s="7">
        <v>1.1499999999999999</v>
      </c>
      <c r="E628" s="85">
        <f t="shared" si="41"/>
        <v>2.2999999999999998</v>
      </c>
    </row>
    <row r="629" spans="1:5" ht="18" x14ac:dyDescent="0.35">
      <c r="A629" s="5"/>
      <c r="B629" s="50" t="s">
        <v>34</v>
      </c>
      <c r="C629" s="7">
        <v>0.2</v>
      </c>
      <c r="D629" s="7">
        <v>14.61</v>
      </c>
      <c r="E629" s="85">
        <f t="shared" si="41"/>
        <v>2.9220000000000002</v>
      </c>
    </row>
    <row r="630" spans="1:5" ht="18" x14ac:dyDescent="0.35">
      <c r="A630" s="5"/>
      <c r="B630" s="50" t="s">
        <v>35</v>
      </c>
      <c r="C630" s="7">
        <v>8</v>
      </c>
      <c r="D630" s="7">
        <v>2.91</v>
      </c>
      <c r="E630" s="85">
        <f t="shared" si="41"/>
        <v>23.28</v>
      </c>
    </row>
    <row r="631" spans="1:5" ht="18" x14ac:dyDescent="0.35">
      <c r="A631" s="5"/>
      <c r="B631" s="50" t="s">
        <v>36</v>
      </c>
      <c r="C631" s="7">
        <v>4</v>
      </c>
      <c r="D631" s="7">
        <v>0.61</v>
      </c>
      <c r="E631" s="85">
        <f t="shared" si="41"/>
        <v>2.44</v>
      </c>
    </row>
    <row r="632" spans="1:5" ht="18" x14ac:dyDescent="0.35">
      <c r="A632" s="5"/>
      <c r="B632" s="5"/>
      <c r="C632" s="54"/>
      <c r="D632" s="54"/>
      <c r="E632" s="89">
        <f>SUM(E626:E631)</f>
        <v>158.92217000000002</v>
      </c>
    </row>
    <row r="633" spans="1:5" ht="18" x14ac:dyDescent="0.35">
      <c r="A633" s="5"/>
      <c r="B633" s="50" t="s">
        <v>37</v>
      </c>
      <c r="C633" s="54">
        <v>0.5</v>
      </c>
      <c r="D633" s="54">
        <v>65</v>
      </c>
      <c r="E633" s="85">
        <f>C633*D633</f>
        <v>32.5</v>
      </c>
    </row>
    <row r="634" spans="1:5" ht="18" x14ac:dyDescent="0.35">
      <c r="A634" s="5"/>
      <c r="B634" s="5"/>
      <c r="C634" s="54"/>
      <c r="D634" s="54"/>
      <c r="E634" s="85">
        <f>SUM(E632:E633)</f>
        <v>191.42217000000002</v>
      </c>
    </row>
    <row r="637" spans="1:5" ht="21" x14ac:dyDescent="0.4">
      <c r="A637" s="40" t="s">
        <v>599</v>
      </c>
      <c r="B637" s="40"/>
      <c r="C637" s="84"/>
    </row>
    <row r="638" spans="1:5" ht="18" x14ac:dyDescent="0.35">
      <c r="A638" s="5" t="s">
        <v>245</v>
      </c>
      <c r="B638" s="5"/>
      <c r="C638" s="7" t="s">
        <v>28</v>
      </c>
      <c r="D638" s="7" t="s">
        <v>29</v>
      </c>
      <c r="E638" s="7" t="s">
        <v>30</v>
      </c>
    </row>
    <row r="639" spans="1:5" ht="18" x14ac:dyDescent="0.35">
      <c r="A639" s="5" t="s">
        <v>219</v>
      </c>
      <c r="B639" s="50" t="s">
        <v>32</v>
      </c>
      <c r="C639" s="7">
        <v>2.7429999999999999</v>
      </c>
      <c r="D639" s="7">
        <v>30.44</v>
      </c>
      <c r="E639" s="85">
        <f t="shared" ref="E639:E644" si="42">C639*D639</f>
        <v>83.496920000000003</v>
      </c>
    </row>
    <row r="640" spans="1:5" ht="18" x14ac:dyDescent="0.35">
      <c r="A640" s="5" t="s">
        <v>755</v>
      </c>
      <c r="B640" s="50" t="s">
        <v>33</v>
      </c>
      <c r="C640" s="7">
        <v>1.25</v>
      </c>
      <c r="D640" s="7">
        <v>16.170000000000002</v>
      </c>
      <c r="E640" s="85">
        <f t="shared" si="42"/>
        <v>20.212500000000002</v>
      </c>
    </row>
    <row r="641" spans="1:5" ht="18" x14ac:dyDescent="0.35">
      <c r="B641" s="50" t="s">
        <v>760</v>
      </c>
      <c r="C641" s="7">
        <v>2</v>
      </c>
      <c r="D641" s="7">
        <v>1.1499999999999999</v>
      </c>
      <c r="E641" s="85">
        <f t="shared" si="42"/>
        <v>2.2999999999999998</v>
      </c>
    </row>
    <row r="642" spans="1:5" ht="18" x14ac:dyDescent="0.35">
      <c r="A642" s="5"/>
      <c r="B642" s="50" t="s">
        <v>34</v>
      </c>
      <c r="C642" s="7">
        <v>0.21</v>
      </c>
      <c r="D642" s="7">
        <v>14.61</v>
      </c>
      <c r="E642" s="85">
        <f t="shared" si="42"/>
        <v>3.0680999999999998</v>
      </c>
    </row>
    <row r="643" spans="1:5" ht="18" x14ac:dyDescent="0.35">
      <c r="A643" s="5"/>
      <c r="B643" s="50" t="s">
        <v>35</v>
      </c>
      <c r="C643" s="7">
        <v>8</v>
      </c>
      <c r="D643" s="7">
        <v>2.91</v>
      </c>
      <c r="E643" s="85">
        <f t="shared" si="42"/>
        <v>23.28</v>
      </c>
    </row>
    <row r="644" spans="1:5" ht="18" x14ac:dyDescent="0.35">
      <c r="A644" s="5"/>
      <c r="B644" s="50" t="s">
        <v>36</v>
      </c>
      <c r="C644" s="7">
        <v>4</v>
      </c>
      <c r="D644" s="7">
        <v>0.61</v>
      </c>
      <c r="E644" s="85">
        <f t="shared" si="42"/>
        <v>2.44</v>
      </c>
    </row>
    <row r="645" spans="1:5" ht="18" x14ac:dyDescent="0.35">
      <c r="A645" s="5"/>
      <c r="B645" s="5"/>
      <c r="C645" s="54"/>
      <c r="D645" s="54"/>
      <c r="E645" s="89">
        <f>SUM(E639:E644)</f>
        <v>134.79752000000002</v>
      </c>
    </row>
    <row r="646" spans="1:5" ht="18" x14ac:dyDescent="0.35">
      <c r="A646" s="5"/>
      <c r="B646" s="50" t="s">
        <v>37</v>
      </c>
      <c r="C646" s="54">
        <v>0.5</v>
      </c>
      <c r="D646" s="54">
        <v>65</v>
      </c>
      <c r="E646" s="85">
        <f>C646*D646</f>
        <v>32.5</v>
      </c>
    </row>
    <row r="647" spans="1:5" ht="18" x14ac:dyDescent="0.35">
      <c r="A647" s="5"/>
      <c r="B647" s="5"/>
      <c r="C647" s="54"/>
      <c r="D647" s="54"/>
      <c r="E647" s="85">
        <f>SUM(E645:E646)</f>
        <v>167.29752000000002</v>
      </c>
    </row>
    <row r="650" spans="1:5" ht="21" x14ac:dyDescent="0.4">
      <c r="A650" s="40" t="s">
        <v>599</v>
      </c>
      <c r="B650" s="40"/>
      <c r="C650" s="84"/>
    </row>
    <row r="651" spans="1:5" ht="18" x14ac:dyDescent="0.35">
      <c r="A651" s="5" t="s">
        <v>245</v>
      </c>
      <c r="B651" s="5"/>
      <c r="C651" s="7" t="s">
        <v>28</v>
      </c>
      <c r="D651" s="7" t="s">
        <v>29</v>
      </c>
      <c r="E651" s="7" t="s">
        <v>30</v>
      </c>
    </row>
    <row r="652" spans="1:5" ht="18" x14ac:dyDescent="0.35">
      <c r="A652" s="5" t="s">
        <v>219</v>
      </c>
      <c r="B652" s="50" t="s">
        <v>32</v>
      </c>
      <c r="C652" s="7">
        <v>2.7429999999999999</v>
      </c>
      <c r="D652" s="7">
        <v>30.44</v>
      </c>
      <c r="E652" s="85">
        <f t="shared" ref="E652:E657" si="43">C652*D652</f>
        <v>83.496920000000003</v>
      </c>
    </row>
    <row r="653" spans="1:5" ht="18" x14ac:dyDescent="0.35">
      <c r="A653" s="5" t="s">
        <v>755</v>
      </c>
      <c r="B653" s="50" t="s">
        <v>33</v>
      </c>
      <c r="C653" s="7">
        <v>1.25</v>
      </c>
      <c r="D653" s="7">
        <v>16.170000000000002</v>
      </c>
      <c r="E653" s="85">
        <f t="shared" si="43"/>
        <v>20.212500000000002</v>
      </c>
    </row>
    <row r="654" spans="1:5" ht="18" x14ac:dyDescent="0.35">
      <c r="B654" s="50" t="s">
        <v>760</v>
      </c>
      <c r="C654" s="7">
        <v>2</v>
      </c>
      <c r="D654" s="7">
        <v>1.1499999999999999</v>
      </c>
      <c r="E654" s="85">
        <f t="shared" si="43"/>
        <v>2.2999999999999998</v>
      </c>
    </row>
    <row r="655" spans="1:5" ht="18" x14ac:dyDescent="0.35">
      <c r="A655" s="5"/>
      <c r="B655" s="50" t="s">
        <v>34</v>
      </c>
      <c r="C655" s="7">
        <v>0.21</v>
      </c>
      <c r="D655" s="7">
        <v>14.61</v>
      </c>
      <c r="E655" s="85">
        <f t="shared" si="43"/>
        <v>3.0680999999999998</v>
      </c>
    </row>
    <row r="656" spans="1:5" ht="18" x14ac:dyDescent="0.35">
      <c r="A656" s="5"/>
      <c r="B656" s="50" t="s">
        <v>35</v>
      </c>
      <c r="C656" s="7">
        <v>8</v>
      </c>
      <c r="D656" s="7">
        <v>2.91</v>
      </c>
      <c r="E656" s="85">
        <f t="shared" si="43"/>
        <v>23.28</v>
      </c>
    </row>
    <row r="657" spans="1:5" ht="18" x14ac:dyDescent="0.35">
      <c r="A657" s="5"/>
      <c r="B657" s="50" t="s">
        <v>36</v>
      </c>
      <c r="C657" s="7">
        <v>4</v>
      </c>
      <c r="D657" s="7">
        <v>0.61</v>
      </c>
      <c r="E657" s="85">
        <f t="shared" si="43"/>
        <v>2.44</v>
      </c>
    </row>
    <row r="658" spans="1:5" ht="18" x14ac:dyDescent="0.35">
      <c r="A658" s="5"/>
      <c r="B658" s="5"/>
      <c r="C658" s="54"/>
      <c r="D658" s="54"/>
      <c r="E658" s="89">
        <f>SUM(E652:E657)</f>
        <v>134.79752000000002</v>
      </c>
    </row>
    <row r="659" spans="1:5" ht="18" x14ac:dyDescent="0.35">
      <c r="A659" s="5"/>
      <c r="B659" s="50" t="s">
        <v>37</v>
      </c>
      <c r="C659" s="54">
        <v>0.5</v>
      </c>
      <c r="D659" s="54">
        <v>65</v>
      </c>
      <c r="E659" s="85">
        <f>C659*D659</f>
        <v>32.5</v>
      </c>
    </row>
    <row r="660" spans="1:5" ht="18" x14ac:dyDescent="0.35">
      <c r="A660" s="5"/>
      <c r="B660" s="5"/>
      <c r="C660" s="54"/>
      <c r="D660" s="54"/>
      <c r="E660" s="85">
        <f>SUM(E658:E659)</f>
        <v>167.29752000000002</v>
      </c>
    </row>
    <row r="662" spans="1:5" ht="21" x14ac:dyDescent="0.4">
      <c r="A662" s="40" t="s">
        <v>599</v>
      </c>
      <c r="B662" s="40"/>
      <c r="C662" s="84"/>
    </row>
    <row r="663" spans="1:5" ht="18" x14ac:dyDescent="0.35">
      <c r="A663" s="5" t="s">
        <v>992</v>
      </c>
      <c r="B663" s="5"/>
      <c r="C663" s="7" t="s">
        <v>28</v>
      </c>
      <c r="D663" s="7" t="s">
        <v>29</v>
      </c>
      <c r="E663" s="7" t="s">
        <v>30</v>
      </c>
    </row>
    <row r="664" spans="1:5" ht="18" x14ac:dyDescent="0.35">
      <c r="A664" s="5" t="s">
        <v>219</v>
      </c>
      <c r="B664" s="50" t="s">
        <v>32</v>
      </c>
      <c r="C664" s="7">
        <v>2.722</v>
      </c>
      <c r="D664" s="7">
        <v>30.44</v>
      </c>
      <c r="E664" s="85">
        <f t="shared" ref="E664:E669" si="44">C664*D664</f>
        <v>82.857680000000002</v>
      </c>
    </row>
    <row r="665" spans="1:5" ht="18" x14ac:dyDescent="0.35">
      <c r="A665" s="5" t="s">
        <v>755</v>
      </c>
      <c r="B665" s="50" t="s">
        <v>33</v>
      </c>
      <c r="C665" s="7">
        <v>1.25</v>
      </c>
      <c r="D665" s="7">
        <v>16.170000000000002</v>
      </c>
      <c r="E665" s="85">
        <f t="shared" si="44"/>
        <v>20.212500000000002</v>
      </c>
    </row>
    <row r="666" spans="1:5" ht="18" x14ac:dyDescent="0.35">
      <c r="B666" s="50" t="s">
        <v>760</v>
      </c>
      <c r="C666" s="7">
        <v>2</v>
      </c>
      <c r="D666" s="7">
        <v>1.1499999999999999</v>
      </c>
      <c r="E666" s="85">
        <f t="shared" si="44"/>
        <v>2.2999999999999998</v>
      </c>
    </row>
    <row r="667" spans="1:5" ht="18" x14ac:dyDescent="0.35">
      <c r="A667" s="5"/>
      <c r="B667" s="50" t="s">
        <v>34</v>
      </c>
      <c r="C667" s="7">
        <v>0.15</v>
      </c>
      <c r="D667" s="7">
        <v>14.61</v>
      </c>
      <c r="E667" s="85">
        <f t="shared" si="44"/>
        <v>2.1915</v>
      </c>
    </row>
    <row r="668" spans="1:5" ht="18" x14ac:dyDescent="0.35">
      <c r="A668" s="5"/>
      <c r="B668" s="50" t="s">
        <v>35</v>
      </c>
      <c r="C668" s="7">
        <v>8</v>
      </c>
      <c r="D668" s="7">
        <v>2.91</v>
      </c>
      <c r="E668" s="85">
        <f t="shared" si="44"/>
        <v>23.28</v>
      </c>
    </row>
    <row r="669" spans="1:5" ht="18" x14ac:dyDescent="0.35">
      <c r="A669" s="5"/>
      <c r="B669" s="50" t="s">
        <v>36</v>
      </c>
      <c r="C669" s="7">
        <v>4</v>
      </c>
      <c r="D669" s="7">
        <v>0.61</v>
      </c>
      <c r="E669" s="85">
        <f t="shared" si="44"/>
        <v>2.44</v>
      </c>
    </row>
    <row r="670" spans="1:5" ht="18" x14ac:dyDescent="0.35">
      <c r="A670" s="5"/>
      <c r="B670" s="5"/>
      <c r="C670" s="54"/>
      <c r="D670" s="54"/>
      <c r="E670" s="89">
        <f>SUM(E664:E669)</f>
        <v>133.28167999999999</v>
      </c>
    </row>
    <row r="671" spans="1:5" ht="18" x14ac:dyDescent="0.35">
      <c r="A671" s="5"/>
      <c r="B671" s="50" t="s">
        <v>37</v>
      </c>
      <c r="C671" s="54">
        <v>0.5</v>
      </c>
      <c r="D671" s="54">
        <v>65</v>
      </c>
      <c r="E671" s="85">
        <f>C671*D671</f>
        <v>32.5</v>
      </c>
    </row>
    <row r="672" spans="1:5" ht="18" x14ac:dyDescent="0.35">
      <c r="A672" s="5"/>
      <c r="B672" s="5"/>
      <c r="C672" s="54"/>
      <c r="D672" s="54"/>
      <c r="E672" s="85">
        <f>SUM(E670:E671)</f>
        <v>165.78167999999999</v>
      </c>
    </row>
    <row r="674" spans="1:5" ht="21" x14ac:dyDescent="0.4">
      <c r="A674" s="40" t="s">
        <v>599</v>
      </c>
      <c r="B674" s="40"/>
      <c r="C674" s="84"/>
    </row>
    <row r="675" spans="1:5" ht="18" x14ac:dyDescent="0.35">
      <c r="A675" s="5"/>
      <c r="B675" s="5"/>
      <c r="C675" s="7" t="s">
        <v>28</v>
      </c>
      <c r="D675" s="7" t="s">
        <v>29</v>
      </c>
      <c r="E675" s="7" t="s">
        <v>30</v>
      </c>
    </row>
    <row r="676" spans="1:5" ht="18" x14ac:dyDescent="0.35">
      <c r="A676" s="5" t="s">
        <v>997</v>
      </c>
      <c r="B676" s="50" t="s">
        <v>32</v>
      </c>
      <c r="C676" s="7">
        <v>1.494</v>
      </c>
      <c r="D676" s="7">
        <v>30.44</v>
      </c>
      <c r="E676" s="85">
        <f t="shared" ref="E676:E681" si="45">C676*D676</f>
        <v>45.477360000000004</v>
      </c>
    </row>
    <row r="677" spans="1:5" ht="18" x14ac:dyDescent="0.35">
      <c r="A677" s="5" t="s">
        <v>220</v>
      </c>
      <c r="B677" s="50" t="s">
        <v>33</v>
      </c>
      <c r="C677" s="7">
        <v>4.032</v>
      </c>
      <c r="D677" s="7">
        <v>16.170000000000002</v>
      </c>
      <c r="E677" s="85">
        <f t="shared" si="45"/>
        <v>65.19744</v>
      </c>
    </row>
    <row r="678" spans="1:5" ht="18" x14ac:dyDescent="0.35">
      <c r="A678" s="5" t="s">
        <v>959</v>
      </c>
      <c r="B678" s="50" t="s">
        <v>998</v>
      </c>
      <c r="C678" s="7">
        <v>2</v>
      </c>
      <c r="D678" s="7">
        <v>1.6</v>
      </c>
      <c r="E678" s="85">
        <f t="shared" si="45"/>
        <v>3.2</v>
      </c>
    </row>
    <row r="679" spans="1:5" ht="18" x14ac:dyDescent="0.35">
      <c r="A679" s="5"/>
      <c r="B679" s="50" t="s">
        <v>34</v>
      </c>
      <c r="C679" s="7"/>
      <c r="D679" s="7">
        <v>14.61</v>
      </c>
      <c r="E679" s="85">
        <f t="shared" si="45"/>
        <v>0</v>
      </c>
    </row>
    <row r="680" spans="1:5" ht="18" x14ac:dyDescent="0.35">
      <c r="A680" s="5"/>
      <c r="B680" s="50" t="s">
        <v>35</v>
      </c>
      <c r="C680" s="7">
        <v>4</v>
      </c>
      <c r="D680" s="7">
        <v>2.91</v>
      </c>
      <c r="E680" s="85">
        <f t="shared" si="45"/>
        <v>11.64</v>
      </c>
    </row>
    <row r="681" spans="1:5" ht="18" x14ac:dyDescent="0.35">
      <c r="A681" s="5"/>
      <c r="B681" s="50" t="s">
        <v>36</v>
      </c>
      <c r="C681" s="7">
        <v>4</v>
      </c>
      <c r="D681" s="7">
        <v>0.61</v>
      </c>
      <c r="E681" s="85">
        <f t="shared" si="45"/>
        <v>2.44</v>
      </c>
    </row>
    <row r="682" spans="1:5" ht="18" x14ac:dyDescent="0.35">
      <c r="A682" s="5"/>
      <c r="B682" s="5"/>
      <c r="C682" s="54"/>
      <c r="D682" s="54"/>
      <c r="E682" s="89">
        <f>SUM(E676:E681)</f>
        <v>127.95480000000001</v>
      </c>
    </row>
    <row r="683" spans="1:5" ht="18" x14ac:dyDescent="0.35">
      <c r="A683" s="5"/>
      <c r="B683" s="50" t="s">
        <v>37</v>
      </c>
      <c r="C683" s="54">
        <v>0.25</v>
      </c>
      <c r="D683" s="54">
        <v>65</v>
      </c>
      <c r="E683" s="85">
        <f>C683*D683</f>
        <v>16.25</v>
      </c>
    </row>
    <row r="684" spans="1:5" ht="18" x14ac:dyDescent="0.35">
      <c r="A684" s="5"/>
      <c r="B684" s="5"/>
      <c r="C684" s="54"/>
      <c r="D684" s="54"/>
      <c r="E684" s="85">
        <f>SUM(E682:E683)</f>
        <v>144.20480000000001</v>
      </c>
    </row>
    <row r="686" spans="1:5" ht="21" x14ac:dyDescent="0.4">
      <c r="A686" s="40" t="s">
        <v>599</v>
      </c>
      <c r="B686" s="40"/>
      <c r="C686" s="84"/>
    </row>
    <row r="687" spans="1:5" ht="18" x14ac:dyDescent="0.35">
      <c r="A687" s="5" t="s">
        <v>967</v>
      </c>
      <c r="B687" s="5"/>
      <c r="C687" s="7" t="s">
        <v>28</v>
      </c>
      <c r="D687" s="7" t="s">
        <v>29</v>
      </c>
      <c r="E687" s="7" t="s">
        <v>30</v>
      </c>
    </row>
    <row r="688" spans="1:5" ht="18" x14ac:dyDescent="0.35">
      <c r="A688" s="5" t="s">
        <v>214</v>
      </c>
      <c r="B688" s="50" t="s">
        <v>32</v>
      </c>
      <c r="C688" s="7">
        <v>2.722</v>
      </c>
      <c r="D688" s="7">
        <v>30.44</v>
      </c>
      <c r="E688" s="85">
        <f t="shared" ref="E688:E693" si="46">C688*D688</f>
        <v>82.857680000000002</v>
      </c>
    </row>
    <row r="689" spans="1:5" ht="18" x14ac:dyDescent="0.35">
      <c r="A689" s="5" t="s">
        <v>755</v>
      </c>
      <c r="B689" s="50" t="s">
        <v>33</v>
      </c>
      <c r="C689" s="7">
        <v>3.5910000000000002</v>
      </c>
      <c r="D689" s="7">
        <v>16.170000000000002</v>
      </c>
      <c r="E689" s="85">
        <f t="shared" si="46"/>
        <v>58.06647000000001</v>
      </c>
    </row>
    <row r="690" spans="1:5" ht="18" x14ac:dyDescent="0.35">
      <c r="B690" s="50" t="s">
        <v>969</v>
      </c>
      <c r="C690" s="7">
        <v>2</v>
      </c>
      <c r="D690" s="7">
        <v>1.1499999999999999</v>
      </c>
      <c r="E690" s="85">
        <f t="shared" si="46"/>
        <v>2.2999999999999998</v>
      </c>
    </row>
    <row r="691" spans="1:5" ht="18" x14ac:dyDescent="0.35">
      <c r="A691" s="5"/>
      <c r="B691" s="50" t="s">
        <v>34</v>
      </c>
      <c r="C691" s="7">
        <v>0.33</v>
      </c>
      <c r="D691" s="7">
        <v>14.61</v>
      </c>
      <c r="E691" s="85">
        <f t="shared" si="46"/>
        <v>4.8212999999999999</v>
      </c>
    </row>
    <row r="692" spans="1:5" ht="18" x14ac:dyDescent="0.35">
      <c r="A692" s="5"/>
      <c r="B692" s="50" t="s">
        <v>35</v>
      </c>
      <c r="C692" s="7">
        <v>4</v>
      </c>
      <c r="D692" s="7">
        <v>2.91</v>
      </c>
      <c r="E692" s="85">
        <f t="shared" si="46"/>
        <v>11.64</v>
      </c>
    </row>
    <row r="693" spans="1:5" ht="18" x14ac:dyDescent="0.35">
      <c r="A693" s="5"/>
      <c r="B693" s="50" t="s">
        <v>36</v>
      </c>
      <c r="C693" s="7">
        <v>4</v>
      </c>
      <c r="D693" s="7">
        <v>0.61</v>
      </c>
      <c r="E693" s="85">
        <f t="shared" si="46"/>
        <v>2.44</v>
      </c>
    </row>
    <row r="694" spans="1:5" ht="18" x14ac:dyDescent="0.35">
      <c r="A694" s="5"/>
      <c r="B694" s="5"/>
      <c r="C694" s="54"/>
      <c r="D694" s="54"/>
      <c r="E694" s="89">
        <f>SUM(E688:E693)</f>
        <v>162.12545</v>
      </c>
    </row>
    <row r="695" spans="1:5" ht="18" x14ac:dyDescent="0.35">
      <c r="A695" s="5"/>
      <c r="B695" s="50" t="s">
        <v>37</v>
      </c>
      <c r="C695" s="54">
        <v>0.5</v>
      </c>
      <c r="D695" s="54">
        <v>65</v>
      </c>
      <c r="E695" s="85">
        <f>C695*D695</f>
        <v>32.5</v>
      </c>
    </row>
    <row r="696" spans="1:5" ht="18" x14ac:dyDescent="0.35">
      <c r="A696" s="5"/>
      <c r="B696" s="5"/>
      <c r="C696" s="54"/>
      <c r="D696" s="54"/>
      <c r="E696" s="85">
        <f>SUM(E694:E695)</f>
        <v>194.62545</v>
      </c>
    </row>
    <row r="699" spans="1:5" ht="21" x14ac:dyDescent="0.4">
      <c r="A699" s="40" t="s">
        <v>599</v>
      </c>
      <c r="B699" s="40"/>
      <c r="C699" s="84"/>
    </row>
    <row r="700" spans="1:5" ht="18" x14ac:dyDescent="0.35">
      <c r="A700" s="5" t="s">
        <v>1001</v>
      </c>
      <c r="B700" s="5"/>
      <c r="C700" s="7" t="s">
        <v>28</v>
      </c>
      <c r="D700" s="7" t="s">
        <v>29</v>
      </c>
      <c r="E700" s="7" t="s">
        <v>30</v>
      </c>
    </row>
    <row r="701" spans="1:5" ht="18" x14ac:dyDescent="0.35">
      <c r="A701" s="5" t="s">
        <v>219</v>
      </c>
      <c r="B701" s="50" t="s">
        <v>32</v>
      </c>
      <c r="C701" s="7">
        <v>2.952</v>
      </c>
      <c r="D701" s="7">
        <v>30.44</v>
      </c>
      <c r="E701" s="85">
        <f t="shared" ref="E701:E706" si="47">C701*D701</f>
        <v>89.858879999999999</v>
      </c>
    </row>
    <row r="702" spans="1:5" ht="18" x14ac:dyDescent="0.35">
      <c r="A702" s="5" t="s">
        <v>755</v>
      </c>
      <c r="B702" s="50" t="s">
        <v>33</v>
      </c>
      <c r="C702" s="7">
        <v>1.3540000000000001</v>
      </c>
      <c r="D702" s="7">
        <v>16.170000000000002</v>
      </c>
      <c r="E702" s="85">
        <f t="shared" si="47"/>
        <v>21.894180000000002</v>
      </c>
    </row>
    <row r="703" spans="1:5" ht="18" x14ac:dyDescent="0.35">
      <c r="B703" s="50" t="s">
        <v>760</v>
      </c>
      <c r="C703" s="7">
        <v>2</v>
      </c>
      <c r="D703" s="7">
        <v>1.1499999999999999</v>
      </c>
      <c r="E703" s="85">
        <f t="shared" si="47"/>
        <v>2.2999999999999998</v>
      </c>
    </row>
    <row r="704" spans="1:5" ht="18" x14ac:dyDescent="0.35">
      <c r="A704" s="5"/>
      <c r="B704" s="50" t="s">
        <v>34</v>
      </c>
      <c r="C704" s="7">
        <v>0.16</v>
      </c>
      <c r="D704" s="7">
        <v>14.61</v>
      </c>
      <c r="E704" s="85">
        <f t="shared" si="47"/>
        <v>2.3376000000000001</v>
      </c>
    </row>
    <row r="705" spans="1:5" ht="18" x14ac:dyDescent="0.35">
      <c r="A705" s="5"/>
      <c r="B705" s="50" t="s">
        <v>35</v>
      </c>
      <c r="C705" s="7">
        <v>4</v>
      </c>
      <c r="D705" s="7">
        <v>2.91</v>
      </c>
      <c r="E705" s="85">
        <f t="shared" si="47"/>
        <v>11.64</v>
      </c>
    </row>
    <row r="706" spans="1:5" ht="18" x14ac:dyDescent="0.35">
      <c r="A706" s="5"/>
      <c r="B706" s="50" t="s">
        <v>36</v>
      </c>
      <c r="C706" s="7">
        <v>4</v>
      </c>
      <c r="D706" s="7">
        <v>0.61</v>
      </c>
      <c r="E706" s="85">
        <f t="shared" si="47"/>
        <v>2.44</v>
      </c>
    </row>
    <row r="707" spans="1:5" ht="18" x14ac:dyDescent="0.35">
      <c r="A707" s="5"/>
      <c r="B707" s="5"/>
      <c r="C707" s="54"/>
      <c r="D707" s="54"/>
      <c r="E707" s="89">
        <f>SUM(E701:E706)</f>
        <v>130.47066000000001</v>
      </c>
    </row>
    <row r="708" spans="1:5" ht="18" x14ac:dyDescent="0.35">
      <c r="A708" s="5"/>
      <c r="B708" s="50" t="s">
        <v>37</v>
      </c>
      <c r="C708" s="54">
        <v>0.5</v>
      </c>
      <c r="D708" s="54">
        <v>65</v>
      </c>
      <c r="E708" s="85">
        <f>C708*D708</f>
        <v>32.5</v>
      </c>
    </row>
    <row r="709" spans="1:5" ht="18" x14ac:dyDescent="0.35">
      <c r="A709" s="5"/>
      <c r="B709" s="5"/>
      <c r="C709" s="54"/>
      <c r="D709" s="54"/>
      <c r="E709" s="85">
        <f>SUM(E707:E708)</f>
        <v>162.97066000000001</v>
      </c>
    </row>
    <row r="711" spans="1:5" ht="21" x14ac:dyDescent="0.4">
      <c r="A711" s="40" t="s">
        <v>599</v>
      </c>
      <c r="B711" s="40"/>
      <c r="C711" s="84"/>
    </row>
    <row r="712" spans="1:5" ht="18" x14ac:dyDescent="0.35">
      <c r="A712" s="5" t="s">
        <v>1002</v>
      </c>
      <c r="B712" s="5"/>
      <c r="C712" s="7" t="s">
        <v>28</v>
      </c>
      <c r="D712" s="7" t="s">
        <v>29</v>
      </c>
      <c r="E712" s="7" t="s">
        <v>30</v>
      </c>
    </row>
    <row r="713" spans="1:5" ht="18" x14ac:dyDescent="0.35">
      <c r="A713" s="5" t="s">
        <v>171</v>
      </c>
      <c r="B713" s="50" t="s">
        <v>32</v>
      </c>
      <c r="C713" s="7">
        <v>2.2389999999999999</v>
      </c>
      <c r="D713" s="7">
        <v>30.44</v>
      </c>
      <c r="E713" s="85">
        <f t="shared" ref="E713:E718" si="48">C713*D713</f>
        <v>68.155159999999995</v>
      </c>
    </row>
    <row r="714" spans="1:5" ht="18" x14ac:dyDescent="0.35">
      <c r="A714" s="5" t="s">
        <v>755</v>
      </c>
      <c r="B714" s="50" t="s">
        <v>33</v>
      </c>
      <c r="C714" s="7">
        <v>1.974</v>
      </c>
      <c r="D714" s="7">
        <v>16.170000000000002</v>
      </c>
      <c r="E714" s="85">
        <f t="shared" si="48"/>
        <v>31.919580000000003</v>
      </c>
    </row>
    <row r="715" spans="1:5" ht="18" x14ac:dyDescent="0.35">
      <c r="B715" s="50" t="s">
        <v>507</v>
      </c>
      <c r="C715" s="7">
        <v>2</v>
      </c>
      <c r="D715" s="7">
        <v>1.1499999999999999</v>
      </c>
      <c r="E715" s="85">
        <f t="shared" si="48"/>
        <v>2.2999999999999998</v>
      </c>
    </row>
    <row r="716" spans="1:5" ht="18" x14ac:dyDescent="0.35">
      <c r="A716" s="5"/>
      <c r="B716" s="50" t="s">
        <v>34</v>
      </c>
      <c r="C716" s="7">
        <v>0.21</v>
      </c>
      <c r="D716" s="7">
        <v>14.61</v>
      </c>
      <c r="E716" s="85">
        <f t="shared" si="48"/>
        <v>3.0680999999999998</v>
      </c>
    </row>
    <row r="717" spans="1:5" ht="18" x14ac:dyDescent="0.35">
      <c r="A717" s="5"/>
      <c r="B717" s="50" t="s">
        <v>35</v>
      </c>
      <c r="C717" s="7">
        <v>4</v>
      </c>
      <c r="D717" s="7">
        <v>2.91</v>
      </c>
      <c r="E717" s="85">
        <f t="shared" si="48"/>
        <v>11.64</v>
      </c>
    </row>
    <row r="718" spans="1:5" ht="18" x14ac:dyDescent="0.35">
      <c r="A718" s="5"/>
      <c r="B718" s="50" t="s">
        <v>36</v>
      </c>
      <c r="C718" s="7">
        <v>4</v>
      </c>
      <c r="D718" s="7">
        <v>0.61</v>
      </c>
      <c r="E718" s="85">
        <f t="shared" si="48"/>
        <v>2.44</v>
      </c>
    </row>
    <row r="719" spans="1:5" ht="18" x14ac:dyDescent="0.35">
      <c r="A719" s="5"/>
      <c r="B719" s="5"/>
      <c r="C719" s="54"/>
      <c r="D719" s="54"/>
      <c r="E719" s="89">
        <f>SUM(E713:E718)</f>
        <v>119.52283999999999</v>
      </c>
    </row>
    <row r="720" spans="1:5" ht="18" x14ac:dyDescent="0.35">
      <c r="A720" s="5"/>
      <c r="B720" s="50" t="s">
        <v>37</v>
      </c>
      <c r="C720" s="54">
        <v>0.5</v>
      </c>
      <c r="D720" s="54">
        <v>65</v>
      </c>
      <c r="E720" s="85">
        <f>C720*D720</f>
        <v>32.5</v>
      </c>
    </row>
    <row r="721" spans="1:5" ht="18" x14ac:dyDescent="0.35">
      <c r="A721" s="5"/>
      <c r="B721" s="5"/>
      <c r="C721" s="54"/>
      <c r="D721" s="54"/>
      <c r="E721" s="85">
        <f>SUM(E719:E720)</f>
        <v>152.02283999999997</v>
      </c>
    </row>
    <row r="723" spans="1:5" ht="21" x14ac:dyDescent="0.4">
      <c r="A723" s="40" t="s">
        <v>827</v>
      </c>
      <c r="B723" s="40"/>
      <c r="C723" s="84"/>
    </row>
    <row r="724" spans="1:5" ht="18" x14ac:dyDescent="0.35">
      <c r="A724" s="5" t="s">
        <v>64</v>
      </c>
      <c r="B724" s="5"/>
      <c r="C724" s="7" t="s">
        <v>28</v>
      </c>
      <c r="D724" s="7" t="s">
        <v>29</v>
      </c>
      <c r="E724" s="7" t="s">
        <v>30</v>
      </c>
    </row>
    <row r="725" spans="1:5" ht="18" x14ac:dyDescent="0.35">
      <c r="A725" s="5" t="s">
        <v>143</v>
      </c>
      <c r="B725" s="50" t="s">
        <v>32</v>
      </c>
      <c r="C725" s="7">
        <v>1.0840000000000001</v>
      </c>
      <c r="D725" s="7">
        <v>29.12</v>
      </c>
      <c r="E725" s="85">
        <f t="shared" ref="E725:E730" si="49">C725*D725</f>
        <v>31.566080000000003</v>
      </c>
    </row>
    <row r="726" spans="1:5" ht="18" x14ac:dyDescent="0.35">
      <c r="A726" s="5" t="s">
        <v>854</v>
      </c>
      <c r="B726" s="50" t="s">
        <v>33</v>
      </c>
      <c r="C726" s="7">
        <v>1.827</v>
      </c>
      <c r="D726" s="7">
        <v>14.94</v>
      </c>
      <c r="E726" s="85">
        <f t="shared" si="49"/>
        <v>27.295379999999998</v>
      </c>
    </row>
    <row r="727" spans="1:5" ht="18" x14ac:dyDescent="0.35">
      <c r="B727" s="50" t="s">
        <v>43</v>
      </c>
      <c r="C727" s="7">
        <v>2</v>
      </c>
      <c r="D727" s="7">
        <v>1.1499999999999999</v>
      </c>
      <c r="E727" s="85">
        <f t="shared" si="49"/>
        <v>2.2999999999999998</v>
      </c>
    </row>
    <row r="728" spans="1:5" ht="18" x14ac:dyDescent="0.35">
      <c r="A728" s="5"/>
      <c r="B728" s="50" t="s">
        <v>34</v>
      </c>
      <c r="C728" s="7"/>
      <c r="D728" s="7">
        <v>18.05</v>
      </c>
      <c r="E728" s="85">
        <f t="shared" si="49"/>
        <v>0</v>
      </c>
    </row>
    <row r="729" spans="1:5" ht="18" x14ac:dyDescent="0.35">
      <c r="A729" s="5"/>
      <c r="B729" s="50" t="s">
        <v>35</v>
      </c>
      <c r="C729" s="7">
        <v>4</v>
      </c>
      <c r="D729" s="7">
        <v>2.89</v>
      </c>
      <c r="E729" s="85">
        <f t="shared" si="49"/>
        <v>11.56</v>
      </c>
    </row>
    <row r="730" spans="1:5" ht="18" x14ac:dyDescent="0.35">
      <c r="A730" s="5"/>
      <c r="B730" s="50" t="s">
        <v>36</v>
      </c>
      <c r="C730" s="7">
        <v>4</v>
      </c>
      <c r="D730" s="7">
        <v>0.6</v>
      </c>
      <c r="E730" s="85">
        <f t="shared" si="49"/>
        <v>2.4</v>
      </c>
    </row>
    <row r="731" spans="1:5" ht="18" x14ac:dyDescent="0.35">
      <c r="A731" s="5"/>
      <c r="B731" s="5"/>
      <c r="C731" s="54"/>
      <c r="D731" s="54"/>
      <c r="E731" s="89">
        <f>SUM(E725:E730)</f>
        <v>75.121459999999999</v>
      </c>
    </row>
    <row r="732" spans="1:5" ht="18" x14ac:dyDescent="0.35">
      <c r="A732" s="5"/>
      <c r="B732" s="50" t="s">
        <v>37</v>
      </c>
      <c r="C732" s="54">
        <v>0.5</v>
      </c>
      <c r="D732" s="54">
        <v>65</v>
      </c>
      <c r="E732" s="85">
        <f>C732*D732</f>
        <v>32.5</v>
      </c>
    </row>
    <row r="733" spans="1:5" ht="18" x14ac:dyDescent="0.35">
      <c r="A733" s="5"/>
      <c r="B733" s="5"/>
      <c r="C733" s="54"/>
      <c r="D733" s="100"/>
      <c r="E733" s="85">
        <f>SUM(E731:E732)</f>
        <v>107.62146</v>
      </c>
    </row>
    <row r="734" spans="1:5" ht="18" x14ac:dyDescent="0.35">
      <c r="E734" s="85">
        <v>118.5</v>
      </c>
    </row>
    <row r="736" spans="1:5" ht="21" x14ac:dyDescent="0.4">
      <c r="A736" s="40" t="s">
        <v>1023</v>
      </c>
      <c r="B736" s="40"/>
      <c r="C736" s="84"/>
      <c r="D736" s="12"/>
      <c r="E736" s="83"/>
    </row>
    <row r="737" spans="1:5" x14ac:dyDescent="0.3">
      <c r="C737" s="12"/>
      <c r="D737" s="12"/>
      <c r="E737" s="12"/>
    </row>
    <row r="738" spans="1:5" ht="18" x14ac:dyDescent="0.35">
      <c r="A738" s="5"/>
      <c r="B738" s="5"/>
      <c r="C738" s="7" t="s">
        <v>28</v>
      </c>
      <c r="D738" s="7" t="s">
        <v>29</v>
      </c>
      <c r="E738" s="7" t="s">
        <v>30</v>
      </c>
    </row>
    <row r="739" spans="1:5" ht="18" x14ac:dyDescent="0.35">
      <c r="A739" s="5" t="s">
        <v>69</v>
      </c>
      <c r="B739" s="50" t="s">
        <v>32</v>
      </c>
      <c r="C739" s="7">
        <v>1.609</v>
      </c>
      <c r="D739" s="7">
        <v>29.24</v>
      </c>
      <c r="E739" s="85">
        <f t="shared" ref="E739:E746" si="50">C739*D739</f>
        <v>47.047159999999998</v>
      </c>
    </row>
    <row r="740" spans="1:5" ht="18" x14ac:dyDescent="0.35">
      <c r="A740" s="5" t="s">
        <v>143</v>
      </c>
      <c r="B740" s="50" t="s">
        <v>33</v>
      </c>
      <c r="C740" s="7">
        <v>4.6310000000000002</v>
      </c>
      <c r="D740" s="7">
        <v>14.94</v>
      </c>
      <c r="E740" s="85">
        <f t="shared" si="50"/>
        <v>69.187139999999999</v>
      </c>
    </row>
    <row r="741" spans="1:5" ht="18" x14ac:dyDescent="0.35">
      <c r="A741" s="102" t="s">
        <v>397</v>
      </c>
      <c r="B741" s="50" t="s">
        <v>33</v>
      </c>
      <c r="C741" s="7">
        <v>4.7880000000000003</v>
      </c>
      <c r="D741" s="7">
        <v>14.94</v>
      </c>
      <c r="E741" s="85">
        <f t="shared" si="50"/>
        <v>71.532719999999998</v>
      </c>
    </row>
    <row r="742" spans="1:5" ht="18" x14ac:dyDescent="0.35">
      <c r="A742" s="5" t="s">
        <v>913</v>
      </c>
      <c r="B742" s="50" t="s">
        <v>85</v>
      </c>
      <c r="C742" s="7">
        <v>2</v>
      </c>
      <c r="D742" s="7">
        <v>1.6</v>
      </c>
      <c r="E742" s="85">
        <f t="shared" si="50"/>
        <v>3.2</v>
      </c>
    </row>
    <row r="743" spans="1:5" ht="18" x14ac:dyDescent="0.35">
      <c r="A743" s="5"/>
      <c r="B743" s="103" t="s">
        <v>92</v>
      </c>
      <c r="C743" s="86">
        <v>4</v>
      </c>
      <c r="D743" s="86">
        <v>1.81</v>
      </c>
      <c r="E743" s="104">
        <f t="shared" si="50"/>
        <v>7.24</v>
      </c>
    </row>
    <row r="744" spans="1:5" ht="18" x14ac:dyDescent="0.35">
      <c r="A744" s="5"/>
      <c r="B744" s="50" t="s">
        <v>34</v>
      </c>
      <c r="C744" s="7">
        <v>0.47199999999999998</v>
      </c>
      <c r="D744" s="7">
        <v>14.61</v>
      </c>
      <c r="E744" s="85">
        <f t="shared" si="50"/>
        <v>6.8959199999999994</v>
      </c>
    </row>
    <row r="745" spans="1:5" ht="18" x14ac:dyDescent="0.35">
      <c r="A745" s="5"/>
      <c r="B745" s="50" t="s">
        <v>35</v>
      </c>
      <c r="C745" s="7">
        <v>4</v>
      </c>
      <c r="D745" s="7">
        <v>2.89</v>
      </c>
      <c r="E745" s="85">
        <f t="shared" si="50"/>
        <v>11.56</v>
      </c>
    </row>
    <row r="746" spans="1:5" ht="18" x14ac:dyDescent="0.35">
      <c r="A746" s="5"/>
      <c r="B746" s="50" t="s">
        <v>36</v>
      </c>
      <c r="C746" s="7">
        <v>4</v>
      </c>
      <c r="D746" s="7">
        <v>0.6</v>
      </c>
      <c r="E746" s="85">
        <f t="shared" si="50"/>
        <v>2.4</v>
      </c>
    </row>
    <row r="747" spans="1:5" ht="18" x14ac:dyDescent="0.35">
      <c r="B747" s="5"/>
      <c r="C747" s="54"/>
      <c r="D747" s="54"/>
      <c r="E747" s="89">
        <f>SUM(E739:E746)</f>
        <v>219.06294</v>
      </c>
    </row>
    <row r="748" spans="1:5" ht="18" x14ac:dyDescent="0.35">
      <c r="B748" s="50" t="s">
        <v>37</v>
      </c>
      <c r="C748" s="54">
        <v>0.55000000000000004</v>
      </c>
      <c r="D748" s="54">
        <v>65</v>
      </c>
      <c r="E748" s="85">
        <f>C748*D748</f>
        <v>35.75</v>
      </c>
    </row>
    <row r="749" spans="1:5" ht="18" x14ac:dyDescent="0.35">
      <c r="B749" s="5"/>
      <c r="C749" s="54"/>
      <c r="D749" s="54"/>
      <c r="E749" s="85">
        <f>SUM(E747:E748)</f>
        <v>254.81294</v>
      </c>
    </row>
    <row r="751" spans="1:5" ht="21" x14ac:dyDescent="0.4">
      <c r="A751" s="40" t="s">
        <v>783</v>
      </c>
      <c r="B751" s="40"/>
      <c r="C751" s="40"/>
      <c r="D751" s="12"/>
      <c r="E751" s="12"/>
    </row>
    <row r="752" spans="1:5" ht="18" x14ac:dyDescent="0.35">
      <c r="A752" s="5"/>
      <c r="B752" s="5"/>
      <c r="C752" s="7" t="s">
        <v>28</v>
      </c>
      <c r="D752" s="7" t="s">
        <v>29</v>
      </c>
      <c r="E752" s="7" t="s">
        <v>30</v>
      </c>
    </row>
    <row r="753" spans="1:5" ht="18" x14ac:dyDescent="0.35">
      <c r="A753" s="5" t="s">
        <v>77</v>
      </c>
      <c r="B753" s="50" t="s">
        <v>32</v>
      </c>
      <c r="C753" s="7">
        <v>1.8180000000000001</v>
      </c>
      <c r="D753" s="7">
        <v>30.44</v>
      </c>
      <c r="E753" s="85">
        <f t="shared" ref="E753:E758" si="51">C753*D753</f>
        <v>55.339920000000006</v>
      </c>
    </row>
    <row r="754" spans="1:5" ht="18" x14ac:dyDescent="0.35">
      <c r="A754" s="5" t="s">
        <v>1024</v>
      </c>
      <c r="B754" s="50" t="s">
        <v>33</v>
      </c>
      <c r="C754" s="7">
        <v>8.673</v>
      </c>
      <c r="D754" s="7">
        <v>17.059999999999999</v>
      </c>
      <c r="E754" s="85">
        <f t="shared" si="51"/>
        <v>147.96137999999999</v>
      </c>
    </row>
    <row r="755" spans="1:5" ht="18" x14ac:dyDescent="0.35">
      <c r="A755" s="5" t="s">
        <v>913</v>
      </c>
      <c r="B755" s="50" t="s">
        <v>137</v>
      </c>
      <c r="C755" s="7">
        <v>0.42</v>
      </c>
      <c r="D755" s="7">
        <v>17.190000000000001</v>
      </c>
      <c r="E755" s="85">
        <f t="shared" si="51"/>
        <v>7.2198000000000002</v>
      </c>
    </row>
    <row r="756" spans="1:5" ht="18" x14ac:dyDescent="0.35">
      <c r="A756" s="5"/>
      <c r="B756" s="50" t="s">
        <v>35</v>
      </c>
      <c r="C756" s="7">
        <v>4</v>
      </c>
      <c r="D756" s="7">
        <v>2.91</v>
      </c>
      <c r="E756" s="85">
        <f t="shared" si="51"/>
        <v>11.64</v>
      </c>
    </row>
    <row r="757" spans="1:5" ht="18" x14ac:dyDescent="0.35">
      <c r="A757" s="5"/>
      <c r="B757" s="50" t="s">
        <v>36</v>
      </c>
      <c r="C757" s="7">
        <v>4</v>
      </c>
      <c r="D757" s="7">
        <v>0.61</v>
      </c>
      <c r="E757" s="85">
        <f t="shared" si="51"/>
        <v>2.44</v>
      </c>
    </row>
    <row r="758" spans="1:5" ht="18" x14ac:dyDescent="0.35">
      <c r="A758" s="5"/>
      <c r="B758" s="50" t="s">
        <v>37</v>
      </c>
      <c r="C758" s="54">
        <v>0.5</v>
      </c>
      <c r="D758" s="86">
        <v>65</v>
      </c>
      <c r="E758" s="85">
        <f t="shared" si="51"/>
        <v>32.5</v>
      </c>
    </row>
    <row r="759" spans="1:5" ht="18" x14ac:dyDescent="0.35">
      <c r="A759" s="5"/>
      <c r="B759" s="5"/>
      <c r="C759" s="54"/>
      <c r="D759" s="54"/>
      <c r="E759" s="85">
        <f>SUM(E753:E758)</f>
        <v>257.10109999999997</v>
      </c>
    </row>
    <row r="761" spans="1:5" ht="21" x14ac:dyDescent="0.4">
      <c r="A761" s="40" t="s">
        <v>1025</v>
      </c>
      <c r="B761" s="40"/>
      <c r="C761" s="40"/>
      <c r="D761" s="12"/>
      <c r="E761" s="12"/>
    </row>
    <row r="762" spans="1:5" ht="18" x14ac:dyDescent="0.35">
      <c r="A762" s="5"/>
      <c r="B762" s="5"/>
      <c r="C762" s="7" t="s">
        <v>28</v>
      </c>
      <c r="D762" s="7" t="s">
        <v>29</v>
      </c>
      <c r="E762" s="7" t="s">
        <v>30</v>
      </c>
    </row>
    <row r="763" spans="1:5" ht="18" x14ac:dyDescent="0.35">
      <c r="A763" s="5" t="s">
        <v>45</v>
      </c>
      <c r="B763" s="50" t="s">
        <v>32</v>
      </c>
      <c r="C763" s="7">
        <v>1.8180000000000001</v>
      </c>
      <c r="D763" s="7">
        <v>30.44</v>
      </c>
      <c r="E763" s="85">
        <f t="shared" ref="E763:E768" si="52">C763*D763</f>
        <v>55.339920000000006</v>
      </c>
    </row>
    <row r="764" spans="1:5" ht="18" x14ac:dyDescent="0.35">
      <c r="A764" s="5" t="s">
        <v>63</v>
      </c>
      <c r="B764" s="50" t="s">
        <v>33</v>
      </c>
      <c r="C764" s="7">
        <v>4.3470000000000004</v>
      </c>
      <c r="D764" s="7">
        <v>17.059999999999999</v>
      </c>
      <c r="E764" s="85">
        <f t="shared" si="52"/>
        <v>74.159819999999996</v>
      </c>
    </row>
    <row r="765" spans="1:5" ht="18" x14ac:dyDescent="0.35">
      <c r="A765" s="5" t="s">
        <v>959</v>
      </c>
      <c r="B765" s="50" t="s">
        <v>137</v>
      </c>
      <c r="C765" s="7">
        <v>0.21</v>
      </c>
      <c r="D765" s="7">
        <v>17.190000000000001</v>
      </c>
      <c r="E765" s="85">
        <f t="shared" si="52"/>
        <v>3.6099000000000001</v>
      </c>
    </row>
    <row r="766" spans="1:5" ht="18" x14ac:dyDescent="0.35">
      <c r="A766" s="5"/>
      <c r="B766" s="50" t="s">
        <v>35</v>
      </c>
      <c r="C766" s="7">
        <v>4</v>
      </c>
      <c r="D766" s="7">
        <v>2.91</v>
      </c>
      <c r="E766" s="85">
        <f t="shared" si="52"/>
        <v>11.64</v>
      </c>
    </row>
    <row r="767" spans="1:5" ht="18" x14ac:dyDescent="0.35">
      <c r="A767" s="5"/>
      <c r="B767" s="50" t="s">
        <v>36</v>
      </c>
      <c r="C767" s="7">
        <v>4</v>
      </c>
      <c r="D767" s="7">
        <v>0.61</v>
      </c>
      <c r="E767" s="85">
        <f t="shared" si="52"/>
        <v>2.44</v>
      </c>
    </row>
    <row r="768" spans="1:5" ht="18" x14ac:dyDescent="0.35">
      <c r="A768" s="5"/>
      <c r="B768" s="50" t="s">
        <v>37</v>
      </c>
      <c r="C768" s="54">
        <v>0.5</v>
      </c>
      <c r="D768" s="86">
        <v>65</v>
      </c>
      <c r="E768" s="85">
        <f t="shared" si="52"/>
        <v>32.5</v>
      </c>
    </row>
    <row r="769" spans="1:5" ht="18" x14ac:dyDescent="0.35">
      <c r="A769" s="5"/>
      <c r="B769" s="5"/>
      <c r="C769" s="54"/>
      <c r="D769" s="54"/>
      <c r="E769" s="85">
        <f>SUM(E763:E768)</f>
        <v>179.68964</v>
      </c>
    </row>
    <row r="771" spans="1:5" ht="21" x14ac:dyDescent="0.4">
      <c r="A771" s="40" t="s">
        <v>1026</v>
      </c>
      <c r="B771" s="40"/>
      <c r="C771" s="84"/>
    </row>
    <row r="772" spans="1:5" ht="18" x14ac:dyDescent="0.35">
      <c r="A772" s="5" t="s">
        <v>69</v>
      </c>
      <c r="B772" s="5"/>
      <c r="C772" s="7" t="s">
        <v>28</v>
      </c>
      <c r="D772" s="7" t="s">
        <v>29</v>
      </c>
      <c r="E772" s="7" t="s">
        <v>30</v>
      </c>
    </row>
    <row r="773" spans="1:5" ht="18" x14ac:dyDescent="0.35">
      <c r="A773" s="5" t="s">
        <v>143</v>
      </c>
      <c r="B773" s="50" t="s">
        <v>32</v>
      </c>
      <c r="C773" s="7">
        <v>2.1339999999999999</v>
      </c>
      <c r="D773" s="7">
        <v>29.12</v>
      </c>
      <c r="E773" s="85">
        <f t="shared" ref="E773:E778" si="53">C773*D773</f>
        <v>62.14208</v>
      </c>
    </row>
    <row r="774" spans="1:5" ht="18" x14ac:dyDescent="0.35">
      <c r="A774" s="5" t="s">
        <v>913</v>
      </c>
      <c r="B774" s="50" t="s">
        <v>33</v>
      </c>
      <c r="C774" s="7">
        <v>4.9770000000000003</v>
      </c>
      <c r="D774" s="7">
        <v>14.94</v>
      </c>
      <c r="E774" s="85">
        <f t="shared" si="53"/>
        <v>74.356380000000001</v>
      </c>
    </row>
    <row r="775" spans="1:5" ht="18" x14ac:dyDescent="0.35">
      <c r="B775" s="50" t="s">
        <v>96</v>
      </c>
      <c r="C775" s="7">
        <v>2</v>
      </c>
      <c r="D775" s="7">
        <v>1.6</v>
      </c>
      <c r="E775" s="85">
        <f t="shared" si="53"/>
        <v>3.2</v>
      </c>
    </row>
    <row r="776" spans="1:5" ht="18" x14ac:dyDescent="0.35">
      <c r="A776" s="5"/>
      <c r="B776" s="50" t="s">
        <v>34</v>
      </c>
      <c r="C776" s="7">
        <v>0.158</v>
      </c>
      <c r="D776" s="7">
        <v>14.61</v>
      </c>
      <c r="E776" s="85">
        <f t="shared" si="53"/>
        <v>2.3083800000000001</v>
      </c>
    </row>
    <row r="777" spans="1:5" ht="18" x14ac:dyDescent="0.35">
      <c r="A777" s="5"/>
      <c r="B777" s="50" t="s">
        <v>35</v>
      </c>
      <c r="C777" s="7">
        <v>4</v>
      </c>
      <c r="D777" s="7">
        <v>2.91</v>
      </c>
      <c r="E777" s="85">
        <f t="shared" si="53"/>
        <v>11.64</v>
      </c>
    </row>
    <row r="778" spans="1:5" ht="18" x14ac:dyDescent="0.35">
      <c r="A778" s="5"/>
      <c r="B778" s="50" t="s">
        <v>36</v>
      </c>
      <c r="C778" s="7">
        <v>4</v>
      </c>
      <c r="D778" s="7">
        <v>0.61</v>
      </c>
      <c r="E778" s="85">
        <f t="shared" si="53"/>
        <v>2.44</v>
      </c>
    </row>
    <row r="779" spans="1:5" ht="18" x14ac:dyDescent="0.35">
      <c r="A779" s="5"/>
      <c r="B779" s="5"/>
      <c r="C779" s="54"/>
      <c r="D779" s="54"/>
      <c r="E779" s="89">
        <f>SUM(E773:E778)</f>
        <v>156.08684</v>
      </c>
    </row>
    <row r="780" spans="1:5" ht="18" x14ac:dyDescent="0.35">
      <c r="A780" s="5"/>
      <c r="B780" s="50" t="s">
        <v>37</v>
      </c>
      <c r="C780" s="54">
        <v>0.5</v>
      </c>
      <c r="D780" s="54">
        <v>65</v>
      </c>
      <c r="E780" s="85">
        <f>C780*D780</f>
        <v>32.5</v>
      </c>
    </row>
    <row r="781" spans="1:5" ht="18" x14ac:dyDescent="0.35">
      <c r="A781" s="5"/>
      <c r="B781" s="5"/>
      <c r="C781" s="54"/>
      <c r="D781" s="54"/>
      <c r="E781" s="85">
        <f>SUM(E779:E780)</f>
        <v>188.58684</v>
      </c>
    </row>
    <row r="783" spans="1:5" ht="21" x14ac:dyDescent="0.4">
      <c r="A783" s="40" t="s">
        <v>599</v>
      </c>
      <c r="B783" s="40"/>
      <c r="C783" s="84"/>
    </row>
    <row r="784" spans="1:5" ht="18" x14ac:dyDescent="0.35">
      <c r="A784" s="5" t="s">
        <v>291</v>
      </c>
      <c r="B784" s="5"/>
      <c r="C784" s="7" t="s">
        <v>28</v>
      </c>
      <c r="D784" s="7" t="s">
        <v>29</v>
      </c>
      <c r="E784" s="7" t="s">
        <v>30</v>
      </c>
    </row>
    <row r="785" spans="1:5" ht="18" x14ac:dyDescent="0.35">
      <c r="A785" s="5" t="s">
        <v>56</v>
      </c>
      <c r="B785" s="50" t="s">
        <v>32</v>
      </c>
      <c r="C785" s="7">
        <v>2.6589999999999998</v>
      </c>
      <c r="D785" s="7">
        <v>30.44</v>
      </c>
      <c r="E785" s="85">
        <f t="shared" ref="E785:E790" si="54">C785*D785</f>
        <v>80.939959999999999</v>
      </c>
    </row>
    <row r="786" spans="1:5" ht="18" x14ac:dyDescent="0.35">
      <c r="A786" s="5" t="s">
        <v>820</v>
      </c>
      <c r="B786" s="50" t="s">
        <v>33</v>
      </c>
      <c r="C786" s="7">
        <v>17.965</v>
      </c>
      <c r="D786" s="7">
        <v>16.170000000000002</v>
      </c>
      <c r="E786" s="85">
        <f t="shared" si="54"/>
        <v>290.49405000000002</v>
      </c>
    </row>
    <row r="787" spans="1:5" ht="18" x14ac:dyDescent="0.35">
      <c r="B787" s="50" t="s">
        <v>89</v>
      </c>
      <c r="C787" s="7">
        <v>2</v>
      </c>
      <c r="D787" s="7">
        <v>3.4</v>
      </c>
      <c r="E787" s="85">
        <f t="shared" si="54"/>
        <v>6.8</v>
      </c>
    </row>
    <row r="788" spans="1:5" ht="18" x14ac:dyDescent="0.35">
      <c r="A788" s="5"/>
      <c r="B788" s="50" t="s">
        <v>34</v>
      </c>
      <c r="C788" s="7">
        <v>0.63</v>
      </c>
      <c r="D788" s="7">
        <v>14.61</v>
      </c>
      <c r="E788" s="85">
        <f t="shared" si="54"/>
        <v>9.2042999999999999</v>
      </c>
    </row>
    <row r="789" spans="1:5" ht="18" x14ac:dyDescent="0.35">
      <c r="A789" s="5"/>
      <c r="B789" s="50" t="s">
        <v>35</v>
      </c>
      <c r="C789" s="7">
        <v>4</v>
      </c>
      <c r="D789" s="7">
        <v>2.91</v>
      </c>
      <c r="E789" s="85">
        <f t="shared" si="54"/>
        <v>11.64</v>
      </c>
    </row>
    <row r="790" spans="1:5" ht="18" x14ac:dyDescent="0.35">
      <c r="A790" s="5"/>
      <c r="B790" s="50" t="s">
        <v>36</v>
      </c>
      <c r="C790" s="7">
        <v>4</v>
      </c>
      <c r="D790" s="7">
        <v>0.61</v>
      </c>
      <c r="E790" s="85">
        <f t="shared" si="54"/>
        <v>2.44</v>
      </c>
    </row>
    <row r="791" spans="1:5" ht="18" x14ac:dyDescent="0.35">
      <c r="A791" s="5"/>
      <c r="B791" s="5"/>
      <c r="C791" s="54"/>
      <c r="D791" s="54"/>
      <c r="E791" s="89">
        <f>SUM(E785:E790)</f>
        <v>401.51830999999999</v>
      </c>
    </row>
    <row r="792" spans="1:5" ht="18" x14ac:dyDescent="0.35">
      <c r="A792" s="5"/>
      <c r="B792" s="50" t="s">
        <v>37</v>
      </c>
      <c r="C792" s="54">
        <v>40</v>
      </c>
      <c r="D792" s="54">
        <v>65</v>
      </c>
      <c r="E792" s="85">
        <v>48.6</v>
      </c>
    </row>
    <row r="793" spans="1:5" ht="18" x14ac:dyDescent="0.35">
      <c r="A793" s="5"/>
      <c r="B793" s="5"/>
      <c r="C793" s="54"/>
      <c r="D793" s="54"/>
      <c r="E793" s="85">
        <f>SUM(E791:E792)</f>
        <v>450.11831000000001</v>
      </c>
    </row>
    <row r="795" spans="1:5" ht="21" x14ac:dyDescent="0.4">
      <c r="A795" s="40" t="s">
        <v>1025</v>
      </c>
      <c r="B795" s="40"/>
      <c r="C795" s="40"/>
      <c r="D795" s="12"/>
      <c r="E795" s="12"/>
    </row>
    <row r="796" spans="1:5" ht="18" x14ac:dyDescent="0.35">
      <c r="A796" s="5"/>
      <c r="B796" s="5"/>
      <c r="C796" s="7" t="s">
        <v>28</v>
      </c>
      <c r="D796" s="7" t="s">
        <v>29</v>
      </c>
      <c r="E796" s="7" t="s">
        <v>30</v>
      </c>
    </row>
    <row r="797" spans="1:5" ht="18" x14ac:dyDescent="0.35">
      <c r="A797" s="5" t="s">
        <v>41</v>
      </c>
      <c r="B797" s="50" t="s">
        <v>32</v>
      </c>
      <c r="C797" s="7">
        <v>1.399</v>
      </c>
      <c r="D797" s="7">
        <v>30.44</v>
      </c>
      <c r="E797" s="85">
        <f t="shared" ref="E797:E804" si="55">C797*D797</f>
        <v>42.585560000000001</v>
      </c>
    </row>
    <row r="798" spans="1:5" ht="18" x14ac:dyDescent="0.35">
      <c r="A798" s="5" t="s">
        <v>63</v>
      </c>
      <c r="B798" s="50" t="s">
        <v>33</v>
      </c>
      <c r="C798" s="7">
        <v>3.0870000000000002</v>
      </c>
      <c r="D798" s="7">
        <v>17.059999999999999</v>
      </c>
      <c r="E798" s="85">
        <f t="shared" si="55"/>
        <v>52.66422</v>
      </c>
    </row>
    <row r="799" spans="1:5" ht="18" x14ac:dyDescent="0.35">
      <c r="A799" s="5" t="s">
        <v>959</v>
      </c>
      <c r="B799" s="50" t="s">
        <v>137</v>
      </c>
      <c r="C799" s="7">
        <v>0.2</v>
      </c>
      <c r="D799" s="7">
        <v>17.190000000000001</v>
      </c>
      <c r="E799" s="85">
        <f t="shared" si="55"/>
        <v>3.4380000000000006</v>
      </c>
    </row>
    <row r="800" spans="1:5" ht="18" x14ac:dyDescent="0.35">
      <c r="A800" s="5"/>
      <c r="B800" s="50" t="s">
        <v>35</v>
      </c>
      <c r="C800" s="7">
        <v>4</v>
      </c>
      <c r="D800" s="7">
        <v>2.91</v>
      </c>
      <c r="E800" s="85">
        <f t="shared" si="55"/>
        <v>11.64</v>
      </c>
    </row>
    <row r="801" spans="1:5" ht="18" x14ac:dyDescent="0.35">
      <c r="A801" s="5"/>
      <c r="B801" s="50" t="s">
        <v>36</v>
      </c>
      <c r="C801" s="7">
        <v>4</v>
      </c>
      <c r="D801" s="7">
        <v>0.61</v>
      </c>
      <c r="E801" s="85">
        <f t="shared" si="55"/>
        <v>2.44</v>
      </c>
    </row>
    <row r="802" spans="1:5" ht="18" x14ac:dyDescent="0.35">
      <c r="A802" s="5"/>
      <c r="B802" s="50"/>
      <c r="C802" s="87"/>
      <c r="D802" s="88"/>
      <c r="E802" s="85">
        <f>SUM(E797:E801)</f>
        <v>112.76778</v>
      </c>
    </row>
    <row r="803" spans="1:5" ht="18" x14ac:dyDescent="0.35">
      <c r="A803" s="5"/>
      <c r="B803" s="50"/>
      <c r="C803" s="87"/>
      <c r="D803" s="88" t="s">
        <v>1085</v>
      </c>
      <c r="E803" s="85">
        <f>E802+E802*10%</f>
        <v>124.04455799999999</v>
      </c>
    </row>
    <row r="804" spans="1:5" ht="18" x14ac:dyDescent="0.35">
      <c r="A804" s="5"/>
      <c r="B804" s="50" t="s">
        <v>37</v>
      </c>
      <c r="C804" s="54">
        <v>0.5</v>
      </c>
      <c r="D804" s="86">
        <v>65</v>
      </c>
      <c r="E804" s="85">
        <f t="shared" si="55"/>
        <v>32.5</v>
      </c>
    </row>
    <row r="805" spans="1:5" ht="18" x14ac:dyDescent="0.35">
      <c r="A805" s="5"/>
      <c r="B805" s="5"/>
      <c r="C805" s="54"/>
      <c r="D805" s="54"/>
      <c r="E805" s="85">
        <f>SUM(E803:E804)</f>
        <v>156.54455799999999</v>
      </c>
    </row>
    <row r="808" spans="1:5" ht="21" x14ac:dyDescent="0.4">
      <c r="A808" s="40" t="s">
        <v>1086</v>
      </c>
      <c r="B808" s="40"/>
      <c r="C808" s="84"/>
      <c r="D808" s="12"/>
      <c r="E808" s="12"/>
    </row>
    <row r="809" spans="1:5" ht="21" x14ac:dyDescent="0.4">
      <c r="A809" s="40"/>
      <c r="B809" s="40"/>
      <c r="C809" s="84"/>
      <c r="D809" s="12"/>
      <c r="E809" s="12"/>
    </row>
    <row r="810" spans="1:5" ht="18" x14ac:dyDescent="0.35">
      <c r="A810" s="5"/>
      <c r="B810" s="5"/>
      <c r="C810" s="7" t="s">
        <v>28</v>
      </c>
      <c r="D810" s="7" t="s">
        <v>29</v>
      </c>
      <c r="E810" s="7" t="s">
        <v>30</v>
      </c>
    </row>
    <row r="811" spans="1:5" ht="18" x14ac:dyDescent="0.35">
      <c r="A811" s="5" t="s">
        <v>46</v>
      </c>
      <c r="B811" s="50" t="s">
        <v>32</v>
      </c>
      <c r="C811" s="7">
        <v>2.028</v>
      </c>
      <c r="D811" s="7">
        <v>45.07</v>
      </c>
      <c r="E811" s="85">
        <f t="shared" ref="E811:E818" si="56">C811*D811</f>
        <v>91.401960000000003</v>
      </c>
    </row>
    <row r="812" spans="1:5" ht="18" x14ac:dyDescent="0.35">
      <c r="A812" s="5" t="s">
        <v>39</v>
      </c>
      <c r="B812" s="50" t="s">
        <v>33</v>
      </c>
      <c r="C812" s="7">
        <v>3.3180000000000001</v>
      </c>
      <c r="D812" s="7">
        <v>16.170000000000002</v>
      </c>
      <c r="E812" s="85">
        <f t="shared" si="56"/>
        <v>53.652060000000006</v>
      </c>
    </row>
    <row r="813" spans="1:5" ht="18" x14ac:dyDescent="0.35">
      <c r="A813" s="5" t="s">
        <v>1087</v>
      </c>
      <c r="B813" s="50" t="s">
        <v>33</v>
      </c>
      <c r="C813" s="7">
        <v>3.78</v>
      </c>
      <c r="D813" s="7">
        <v>16.170000000000002</v>
      </c>
      <c r="E813" s="85">
        <f t="shared" si="56"/>
        <v>61.122600000000006</v>
      </c>
    </row>
    <row r="814" spans="1:5" ht="18" x14ac:dyDescent="0.35">
      <c r="A814" s="5" t="s">
        <v>1088</v>
      </c>
      <c r="B814" s="50" t="s">
        <v>359</v>
      </c>
      <c r="C814" s="7">
        <v>2</v>
      </c>
      <c r="D814" s="7">
        <v>3.62</v>
      </c>
      <c r="E814" s="85">
        <f t="shared" si="56"/>
        <v>7.24</v>
      </c>
    </row>
    <row r="815" spans="1:5" ht="18" x14ac:dyDescent="0.35">
      <c r="A815" s="5" t="s">
        <v>1038</v>
      </c>
      <c r="B815" s="50" t="s">
        <v>43</v>
      </c>
      <c r="C815" s="88">
        <v>2</v>
      </c>
      <c r="D815" s="88">
        <v>2.2400000000000002</v>
      </c>
      <c r="E815" s="90">
        <f t="shared" si="56"/>
        <v>4.4800000000000004</v>
      </c>
    </row>
    <row r="816" spans="1:5" ht="18" x14ac:dyDescent="0.35">
      <c r="A816" s="5"/>
      <c r="B816" s="50" t="s">
        <v>34</v>
      </c>
      <c r="C816" s="7">
        <v>0.11</v>
      </c>
      <c r="D816" s="7">
        <v>13.67</v>
      </c>
      <c r="E816" s="85">
        <f t="shared" si="56"/>
        <v>1.5037</v>
      </c>
    </row>
    <row r="817" spans="1:5" ht="18" x14ac:dyDescent="0.35">
      <c r="A817" s="5"/>
      <c r="B817" s="50" t="s">
        <v>35</v>
      </c>
      <c r="C817" s="7">
        <v>4</v>
      </c>
      <c r="D817" s="7">
        <v>2.89</v>
      </c>
      <c r="E817" s="85">
        <f t="shared" si="56"/>
        <v>11.56</v>
      </c>
    </row>
    <row r="818" spans="1:5" ht="18" x14ac:dyDescent="0.35">
      <c r="A818" s="5"/>
      <c r="B818" s="50" t="s">
        <v>36</v>
      </c>
      <c r="C818" s="7">
        <v>4</v>
      </c>
      <c r="D818" s="7">
        <v>0.6</v>
      </c>
      <c r="E818" s="85">
        <f t="shared" si="56"/>
        <v>2.4</v>
      </c>
    </row>
    <row r="819" spans="1:5" ht="18" x14ac:dyDescent="0.35">
      <c r="A819" s="5"/>
      <c r="B819" s="5"/>
      <c r="C819" s="54"/>
      <c r="D819" s="54"/>
      <c r="E819" s="89">
        <f>SUM(E811:E818)</f>
        <v>233.36032000000003</v>
      </c>
    </row>
    <row r="820" spans="1:5" ht="18" x14ac:dyDescent="0.35">
      <c r="A820" s="5"/>
      <c r="B820" s="5"/>
      <c r="C820" s="54"/>
      <c r="D820" s="105">
        <v>0.1</v>
      </c>
      <c r="E820" s="89">
        <f>E819+E819*10%</f>
        <v>256.69635200000005</v>
      </c>
    </row>
    <row r="821" spans="1:5" ht="18" x14ac:dyDescent="0.35">
      <c r="A821" s="5"/>
      <c r="B821" s="50" t="s">
        <v>37</v>
      </c>
      <c r="C821" s="54">
        <v>0.5</v>
      </c>
      <c r="D821" s="54">
        <v>56</v>
      </c>
      <c r="E821" s="85">
        <f>C821*D821</f>
        <v>28</v>
      </c>
    </row>
    <row r="822" spans="1:5" ht="18" x14ac:dyDescent="0.35">
      <c r="A822" s="5"/>
      <c r="B822" s="5"/>
      <c r="C822" s="54"/>
      <c r="D822" s="54"/>
      <c r="E822" s="85">
        <f>E820+E821</f>
        <v>284.69635200000005</v>
      </c>
    </row>
    <row r="824" spans="1:5" ht="21" x14ac:dyDescent="0.4">
      <c r="A824" s="40" t="s">
        <v>599</v>
      </c>
      <c r="B824" s="40"/>
      <c r="C824" s="84"/>
    </row>
    <row r="825" spans="1:5" ht="18" x14ac:dyDescent="0.35">
      <c r="A825" s="5" t="s">
        <v>424</v>
      </c>
      <c r="B825" s="5"/>
      <c r="C825" s="7" t="s">
        <v>28</v>
      </c>
      <c r="D825" s="7" t="s">
        <v>29</v>
      </c>
      <c r="E825" s="7" t="s">
        <v>30</v>
      </c>
    </row>
    <row r="826" spans="1:5" ht="18" x14ac:dyDescent="0.35">
      <c r="A826" s="5" t="s">
        <v>55</v>
      </c>
      <c r="B826" s="50" t="s">
        <v>32</v>
      </c>
      <c r="C826" s="7">
        <v>2.2999999999999998</v>
      </c>
      <c r="D826" s="7">
        <v>30.44</v>
      </c>
      <c r="E826" s="85">
        <f t="shared" ref="E826:E831" si="57">C826*D826</f>
        <v>70.012</v>
      </c>
    </row>
    <row r="827" spans="1:5" ht="18" x14ac:dyDescent="0.35">
      <c r="A827" s="5" t="s">
        <v>1118</v>
      </c>
      <c r="B827" s="50" t="s">
        <v>33</v>
      </c>
      <c r="C827" s="7">
        <v>12.348000000000001</v>
      </c>
      <c r="D827" s="7">
        <v>16.170000000000002</v>
      </c>
      <c r="E827" s="85">
        <f t="shared" si="57"/>
        <v>199.66716000000002</v>
      </c>
    </row>
    <row r="828" spans="1:5" ht="18" x14ac:dyDescent="0.35">
      <c r="A828" s="102" t="s">
        <v>1119</v>
      </c>
      <c r="B828" s="50" t="s">
        <v>88</v>
      </c>
      <c r="C828" s="7">
        <v>2</v>
      </c>
      <c r="D828" s="7">
        <v>2.2400000000000002</v>
      </c>
      <c r="E828" s="85">
        <f t="shared" si="57"/>
        <v>4.4800000000000004</v>
      </c>
    </row>
    <row r="829" spans="1:5" ht="18" x14ac:dyDescent="0.35">
      <c r="A829" s="5"/>
      <c r="B829" s="50" t="s">
        <v>34</v>
      </c>
      <c r="C829" s="7">
        <v>0.5</v>
      </c>
      <c r="D829" s="7">
        <v>14.61</v>
      </c>
      <c r="E829" s="85">
        <f t="shared" si="57"/>
        <v>7.3049999999999997</v>
      </c>
    </row>
    <row r="830" spans="1:5" ht="18" x14ac:dyDescent="0.35">
      <c r="A830" s="5"/>
      <c r="B830" s="50" t="s">
        <v>35</v>
      </c>
      <c r="C830" s="7">
        <v>4</v>
      </c>
      <c r="D830" s="7">
        <v>2.91</v>
      </c>
      <c r="E830" s="85">
        <f t="shared" si="57"/>
        <v>11.64</v>
      </c>
    </row>
    <row r="831" spans="1:5" ht="18" x14ac:dyDescent="0.35">
      <c r="A831" s="5"/>
      <c r="B831" s="50" t="s">
        <v>36</v>
      </c>
      <c r="C831" s="7">
        <v>4</v>
      </c>
      <c r="D831" s="7">
        <v>0.61</v>
      </c>
      <c r="E831" s="85">
        <f t="shared" si="57"/>
        <v>2.44</v>
      </c>
    </row>
    <row r="832" spans="1:5" ht="18" x14ac:dyDescent="0.35">
      <c r="A832" s="5"/>
      <c r="B832" s="5"/>
      <c r="C832" s="54"/>
      <c r="D832" s="54"/>
      <c r="E832" s="89">
        <f>SUM(E826:E831)</f>
        <v>295.54416000000003</v>
      </c>
    </row>
    <row r="833" spans="1:5" ht="18" x14ac:dyDescent="0.35">
      <c r="A833" s="5"/>
      <c r="B833" s="5"/>
      <c r="C833" s="54"/>
      <c r="D833" s="54"/>
      <c r="E833" s="89">
        <f>E832+E832*10%</f>
        <v>325.09857600000004</v>
      </c>
    </row>
    <row r="834" spans="1:5" ht="18" x14ac:dyDescent="0.35">
      <c r="A834" s="5"/>
      <c r="B834" s="50" t="s">
        <v>37</v>
      </c>
      <c r="C834" s="54">
        <v>50</v>
      </c>
      <c r="D834" s="54">
        <v>1.1000000000000001</v>
      </c>
      <c r="E834" s="85">
        <v>55</v>
      </c>
    </row>
    <row r="835" spans="1:5" ht="18" x14ac:dyDescent="0.35">
      <c r="A835" s="5"/>
      <c r="B835" s="5"/>
      <c r="C835" s="54"/>
      <c r="D835" s="54"/>
      <c r="E835" s="85">
        <f>SUM(E833:E834)</f>
        <v>380.09857600000004</v>
      </c>
    </row>
    <row r="838" spans="1:5" ht="21" x14ac:dyDescent="0.4">
      <c r="A838" s="40" t="s">
        <v>1026</v>
      </c>
      <c r="B838" s="40"/>
      <c r="C838" s="84"/>
    </row>
    <row r="839" spans="1:5" ht="18" x14ac:dyDescent="0.35">
      <c r="A839" s="5" t="s">
        <v>1135</v>
      </c>
      <c r="B839" s="5"/>
      <c r="C839" s="7" t="s">
        <v>28</v>
      </c>
      <c r="D839" s="7" t="s">
        <v>29</v>
      </c>
      <c r="E839" s="7" t="s">
        <v>30</v>
      </c>
    </row>
    <row r="840" spans="1:5" ht="18" x14ac:dyDescent="0.35">
      <c r="A840" s="5" t="s">
        <v>220</v>
      </c>
      <c r="B840" s="50" t="s">
        <v>32</v>
      </c>
      <c r="C840" s="7">
        <v>2.2069999999999999</v>
      </c>
      <c r="D840" s="7">
        <v>30.44</v>
      </c>
      <c r="E840" s="85">
        <f t="shared" ref="E840:E845" si="58">C840*D840</f>
        <v>67.181079999999994</v>
      </c>
    </row>
    <row r="841" spans="1:5" ht="18" x14ac:dyDescent="0.35">
      <c r="A841" s="5" t="s">
        <v>1136</v>
      </c>
      <c r="B841" s="50" t="s">
        <v>33</v>
      </c>
      <c r="C841" s="7">
        <v>6.8879999999999999</v>
      </c>
      <c r="D841" s="7">
        <v>16.170000000000002</v>
      </c>
      <c r="E841" s="85">
        <f t="shared" si="58"/>
        <v>111.37896000000001</v>
      </c>
    </row>
    <row r="842" spans="1:5" ht="18" x14ac:dyDescent="0.35">
      <c r="A842" s="102"/>
      <c r="B842" s="50" t="s">
        <v>1137</v>
      </c>
      <c r="C842" s="7">
        <v>2</v>
      </c>
      <c r="D842" s="7">
        <v>1.6</v>
      </c>
      <c r="E842" s="85">
        <f t="shared" si="58"/>
        <v>3.2</v>
      </c>
    </row>
    <row r="843" spans="1:5" ht="18" x14ac:dyDescent="0.35">
      <c r="A843" s="5"/>
      <c r="B843" s="50" t="s">
        <v>34</v>
      </c>
      <c r="C843" s="7">
        <v>0.31</v>
      </c>
      <c r="D843" s="7">
        <v>14.61</v>
      </c>
      <c r="E843" s="85">
        <f t="shared" si="58"/>
        <v>4.5290999999999997</v>
      </c>
    </row>
    <row r="844" spans="1:5" ht="18" x14ac:dyDescent="0.35">
      <c r="A844" s="5"/>
      <c r="B844" s="50" t="s">
        <v>35</v>
      </c>
      <c r="C844" s="7">
        <v>4</v>
      </c>
      <c r="D844" s="7">
        <v>2.91</v>
      </c>
      <c r="E844" s="85">
        <f t="shared" si="58"/>
        <v>11.64</v>
      </c>
    </row>
    <row r="845" spans="1:5" ht="18" x14ac:dyDescent="0.35">
      <c r="A845" s="5"/>
      <c r="B845" s="50" t="s">
        <v>36</v>
      </c>
      <c r="C845" s="7">
        <v>4</v>
      </c>
      <c r="D845" s="7">
        <v>0.61</v>
      </c>
      <c r="E845" s="85">
        <f t="shared" si="58"/>
        <v>2.44</v>
      </c>
    </row>
    <row r="846" spans="1:5" ht="18" x14ac:dyDescent="0.35">
      <c r="A846" s="5"/>
      <c r="B846" s="5"/>
      <c r="C846" s="54"/>
      <c r="D846" s="54"/>
      <c r="E846" s="89">
        <f>SUM(E840:E845)</f>
        <v>200.36914000000002</v>
      </c>
    </row>
    <row r="847" spans="1:5" ht="18" x14ac:dyDescent="0.35">
      <c r="A847" s="5"/>
      <c r="B847" s="5"/>
      <c r="C847" s="54"/>
      <c r="D847" s="54" t="s">
        <v>1138</v>
      </c>
      <c r="E847" s="89">
        <f>E846+E846*10%</f>
        <v>220.40605400000001</v>
      </c>
    </row>
    <row r="848" spans="1:5" ht="18" x14ac:dyDescent="0.35">
      <c r="A848" s="5"/>
      <c r="B848" s="50" t="s">
        <v>37</v>
      </c>
      <c r="C848" s="54">
        <v>50</v>
      </c>
      <c r="D848" s="54">
        <v>1.42</v>
      </c>
      <c r="E848" s="85">
        <f>C848*D848</f>
        <v>71</v>
      </c>
    </row>
    <row r="849" spans="1:5" ht="18" x14ac:dyDescent="0.35">
      <c r="A849" s="5"/>
      <c r="B849" s="5"/>
      <c r="C849" s="54"/>
      <c r="D849" s="54"/>
      <c r="E849" s="85">
        <f>SUM(E847:E848)</f>
        <v>291.40605400000004</v>
      </c>
    </row>
    <row r="852" spans="1:5" ht="21" x14ac:dyDescent="0.4">
      <c r="A852" s="40" t="s">
        <v>1139</v>
      </c>
      <c r="B852" s="40"/>
      <c r="C852" s="40"/>
      <c r="D852" s="12"/>
      <c r="E852" s="12"/>
    </row>
    <row r="853" spans="1:5" ht="18" x14ac:dyDescent="0.35">
      <c r="A853" s="5"/>
      <c r="B853" s="5"/>
      <c r="C853" s="7" t="s">
        <v>28</v>
      </c>
      <c r="D853" s="7" t="s">
        <v>29</v>
      </c>
      <c r="E853" s="7" t="s">
        <v>30</v>
      </c>
    </row>
    <row r="854" spans="1:5" ht="18" x14ac:dyDescent="0.35">
      <c r="A854" s="5" t="s">
        <v>242</v>
      </c>
      <c r="B854" s="50" t="s">
        <v>32</v>
      </c>
      <c r="C854" s="7">
        <v>2.5110000000000001</v>
      </c>
      <c r="D854" s="7">
        <v>30.44</v>
      </c>
      <c r="E854" s="85">
        <f>C854*D854</f>
        <v>76.434840000000008</v>
      </c>
    </row>
    <row r="855" spans="1:5" ht="18" x14ac:dyDescent="0.35">
      <c r="A855" s="5" t="s">
        <v>229</v>
      </c>
      <c r="B855" s="50" t="s">
        <v>33</v>
      </c>
      <c r="C855" s="7">
        <v>8.3160000000000007</v>
      </c>
      <c r="D855" s="7">
        <v>17.059999999999999</v>
      </c>
      <c r="E855" s="85">
        <f>C855*D855</f>
        <v>141.87096</v>
      </c>
    </row>
    <row r="856" spans="1:5" ht="18" x14ac:dyDescent="0.35">
      <c r="A856" s="5" t="s">
        <v>959</v>
      </c>
      <c r="B856" s="50" t="s">
        <v>137</v>
      </c>
      <c r="C856" s="7">
        <v>0.52</v>
      </c>
      <c r="D856" s="7">
        <v>17.190000000000001</v>
      </c>
      <c r="E856" s="85">
        <f>C856*D856</f>
        <v>8.9388000000000005</v>
      </c>
    </row>
    <row r="857" spans="1:5" ht="18" x14ac:dyDescent="0.35">
      <c r="A857" s="5"/>
      <c r="B857" s="50" t="s">
        <v>35</v>
      </c>
      <c r="C857" s="7">
        <v>4</v>
      </c>
      <c r="D857" s="7">
        <v>2.91</v>
      </c>
      <c r="E857" s="85">
        <f>C857*D857</f>
        <v>11.64</v>
      </c>
    </row>
    <row r="858" spans="1:5" ht="18" x14ac:dyDescent="0.35">
      <c r="A858" s="5"/>
      <c r="B858" s="50" t="s">
        <v>36</v>
      </c>
      <c r="C858" s="7">
        <v>4</v>
      </c>
      <c r="D858" s="7">
        <v>0.61</v>
      </c>
      <c r="E858" s="85">
        <f>C858*D858</f>
        <v>2.44</v>
      </c>
    </row>
    <row r="859" spans="1:5" ht="18" x14ac:dyDescent="0.35">
      <c r="A859" s="5"/>
      <c r="B859" s="50"/>
      <c r="C859" s="87"/>
      <c r="D859" s="88"/>
      <c r="E859" s="85">
        <f>SUM(E854:E858)</f>
        <v>241.32459999999998</v>
      </c>
    </row>
    <row r="860" spans="1:5" ht="18" x14ac:dyDescent="0.35">
      <c r="A860" s="5"/>
      <c r="B860" s="50"/>
      <c r="C860" s="87"/>
      <c r="D860" s="88" t="s">
        <v>1085</v>
      </c>
      <c r="E860" s="85">
        <f>E859+E859*10%</f>
        <v>265.45705999999996</v>
      </c>
    </row>
    <row r="861" spans="1:5" ht="18" x14ac:dyDescent="0.35">
      <c r="A861" s="5"/>
      <c r="B861" s="50" t="s">
        <v>37</v>
      </c>
      <c r="C861" s="54">
        <v>1</v>
      </c>
      <c r="D861" s="86">
        <v>65</v>
      </c>
      <c r="E861" s="85">
        <f>C861*D861</f>
        <v>65</v>
      </c>
    </row>
    <row r="862" spans="1:5" ht="18" x14ac:dyDescent="0.35">
      <c r="A862" s="5"/>
      <c r="B862" s="5"/>
      <c r="C862" s="54"/>
      <c r="D862" s="54"/>
      <c r="E862" s="85">
        <v>335</v>
      </c>
    </row>
    <row r="864" spans="1:5" ht="21" x14ac:dyDescent="0.4">
      <c r="A864" s="40" t="s">
        <v>1148</v>
      </c>
      <c r="B864" s="40"/>
      <c r="C864" s="40"/>
      <c r="D864" s="12"/>
      <c r="E864" s="12"/>
    </row>
    <row r="865" spans="1:5" ht="18" x14ac:dyDescent="0.35">
      <c r="A865" s="5"/>
      <c r="B865" s="5"/>
      <c r="C865" s="7" t="s">
        <v>28</v>
      </c>
      <c r="D865" s="7" t="s">
        <v>29</v>
      </c>
      <c r="E865" s="7" t="s">
        <v>30</v>
      </c>
    </row>
    <row r="866" spans="1:5" ht="18" x14ac:dyDescent="0.35">
      <c r="A866" s="5" t="s">
        <v>169</v>
      </c>
      <c r="B866" s="50" t="s">
        <v>32</v>
      </c>
      <c r="C866" s="7">
        <v>1.272</v>
      </c>
      <c r="D866" s="7">
        <v>30.44</v>
      </c>
      <c r="E866" s="85">
        <f>C866*D866</f>
        <v>38.719680000000004</v>
      </c>
    </row>
    <row r="867" spans="1:5" ht="18" x14ac:dyDescent="0.35">
      <c r="A867" s="5" t="s">
        <v>229</v>
      </c>
      <c r="B867" s="50" t="s">
        <v>33</v>
      </c>
      <c r="C867" s="7">
        <v>0.51400000000000001</v>
      </c>
      <c r="D867" s="7">
        <v>17.059999999999999</v>
      </c>
      <c r="E867" s="85">
        <f>C867*D867</f>
        <v>8.7688399999999991</v>
      </c>
    </row>
    <row r="868" spans="1:5" ht="18" x14ac:dyDescent="0.35">
      <c r="A868" s="5" t="s">
        <v>959</v>
      </c>
      <c r="B868" s="50" t="s">
        <v>137</v>
      </c>
      <c r="C868" s="7">
        <v>0.08</v>
      </c>
      <c r="D868" s="7">
        <v>17.190000000000001</v>
      </c>
      <c r="E868" s="85">
        <f>C868*D868</f>
        <v>1.3752000000000002</v>
      </c>
    </row>
    <row r="869" spans="1:5" ht="18" x14ac:dyDescent="0.35">
      <c r="A869" s="5"/>
      <c r="B869" s="50" t="s">
        <v>35</v>
      </c>
      <c r="C869" s="7">
        <v>4</v>
      </c>
      <c r="D869" s="7">
        <v>2.91</v>
      </c>
      <c r="E869" s="85">
        <f>C869*D869</f>
        <v>11.64</v>
      </c>
    </row>
    <row r="870" spans="1:5" ht="18" x14ac:dyDescent="0.35">
      <c r="A870" s="5"/>
      <c r="B870" s="50" t="s">
        <v>36</v>
      </c>
      <c r="C870" s="7">
        <v>4</v>
      </c>
      <c r="D870" s="7">
        <v>0.61</v>
      </c>
      <c r="E870" s="85">
        <f>C870*D870</f>
        <v>2.44</v>
      </c>
    </row>
    <row r="871" spans="1:5" ht="18" x14ac:dyDescent="0.35">
      <c r="A871" s="5"/>
      <c r="B871" s="50"/>
      <c r="C871" s="87"/>
      <c r="D871" s="88"/>
      <c r="E871" s="85">
        <f>SUM(E866:E870)</f>
        <v>62.943719999999999</v>
      </c>
    </row>
    <row r="872" spans="1:5" ht="18" x14ac:dyDescent="0.35">
      <c r="A872" s="5"/>
      <c r="B872" s="50"/>
      <c r="C872" s="87"/>
      <c r="D872" s="88" t="s">
        <v>1085</v>
      </c>
      <c r="E872" s="85">
        <f>E871+E871*10%</f>
        <v>69.238091999999995</v>
      </c>
    </row>
    <row r="873" spans="1:5" ht="18" x14ac:dyDescent="0.35">
      <c r="A873" s="5"/>
      <c r="B873" s="50" t="s">
        <v>37</v>
      </c>
      <c r="C873" s="54">
        <v>0.5</v>
      </c>
      <c r="D873" s="86">
        <v>65</v>
      </c>
      <c r="E873" s="85">
        <f>C873*D873</f>
        <v>32.5</v>
      </c>
    </row>
    <row r="874" spans="1:5" ht="18" x14ac:dyDescent="0.35">
      <c r="A874" s="5"/>
      <c r="B874" s="5"/>
      <c r="C874" s="54"/>
      <c r="D874" s="54"/>
      <c r="E874" s="85">
        <f>SUM(E872:E873)</f>
        <v>101.73809199999999</v>
      </c>
    </row>
    <row r="876" spans="1:5" ht="21" x14ac:dyDescent="0.4">
      <c r="A876" s="40" t="s">
        <v>599</v>
      </c>
      <c r="B876" s="40"/>
      <c r="C876" s="84"/>
    </row>
    <row r="877" spans="1:5" ht="18" x14ac:dyDescent="0.35">
      <c r="A877" s="5" t="s">
        <v>66</v>
      </c>
      <c r="B877" s="5"/>
      <c r="C877" s="7" t="s">
        <v>28</v>
      </c>
      <c r="D877" s="7" t="s">
        <v>29</v>
      </c>
      <c r="E877" s="7" t="s">
        <v>30</v>
      </c>
    </row>
    <row r="878" spans="1:5" ht="18" x14ac:dyDescent="0.35">
      <c r="A878" s="5" t="s">
        <v>143</v>
      </c>
      <c r="B878" s="50" t="s">
        <v>32</v>
      </c>
      <c r="C878" s="7">
        <v>1.5029999999999999</v>
      </c>
      <c r="D878" s="7">
        <v>30.44</v>
      </c>
      <c r="E878" s="85">
        <f t="shared" ref="E878:E883" si="59">C878*D878</f>
        <v>45.75132</v>
      </c>
    </row>
    <row r="879" spans="1:5" ht="18" x14ac:dyDescent="0.35">
      <c r="A879" s="5" t="s">
        <v>747</v>
      </c>
      <c r="B879" s="50" t="s">
        <v>33</v>
      </c>
      <c r="C879" s="7">
        <v>3.0870000000000002</v>
      </c>
      <c r="D879" s="7">
        <v>16.170000000000002</v>
      </c>
      <c r="E879" s="85">
        <f t="shared" si="59"/>
        <v>49.916790000000006</v>
      </c>
    </row>
    <row r="880" spans="1:5" ht="18" x14ac:dyDescent="0.35">
      <c r="A880" s="102" t="s">
        <v>1119</v>
      </c>
      <c r="B880" s="50" t="s">
        <v>96</v>
      </c>
      <c r="C880" s="7">
        <v>2</v>
      </c>
      <c r="D880" s="7">
        <v>1.6</v>
      </c>
      <c r="E880" s="85">
        <f t="shared" si="59"/>
        <v>3.2</v>
      </c>
    </row>
    <row r="881" spans="1:5" ht="18" x14ac:dyDescent="0.35">
      <c r="A881" s="5"/>
      <c r="B881" s="50" t="s">
        <v>34</v>
      </c>
      <c r="C881" s="7"/>
      <c r="D881" s="7">
        <v>14.61</v>
      </c>
      <c r="E881" s="85">
        <f t="shared" si="59"/>
        <v>0</v>
      </c>
    </row>
    <row r="882" spans="1:5" ht="18" x14ac:dyDescent="0.35">
      <c r="A882" s="5"/>
      <c r="B882" s="50" t="s">
        <v>35</v>
      </c>
      <c r="C882" s="7">
        <v>4</v>
      </c>
      <c r="D882" s="7">
        <v>2.91</v>
      </c>
      <c r="E882" s="85">
        <f t="shared" si="59"/>
        <v>11.64</v>
      </c>
    </row>
    <row r="883" spans="1:5" ht="18" x14ac:dyDescent="0.35">
      <c r="A883" s="5"/>
      <c r="B883" s="50" t="s">
        <v>36</v>
      </c>
      <c r="C883" s="7">
        <v>4</v>
      </c>
      <c r="D883" s="7">
        <v>0.61</v>
      </c>
      <c r="E883" s="85">
        <f t="shared" si="59"/>
        <v>2.44</v>
      </c>
    </row>
    <row r="884" spans="1:5" ht="18" x14ac:dyDescent="0.35">
      <c r="A884" s="5"/>
      <c r="B884" s="5"/>
      <c r="C884" s="54"/>
      <c r="D884" s="54"/>
      <c r="E884" s="89">
        <f>SUM(E878:E883)</f>
        <v>112.94811000000001</v>
      </c>
    </row>
    <row r="885" spans="1:5" ht="18" x14ac:dyDescent="0.35">
      <c r="A885" s="5"/>
      <c r="B885" s="5"/>
      <c r="C885" s="54"/>
      <c r="D885" s="54" t="s">
        <v>1158</v>
      </c>
      <c r="E885" s="89">
        <f>E884+E884*10%</f>
        <v>124.24292100000002</v>
      </c>
    </row>
    <row r="886" spans="1:5" ht="18" x14ac:dyDescent="0.35">
      <c r="A886" s="5"/>
      <c r="B886" s="50" t="s">
        <v>37</v>
      </c>
      <c r="C886" s="54">
        <v>50</v>
      </c>
      <c r="D886" s="54">
        <v>1.1000000000000001</v>
      </c>
      <c r="E886" s="85">
        <v>55</v>
      </c>
    </row>
    <row r="887" spans="1:5" ht="18" x14ac:dyDescent="0.35">
      <c r="A887" s="5"/>
      <c r="B887" s="5"/>
      <c r="C887" s="54"/>
      <c r="D887" s="54"/>
      <c r="E887" s="85">
        <f>SUM(E885:E886)</f>
        <v>179.24292100000002</v>
      </c>
    </row>
    <row r="889" spans="1:5" ht="21" x14ac:dyDescent="0.4">
      <c r="A889" s="40" t="s">
        <v>1168</v>
      </c>
    </row>
    <row r="890" spans="1:5" ht="21" x14ac:dyDescent="0.4">
      <c r="A890" s="40" t="s">
        <v>599</v>
      </c>
      <c r="B890" s="40"/>
      <c r="C890" s="84"/>
    </row>
    <row r="891" spans="1:5" ht="18" x14ac:dyDescent="0.35">
      <c r="A891" s="5" t="s">
        <v>1169</v>
      </c>
      <c r="B891" s="5"/>
      <c r="C891" s="7" t="s">
        <v>28</v>
      </c>
      <c r="D891" s="7" t="s">
        <v>29</v>
      </c>
      <c r="E891" s="7" t="s">
        <v>30</v>
      </c>
    </row>
    <row r="892" spans="1:5" ht="18" x14ac:dyDescent="0.35">
      <c r="A892" s="5" t="s">
        <v>214</v>
      </c>
      <c r="B892" s="50" t="s">
        <v>32</v>
      </c>
      <c r="C892" s="7">
        <v>1.839</v>
      </c>
      <c r="D892" s="7">
        <v>30.44</v>
      </c>
      <c r="E892" s="85">
        <f t="shared" ref="E892:E897" si="60">C892*D892</f>
        <v>55.97916</v>
      </c>
    </row>
    <row r="893" spans="1:5" ht="18" x14ac:dyDescent="0.35">
      <c r="A893" s="5" t="s">
        <v>747</v>
      </c>
      <c r="B893" s="50" t="s">
        <v>33</v>
      </c>
      <c r="C893" s="7">
        <v>2.19</v>
      </c>
      <c r="D893" s="7">
        <v>16.170000000000002</v>
      </c>
      <c r="E893" s="85">
        <f t="shared" si="60"/>
        <v>35.412300000000002</v>
      </c>
    </row>
    <row r="894" spans="1:5" ht="18" x14ac:dyDescent="0.35">
      <c r="A894" s="102" t="s">
        <v>1119</v>
      </c>
      <c r="B894" s="50" t="s">
        <v>1170</v>
      </c>
      <c r="C894" s="7">
        <v>2</v>
      </c>
      <c r="D894" s="7">
        <v>1.1499999999999999</v>
      </c>
      <c r="E894" s="85">
        <f t="shared" si="60"/>
        <v>2.2999999999999998</v>
      </c>
    </row>
    <row r="895" spans="1:5" ht="18" x14ac:dyDescent="0.35">
      <c r="A895" s="5"/>
      <c r="B895" s="50" t="s">
        <v>34</v>
      </c>
      <c r="C895" s="7"/>
      <c r="D895" s="7">
        <v>14.61</v>
      </c>
      <c r="E895" s="85">
        <f t="shared" si="60"/>
        <v>0</v>
      </c>
    </row>
    <row r="896" spans="1:5" ht="18" x14ac:dyDescent="0.35">
      <c r="A896" s="5"/>
      <c r="B896" s="50" t="s">
        <v>35</v>
      </c>
      <c r="C896" s="7">
        <v>4</v>
      </c>
      <c r="D896" s="7">
        <v>2.91</v>
      </c>
      <c r="E896" s="85">
        <f t="shared" si="60"/>
        <v>11.64</v>
      </c>
    </row>
    <row r="897" spans="1:5" ht="18" x14ac:dyDescent="0.35">
      <c r="A897" s="5"/>
      <c r="B897" s="50" t="s">
        <v>36</v>
      </c>
      <c r="C897" s="7">
        <v>4</v>
      </c>
      <c r="D897" s="7">
        <v>0.61</v>
      </c>
      <c r="E897" s="85">
        <f t="shared" si="60"/>
        <v>2.44</v>
      </c>
    </row>
    <row r="898" spans="1:5" ht="18" x14ac:dyDescent="0.35">
      <c r="A898" s="5"/>
      <c r="B898" s="5"/>
      <c r="C898" s="54"/>
      <c r="D898" s="54"/>
      <c r="E898" s="89">
        <f>SUM(E892:E897)</f>
        <v>107.77145999999999</v>
      </c>
    </row>
    <row r="899" spans="1:5" ht="18" x14ac:dyDescent="0.35">
      <c r="A899" s="5"/>
      <c r="B899" s="5"/>
      <c r="C899" s="54"/>
      <c r="D899" s="54" t="s">
        <v>1158</v>
      </c>
      <c r="E899" s="89">
        <f>E898+E898*10%</f>
        <v>118.54860599999999</v>
      </c>
    </row>
    <row r="900" spans="1:5" ht="18" x14ac:dyDescent="0.35">
      <c r="A900" s="5"/>
      <c r="B900" s="50" t="s">
        <v>37</v>
      </c>
      <c r="C900" s="54">
        <v>50</v>
      </c>
      <c r="D900" s="54">
        <v>1.1000000000000001</v>
      </c>
      <c r="E900" s="85">
        <v>55</v>
      </c>
    </row>
    <row r="901" spans="1:5" ht="18" x14ac:dyDescent="0.35">
      <c r="A901" s="5"/>
      <c r="B901" s="5"/>
      <c r="C901" s="54"/>
      <c r="D901" s="54"/>
      <c r="E901" s="85">
        <f>SUM(E899:E900)</f>
        <v>173.54860600000001</v>
      </c>
    </row>
    <row r="903" spans="1:5" ht="21" x14ac:dyDescent="0.4">
      <c r="A903" s="40" t="s">
        <v>599</v>
      </c>
      <c r="B903" s="40"/>
      <c r="C903" s="84"/>
    </row>
    <row r="904" spans="1:5" ht="18" x14ac:dyDescent="0.35">
      <c r="A904" s="5" t="s">
        <v>1193</v>
      </c>
      <c r="B904" s="5"/>
      <c r="C904" s="7" t="s">
        <v>28</v>
      </c>
      <c r="D904" s="7" t="s">
        <v>29</v>
      </c>
      <c r="E904" s="7" t="s">
        <v>30</v>
      </c>
    </row>
    <row r="905" spans="1:5" ht="18" x14ac:dyDescent="0.35">
      <c r="A905" s="5" t="s">
        <v>171</v>
      </c>
      <c r="B905" s="50" t="s">
        <v>32</v>
      </c>
      <c r="C905" s="7">
        <v>0.59199999999999997</v>
      </c>
      <c r="D905" s="7">
        <v>30.44</v>
      </c>
      <c r="E905" s="85">
        <f t="shared" ref="E905:E910" si="61">C905*D905</f>
        <v>18.020479999999999</v>
      </c>
    </row>
    <row r="906" spans="1:5" ht="18" x14ac:dyDescent="0.35">
      <c r="A906" s="5" t="s">
        <v>990</v>
      </c>
      <c r="B906" s="50" t="s">
        <v>33</v>
      </c>
      <c r="C906" s="7">
        <v>0.35799999999999998</v>
      </c>
      <c r="D906" s="7">
        <v>16.170000000000002</v>
      </c>
      <c r="E906" s="85">
        <f t="shared" si="61"/>
        <v>5.7888600000000006</v>
      </c>
    </row>
    <row r="907" spans="1:5" ht="18" x14ac:dyDescent="0.35">
      <c r="A907" s="102" t="s">
        <v>1119</v>
      </c>
      <c r="B907" s="50" t="s">
        <v>1170</v>
      </c>
      <c r="C907" s="7">
        <v>2</v>
      </c>
      <c r="D907" s="7">
        <v>1.1499999999999999</v>
      </c>
      <c r="E907" s="85">
        <f t="shared" si="61"/>
        <v>2.2999999999999998</v>
      </c>
    </row>
    <row r="908" spans="1:5" ht="18" x14ac:dyDescent="0.35">
      <c r="A908" s="5"/>
      <c r="B908" s="50" t="s">
        <v>34</v>
      </c>
      <c r="C908" s="7"/>
      <c r="D908" s="7">
        <v>14.61</v>
      </c>
      <c r="E908" s="85">
        <f t="shared" si="61"/>
        <v>0</v>
      </c>
    </row>
    <row r="909" spans="1:5" ht="18" x14ac:dyDescent="0.35">
      <c r="A909" s="5"/>
      <c r="B909" s="50" t="s">
        <v>35</v>
      </c>
      <c r="C909" s="7">
        <v>4</v>
      </c>
      <c r="D909" s="7">
        <v>2.91</v>
      </c>
      <c r="E909" s="85">
        <f t="shared" si="61"/>
        <v>11.64</v>
      </c>
    </row>
    <row r="910" spans="1:5" ht="18" x14ac:dyDescent="0.35">
      <c r="A910" s="5"/>
      <c r="B910" s="50" t="s">
        <v>36</v>
      </c>
      <c r="C910" s="7">
        <v>4</v>
      </c>
      <c r="D910" s="7">
        <v>0.61</v>
      </c>
      <c r="E910" s="85">
        <f t="shared" si="61"/>
        <v>2.44</v>
      </c>
    </row>
    <row r="911" spans="1:5" ht="18" x14ac:dyDescent="0.35">
      <c r="A911" s="5"/>
      <c r="B911" s="5"/>
      <c r="C911" s="54"/>
      <c r="D911" s="54"/>
      <c r="E911" s="89">
        <f>SUM(E905:E910)</f>
        <v>40.189340000000001</v>
      </c>
    </row>
    <row r="912" spans="1:5" ht="18" x14ac:dyDescent="0.35">
      <c r="A912" s="5"/>
      <c r="B912" s="5"/>
      <c r="C912" s="54"/>
      <c r="D912" s="54" t="s">
        <v>1158</v>
      </c>
      <c r="E912" s="89">
        <f>E911+E911*10%</f>
        <v>44.208274000000003</v>
      </c>
    </row>
    <row r="913" spans="1:5" ht="18" x14ac:dyDescent="0.35">
      <c r="A913" s="5"/>
      <c r="B913" s="50" t="s">
        <v>37</v>
      </c>
      <c r="C913" s="54">
        <v>15</v>
      </c>
      <c r="D913" s="54">
        <v>1.1000000000000001</v>
      </c>
      <c r="E913" s="85">
        <f>C913*D913</f>
        <v>16.5</v>
      </c>
    </row>
    <row r="914" spans="1:5" ht="18" x14ac:dyDescent="0.35">
      <c r="A914" s="5"/>
      <c r="B914" s="5"/>
      <c r="C914" s="54"/>
      <c r="D914" s="54"/>
      <c r="E914" s="85">
        <f>SUM(E912:E913)</f>
        <v>60.708274000000003</v>
      </c>
    </row>
    <row r="916" spans="1:5" ht="21" x14ac:dyDescent="0.4">
      <c r="A916" s="40" t="s">
        <v>599</v>
      </c>
      <c r="B916" s="40"/>
      <c r="C916" s="84"/>
    </row>
    <row r="917" spans="1:5" ht="18" x14ac:dyDescent="0.35">
      <c r="A917" s="5" t="s">
        <v>1194</v>
      </c>
      <c r="B917" s="5"/>
      <c r="C917" s="7" t="s">
        <v>28</v>
      </c>
      <c r="D917" s="7" t="s">
        <v>29</v>
      </c>
      <c r="E917" s="7" t="s">
        <v>30</v>
      </c>
    </row>
    <row r="918" spans="1:5" ht="18" x14ac:dyDescent="0.35">
      <c r="A918" s="5" t="s">
        <v>171</v>
      </c>
      <c r="B918" s="50" t="s">
        <v>32</v>
      </c>
      <c r="C918" s="7">
        <v>4.0229999999999997</v>
      </c>
      <c r="D918" s="7">
        <v>30.44</v>
      </c>
      <c r="E918" s="85">
        <f t="shared" ref="E918:E923" si="62">C918*D918</f>
        <v>122.46011999999999</v>
      </c>
    </row>
    <row r="919" spans="1:5" ht="18" x14ac:dyDescent="0.35">
      <c r="A919" s="5" t="s">
        <v>821</v>
      </c>
      <c r="B919" s="50" t="s">
        <v>33</v>
      </c>
      <c r="C919" s="7">
        <v>3.7589999999999999</v>
      </c>
      <c r="D919" s="7">
        <v>16.170000000000002</v>
      </c>
      <c r="E919" s="85">
        <f t="shared" si="62"/>
        <v>60.783030000000004</v>
      </c>
    </row>
    <row r="920" spans="1:5" ht="18" x14ac:dyDescent="0.35">
      <c r="A920" s="102" t="s">
        <v>1119</v>
      </c>
      <c r="B920" s="50" t="s">
        <v>507</v>
      </c>
      <c r="C920" s="7">
        <v>2</v>
      </c>
      <c r="D920" s="7">
        <v>1.1499999999999999</v>
      </c>
      <c r="E920" s="85">
        <f t="shared" si="62"/>
        <v>2.2999999999999998</v>
      </c>
    </row>
    <row r="921" spans="1:5" ht="18" x14ac:dyDescent="0.35">
      <c r="A921" s="5"/>
      <c r="B921" s="50" t="s">
        <v>34</v>
      </c>
      <c r="C921" s="7">
        <v>0.2</v>
      </c>
      <c r="D921" s="7">
        <v>14.61</v>
      </c>
      <c r="E921" s="85">
        <f t="shared" si="62"/>
        <v>2.9220000000000002</v>
      </c>
    </row>
    <row r="922" spans="1:5" ht="18" x14ac:dyDescent="0.35">
      <c r="A922" s="5"/>
      <c r="B922" s="50" t="s">
        <v>35</v>
      </c>
      <c r="C922" s="7">
        <v>4</v>
      </c>
      <c r="D922" s="7">
        <v>2.91</v>
      </c>
      <c r="E922" s="85">
        <f t="shared" si="62"/>
        <v>11.64</v>
      </c>
    </row>
    <row r="923" spans="1:5" ht="18" x14ac:dyDescent="0.35">
      <c r="A923" s="5"/>
      <c r="B923" s="50" t="s">
        <v>36</v>
      </c>
      <c r="C923" s="7">
        <v>4</v>
      </c>
      <c r="D923" s="7">
        <v>0.61</v>
      </c>
      <c r="E923" s="85">
        <f t="shared" si="62"/>
        <v>2.44</v>
      </c>
    </row>
    <row r="924" spans="1:5" ht="18" x14ac:dyDescent="0.35">
      <c r="A924" s="5"/>
      <c r="B924" s="5"/>
      <c r="C924" s="54"/>
      <c r="D924" s="54"/>
      <c r="E924" s="89">
        <f>SUM(E918:E923)</f>
        <v>202.54514999999998</v>
      </c>
    </row>
    <row r="925" spans="1:5" ht="18" x14ac:dyDescent="0.35">
      <c r="A925" s="5"/>
      <c r="B925" s="5"/>
      <c r="C925" s="54"/>
      <c r="D925" s="54" t="s">
        <v>1158</v>
      </c>
      <c r="E925" s="89">
        <f>E924+E924*10%</f>
        <v>222.79966499999998</v>
      </c>
    </row>
    <row r="926" spans="1:5" ht="18" x14ac:dyDescent="0.35">
      <c r="A926" s="5"/>
      <c r="B926" s="50" t="s">
        <v>37</v>
      </c>
      <c r="C926" s="54">
        <v>50</v>
      </c>
      <c r="D926" s="54">
        <v>1.1000000000000001</v>
      </c>
      <c r="E926" s="85">
        <f>C926*D926</f>
        <v>55.000000000000007</v>
      </c>
    </row>
    <row r="927" spans="1:5" ht="18" x14ac:dyDescent="0.35">
      <c r="A927" s="5"/>
      <c r="B927" s="5"/>
      <c r="C927" s="54"/>
      <c r="D927" s="54"/>
      <c r="E927" s="85">
        <f>SUM(E925:E926)</f>
        <v>277.799665</v>
      </c>
    </row>
    <row r="929" spans="1:5" ht="21" x14ac:dyDescent="0.4">
      <c r="A929" s="40" t="s">
        <v>599</v>
      </c>
      <c r="B929" s="40"/>
      <c r="C929" s="84"/>
    </row>
    <row r="930" spans="1:5" ht="18" x14ac:dyDescent="0.35">
      <c r="A930" s="5" t="s">
        <v>1195</v>
      </c>
      <c r="B930" s="5"/>
      <c r="C930" s="7" t="s">
        <v>28</v>
      </c>
      <c r="D930" s="7" t="s">
        <v>29</v>
      </c>
      <c r="E930" s="7" t="s">
        <v>30</v>
      </c>
    </row>
    <row r="931" spans="1:5" ht="18" x14ac:dyDescent="0.35">
      <c r="A931" s="5" t="s">
        <v>1196</v>
      </c>
      <c r="B931" s="50" t="s">
        <v>32</v>
      </c>
      <c r="C931" s="7">
        <v>4.968</v>
      </c>
      <c r="D931" s="7">
        <v>30.44</v>
      </c>
      <c r="E931" s="85">
        <f t="shared" ref="E931:E936" si="63">C931*D931</f>
        <v>151.22592</v>
      </c>
    </row>
    <row r="932" spans="1:5" ht="18" x14ac:dyDescent="0.35">
      <c r="A932" s="5" t="s">
        <v>821</v>
      </c>
      <c r="B932" s="50" t="s">
        <v>33</v>
      </c>
      <c r="C932" s="7">
        <v>45.107999999999997</v>
      </c>
      <c r="D932" s="7">
        <v>16.170000000000002</v>
      </c>
      <c r="E932" s="85">
        <f t="shared" si="63"/>
        <v>729.39636000000007</v>
      </c>
    </row>
    <row r="933" spans="1:5" ht="18" x14ac:dyDescent="0.35">
      <c r="A933" s="102" t="s">
        <v>1119</v>
      </c>
      <c r="B933" s="50" t="s">
        <v>88</v>
      </c>
      <c r="C933" s="7">
        <v>2</v>
      </c>
      <c r="D933" s="7">
        <v>2.2400000000000002</v>
      </c>
      <c r="E933" s="85">
        <f t="shared" si="63"/>
        <v>4.4800000000000004</v>
      </c>
    </row>
    <row r="934" spans="1:5" ht="18" x14ac:dyDescent="0.35">
      <c r="A934" s="5"/>
      <c r="B934" s="50" t="s">
        <v>34</v>
      </c>
      <c r="C934" s="7">
        <v>1.5</v>
      </c>
      <c r="D934" s="7">
        <v>14.61</v>
      </c>
      <c r="E934" s="85">
        <f t="shared" si="63"/>
        <v>21.914999999999999</v>
      </c>
    </row>
    <row r="935" spans="1:5" ht="18" x14ac:dyDescent="0.35">
      <c r="A935" s="5"/>
      <c r="B935" s="50" t="s">
        <v>35</v>
      </c>
      <c r="C935" s="7">
        <v>4</v>
      </c>
      <c r="D935" s="7">
        <v>2.91</v>
      </c>
      <c r="E935" s="85">
        <f t="shared" si="63"/>
        <v>11.64</v>
      </c>
    </row>
    <row r="936" spans="1:5" ht="18" x14ac:dyDescent="0.35">
      <c r="A936" s="5"/>
      <c r="B936" s="50" t="s">
        <v>36</v>
      </c>
      <c r="C936" s="7">
        <v>4</v>
      </c>
      <c r="D936" s="7">
        <v>0.61</v>
      </c>
      <c r="E936" s="85">
        <f t="shared" si="63"/>
        <v>2.44</v>
      </c>
    </row>
    <row r="937" spans="1:5" ht="18" x14ac:dyDescent="0.35">
      <c r="A937" s="5"/>
      <c r="B937" s="5"/>
      <c r="C937" s="54"/>
      <c r="D937" s="54"/>
      <c r="E937" s="89">
        <f>SUM(E931:E936)</f>
        <v>921.09728000000007</v>
      </c>
    </row>
    <row r="938" spans="1:5" ht="18" x14ac:dyDescent="0.35">
      <c r="A938" s="5"/>
      <c r="B938" s="5"/>
      <c r="C938" s="54"/>
      <c r="D938" s="54" t="s">
        <v>1158</v>
      </c>
      <c r="E938" s="89">
        <f>E937+E937*10%</f>
        <v>1013.2070080000001</v>
      </c>
    </row>
    <row r="939" spans="1:5" ht="18" x14ac:dyDescent="0.35">
      <c r="A939" s="5"/>
      <c r="B939" s="50" t="s">
        <v>37</v>
      </c>
      <c r="C939" s="54">
        <v>60</v>
      </c>
      <c r="D939" s="54">
        <v>1.1000000000000001</v>
      </c>
      <c r="E939" s="85">
        <f>C939*D939</f>
        <v>66</v>
      </c>
    </row>
    <row r="940" spans="1:5" ht="18" x14ac:dyDescent="0.35">
      <c r="A940" s="5"/>
      <c r="B940" s="5"/>
      <c r="C940" s="54"/>
      <c r="D940" s="54"/>
      <c r="E940" s="85">
        <f>SUM(E938:E939)</f>
        <v>1079.2070080000001</v>
      </c>
    </row>
    <row r="942" spans="1:5" ht="21" x14ac:dyDescent="0.4">
      <c r="A942" s="40" t="s">
        <v>599</v>
      </c>
      <c r="B942" s="40"/>
      <c r="C942" s="84"/>
    </row>
    <row r="943" spans="1:5" ht="18" x14ac:dyDescent="0.35">
      <c r="A943" s="5" t="s">
        <v>758</v>
      </c>
      <c r="B943" s="5"/>
      <c r="C943" s="7" t="s">
        <v>28</v>
      </c>
      <c r="D943" s="7" t="s">
        <v>29</v>
      </c>
      <c r="E943" s="7" t="s">
        <v>30</v>
      </c>
    </row>
    <row r="944" spans="1:5" ht="18" x14ac:dyDescent="0.35">
      <c r="A944" s="5" t="s">
        <v>839</v>
      </c>
      <c r="B944" s="50" t="s">
        <v>32</v>
      </c>
      <c r="C944" s="7">
        <v>3.3730000000000002</v>
      </c>
      <c r="D944" s="7">
        <v>30.44</v>
      </c>
      <c r="E944" s="85">
        <f t="shared" ref="E944:E949" si="64">C944*D944</f>
        <v>102.67412000000002</v>
      </c>
    </row>
    <row r="945" spans="1:5" ht="18" x14ac:dyDescent="0.35">
      <c r="A945" s="5" t="s">
        <v>759</v>
      </c>
      <c r="B945" s="50" t="s">
        <v>33</v>
      </c>
      <c r="C945" s="7">
        <v>1.5640000000000001</v>
      </c>
      <c r="D945" s="7">
        <v>16.170000000000002</v>
      </c>
      <c r="E945" s="85">
        <f t="shared" si="64"/>
        <v>25.289880000000004</v>
      </c>
    </row>
    <row r="946" spans="1:5" ht="18" x14ac:dyDescent="0.35">
      <c r="A946" s="102" t="s">
        <v>1119</v>
      </c>
      <c r="B946" s="50" t="s">
        <v>760</v>
      </c>
      <c r="C946" s="7">
        <v>2</v>
      </c>
      <c r="D946" s="7">
        <v>1.1499999999999999</v>
      </c>
      <c r="E946" s="85">
        <f t="shared" si="64"/>
        <v>2.2999999999999998</v>
      </c>
    </row>
    <row r="947" spans="1:5" ht="18" x14ac:dyDescent="0.35">
      <c r="A947" s="5"/>
      <c r="B947" s="50" t="s">
        <v>34</v>
      </c>
      <c r="C947" s="7">
        <v>0.17</v>
      </c>
      <c r="D947" s="7">
        <v>14.61</v>
      </c>
      <c r="E947" s="85">
        <f t="shared" si="64"/>
        <v>2.4837000000000002</v>
      </c>
    </row>
    <row r="948" spans="1:5" ht="18" x14ac:dyDescent="0.35">
      <c r="A948" s="5"/>
      <c r="B948" s="50" t="s">
        <v>35</v>
      </c>
      <c r="C948" s="7">
        <v>4</v>
      </c>
      <c r="D948" s="7">
        <v>2.91</v>
      </c>
      <c r="E948" s="85">
        <f t="shared" si="64"/>
        <v>11.64</v>
      </c>
    </row>
    <row r="949" spans="1:5" ht="18" x14ac:dyDescent="0.35">
      <c r="A949" s="5"/>
      <c r="B949" s="50" t="s">
        <v>36</v>
      </c>
      <c r="C949" s="7">
        <v>4</v>
      </c>
      <c r="D949" s="7">
        <v>0.61</v>
      </c>
      <c r="E949" s="85">
        <f t="shared" si="64"/>
        <v>2.44</v>
      </c>
    </row>
    <row r="950" spans="1:5" ht="18" x14ac:dyDescent="0.35">
      <c r="A950" s="5"/>
      <c r="B950" s="5"/>
      <c r="C950" s="54"/>
      <c r="D950" s="54"/>
      <c r="E950" s="89">
        <f>SUM(E944:E949)</f>
        <v>146.82770000000005</v>
      </c>
    </row>
    <row r="951" spans="1:5" ht="18" x14ac:dyDescent="0.35">
      <c r="A951" s="5"/>
      <c r="B951" s="5"/>
      <c r="C951" s="54"/>
      <c r="D951" s="54" t="s">
        <v>1158</v>
      </c>
      <c r="E951" s="89">
        <f>E950+E950*10%</f>
        <v>161.51047000000005</v>
      </c>
    </row>
    <row r="952" spans="1:5" ht="18" x14ac:dyDescent="0.35">
      <c r="A952" s="5"/>
      <c r="B952" s="50" t="s">
        <v>37</v>
      </c>
      <c r="C952" s="54">
        <v>60</v>
      </c>
      <c r="D952" s="54">
        <v>1.1000000000000001</v>
      </c>
      <c r="E952" s="85">
        <f>C952*D952</f>
        <v>66</v>
      </c>
    </row>
    <row r="953" spans="1:5" ht="18" x14ac:dyDescent="0.35">
      <c r="A953" s="5"/>
      <c r="B953" s="5"/>
      <c r="C953" s="54"/>
      <c r="D953" s="54"/>
      <c r="E953" s="85">
        <f>SUM(E951:E952)</f>
        <v>227.51047000000005</v>
      </c>
    </row>
    <row r="955" spans="1:5" ht="21" x14ac:dyDescent="0.4">
      <c r="A955" s="40" t="s">
        <v>599</v>
      </c>
      <c r="B955" s="40"/>
      <c r="C955" s="84"/>
    </row>
    <row r="956" spans="1:5" ht="18" x14ac:dyDescent="0.35">
      <c r="A956" s="5" t="s">
        <v>116</v>
      </c>
      <c r="B956" s="5"/>
      <c r="C956" s="7" t="s">
        <v>28</v>
      </c>
      <c r="D956" s="7" t="s">
        <v>29</v>
      </c>
      <c r="E956" s="7" t="s">
        <v>30</v>
      </c>
    </row>
    <row r="957" spans="1:5" ht="18" x14ac:dyDescent="0.35">
      <c r="A957" s="5" t="s">
        <v>824</v>
      </c>
      <c r="B957" s="50" t="s">
        <v>32</v>
      </c>
      <c r="C957" s="7">
        <v>1.8180000000000001</v>
      </c>
      <c r="D957" s="7">
        <v>30.44</v>
      </c>
      <c r="E957" s="85">
        <f t="shared" ref="E957:E962" si="65">C957*D957</f>
        <v>55.339920000000006</v>
      </c>
    </row>
    <row r="958" spans="1:5" ht="18" x14ac:dyDescent="0.35">
      <c r="A958" s="5" t="s">
        <v>744</v>
      </c>
      <c r="B958" s="50" t="s">
        <v>33</v>
      </c>
      <c r="C958" s="7">
        <v>7.78</v>
      </c>
      <c r="D958" s="7">
        <v>16.170000000000002</v>
      </c>
      <c r="E958" s="85">
        <f t="shared" si="65"/>
        <v>125.80260000000001</v>
      </c>
    </row>
    <row r="959" spans="1:5" ht="18" x14ac:dyDescent="0.35">
      <c r="A959" s="102" t="s">
        <v>1119</v>
      </c>
      <c r="B959" s="50" t="s">
        <v>128</v>
      </c>
      <c r="C959" s="7">
        <v>2</v>
      </c>
      <c r="D959" s="7">
        <v>1.81</v>
      </c>
      <c r="E959" s="85">
        <f t="shared" si="65"/>
        <v>3.62</v>
      </c>
    </row>
    <row r="960" spans="1:5" ht="18" x14ac:dyDescent="0.35">
      <c r="A960" s="5"/>
      <c r="B960" s="50" t="s">
        <v>34</v>
      </c>
      <c r="C960" s="7"/>
      <c r="D960" s="7">
        <v>14.61</v>
      </c>
      <c r="E960" s="85">
        <f t="shared" si="65"/>
        <v>0</v>
      </c>
    </row>
    <row r="961" spans="1:5" ht="18" x14ac:dyDescent="0.35">
      <c r="A961" s="5"/>
      <c r="B961" s="50" t="s">
        <v>35</v>
      </c>
      <c r="C961" s="7">
        <v>4</v>
      </c>
      <c r="D961" s="7">
        <v>2.91</v>
      </c>
      <c r="E961" s="85">
        <f t="shared" si="65"/>
        <v>11.64</v>
      </c>
    </row>
    <row r="962" spans="1:5" ht="18" x14ac:dyDescent="0.35">
      <c r="A962" s="5"/>
      <c r="B962" s="50" t="s">
        <v>36</v>
      </c>
      <c r="C962" s="7">
        <v>4</v>
      </c>
      <c r="D962" s="7">
        <v>0.61</v>
      </c>
      <c r="E962" s="85">
        <f t="shared" si="65"/>
        <v>2.44</v>
      </c>
    </row>
    <row r="963" spans="1:5" ht="18" x14ac:dyDescent="0.35">
      <c r="A963" s="5"/>
      <c r="B963" s="5"/>
      <c r="C963" s="54"/>
      <c r="D963" s="54"/>
      <c r="E963" s="89">
        <f>SUM(E957:E962)</f>
        <v>198.84252000000004</v>
      </c>
    </row>
    <row r="964" spans="1:5" ht="18" x14ac:dyDescent="0.35">
      <c r="A964" s="5"/>
      <c r="B964" s="5"/>
      <c r="C964" s="54"/>
      <c r="D964" s="54" t="s">
        <v>1158</v>
      </c>
      <c r="E964" s="89">
        <f>E963+E963*10%</f>
        <v>218.72677200000004</v>
      </c>
    </row>
    <row r="965" spans="1:5" ht="18" x14ac:dyDescent="0.35">
      <c r="A965" s="5"/>
      <c r="B965" s="50" t="s">
        <v>37</v>
      </c>
      <c r="C965" s="54">
        <v>0.5</v>
      </c>
      <c r="D965" s="54">
        <v>1.1000000000000001</v>
      </c>
      <c r="E965" s="85">
        <v>32.5</v>
      </c>
    </row>
    <row r="966" spans="1:5" ht="18" x14ac:dyDescent="0.35">
      <c r="A966" s="5"/>
      <c r="B966" s="5"/>
      <c r="C966" s="54"/>
      <c r="D966" s="54"/>
      <c r="E966" s="85">
        <f>SUM(E964:E965)</f>
        <v>251.22677200000004</v>
      </c>
    </row>
    <row r="968" spans="1:5" ht="21" x14ac:dyDescent="0.4">
      <c r="A968" s="40" t="s">
        <v>1160</v>
      </c>
      <c r="B968" s="40"/>
      <c r="C968" s="84"/>
      <c r="D968" s="12"/>
      <c r="E968" s="12"/>
    </row>
    <row r="969" spans="1:5" ht="21" x14ac:dyDescent="0.4">
      <c r="A969" s="40"/>
      <c r="B969" s="40"/>
      <c r="C969" s="84"/>
      <c r="D969" s="12"/>
      <c r="E969" s="12"/>
    </row>
    <row r="970" spans="1:5" ht="18" x14ac:dyDescent="0.35">
      <c r="A970" s="5"/>
      <c r="B970" s="5"/>
      <c r="C970" s="7" t="s">
        <v>28</v>
      </c>
      <c r="D970" s="7" t="s">
        <v>29</v>
      </c>
      <c r="E970" s="7" t="s">
        <v>30</v>
      </c>
    </row>
    <row r="971" spans="1:5" ht="18" x14ac:dyDescent="0.35">
      <c r="A971" s="5" t="s">
        <v>38</v>
      </c>
      <c r="B971" s="50" t="s">
        <v>32</v>
      </c>
      <c r="C971" s="7">
        <v>0.97799999999999998</v>
      </c>
      <c r="D971" s="7">
        <v>45.07</v>
      </c>
      <c r="E971" s="85">
        <f t="shared" ref="E971:E978" si="66">C971*D971</f>
        <v>44.07846</v>
      </c>
    </row>
    <row r="972" spans="1:5" ht="18" x14ac:dyDescent="0.35">
      <c r="A972" s="5" t="s">
        <v>39</v>
      </c>
      <c r="B972" s="50" t="s">
        <v>33</v>
      </c>
      <c r="C972" s="7">
        <v>1.218</v>
      </c>
      <c r="D972" s="7">
        <v>16.170000000000002</v>
      </c>
      <c r="E972" s="85">
        <f t="shared" si="66"/>
        <v>19.695060000000002</v>
      </c>
    </row>
    <row r="973" spans="1:5" ht="18" x14ac:dyDescent="0.35">
      <c r="A973" s="5" t="s">
        <v>111</v>
      </c>
      <c r="B973" s="50" t="s">
        <v>33</v>
      </c>
      <c r="C973" s="7">
        <v>1.323</v>
      </c>
      <c r="D973" s="7">
        <v>16.170000000000002</v>
      </c>
      <c r="E973" s="85">
        <f t="shared" si="66"/>
        <v>21.392910000000001</v>
      </c>
    </row>
    <row r="974" spans="1:5" ht="18" x14ac:dyDescent="0.35">
      <c r="A974" s="5" t="s">
        <v>1200</v>
      </c>
      <c r="B974" s="50" t="s">
        <v>90</v>
      </c>
      <c r="C974" s="7">
        <v>2</v>
      </c>
      <c r="D974" s="7">
        <v>1.1499999999999999</v>
      </c>
      <c r="E974" s="85">
        <f t="shared" si="66"/>
        <v>2.2999999999999998</v>
      </c>
    </row>
    <row r="975" spans="1:5" ht="18" x14ac:dyDescent="0.35">
      <c r="A975" s="5" t="s">
        <v>1038</v>
      </c>
      <c r="B975" s="50" t="s">
        <v>43</v>
      </c>
      <c r="C975" s="88">
        <v>2</v>
      </c>
      <c r="D975" s="88">
        <v>1.7</v>
      </c>
      <c r="E975" s="90">
        <f t="shared" si="66"/>
        <v>3.4</v>
      </c>
    </row>
    <row r="976" spans="1:5" ht="18" x14ac:dyDescent="0.35">
      <c r="A976" s="5"/>
      <c r="B976" s="50" t="s">
        <v>34</v>
      </c>
      <c r="C976" s="7"/>
      <c r="D976" s="7">
        <v>13.67</v>
      </c>
      <c r="E976" s="85">
        <f t="shared" si="66"/>
        <v>0</v>
      </c>
    </row>
    <row r="977" spans="1:5" ht="18" x14ac:dyDescent="0.35">
      <c r="A977" s="5"/>
      <c r="B977" s="50" t="s">
        <v>35</v>
      </c>
      <c r="C977" s="7">
        <v>4</v>
      </c>
      <c r="D977" s="7">
        <v>2.89</v>
      </c>
      <c r="E977" s="85">
        <f t="shared" si="66"/>
        <v>11.56</v>
      </c>
    </row>
    <row r="978" spans="1:5" ht="18" x14ac:dyDescent="0.35">
      <c r="A978" s="5"/>
      <c r="B978" s="50" t="s">
        <v>36</v>
      </c>
      <c r="C978" s="7">
        <v>4</v>
      </c>
      <c r="D978" s="7">
        <v>0.6</v>
      </c>
      <c r="E978" s="85">
        <f t="shared" si="66"/>
        <v>2.4</v>
      </c>
    </row>
    <row r="979" spans="1:5" ht="18" x14ac:dyDescent="0.35">
      <c r="A979" s="5"/>
      <c r="B979" s="5"/>
      <c r="C979" s="54"/>
      <c r="D979" s="54"/>
      <c r="E979" s="89">
        <f>SUM(E971:E978)</f>
        <v>104.82643000000002</v>
      </c>
    </row>
    <row r="980" spans="1:5" ht="18" x14ac:dyDescent="0.35">
      <c r="A980" s="5"/>
      <c r="B980" s="5"/>
      <c r="C980" s="54"/>
      <c r="D980" s="105">
        <v>0.1</v>
      </c>
      <c r="E980" s="89">
        <f>E979+E979*10%</f>
        <v>115.30907300000001</v>
      </c>
    </row>
    <row r="981" spans="1:5" ht="18" x14ac:dyDescent="0.35">
      <c r="A981" s="5"/>
      <c r="B981" s="50" t="s">
        <v>37</v>
      </c>
      <c r="C981" s="54">
        <v>0.5</v>
      </c>
      <c r="D981" s="54">
        <v>56</v>
      </c>
      <c r="E981" s="85">
        <f>C981*D981</f>
        <v>28</v>
      </c>
    </row>
    <row r="982" spans="1:5" ht="18" x14ac:dyDescent="0.35">
      <c r="E982" s="89">
        <f>SUM(E980:E981)</f>
        <v>143.30907300000001</v>
      </c>
    </row>
    <row r="984" spans="1:5" ht="21" x14ac:dyDescent="0.4">
      <c r="A984" s="40" t="s">
        <v>599</v>
      </c>
      <c r="B984" s="40"/>
      <c r="C984" s="84"/>
    </row>
    <row r="985" spans="1:5" ht="18" x14ac:dyDescent="0.35">
      <c r="A985" s="5" t="s">
        <v>1201</v>
      </c>
      <c r="B985" s="5"/>
      <c r="C985" s="7" t="s">
        <v>28</v>
      </c>
      <c r="D985" s="7" t="s">
        <v>29</v>
      </c>
      <c r="E985" s="7" t="s">
        <v>30</v>
      </c>
    </row>
    <row r="986" spans="1:5" ht="18" x14ac:dyDescent="0.35">
      <c r="A986" s="5" t="s">
        <v>829</v>
      </c>
      <c r="B986" s="50" t="s">
        <v>32</v>
      </c>
      <c r="C986" s="7">
        <v>1.881</v>
      </c>
      <c r="D986" s="7">
        <v>30.44</v>
      </c>
      <c r="E986" s="85">
        <f t="shared" ref="E986:E991" si="67">C986*D986</f>
        <v>57.257640000000002</v>
      </c>
    </row>
    <row r="987" spans="1:5" ht="18" x14ac:dyDescent="0.35">
      <c r="A987" s="5" t="s">
        <v>959</v>
      </c>
      <c r="B987" s="50" t="s">
        <v>33</v>
      </c>
      <c r="C987" s="7">
        <v>3.0659999999999998</v>
      </c>
      <c r="D987" s="7">
        <v>16.170000000000002</v>
      </c>
      <c r="E987" s="85">
        <f t="shared" si="67"/>
        <v>49.577220000000004</v>
      </c>
    </row>
    <row r="988" spans="1:5" ht="18" x14ac:dyDescent="0.35">
      <c r="A988" s="102" t="s">
        <v>1119</v>
      </c>
      <c r="B988" s="50" t="s">
        <v>43</v>
      </c>
      <c r="C988" s="7">
        <v>2</v>
      </c>
      <c r="D988" s="7">
        <v>1.1499999999999999</v>
      </c>
      <c r="E988" s="85">
        <f t="shared" si="67"/>
        <v>2.2999999999999998</v>
      </c>
    </row>
    <row r="989" spans="1:5" ht="18" x14ac:dyDescent="0.35">
      <c r="A989" s="5"/>
      <c r="B989" s="50" t="s">
        <v>34</v>
      </c>
      <c r="C989" s="7">
        <v>0.1</v>
      </c>
      <c r="D989" s="7">
        <v>14.61</v>
      </c>
      <c r="E989" s="85">
        <f t="shared" si="67"/>
        <v>1.4610000000000001</v>
      </c>
    </row>
    <row r="990" spans="1:5" ht="18" x14ac:dyDescent="0.35">
      <c r="A990" s="5"/>
      <c r="B990" s="50" t="s">
        <v>35</v>
      </c>
      <c r="C990" s="7">
        <v>4</v>
      </c>
      <c r="D990" s="7">
        <v>2.91</v>
      </c>
      <c r="E990" s="85">
        <f t="shared" si="67"/>
        <v>11.64</v>
      </c>
    </row>
    <row r="991" spans="1:5" ht="18" x14ac:dyDescent="0.35">
      <c r="A991" s="5"/>
      <c r="B991" s="50" t="s">
        <v>36</v>
      </c>
      <c r="C991" s="7">
        <v>4</v>
      </c>
      <c r="D991" s="7">
        <v>0.61</v>
      </c>
      <c r="E991" s="85">
        <f t="shared" si="67"/>
        <v>2.44</v>
      </c>
    </row>
    <row r="992" spans="1:5" ht="18" x14ac:dyDescent="0.35">
      <c r="A992" s="5"/>
      <c r="B992" s="5"/>
      <c r="C992" s="54"/>
      <c r="D992" s="54"/>
      <c r="E992" s="89">
        <f>SUM(E986:E991)</f>
        <v>124.67586</v>
      </c>
    </row>
    <row r="993" spans="1:5" ht="18" x14ac:dyDescent="0.35">
      <c r="A993" s="5"/>
      <c r="B993" s="5"/>
      <c r="C993" s="54"/>
      <c r="D993" s="54" t="s">
        <v>1158</v>
      </c>
      <c r="E993" s="89">
        <f>E992+E992*10%</f>
        <v>137.14344600000001</v>
      </c>
    </row>
    <row r="994" spans="1:5" ht="18" x14ac:dyDescent="0.35">
      <c r="A994" s="5"/>
      <c r="B994" s="50" t="s">
        <v>37</v>
      </c>
      <c r="C994" s="54">
        <v>0.3</v>
      </c>
      <c r="D994" s="54">
        <v>1.1000000000000001</v>
      </c>
      <c r="E994" s="85">
        <v>28</v>
      </c>
    </row>
    <row r="995" spans="1:5" ht="18" x14ac:dyDescent="0.35">
      <c r="A995" s="5"/>
      <c r="B995" s="5"/>
      <c r="C995" s="54"/>
      <c r="D995" s="54"/>
      <c r="E995" s="85">
        <f>SUM(E993:E994)</f>
        <v>165.14344600000001</v>
      </c>
    </row>
    <row r="997" spans="1:5" ht="21" x14ac:dyDescent="0.4">
      <c r="A997" s="40" t="s">
        <v>1216</v>
      </c>
      <c r="B997" s="40"/>
      <c r="C997" s="84"/>
      <c r="D997" s="12"/>
      <c r="E997" s="12"/>
    </row>
    <row r="998" spans="1:5" ht="21" x14ac:dyDescent="0.4">
      <c r="A998" s="40"/>
      <c r="B998" s="40"/>
      <c r="C998" s="84"/>
      <c r="D998" s="12"/>
      <c r="E998" s="12"/>
    </row>
    <row r="999" spans="1:5" ht="18" x14ac:dyDescent="0.35">
      <c r="A999" s="5"/>
      <c r="B999" s="5"/>
      <c r="C999" s="7" t="s">
        <v>28</v>
      </c>
      <c r="D999" s="7" t="s">
        <v>29</v>
      </c>
      <c r="E999" s="7" t="s">
        <v>30</v>
      </c>
    </row>
    <row r="1000" spans="1:5" ht="18" x14ac:dyDescent="0.35">
      <c r="A1000" s="5" t="s">
        <v>80</v>
      </c>
      <c r="B1000" s="50" t="s">
        <v>32</v>
      </c>
      <c r="C1000" s="7">
        <v>0.97799999999999998</v>
      </c>
      <c r="D1000" s="7">
        <v>29.24</v>
      </c>
      <c r="E1000" s="85">
        <f t="shared" ref="E1000:E1007" si="68">C1000*D1000</f>
        <v>28.596719999999998</v>
      </c>
    </row>
    <row r="1001" spans="1:5" ht="18" x14ac:dyDescent="0.35">
      <c r="A1001" s="5" t="s">
        <v>39</v>
      </c>
      <c r="B1001" s="50" t="s">
        <v>33</v>
      </c>
      <c r="C1001" s="7">
        <v>1.218</v>
      </c>
      <c r="D1001" s="7">
        <v>14.94</v>
      </c>
      <c r="E1001" s="85">
        <f t="shared" si="68"/>
        <v>18.196919999999999</v>
      </c>
    </row>
    <row r="1002" spans="1:5" ht="18" x14ac:dyDescent="0.35">
      <c r="A1002" s="5" t="s">
        <v>111</v>
      </c>
      <c r="B1002" s="50" t="s">
        <v>33</v>
      </c>
      <c r="C1002" s="7">
        <v>1.323</v>
      </c>
      <c r="D1002" s="7">
        <v>14.94</v>
      </c>
      <c r="E1002" s="85">
        <f t="shared" si="68"/>
        <v>19.765619999999998</v>
      </c>
    </row>
    <row r="1003" spans="1:5" ht="18" x14ac:dyDescent="0.35">
      <c r="A1003" s="5" t="s">
        <v>1200</v>
      </c>
      <c r="B1003" s="50" t="s">
        <v>93</v>
      </c>
      <c r="C1003" s="7">
        <v>4</v>
      </c>
      <c r="D1003" s="7">
        <v>2.2400000000000002</v>
      </c>
      <c r="E1003" s="85">
        <f t="shared" si="68"/>
        <v>8.9600000000000009</v>
      </c>
    </row>
    <row r="1004" spans="1:5" ht="18" x14ac:dyDescent="0.35">
      <c r="A1004" s="5" t="s">
        <v>1038</v>
      </c>
      <c r="B1004" s="50" t="s">
        <v>97</v>
      </c>
      <c r="C1004" s="88">
        <v>2</v>
      </c>
      <c r="D1004" s="88">
        <v>1.48</v>
      </c>
      <c r="E1004" s="90">
        <f t="shared" si="68"/>
        <v>2.96</v>
      </c>
    </row>
    <row r="1005" spans="1:5" ht="18" x14ac:dyDescent="0.35">
      <c r="A1005" s="5"/>
      <c r="B1005" s="50" t="s">
        <v>34</v>
      </c>
      <c r="C1005" s="7">
        <v>0.2</v>
      </c>
      <c r="D1005" s="7">
        <v>13.67</v>
      </c>
      <c r="E1005" s="85">
        <f t="shared" si="68"/>
        <v>2.734</v>
      </c>
    </row>
    <row r="1006" spans="1:5" ht="18" x14ac:dyDescent="0.35">
      <c r="A1006" s="5"/>
      <c r="B1006" s="50" t="s">
        <v>35</v>
      </c>
      <c r="C1006" s="7">
        <v>4</v>
      </c>
      <c r="D1006" s="7">
        <v>2.89</v>
      </c>
      <c r="E1006" s="85">
        <f t="shared" si="68"/>
        <v>11.56</v>
      </c>
    </row>
    <row r="1007" spans="1:5" ht="18" x14ac:dyDescent="0.35">
      <c r="A1007" s="5"/>
      <c r="B1007" s="50" t="s">
        <v>36</v>
      </c>
      <c r="C1007" s="7">
        <v>4</v>
      </c>
      <c r="D1007" s="7">
        <v>0.6</v>
      </c>
      <c r="E1007" s="85">
        <f t="shared" si="68"/>
        <v>2.4</v>
      </c>
    </row>
    <row r="1008" spans="1:5" ht="18" x14ac:dyDescent="0.35">
      <c r="A1008" s="5"/>
      <c r="B1008" s="5"/>
      <c r="C1008" s="54"/>
      <c r="D1008" s="54"/>
      <c r="E1008" s="89">
        <f>SUM(E1000:E1007)</f>
        <v>95.173259999999999</v>
      </c>
    </row>
    <row r="1009" spans="1:5" ht="18" x14ac:dyDescent="0.35">
      <c r="A1009" s="5"/>
      <c r="B1009" s="5"/>
      <c r="C1009" s="54"/>
      <c r="D1009" s="105">
        <v>0.1</v>
      </c>
      <c r="E1009" s="89">
        <f>E1008+E1008*10%</f>
        <v>104.690586</v>
      </c>
    </row>
    <row r="1010" spans="1:5" ht="18" x14ac:dyDescent="0.35">
      <c r="A1010" s="5"/>
      <c r="B1010" s="50" t="s">
        <v>37</v>
      </c>
      <c r="C1010" s="54">
        <v>1</v>
      </c>
      <c r="D1010" s="54">
        <v>56</v>
      </c>
      <c r="E1010" s="85">
        <f>C1010*D1010</f>
        <v>56</v>
      </c>
    </row>
    <row r="1011" spans="1:5" ht="18" x14ac:dyDescent="0.35">
      <c r="E1011" s="89">
        <f>SUM(E1009:E1010)</f>
        <v>160.690586</v>
      </c>
    </row>
    <row r="1013" spans="1:5" ht="21" x14ac:dyDescent="0.4">
      <c r="A1013" s="40" t="s">
        <v>599</v>
      </c>
      <c r="B1013" s="40"/>
      <c r="C1013" s="84"/>
    </row>
    <row r="1014" spans="1:5" ht="18" x14ac:dyDescent="0.35">
      <c r="A1014" s="5" t="s">
        <v>1219</v>
      </c>
      <c r="B1014" s="5"/>
      <c r="C1014" s="7" t="s">
        <v>28</v>
      </c>
      <c r="D1014" s="7" t="s">
        <v>29</v>
      </c>
      <c r="E1014" s="7" t="s">
        <v>30</v>
      </c>
    </row>
    <row r="1015" spans="1:5" ht="18" x14ac:dyDescent="0.35">
      <c r="A1015" s="5" t="s">
        <v>1220</v>
      </c>
      <c r="B1015" s="50" t="s">
        <v>32</v>
      </c>
      <c r="C1015" s="7">
        <v>2.3220000000000001</v>
      </c>
      <c r="D1015" s="7">
        <v>30.44</v>
      </c>
      <c r="E1015" s="85">
        <f t="shared" ref="E1015:E1020" si="69">C1015*D1015</f>
        <v>70.68168</v>
      </c>
    </row>
    <row r="1016" spans="1:5" ht="18" x14ac:dyDescent="0.35">
      <c r="A1016" s="5" t="s">
        <v>913</v>
      </c>
      <c r="B1016" s="50" t="s">
        <v>33</v>
      </c>
      <c r="C1016" s="7">
        <v>4.7249999999999996</v>
      </c>
      <c r="D1016" s="7">
        <v>16.170000000000002</v>
      </c>
      <c r="E1016" s="85">
        <f t="shared" si="69"/>
        <v>76.40325</v>
      </c>
    </row>
    <row r="1017" spans="1:5" ht="18" x14ac:dyDescent="0.35">
      <c r="A1017" s="102" t="s">
        <v>1222</v>
      </c>
      <c r="B1017" s="50" t="s">
        <v>1221</v>
      </c>
      <c r="C1017" s="7">
        <v>2</v>
      </c>
      <c r="D1017" s="7">
        <v>1.1499999999999999</v>
      </c>
      <c r="E1017" s="85">
        <f t="shared" si="69"/>
        <v>2.2999999999999998</v>
      </c>
    </row>
    <row r="1018" spans="1:5" ht="18" x14ac:dyDescent="0.35">
      <c r="A1018" s="5"/>
      <c r="B1018" s="50" t="s">
        <v>34</v>
      </c>
      <c r="C1018" s="7">
        <v>0.13</v>
      </c>
      <c r="D1018" s="7">
        <v>14.61</v>
      </c>
      <c r="E1018" s="85">
        <f t="shared" si="69"/>
        <v>1.8993</v>
      </c>
    </row>
    <row r="1019" spans="1:5" ht="18" x14ac:dyDescent="0.35">
      <c r="A1019" s="5"/>
      <c r="B1019" s="50" t="s">
        <v>35</v>
      </c>
      <c r="C1019" s="7">
        <v>4</v>
      </c>
      <c r="D1019" s="7">
        <v>2.91</v>
      </c>
      <c r="E1019" s="85">
        <f t="shared" si="69"/>
        <v>11.64</v>
      </c>
    </row>
    <row r="1020" spans="1:5" ht="18" x14ac:dyDescent="0.35">
      <c r="A1020" s="5"/>
      <c r="B1020" s="50" t="s">
        <v>36</v>
      </c>
      <c r="C1020" s="7">
        <v>4</v>
      </c>
      <c r="D1020" s="7">
        <v>0.61</v>
      </c>
      <c r="E1020" s="85">
        <f t="shared" si="69"/>
        <v>2.44</v>
      </c>
    </row>
    <row r="1021" spans="1:5" ht="18" x14ac:dyDescent="0.35">
      <c r="A1021" s="5"/>
      <c r="B1021" s="5"/>
      <c r="C1021" s="54"/>
      <c r="D1021" s="54"/>
      <c r="E1021" s="89">
        <f>SUM(E1015:E1020)</f>
        <v>165.36423000000002</v>
      </c>
    </row>
    <row r="1022" spans="1:5" ht="18" x14ac:dyDescent="0.35">
      <c r="A1022" s="5"/>
      <c r="B1022" s="5"/>
      <c r="C1022" s="54"/>
      <c r="D1022" s="54" t="s">
        <v>1158</v>
      </c>
      <c r="E1022" s="89">
        <f>E1021+E1021*10%</f>
        <v>181.90065300000003</v>
      </c>
    </row>
    <row r="1023" spans="1:5" ht="18" x14ac:dyDescent="0.35">
      <c r="A1023" s="5"/>
      <c r="B1023" s="50" t="s">
        <v>37</v>
      </c>
      <c r="C1023" s="54">
        <v>0.3</v>
      </c>
      <c r="D1023" s="54">
        <v>1.1000000000000001</v>
      </c>
      <c r="E1023" s="85">
        <v>28</v>
      </c>
    </row>
    <row r="1024" spans="1:5" ht="18" x14ac:dyDescent="0.35">
      <c r="A1024" s="5"/>
      <c r="B1024" s="5"/>
      <c r="C1024" s="54"/>
      <c r="D1024" s="54"/>
      <c r="E1024" s="85">
        <f>SUM(E1022:E1023)</f>
        <v>209.90065300000003</v>
      </c>
    </row>
    <row r="1026" spans="1:5" ht="21" x14ac:dyDescent="0.4">
      <c r="A1026" s="40" t="s">
        <v>1225</v>
      </c>
      <c r="B1026" s="40"/>
      <c r="C1026" s="84"/>
      <c r="D1026" s="12"/>
      <c r="E1026" s="12"/>
    </row>
    <row r="1027" spans="1:5" ht="21" x14ac:dyDescent="0.4">
      <c r="A1027" s="40"/>
      <c r="B1027" s="40"/>
      <c r="C1027" s="84"/>
      <c r="D1027" s="12"/>
      <c r="E1027" s="12"/>
    </row>
    <row r="1028" spans="1:5" ht="18" x14ac:dyDescent="0.35">
      <c r="A1028" s="5"/>
      <c r="B1028" s="5"/>
      <c r="C1028" s="7" t="s">
        <v>28</v>
      </c>
      <c r="D1028" s="7" t="s">
        <v>29</v>
      </c>
      <c r="E1028" s="7" t="s">
        <v>30</v>
      </c>
    </row>
    <row r="1029" spans="1:5" ht="18" x14ac:dyDescent="0.35">
      <c r="A1029" s="5" t="s">
        <v>72</v>
      </c>
      <c r="B1029" s="50" t="s">
        <v>32</v>
      </c>
      <c r="C1029" s="7">
        <v>2.9729999999999999</v>
      </c>
      <c r="D1029" s="7">
        <v>45.07</v>
      </c>
      <c r="E1029" s="85">
        <f t="shared" ref="E1029:E1036" si="70">C1029*D1029</f>
        <v>133.99311</v>
      </c>
    </row>
    <row r="1030" spans="1:5" ht="18" x14ac:dyDescent="0.35">
      <c r="A1030" s="5" t="s">
        <v>63</v>
      </c>
      <c r="B1030" s="50" t="s">
        <v>33</v>
      </c>
      <c r="C1030" s="7">
        <v>7.4980000000000002</v>
      </c>
      <c r="D1030" s="7">
        <v>16.170000000000002</v>
      </c>
      <c r="E1030" s="85">
        <f t="shared" si="70"/>
        <v>121.24266000000001</v>
      </c>
    </row>
    <row r="1031" spans="1:5" ht="18" x14ac:dyDescent="0.35">
      <c r="A1031" s="5" t="s">
        <v>1226</v>
      </c>
      <c r="B1031" s="50" t="s">
        <v>33</v>
      </c>
      <c r="C1031" s="7">
        <v>8.4</v>
      </c>
      <c r="D1031" s="7">
        <v>16.170000000000002</v>
      </c>
      <c r="E1031" s="85">
        <f t="shared" si="70"/>
        <v>135.82800000000003</v>
      </c>
    </row>
    <row r="1032" spans="1:5" ht="18" x14ac:dyDescent="0.35">
      <c r="A1032" s="5" t="s">
        <v>1200</v>
      </c>
      <c r="B1032" s="50" t="s">
        <v>96</v>
      </c>
      <c r="C1032" s="7">
        <v>2</v>
      </c>
      <c r="D1032" s="7">
        <v>2.2400000000000002</v>
      </c>
      <c r="E1032" s="85">
        <f t="shared" si="70"/>
        <v>4.4800000000000004</v>
      </c>
    </row>
    <row r="1033" spans="1:5" ht="18" x14ac:dyDescent="0.35">
      <c r="A1033" s="5" t="s">
        <v>1038</v>
      </c>
      <c r="B1033" s="50" t="s">
        <v>88</v>
      </c>
      <c r="C1033" s="88">
        <v>4</v>
      </c>
      <c r="D1033" s="88">
        <v>3.29</v>
      </c>
      <c r="E1033" s="90">
        <f t="shared" si="70"/>
        <v>13.16</v>
      </c>
    </row>
    <row r="1034" spans="1:5" ht="18" x14ac:dyDescent="0.35">
      <c r="A1034" s="5"/>
      <c r="B1034" s="50" t="s">
        <v>34</v>
      </c>
      <c r="C1034" s="7">
        <v>0.45</v>
      </c>
      <c r="D1034" s="7">
        <v>13.67</v>
      </c>
      <c r="E1034" s="85">
        <f t="shared" si="70"/>
        <v>6.1515000000000004</v>
      </c>
    </row>
    <row r="1035" spans="1:5" ht="18" x14ac:dyDescent="0.35">
      <c r="A1035" s="5"/>
      <c r="B1035" s="50" t="s">
        <v>35</v>
      </c>
      <c r="C1035" s="7">
        <v>4</v>
      </c>
      <c r="D1035" s="7">
        <v>2.89</v>
      </c>
      <c r="E1035" s="85">
        <f t="shared" si="70"/>
        <v>11.56</v>
      </c>
    </row>
    <row r="1036" spans="1:5" ht="18" x14ac:dyDescent="0.35">
      <c r="A1036" s="5"/>
      <c r="B1036" s="50" t="s">
        <v>36</v>
      </c>
      <c r="C1036" s="7">
        <v>4</v>
      </c>
      <c r="D1036" s="7">
        <v>0.6</v>
      </c>
      <c r="E1036" s="85">
        <f t="shared" si="70"/>
        <v>2.4</v>
      </c>
    </row>
    <row r="1037" spans="1:5" ht="18" x14ac:dyDescent="0.35">
      <c r="A1037" s="5"/>
      <c r="B1037" s="5"/>
      <c r="C1037" s="54"/>
      <c r="D1037" s="54"/>
      <c r="E1037" s="89">
        <f>SUM(E1029:E1036)</f>
        <v>428.81527000000006</v>
      </c>
    </row>
    <row r="1038" spans="1:5" ht="18" x14ac:dyDescent="0.35">
      <c r="A1038" s="5"/>
      <c r="B1038" s="5"/>
      <c r="C1038" s="54"/>
      <c r="D1038" s="105">
        <v>0.1</v>
      </c>
      <c r="E1038" s="89">
        <f>E1037+E1037*10%</f>
        <v>471.69679700000006</v>
      </c>
    </row>
    <row r="1039" spans="1:5" ht="18" x14ac:dyDescent="0.35">
      <c r="A1039" s="5"/>
      <c r="B1039" s="50" t="s">
        <v>37</v>
      </c>
      <c r="C1039" s="54">
        <v>1</v>
      </c>
      <c r="D1039" s="54">
        <v>85</v>
      </c>
      <c r="E1039" s="85">
        <f>C1039*D1039</f>
        <v>85</v>
      </c>
    </row>
    <row r="1040" spans="1:5" ht="18" x14ac:dyDescent="0.35">
      <c r="E1040" s="89">
        <f>SUM(E1038:E1039)</f>
        <v>556.69679700000006</v>
      </c>
    </row>
    <row r="1042" spans="1:5" ht="21" x14ac:dyDescent="0.4">
      <c r="A1042" s="40" t="s">
        <v>1171</v>
      </c>
      <c r="B1042" s="40"/>
      <c r="C1042" s="84"/>
      <c r="D1042" s="12"/>
      <c r="E1042" s="12"/>
    </row>
    <row r="1043" spans="1:5" ht="21" x14ac:dyDescent="0.4">
      <c r="A1043" s="40"/>
      <c r="B1043" s="40"/>
      <c r="C1043" s="84"/>
      <c r="D1043" s="12"/>
      <c r="E1043" s="12"/>
    </row>
    <row r="1044" spans="1:5" ht="18" x14ac:dyDescent="0.35">
      <c r="A1044" s="5"/>
      <c r="B1044" s="5"/>
      <c r="C1044" s="7" t="s">
        <v>28</v>
      </c>
      <c r="D1044" s="7" t="s">
        <v>29</v>
      </c>
      <c r="E1044" s="7" t="s">
        <v>30</v>
      </c>
    </row>
    <row r="1045" spans="1:5" ht="18" x14ac:dyDescent="0.35">
      <c r="A1045" s="5" t="s">
        <v>71</v>
      </c>
      <c r="B1045" s="50" t="s">
        <v>32</v>
      </c>
      <c r="C1045" s="7">
        <v>2.5529999999999999</v>
      </c>
      <c r="D1045" s="7">
        <v>45.07</v>
      </c>
      <c r="E1045" s="85">
        <f t="shared" ref="E1045:E1052" si="71">C1045*D1045</f>
        <v>115.06371</v>
      </c>
    </row>
    <row r="1046" spans="1:5" ht="18" x14ac:dyDescent="0.35">
      <c r="A1046" s="5" t="s">
        <v>63</v>
      </c>
      <c r="B1046" s="50" t="s">
        <v>33</v>
      </c>
      <c r="C1046" s="7">
        <v>6.2370000000000001</v>
      </c>
      <c r="D1046" s="7">
        <v>16.170000000000002</v>
      </c>
      <c r="E1046" s="85">
        <f t="shared" si="71"/>
        <v>100.85229000000001</v>
      </c>
    </row>
    <row r="1047" spans="1:5" ht="18" x14ac:dyDescent="0.35">
      <c r="A1047" s="5" t="s">
        <v>661</v>
      </c>
      <c r="B1047" s="50" t="s">
        <v>33</v>
      </c>
      <c r="C1047" s="7">
        <v>7.35</v>
      </c>
      <c r="D1047" s="7">
        <v>16.170000000000002</v>
      </c>
      <c r="E1047" s="85">
        <f t="shared" si="71"/>
        <v>118.84950000000001</v>
      </c>
    </row>
    <row r="1048" spans="1:5" ht="18" x14ac:dyDescent="0.35">
      <c r="A1048" s="5" t="s">
        <v>1236</v>
      </c>
      <c r="B1048" s="50" t="s">
        <v>96</v>
      </c>
      <c r="C1048" s="7">
        <v>2</v>
      </c>
      <c r="D1048" s="7">
        <v>1.6</v>
      </c>
      <c r="E1048" s="85">
        <f t="shared" si="71"/>
        <v>3.2</v>
      </c>
    </row>
    <row r="1049" spans="1:5" ht="18" x14ac:dyDescent="0.35">
      <c r="A1049" s="5" t="s">
        <v>1038</v>
      </c>
      <c r="B1049" s="50" t="s">
        <v>94</v>
      </c>
      <c r="C1049" s="88">
        <v>2</v>
      </c>
      <c r="D1049" s="88">
        <v>2.2400000000000002</v>
      </c>
      <c r="E1049" s="90">
        <f t="shared" si="71"/>
        <v>4.4800000000000004</v>
      </c>
    </row>
    <row r="1050" spans="1:5" ht="18" x14ac:dyDescent="0.35">
      <c r="A1050" s="5"/>
      <c r="B1050" s="50" t="s">
        <v>34</v>
      </c>
      <c r="C1050" s="7">
        <v>0.3</v>
      </c>
      <c r="D1050" s="7">
        <v>13.67</v>
      </c>
      <c r="E1050" s="85">
        <f t="shared" si="71"/>
        <v>4.101</v>
      </c>
    </row>
    <row r="1051" spans="1:5" ht="18" x14ac:dyDescent="0.35">
      <c r="A1051" s="5"/>
      <c r="B1051" s="50" t="s">
        <v>35</v>
      </c>
      <c r="C1051" s="7">
        <v>4</v>
      </c>
      <c r="D1051" s="7">
        <v>2.89</v>
      </c>
      <c r="E1051" s="85">
        <f t="shared" si="71"/>
        <v>11.56</v>
      </c>
    </row>
    <row r="1052" spans="1:5" ht="18" x14ac:dyDescent="0.35">
      <c r="A1052" s="5"/>
      <c r="B1052" s="50" t="s">
        <v>36</v>
      </c>
      <c r="C1052" s="7">
        <v>4</v>
      </c>
      <c r="D1052" s="7">
        <v>0.6</v>
      </c>
      <c r="E1052" s="85">
        <f t="shared" si="71"/>
        <v>2.4</v>
      </c>
    </row>
    <row r="1053" spans="1:5" ht="18" x14ac:dyDescent="0.35">
      <c r="A1053" s="5"/>
      <c r="B1053" s="5"/>
      <c r="C1053" s="54"/>
      <c r="D1053" s="54"/>
      <c r="E1053" s="89">
        <f>SUM(E1045:E1052)</f>
        <v>360.50649999999996</v>
      </c>
    </row>
    <row r="1054" spans="1:5" ht="18" x14ac:dyDescent="0.35">
      <c r="A1054" s="5"/>
      <c r="B1054" s="5"/>
      <c r="C1054" s="54"/>
      <c r="D1054" s="105">
        <v>0.1</v>
      </c>
      <c r="E1054" s="89">
        <f>E1053+E1053*10%</f>
        <v>396.55714999999998</v>
      </c>
    </row>
    <row r="1055" spans="1:5" ht="18" x14ac:dyDescent="0.35">
      <c r="A1055" s="5"/>
      <c r="B1055" s="50" t="s">
        <v>37</v>
      </c>
      <c r="C1055" s="54">
        <v>1</v>
      </c>
      <c r="D1055" s="54">
        <v>56</v>
      </c>
      <c r="E1055" s="85">
        <f>C1055*D1055</f>
        <v>56</v>
      </c>
    </row>
    <row r="1056" spans="1:5" ht="18" x14ac:dyDescent="0.35">
      <c r="E1056" s="89">
        <f>SUM(E1054:E1055)</f>
        <v>452.55714999999998</v>
      </c>
    </row>
    <row r="1058" spans="1:5" ht="21" x14ac:dyDescent="0.4">
      <c r="A1058" s="40" t="s">
        <v>1232</v>
      </c>
      <c r="B1058" s="40"/>
      <c r="C1058" s="84"/>
      <c r="D1058" s="12"/>
      <c r="E1058" s="12"/>
    </row>
    <row r="1059" spans="1:5" ht="21" x14ac:dyDescent="0.4">
      <c r="A1059" s="40"/>
      <c r="B1059" s="40"/>
      <c r="C1059" s="84"/>
      <c r="D1059" s="12"/>
      <c r="E1059" s="12"/>
    </row>
    <row r="1060" spans="1:5" ht="18" x14ac:dyDescent="0.35">
      <c r="A1060" s="5"/>
      <c r="B1060" s="5"/>
      <c r="C1060" s="7" t="s">
        <v>28</v>
      </c>
      <c r="D1060" s="7" t="s">
        <v>29</v>
      </c>
      <c r="E1060" s="7" t="s">
        <v>30</v>
      </c>
    </row>
    <row r="1061" spans="1:5" ht="18" x14ac:dyDescent="0.35">
      <c r="A1061" s="5" t="s">
        <v>69</v>
      </c>
      <c r="B1061" s="50" t="s">
        <v>32</v>
      </c>
      <c r="C1061" s="7">
        <v>2.133</v>
      </c>
      <c r="D1061" s="7">
        <v>45.07</v>
      </c>
      <c r="E1061" s="85">
        <f t="shared" ref="E1061:E1068" si="72">C1061*D1061</f>
        <v>96.134309999999999</v>
      </c>
    </row>
    <row r="1062" spans="1:5" ht="18" x14ac:dyDescent="0.35">
      <c r="A1062" s="5" t="s">
        <v>63</v>
      </c>
      <c r="B1062" s="50" t="s">
        <v>33</v>
      </c>
      <c r="C1062" s="7">
        <v>4.9770000000000003</v>
      </c>
      <c r="D1062" s="7">
        <v>16.170000000000002</v>
      </c>
      <c r="E1062" s="85">
        <f t="shared" si="72"/>
        <v>80.478090000000009</v>
      </c>
    </row>
    <row r="1063" spans="1:5" ht="18" x14ac:dyDescent="0.35">
      <c r="A1063" s="5" t="s">
        <v>1087</v>
      </c>
      <c r="B1063" s="50" t="s">
        <v>33</v>
      </c>
      <c r="C1063" s="7">
        <v>5.88</v>
      </c>
      <c r="D1063" s="7">
        <v>16.170000000000002</v>
      </c>
      <c r="E1063" s="85">
        <f t="shared" si="72"/>
        <v>95.079600000000013</v>
      </c>
    </row>
    <row r="1064" spans="1:5" ht="18" x14ac:dyDescent="0.35">
      <c r="A1064" s="5" t="s">
        <v>1233</v>
      </c>
      <c r="B1064" s="50" t="s">
        <v>96</v>
      </c>
      <c r="C1064" s="7">
        <v>2</v>
      </c>
      <c r="D1064" s="7">
        <v>1.6</v>
      </c>
      <c r="E1064" s="85">
        <f t="shared" si="72"/>
        <v>3.2</v>
      </c>
    </row>
    <row r="1065" spans="1:5" ht="18" x14ac:dyDescent="0.35">
      <c r="A1065" s="5" t="s">
        <v>1038</v>
      </c>
      <c r="B1065" s="50" t="s">
        <v>359</v>
      </c>
      <c r="C1065" s="88">
        <v>4</v>
      </c>
      <c r="D1065" s="88">
        <v>1.81</v>
      </c>
      <c r="E1065" s="90">
        <f t="shared" si="72"/>
        <v>7.24</v>
      </c>
    </row>
    <row r="1066" spans="1:5" ht="18" x14ac:dyDescent="0.35">
      <c r="A1066" s="5"/>
      <c r="B1066" s="50" t="s">
        <v>34</v>
      </c>
      <c r="C1066" s="7">
        <v>0.15</v>
      </c>
      <c r="D1066" s="7">
        <v>13.67</v>
      </c>
      <c r="E1066" s="85">
        <f t="shared" si="72"/>
        <v>2.0505</v>
      </c>
    </row>
    <row r="1067" spans="1:5" ht="18" x14ac:dyDescent="0.35">
      <c r="A1067" s="5"/>
      <c r="B1067" s="50" t="s">
        <v>35</v>
      </c>
      <c r="C1067" s="7">
        <v>4</v>
      </c>
      <c r="D1067" s="7">
        <v>2.89</v>
      </c>
      <c r="E1067" s="85">
        <f t="shared" si="72"/>
        <v>11.56</v>
      </c>
    </row>
    <row r="1068" spans="1:5" ht="18" x14ac:dyDescent="0.35">
      <c r="A1068" s="5"/>
      <c r="B1068" s="50" t="s">
        <v>36</v>
      </c>
      <c r="C1068" s="7">
        <v>4</v>
      </c>
      <c r="D1068" s="7">
        <v>0.6</v>
      </c>
      <c r="E1068" s="85">
        <f t="shared" si="72"/>
        <v>2.4</v>
      </c>
    </row>
    <row r="1069" spans="1:5" ht="18" x14ac:dyDescent="0.35">
      <c r="A1069" s="5"/>
      <c r="B1069" s="5"/>
      <c r="C1069" s="54"/>
      <c r="D1069" s="54"/>
      <c r="E1069" s="89">
        <f>SUM(E1061:E1068)</f>
        <v>298.14249999999998</v>
      </c>
    </row>
    <row r="1070" spans="1:5" ht="18" x14ac:dyDescent="0.35">
      <c r="A1070" s="5"/>
      <c r="B1070" s="5"/>
      <c r="C1070" s="54"/>
      <c r="D1070" s="105">
        <v>0.1</v>
      </c>
      <c r="E1070" s="89">
        <f>E1069+E1069*10%</f>
        <v>327.95675</v>
      </c>
    </row>
    <row r="1071" spans="1:5" ht="18" x14ac:dyDescent="0.35">
      <c r="A1071" s="5"/>
      <c r="B1071" s="50" t="s">
        <v>37</v>
      </c>
      <c r="C1071" s="54">
        <v>0.55000000000000004</v>
      </c>
      <c r="D1071" s="54">
        <v>56</v>
      </c>
      <c r="E1071" s="85">
        <f>C1071*D1071</f>
        <v>30.800000000000004</v>
      </c>
    </row>
    <row r="1072" spans="1:5" ht="18" x14ac:dyDescent="0.35">
      <c r="E1072" s="89">
        <f>SUM(E1070:E1071)</f>
        <v>358.75675000000001</v>
      </c>
    </row>
    <row r="1074" spans="1:5" ht="21" x14ac:dyDescent="0.4">
      <c r="A1074" s="40" t="s">
        <v>1234</v>
      </c>
      <c r="B1074" s="40"/>
      <c r="C1074" s="84"/>
      <c r="D1074" s="12"/>
      <c r="E1074" s="12"/>
    </row>
    <row r="1075" spans="1:5" ht="21" x14ac:dyDescent="0.4">
      <c r="A1075" s="40"/>
      <c r="B1075" s="40"/>
      <c r="C1075" s="84"/>
      <c r="D1075" s="12"/>
      <c r="E1075" s="12"/>
    </row>
    <row r="1076" spans="1:5" ht="18" x14ac:dyDescent="0.35">
      <c r="A1076" s="5"/>
      <c r="B1076" s="5"/>
      <c r="C1076" s="7" t="s">
        <v>28</v>
      </c>
      <c r="D1076" s="7" t="s">
        <v>29</v>
      </c>
      <c r="E1076" s="7" t="s">
        <v>30</v>
      </c>
    </row>
    <row r="1077" spans="1:5" ht="18" x14ac:dyDescent="0.35">
      <c r="A1077" s="5" t="s">
        <v>79</v>
      </c>
      <c r="B1077" s="50" t="s">
        <v>32</v>
      </c>
      <c r="C1077" s="7">
        <v>2.238</v>
      </c>
      <c r="D1077" s="7">
        <v>45.07</v>
      </c>
      <c r="E1077" s="85">
        <f t="shared" ref="E1077:E1084" si="73">C1077*D1077</f>
        <v>100.86666</v>
      </c>
    </row>
    <row r="1078" spans="1:5" ht="18" x14ac:dyDescent="0.35">
      <c r="A1078" s="5" t="s">
        <v>52</v>
      </c>
      <c r="B1078" s="50" t="s">
        <v>33</v>
      </c>
      <c r="C1078" s="7">
        <v>7.4649999999999999</v>
      </c>
      <c r="D1078" s="7">
        <v>16.170000000000002</v>
      </c>
      <c r="E1078" s="85">
        <f t="shared" si="73"/>
        <v>120.70905</v>
      </c>
    </row>
    <row r="1079" spans="1:5" ht="18" x14ac:dyDescent="0.35">
      <c r="A1079" s="5" t="s">
        <v>1087</v>
      </c>
      <c r="B1079" s="50" t="s">
        <v>33</v>
      </c>
      <c r="C1079" s="7">
        <v>7.98</v>
      </c>
      <c r="D1079" s="7">
        <v>16.170000000000002</v>
      </c>
      <c r="E1079" s="85">
        <f t="shared" si="73"/>
        <v>129.03660000000002</v>
      </c>
    </row>
    <row r="1080" spans="1:5" ht="18" x14ac:dyDescent="0.35">
      <c r="A1080" s="5" t="s">
        <v>1235</v>
      </c>
      <c r="B1080" s="50" t="s">
        <v>97</v>
      </c>
      <c r="C1080" s="7">
        <v>2</v>
      </c>
      <c r="D1080" s="7">
        <v>1.48</v>
      </c>
      <c r="E1080" s="85">
        <f t="shared" si="73"/>
        <v>2.96</v>
      </c>
    </row>
    <row r="1081" spans="1:5" ht="18" x14ac:dyDescent="0.35">
      <c r="A1081" s="5" t="s">
        <v>1038</v>
      </c>
      <c r="B1081" s="50" t="s">
        <v>359</v>
      </c>
      <c r="C1081" s="88">
        <v>4</v>
      </c>
      <c r="D1081" s="88">
        <v>1.81</v>
      </c>
      <c r="E1081" s="90">
        <f t="shared" si="73"/>
        <v>7.24</v>
      </c>
    </row>
    <row r="1082" spans="1:5" ht="18" x14ac:dyDescent="0.35">
      <c r="A1082" s="5"/>
      <c r="B1082" s="50" t="s">
        <v>34</v>
      </c>
      <c r="C1082" s="7">
        <v>0.2</v>
      </c>
      <c r="D1082" s="7">
        <v>13.67</v>
      </c>
      <c r="E1082" s="85">
        <f t="shared" si="73"/>
        <v>2.734</v>
      </c>
    </row>
    <row r="1083" spans="1:5" ht="18" x14ac:dyDescent="0.35">
      <c r="A1083" s="5"/>
      <c r="B1083" s="50" t="s">
        <v>35</v>
      </c>
      <c r="C1083" s="7">
        <v>4</v>
      </c>
      <c r="D1083" s="7">
        <v>2.89</v>
      </c>
      <c r="E1083" s="85">
        <f t="shared" si="73"/>
        <v>11.56</v>
      </c>
    </row>
    <row r="1084" spans="1:5" ht="18" x14ac:dyDescent="0.35">
      <c r="A1084" s="5"/>
      <c r="B1084" s="50" t="s">
        <v>36</v>
      </c>
      <c r="C1084" s="7">
        <v>4</v>
      </c>
      <c r="D1084" s="7">
        <v>0.6</v>
      </c>
      <c r="E1084" s="85">
        <f t="shared" si="73"/>
        <v>2.4</v>
      </c>
    </row>
    <row r="1085" spans="1:5" ht="18" x14ac:dyDescent="0.35">
      <c r="A1085" s="5"/>
      <c r="B1085" s="5"/>
      <c r="C1085" s="54"/>
      <c r="D1085" s="54"/>
      <c r="E1085" s="89">
        <f>SUM(E1077:E1084)</f>
        <v>377.50630999999998</v>
      </c>
    </row>
    <row r="1086" spans="1:5" ht="18" x14ac:dyDescent="0.35">
      <c r="A1086" s="5"/>
      <c r="B1086" s="5"/>
      <c r="C1086" s="54"/>
      <c r="D1086" s="105">
        <v>0.1</v>
      </c>
      <c r="E1086" s="89">
        <f>E1085+E1085*10%</f>
        <v>415.25694099999998</v>
      </c>
    </row>
    <row r="1087" spans="1:5" ht="18" x14ac:dyDescent="0.35">
      <c r="A1087" s="5"/>
      <c r="B1087" s="50" t="s">
        <v>37</v>
      </c>
      <c r="C1087" s="54">
        <v>0.55000000000000004</v>
      </c>
      <c r="D1087" s="54">
        <v>56</v>
      </c>
      <c r="E1087" s="85">
        <f>C1087*D1087</f>
        <v>30.800000000000004</v>
      </c>
    </row>
    <row r="1088" spans="1:5" ht="18" x14ac:dyDescent="0.35">
      <c r="E1088" s="89">
        <f>SUM(E1086:E1087)</f>
        <v>446.05694099999999</v>
      </c>
    </row>
    <row r="1090" spans="1:5" ht="21" x14ac:dyDescent="0.4">
      <c r="A1090" s="40" t="s">
        <v>599</v>
      </c>
      <c r="B1090" s="40"/>
      <c r="C1090" s="84"/>
    </row>
    <row r="1091" spans="1:5" ht="18" x14ac:dyDescent="0.35">
      <c r="A1091" s="5" t="s">
        <v>1258</v>
      </c>
      <c r="B1091" s="5"/>
      <c r="C1091" s="7" t="s">
        <v>28</v>
      </c>
      <c r="D1091" s="7" t="s">
        <v>29</v>
      </c>
      <c r="E1091" s="7" t="s">
        <v>30</v>
      </c>
    </row>
    <row r="1092" spans="1:5" ht="18" x14ac:dyDescent="0.35">
      <c r="A1092" s="5" t="s">
        <v>810</v>
      </c>
      <c r="B1092" s="50" t="s">
        <v>32</v>
      </c>
      <c r="C1092" s="7">
        <v>1.766</v>
      </c>
      <c r="D1092" s="7">
        <v>14.93</v>
      </c>
      <c r="E1092" s="85">
        <f t="shared" ref="E1092:E1097" si="74">C1092*D1092</f>
        <v>26.366379999999999</v>
      </c>
    </row>
    <row r="1093" spans="1:5" ht="18" x14ac:dyDescent="0.35">
      <c r="A1093" s="5" t="s">
        <v>759</v>
      </c>
      <c r="B1093" s="50" t="s">
        <v>33</v>
      </c>
      <c r="C1093" s="7">
        <v>2.173</v>
      </c>
      <c r="D1093" s="7">
        <v>16.170000000000002</v>
      </c>
      <c r="E1093" s="85">
        <f t="shared" si="74"/>
        <v>35.137410000000003</v>
      </c>
    </row>
    <row r="1094" spans="1:5" ht="18" x14ac:dyDescent="0.35">
      <c r="A1094" s="102" t="s">
        <v>1222</v>
      </c>
      <c r="B1094" s="50" t="s">
        <v>43</v>
      </c>
      <c r="C1094" s="7">
        <v>2</v>
      </c>
      <c r="D1094" s="7">
        <v>1.1499999999999999</v>
      </c>
      <c r="E1094" s="85">
        <f t="shared" si="74"/>
        <v>2.2999999999999998</v>
      </c>
    </row>
    <row r="1095" spans="1:5" ht="18" x14ac:dyDescent="0.35">
      <c r="A1095" s="5"/>
      <c r="B1095" s="50" t="s">
        <v>34</v>
      </c>
      <c r="C1095" s="7">
        <v>0.15</v>
      </c>
      <c r="D1095" s="7">
        <v>14.61</v>
      </c>
      <c r="E1095" s="85">
        <f t="shared" si="74"/>
        <v>2.1915</v>
      </c>
    </row>
    <row r="1096" spans="1:5" ht="18" x14ac:dyDescent="0.35">
      <c r="A1096" s="5"/>
      <c r="B1096" s="50" t="s">
        <v>35</v>
      </c>
      <c r="C1096" s="7">
        <v>4</v>
      </c>
      <c r="D1096" s="7">
        <v>2.91</v>
      </c>
      <c r="E1096" s="85">
        <f t="shared" si="74"/>
        <v>11.64</v>
      </c>
    </row>
    <row r="1097" spans="1:5" ht="18" x14ac:dyDescent="0.35">
      <c r="A1097" s="5"/>
      <c r="B1097" s="50" t="s">
        <v>36</v>
      </c>
      <c r="C1097" s="7">
        <v>4</v>
      </c>
      <c r="D1097" s="7">
        <v>0.61</v>
      </c>
      <c r="E1097" s="85">
        <f t="shared" si="74"/>
        <v>2.44</v>
      </c>
    </row>
    <row r="1098" spans="1:5" ht="18" x14ac:dyDescent="0.35">
      <c r="A1098" s="5"/>
      <c r="B1098" s="5"/>
      <c r="C1098" s="54"/>
      <c r="D1098" s="54"/>
      <c r="E1098" s="89">
        <f>SUM(E1092:E1097)</f>
        <v>80.075289999999995</v>
      </c>
    </row>
    <row r="1099" spans="1:5" ht="18" x14ac:dyDescent="0.35">
      <c r="A1099" s="5"/>
      <c r="B1099" s="5"/>
      <c r="C1099" s="54"/>
      <c r="D1099" s="54" t="s">
        <v>1158</v>
      </c>
      <c r="E1099" s="89">
        <f>E1098+E1098*10%</f>
        <v>88.082819000000001</v>
      </c>
    </row>
    <row r="1100" spans="1:5" ht="18" x14ac:dyDescent="0.35">
      <c r="A1100" s="5"/>
      <c r="B1100" s="50" t="s">
        <v>37</v>
      </c>
      <c r="C1100" s="54">
        <v>0.3</v>
      </c>
      <c r="D1100" s="54">
        <v>1.42</v>
      </c>
      <c r="E1100" s="85">
        <v>42.6</v>
      </c>
    </row>
    <row r="1101" spans="1:5" ht="18" x14ac:dyDescent="0.35">
      <c r="A1101" s="5"/>
      <c r="B1101" s="5"/>
      <c r="C1101" s="54"/>
      <c r="D1101" s="54"/>
      <c r="E1101" s="85">
        <f>SUM(E1099:E1100)</f>
        <v>130.68281899999999</v>
      </c>
    </row>
    <row r="1103" spans="1:5" ht="21" x14ac:dyDescent="0.4">
      <c r="A1103" s="40" t="s">
        <v>599</v>
      </c>
      <c r="B1103" s="40"/>
      <c r="C1103" s="84"/>
    </row>
    <row r="1104" spans="1:5" ht="18" x14ac:dyDescent="0.35">
      <c r="A1104" s="5" t="s">
        <v>1259</v>
      </c>
      <c r="B1104" s="5"/>
      <c r="C1104" s="7" t="s">
        <v>28</v>
      </c>
      <c r="D1104" s="7" t="s">
        <v>29</v>
      </c>
      <c r="E1104" s="7" t="s">
        <v>30</v>
      </c>
    </row>
    <row r="1105" spans="1:5" ht="18" x14ac:dyDescent="0.35">
      <c r="A1105" s="5" t="s">
        <v>810</v>
      </c>
      <c r="B1105" s="50" t="s">
        <v>32</v>
      </c>
      <c r="C1105" s="7">
        <v>1.3460000000000001</v>
      </c>
      <c r="D1105" s="7">
        <v>14.93</v>
      </c>
      <c r="E1105" s="85">
        <f t="shared" ref="E1105:E1110" si="75">C1105*D1105</f>
        <v>20.095780000000001</v>
      </c>
    </row>
    <row r="1106" spans="1:5" ht="18" x14ac:dyDescent="0.35">
      <c r="A1106" s="5" t="s">
        <v>755</v>
      </c>
      <c r="B1106" s="50" t="s">
        <v>33</v>
      </c>
      <c r="C1106" s="7">
        <v>1.5429999999999999</v>
      </c>
      <c r="D1106" s="7">
        <v>16.170000000000002</v>
      </c>
      <c r="E1106" s="85">
        <f t="shared" si="75"/>
        <v>24.950310000000002</v>
      </c>
    </row>
    <row r="1107" spans="1:5" ht="18" x14ac:dyDescent="0.35">
      <c r="A1107" s="102" t="s">
        <v>1222</v>
      </c>
      <c r="B1107" s="50" t="s">
        <v>43</v>
      </c>
      <c r="C1107" s="7">
        <v>2</v>
      </c>
      <c r="D1107" s="7">
        <v>1.1499999999999999</v>
      </c>
      <c r="E1107" s="85">
        <f t="shared" si="75"/>
        <v>2.2999999999999998</v>
      </c>
    </row>
    <row r="1108" spans="1:5" ht="18" x14ac:dyDescent="0.35">
      <c r="A1108" s="5"/>
      <c r="B1108" s="50" t="s">
        <v>34</v>
      </c>
      <c r="C1108" s="7">
        <v>0.08</v>
      </c>
      <c r="D1108" s="7">
        <v>14.61</v>
      </c>
      <c r="E1108" s="85">
        <f t="shared" si="75"/>
        <v>1.1688000000000001</v>
      </c>
    </row>
    <row r="1109" spans="1:5" ht="18" x14ac:dyDescent="0.35">
      <c r="A1109" s="5"/>
      <c r="B1109" s="50" t="s">
        <v>35</v>
      </c>
      <c r="C1109" s="7">
        <v>4</v>
      </c>
      <c r="D1109" s="7">
        <v>2.91</v>
      </c>
      <c r="E1109" s="85">
        <f t="shared" si="75"/>
        <v>11.64</v>
      </c>
    </row>
    <row r="1110" spans="1:5" ht="18" x14ac:dyDescent="0.35">
      <c r="A1110" s="5"/>
      <c r="B1110" s="50" t="s">
        <v>36</v>
      </c>
      <c r="C1110" s="7">
        <v>4</v>
      </c>
      <c r="D1110" s="7">
        <v>0.61</v>
      </c>
      <c r="E1110" s="85">
        <f t="shared" si="75"/>
        <v>2.44</v>
      </c>
    </row>
    <row r="1111" spans="1:5" ht="18" x14ac:dyDescent="0.35">
      <c r="A1111" s="5"/>
      <c r="B1111" s="5"/>
      <c r="C1111" s="54"/>
      <c r="D1111" s="54"/>
      <c r="E1111" s="89">
        <f>SUM(E1105:E1110)</f>
        <v>62.594889999999999</v>
      </c>
    </row>
    <row r="1112" spans="1:5" ht="18" x14ac:dyDescent="0.35">
      <c r="A1112" s="5"/>
      <c r="B1112" s="5"/>
      <c r="C1112" s="54"/>
      <c r="D1112" s="54" t="s">
        <v>1158</v>
      </c>
      <c r="E1112" s="89">
        <f>E1111+E1111*10%</f>
        <v>68.854378999999994</v>
      </c>
    </row>
    <row r="1113" spans="1:5" ht="18" x14ac:dyDescent="0.35">
      <c r="A1113" s="5"/>
      <c r="B1113" s="50" t="s">
        <v>37</v>
      </c>
      <c r="C1113" s="54">
        <v>0.2</v>
      </c>
      <c r="D1113" s="54">
        <v>1.42</v>
      </c>
      <c r="E1113" s="85">
        <v>28.4</v>
      </c>
    </row>
    <row r="1114" spans="1:5" ht="18" x14ac:dyDescent="0.35">
      <c r="A1114" s="5"/>
      <c r="B1114" s="5"/>
      <c r="C1114" s="54"/>
      <c r="D1114" s="54"/>
      <c r="E1114" s="85">
        <f>SUM(E1112:E1113)</f>
        <v>97.254379</v>
      </c>
    </row>
    <row r="1116" spans="1:5" ht="21" x14ac:dyDescent="0.4">
      <c r="A1116" s="40" t="s">
        <v>599</v>
      </c>
      <c r="B1116" s="40"/>
      <c r="C1116" s="84"/>
    </row>
    <row r="1117" spans="1:5" ht="18" x14ac:dyDescent="0.35">
      <c r="A1117" s="5" t="s">
        <v>1262</v>
      </c>
      <c r="B1117" s="5"/>
      <c r="C1117" s="7" t="s">
        <v>28</v>
      </c>
      <c r="D1117" s="7" t="s">
        <v>29</v>
      </c>
      <c r="E1117" s="7" t="s">
        <v>30</v>
      </c>
    </row>
    <row r="1118" spans="1:5" ht="18" x14ac:dyDescent="0.35">
      <c r="A1118" s="5" t="s">
        <v>810</v>
      </c>
      <c r="B1118" s="50" t="s">
        <v>32</v>
      </c>
      <c r="C1118" s="7">
        <v>1.44</v>
      </c>
      <c r="D1118" s="7">
        <v>10.34</v>
      </c>
      <c r="E1118" s="85">
        <f t="shared" ref="E1118:E1123" si="76">C1118*D1118</f>
        <v>14.8896</v>
      </c>
    </row>
    <row r="1119" spans="1:5" ht="18" x14ac:dyDescent="0.35">
      <c r="A1119" s="5" t="s">
        <v>755</v>
      </c>
      <c r="B1119" s="50" t="s">
        <v>33</v>
      </c>
      <c r="C1119" s="7">
        <v>1.669</v>
      </c>
      <c r="D1119" s="7">
        <v>16.170000000000002</v>
      </c>
      <c r="E1119" s="85">
        <f t="shared" si="76"/>
        <v>26.987730000000003</v>
      </c>
    </row>
    <row r="1120" spans="1:5" ht="18" x14ac:dyDescent="0.35">
      <c r="A1120" s="102" t="s">
        <v>1222</v>
      </c>
      <c r="B1120" s="50" t="s">
        <v>43</v>
      </c>
      <c r="C1120" s="7">
        <v>2</v>
      </c>
      <c r="D1120" s="7">
        <v>1.1499999999999999</v>
      </c>
      <c r="E1120" s="85">
        <f t="shared" si="76"/>
        <v>2.2999999999999998</v>
      </c>
    </row>
    <row r="1121" spans="1:5" ht="18" x14ac:dyDescent="0.35">
      <c r="A1121" s="5"/>
      <c r="B1121" s="50" t="s">
        <v>34</v>
      </c>
      <c r="C1121" s="7"/>
      <c r="D1121" s="7">
        <v>14.61</v>
      </c>
      <c r="E1121" s="85">
        <f t="shared" si="76"/>
        <v>0</v>
      </c>
    </row>
    <row r="1122" spans="1:5" ht="18" x14ac:dyDescent="0.35">
      <c r="A1122" s="5"/>
      <c r="B1122" s="50" t="s">
        <v>35</v>
      </c>
      <c r="C1122" s="7">
        <v>4</v>
      </c>
      <c r="D1122" s="7">
        <v>2.91</v>
      </c>
      <c r="E1122" s="85">
        <f t="shared" si="76"/>
        <v>11.64</v>
      </c>
    </row>
    <row r="1123" spans="1:5" ht="18" x14ac:dyDescent="0.35">
      <c r="A1123" s="5"/>
      <c r="B1123" s="50" t="s">
        <v>36</v>
      </c>
      <c r="C1123" s="7">
        <v>4</v>
      </c>
      <c r="D1123" s="7">
        <v>0.61</v>
      </c>
      <c r="E1123" s="85">
        <f t="shared" si="76"/>
        <v>2.44</v>
      </c>
    </row>
    <row r="1124" spans="1:5" ht="18" x14ac:dyDescent="0.35">
      <c r="A1124" s="5"/>
      <c r="B1124" s="5"/>
      <c r="C1124" s="54"/>
      <c r="D1124" s="54"/>
      <c r="E1124" s="89">
        <f>SUM(E1118:E1123)</f>
        <v>58.257329999999996</v>
      </c>
    </row>
    <row r="1125" spans="1:5" ht="18" x14ac:dyDescent="0.35">
      <c r="A1125" s="5"/>
      <c r="B1125" s="5"/>
      <c r="C1125" s="54"/>
      <c r="D1125" s="54" t="s">
        <v>1158</v>
      </c>
      <c r="E1125" s="89">
        <f>E1124+E1124*10%</f>
        <v>64.083062999999996</v>
      </c>
    </row>
    <row r="1126" spans="1:5" ht="18" x14ac:dyDescent="0.35">
      <c r="A1126" s="5"/>
      <c r="B1126" s="50" t="s">
        <v>37</v>
      </c>
      <c r="C1126" s="54">
        <v>0.2</v>
      </c>
      <c r="D1126" s="54">
        <v>1.42</v>
      </c>
      <c r="E1126" s="85">
        <v>28.4</v>
      </c>
    </row>
    <row r="1127" spans="1:5" ht="18" x14ac:dyDescent="0.35">
      <c r="A1127" s="5"/>
      <c r="B1127" s="5"/>
      <c r="C1127" s="54"/>
      <c r="D1127" s="54"/>
      <c r="E1127" s="85">
        <f>SUM(E1125:E1126)</f>
        <v>92.483062999999987</v>
      </c>
    </row>
    <row r="1130" spans="1:5" ht="21" x14ac:dyDescent="0.4">
      <c r="A1130" s="40" t="s">
        <v>1274</v>
      </c>
      <c r="B1130" s="40"/>
      <c r="C1130" s="84"/>
      <c r="D1130" s="12"/>
      <c r="E1130" s="12"/>
    </row>
    <row r="1131" spans="1:5" ht="21" x14ac:dyDescent="0.4">
      <c r="A1131" s="40"/>
      <c r="B1131" s="40"/>
      <c r="C1131" s="84"/>
      <c r="D1131" s="12"/>
      <c r="E1131" s="12"/>
    </row>
    <row r="1132" spans="1:5" ht="18" x14ac:dyDescent="0.35">
      <c r="A1132" s="5"/>
      <c r="B1132" s="5"/>
      <c r="C1132" s="7" t="s">
        <v>28</v>
      </c>
      <c r="D1132" s="7" t="s">
        <v>29</v>
      </c>
      <c r="E1132" s="7" t="s">
        <v>30</v>
      </c>
    </row>
    <row r="1133" spans="1:5" ht="18" x14ac:dyDescent="0.35">
      <c r="A1133" s="5" t="s">
        <v>1275</v>
      </c>
      <c r="B1133" s="50" t="s">
        <v>32</v>
      </c>
      <c r="C1133" s="7">
        <v>2.343</v>
      </c>
      <c r="D1133" s="7">
        <v>45.07</v>
      </c>
      <c r="E1133" s="85">
        <f t="shared" ref="E1133:E1140" si="77">C1133*D1133</f>
        <v>105.59900999999999</v>
      </c>
    </row>
    <row r="1134" spans="1:5" ht="18" x14ac:dyDescent="0.35">
      <c r="A1134" s="5" t="s">
        <v>63</v>
      </c>
      <c r="B1134" s="50" t="s">
        <v>33</v>
      </c>
      <c r="C1134" s="7">
        <v>5.6070000000000002</v>
      </c>
      <c r="D1134" s="7">
        <v>16.170000000000002</v>
      </c>
      <c r="E1134" s="85">
        <f t="shared" si="77"/>
        <v>90.66519000000001</v>
      </c>
    </row>
    <row r="1135" spans="1:5" ht="18" x14ac:dyDescent="0.35">
      <c r="A1135" s="5" t="s">
        <v>1276</v>
      </c>
      <c r="B1135" s="50" t="s">
        <v>33</v>
      </c>
      <c r="C1135" s="7">
        <v>6.6150000000000002</v>
      </c>
      <c r="D1135" s="7">
        <v>16.170000000000002</v>
      </c>
      <c r="E1135" s="85">
        <f t="shared" si="77"/>
        <v>106.96455000000002</v>
      </c>
    </row>
    <row r="1136" spans="1:5" ht="18" x14ac:dyDescent="0.35">
      <c r="A1136" s="5" t="s">
        <v>1277</v>
      </c>
      <c r="B1136" s="50" t="s">
        <v>96</v>
      </c>
      <c r="C1136" s="7">
        <v>2</v>
      </c>
      <c r="D1136" s="7">
        <v>1.48</v>
      </c>
      <c r="E1136" s="85">
        <f t="shared" si="77"/>
        <v>2.96</v>
      </c>
    </row>
    <row r="1137" spans="1:5" ht="18" x14ac:dyDescent="0.35">
      <c r="A1137" s="5" t="s">
        <v>1038</v>
      </c>
      <c r="B1137" s="50" t="s">
        <v>88</v>
      </c>
      <c r="C1137" s="88">
        <v>4</v>
      </c>
      <c r="D1137" s="88">
        <v>1.81</v>
      </c>
      <c r="E1137" s="90">
        <f t="shared" si="77"/>
        <v>7.24</v>
      </c>
    </row>
    <row r="1138" spans="1:5" ht="18" x14ac:dyDescent="0.35">
      <c r="A1138" s="5"/>
      <c r="B1138" s="50" t="s">
        <v>34</v>
      </c>
      <c r="C1138" s="7">
        <v>0.3</v>
      </c>
      <c r="D1138" s="7">
        <v>13.67</v>
      </c>
      <c r="E1138" s="85">
        <f t="shared" si="77"/>
        <v>4.101</v>
      </c>
    </row>
    <row r="1139" spans="1:5" ht="18" x14ac:dyDescent="0.35">
      <c r="A1139" s="5"/>
      <c r="B1139" s="50" t="s">
        <v>35</v>
      </c>
      <c r="C1139" s="7">
        <v>4</v>
      </c>
      <c r="D1139" s="7">
        <v>2.89</v>
      </c>
      <c r="E1139" s="85">
        <f t="shared" si="77"/>
        <v>11.56</v>
      </c>
    </row>
    <row r="1140" spans="1:5" ht="18" x14ac:dyDescent="0.35">
      <c r="A1140" s="5"/>
      <c r="B1140" s="50" t="s">
        <v>36</v>
      </c>
      <c r="C1140" s="7">
        <v>4</v>
      </c>
      <c r="D1140" s="7">
        <v>0.6</v>
      </c>
      <c r="E1140" s="85">
        <f t="shared" si="77"/>
        <v>2.4</v>
      </c>
    </row>
    <row r="1141" spans="1:5" ht="18" x14ac:dyDescent="0.35">
      <c r="A1141" s="5"/>
      <c r="B1141" s="5"/>
      <c r="C1141" s="54"/>
      <c r="D1141" s="54"/>
      <c r="E1141" s="89">
        <f>SUM(E1133:E1140)</f>
        <v>331.48975000000002</v>
      </c>
    </row>
    <row r="1142" spans="1:5" ht="18" x14ac:dyDescent="0.35">
      <c r="A1142" s="5"/>
      <c r="B1142" s="5"/>
      <c r="C1142" s="54"/>
      <c r="D1142" s="105">
        <v>0.1</v>
      </c>
      <c r="E1142" s="89">
        <f>E1141+E1141*10%</f>
        <v>364.63872500000002</v>
      </c>
    </row>
    <row r="1143" spans="1:5" ht="18" x14ac:dyDescent="0.35">
      <c r="A1143" s="5"/>
      <c r="B1143" s="50" t="s">
        <v>37</v>
      </c>
      <c r="C1143" s="54">
        <v>0.55000000000000004</v>
      </c>
      <c r="D1143" s="54">
        <v>56</v>
      </c>
      <c r="E1143" s="85">
        <f>C1143*D1143</f>
        <v>30.800000000000004</v>
      </c>
    </row>
    <row r="1144" spans="1:5" ht="18" x14ac:dyDescent="0.35">
      <c r="E1144" s="89">
        <f>SUM(E1142:E1143)</f>
        <v>395.43872500000003</v>
      </c>
    </row>
    <row r="1146" spans="1:5" ht="21" x14ac:dyDescent="0.4">
      <c r="A1146" s="40" t="s">
        <v>1294</v>
      </c>
      <c r="B1146" s="40"/>
      <c r="C1146" s="84"/>
      <c r="D1146" s="12"/>
      <c r="E1146" s="12"/>
    </row>
    <row r="1147" spans="1:5" ht="21" x14ac:dyDescent="0.4">
      <c r="A1147" s="40"/>
      <c r="B1147" s="40"/>
      <c r="C1147" s="84"/>
      <c r="D1147" s="12"/>
      <c r="E1147" s="12"/>
    </row>
    <row r="1148" spans="1:5" ht="18" x14ac:dyDescent="0.35">
      <c r="A1148" s="5"/>
      <c r="B1148" s="5"/>
      <c r="C1148" s="7" t="s">
        <v>28</v>
      </c>
      <c r="D1148" s="7" t="s">
        <v>29</v>
      </c>
      <c r="E1148" s="7" t="s">
        <v>30</v>
      </c>
    </row>
    <row r="1149" spans="1:5" ht="18" x14ac:dyDescent="0.35">
      <c r="A1149" s="5" t="s">
        <v>1295</v>
      </c>
      <c r="B1149" s="50" t="s">
        <v>32</v>
      </c>
      <c r="C1149" s="7">
        <v>1.3560000000000001</v>
      </c>
      <c r="D1149" s="7">
        <v>45.07</v>
      </c>
      <c r="E1149" s="85">
        <f t="shared" ref="E1149:E1156" si="78">C1149*D1149</f>
        <v>61.114920000000005</v>
      </c>
    </row>
    <row r="1150" spans="1:5" ht="18" x14ac:dyDescent="0.35">
      <c r="A1150" s="5" t="s">
        <v>749</v>
      </c>
      <c r="B1150" s="50" t="s">
        <v>33</v>
      </c>
      <c r="C1150" s="7">
        <v>2.835</v>
      </c>
      <c r="D1150" s="7">
        <v>16.170000000000002</v>
      </c>
      <c r="E1150" s="85">
        <f t="shared" si="78"/>
        <v>45.841950000000004</v>
      </c>
    </row>
    <row r="1151" spans="1:5" ht="18" x14ac:dyDescent="0.35">
      <c r="A1151" s="5" t="s">
        <v>1296</v>
      </c>
      <c r="B1151" s="50" t="s">
        <v>33</v>
      </c>
      <c r="C1151" s="7">
        <v>2.64</v>
      </c>
      <c r="D1151" s="7">
        <v>16.170000000000002</v>
      </c>
      <c r="E1151" s="85">
        <f t="shared" si="78"/>
        <v>42.688800000000008</v>
      </c>
    </row>
    <row r="1152" spans="1:5" ht="18" x14ac:dyDescent="0.35">
      <c r="A1152" s="5" t="s">
        <v>623</v>
      </c>
      <c r="B1152" s="50" t="s">
        <v>88</v>
      </c>
      <c r="C1152" s="7">
        <v>2</v>
      </c>
      <c r="D1152" s="7">
        <v>2.2400000000000002</v>
      </c>
      <c r="E1152" s="85">
        <f t="shared" si="78"/>
        <v>4.4800000000000004</v>
      </c>
    </row>
    <row r="1153" spans="1:5" ht="18" x14ac:dyDescent="0.35">
      <c r="A1153" s="5" t="s">
        <v>1038</v>
      </c>
      <c r="B1153" s="50" t="s">
        <v>43</v>
      </c>
      <c r="C1153" s="88">
        <v>4</v>
      </c>
      <c r="D1153" s="88">
        <v>1.1499999999999999</v>
      </c>
      <c r="E1153" s="90">
        <f t="shared" si="78"/>
        <v>4.5999999999999996</v>
      </c>
    </row>
    <row r="1154" spans="1:5" ht="18" x14ac:dyDescent="0.35">
      <c r="A1154" s="5"/>
      <c r="B1154" s="50" t="s">
        <v>34</v>
      </c>
      <c r="C1154" s="7"/>
      <c r="D1154" s="7">
        <v>13.67</v>
      </c>
      <c r="E1154" s="85">
        <f t="shared" si="78"/>
        <v>0</v>
      </c>
    </row>
    <row r="1155" spans="1:5" ht="18" x14ac:dyDescent="0.35">
      <c r="A1155" s="5"/>
      <c r="B1155" s="50" t="s">
        <v>35</v>
      </c>
      <c r="C1155" s="7">
        <v>4</v>
      </c>
      <c r="D1155" s="7">
        <v>2.89</v>
      </c>
      <c r="E1155" s="85">
        <f t="shared" si="78"/>
        <v>11.56</v>
      </c>
    </row>
    <row r="1156" spans="1:5" ht="18" x14ac:dyDescent="0.35">
      <c r="A1156" s="5"/>
      <c r="B1156" s="50" t="s">
        <v>36</v>
      </c>
      <c r="C1156" s="7">
        <v>4</v>
      </c>
      <c r="D1156" s="7">
        <v>0.6</v>
      </c>
      <c r="E1156" s="85">
        <f t="shared" si="78"/>
        <v>2.4</v>
      </c>
    </row>
    <row r="1157" spans="1:5" ht="18" x14ac:dyDescent="0.35">
      <c r="A1157" s="5"/>
      <c r="B1157" s="5"/>
      <c r="C1157" s="54"/>
      <c r="D1157" s="54"/>
      <c r="E1157" s="89">
        <f>SUM(E1149:E1156)</f>
        <v>172.68567000000002</v>
      </c>
    </row>
    <row r="1158" spans="1:5" ht="18" x14ac:dyDescent="0.35">
      <c r="A1158" s="5"/>
      <c r="B1158" s="5"/>
      <c r="C1158" s="54"/>
      <c r="D1158" s="105">
        <v>0.1</v>
      </c>
      <c r="E1158" s="89">
        <f>E1157+E1157*10%</f>
        <v>189.95423700000001</v>
      </c>
    </row>
    <row r="1159" spans="1:5" ht="18" x14ac:dyDescent="0.35">
      <c r="A1159" s="5"/>
      <c r="B1159" s="50" t="s">
        <v>37</v>
      </c>
      <c r="C1159" s="54">
        <v>0.55000000000000004</v>
      </c>
      <c r="D1159" s="54">
        <v>56</v>
      </c>
      <c r="E1159" s="85">
        <f>C1159*D1159</f>
        <v>30.800000000000004</v>
      </c>
    </row>
    <row r="1160" spans="1:5" ht="18" x14ac:dyDescent="0.35">
      <c r="E1160" s="89">
        <f>SUM(E1158:E1159)</f>
        <v>220.75423700000002</v>
      </c>
    </row>
    <row r="1162" spans="1:5" ht="21" x14ac:dyDescent="0.4">
      <c r="A1162" s="40" t="s">
        <v>599</v>
      </c>
      <c r="B1162" s="40"/>
      <c r="C1162" s="84"/>
    </row>
    <row r="1163" spans="1:5" ht="18" x14ac:dyDescent="0.35">
      <c r="A1163" s="5" t="s">
        <v>200</v>
      </c>
      <c r="B1163" s="5"/>
      <c r="C1163" s="7" t="s">
        <v>28</v>
      </c>
      <c r="D1163" s="7" t="s">
        <v>29</v>
      </c>
      <c r="E1163" s="7" t="s">
        <v>30</v>
      </c>
    </row>
    <row r="1164" spans="1:5" ht="18" x14ac:dyDescent="0.35">
      <c r="A1164" s="5" t="s">
        <v>909</v>
      </c>
      <c r="B1164" s="50" t="s">
        <v>32</v>
      </c>
      <c r="C1164" s="7">
        <v>1.944</v>
      </c>
      <c r="D1164" s="7">
        <v>10.34</v>
      </c>
      <c r="E1164" s="85">
        <f t="shared" ref="E1164:E1169" si="79">C1164*D1164</f>
        <v>20.100960000000001</v>
      </c>
    </row>
    <row r="1165" spans="1:5" ht="18" x14ac:dyDescent="0.35">
      <c r="A1165" s="5" t="s">
        <v>755</v>
      </c>
      <c r="B1165" s="50" t="s">
        <v>33</v>
      </c>
      <c r="C1165" s="7">
        <v>1.659</v>
      </c>
      <c r="D1165" s="7">
        <v>16.170000000000002</v>
      </c>
      <c r="E1165" s="85">
        <f t="shared" si="79"/>
        <v>26.826030000000003</v>
      </c>
    </row>
    <row r="1166" spans="1:5" ht="18" x14ac:dyDescent="0.35">
      <c r="A1166" s="102" t="s">
        <v>1222</v>
      </c>
      <c r="B1166" s="50" t="s">
        <v>43</v>
      </c>
      <c r="C1166" s="7">
        <v>2</v>
      </c>
      <c r="D1166" s="7">
        <v>1.1499999999999999</v>
      </c>
      <c r="E1166" s="85">
        <f t="shared" si="79"/>
        <v>2.2999999999999998</v>
      </c>
    </row>
    <row r="1167" spans="1:5" ht="18" x14ac:dyDescent="0.35">
      <c r="A1167" s="5"/>
      <c r="B1167" s="50" t="s">
        <v>34</v>
      </c>
      <c r="C1167" s="7">
        <v>0.06</v>
      </c>
      <c r="D1167" s="7">
        <v>14.61</v>
      </c>
      <c r="E1167" s="85">
        <f t="shared" si="79"/>
        <v>0.87659999999999993</v>
      </c>
    </row>
    <row r="1168" spans="1:5" ht="18" x14ac:dyDescent="0.35">
      <c r="A1168" s="5"/>
      <c r="B1168" s="50" t="s">
        <v>35</v>
      </c>
      <c r="C1168" s="7">
        <v>4</v>
      </c>
      <c r="D1168" s="7">
        <v>2.91</v>
      </c>
      <c r="E1168" s="85">
        <f t="shared" si="79"/>
        <v>11.64</v>
      </c>
    </row>
    <row r="1169" spans="1:5" ht="18" x14ac:dyDescent="0.35">
      <c r="A1169" s="5"/>
      <c r="B1169" s="50" t="s">
        <v>36</v>
      </c>
      <c r="C1169" s="7">
        <v>4</v>
      </c>
      <c r="D1169" s="7">
        <v>0.61</v>
      </c>
      <c r="E1169" s="85">
        <f t="shared" si="79"/>
        <v>2.44</v>
      </c>
    </row>
    <row r="1170" spans="1:5" ht="18" x14ac:dyDescent="0.35">
      <c r="A1170" s="5"/>
      <c r="B1170" s="5"/>
      <c r="C1170" s="54"/>
      <c r="D1170" s="54"/>
      <c r="E1170" s="89">
        <f>SUM(E1164:E1169)</f>
        <v>64.183590000000009</v>
      </c>
    </row>
    <row r="1171" spans="1:5" ht="18" x14ac:dyDescent="0.35">
      <c r="A1171" s="5"/>
      <c r="B1171" s="5"/>
      <c r="C1171" s="54"/>
      <c r="D1171" s="54" t="s">
        <v>1158</v>
      </c>
      <c r="E1171" s="89">
        <f>E1170+E1170*10%</f>
        <v>70.601949000000005</v>
      </c>
    </row>
    <row r="1172" spans="1:5" ht="18" x14ac:dyDescent="0.35">
      <c r="A1172" s="5"/>
      <c r="B1172" s="50" t="s">
        <v>37</v>
      </c>
      <c r="C1172" s="54">
        <v>0.2</v>
      </c>
      <c r="D1172" s="54">
        <v>1.42</v>
      </c>
      <c r="E1172" s="85">
        <v>28.4</v>
      </c>
    </row>
    <row r="1173" spans="1:5" ht="18" x14ac:dyDescent="0.35">
      <c r="A1173" s="5"/>
      <c r="B1173" s="5"/>
      <c r="C1173" s="54"/>
      <c r="D1173" s="54"/>
      <c r="E1173" s="85">
        <f>SUM(E1171:E1172)</f>
        <v>99.001948999999996</v>
      </c>
    </row>
    <row r="1175" spans="1:5" ht="21" x14ac:dyDescent="0.4">
      <c r="A1175" s="40" t="s">
        <v>1078</v>
      </c>
      <c r="B1175" s="40"/>
      <c r="C1175" s="84"/>
      <c r="D1175" s="12"/>
      <c r="E1175" s="12"/>
    </row>
    <row r="1176" spans="1:5" ht="21" x14ac:dyDescent="0.4">
      <c r="A1176" s="40"/>
      <c r="B1176" s="40"/>
      <c r="C1176" s="84"/>
      <c r="D1176" s="12" t="s">
        <v>1339</v>
      </c>
      <c r="E1176" s="12"/>
    </row>
    <row r="1177" spans="1:5" ht="18" x14ac:dyDescent="0.35">
      <c r="A1177" s="5"/>
      <c r="B1177" s="5"/>
      <c r="C1177" s="7" t="s">
        <v>28</v>
      </c>
      <c r="D1177" s="7" t="s">
        <v>29</v>
      </c>
      <c r="E1177" s="7" t="s">
        <v>30</v>
      </c>
    </row>
    <row r="1178" spans="1:5" ht="18" x14ac:dyDescent="0.35">
      <c r="A1178" s="5" t="s">
        <v>41</v>
      </c>
      <c r="B1178" s="50" t="s">
        <v>32</v>
      </c>
      <c r="C1178" s="7">
        <v>1.3979999999999999</v>
      </c>
      <c r="D1178" s="7">
        <v>14.93</v>
      </c>
      <c r="E1178" s="85">
        <f t="shared" ref="E1178:E1185" si="80">C1178*D1178</f>
        <v>20.872139999999998</v>
      </c>
    </row>
    <row r="1179" spans="1:5" ht="18" x14ac:dyDescent="0.35">
      <c r="A1179" s="5" t="s">
        <v>39</v>
      </c>
      <c r="B1179" s="50" t="s">
        <v>33</v>
      </c>
      <c r="C1179" s="7">
        <v>2.0579999999999998</v>
      </c>
      <c r="D1179" s="7">
        <v>16.170000000000002</v>
      </c>
      <c r="E1179" s="85">
        <f t="shared" si="80"/>
        <v>33.277860000000004</v>
      </c>
    </row>
    <row r="1180" spans="1:5" ht="18" x14ac:dyDescent="0.35">
      <c r="A1180" s="5" t="s">
        <v>293</v>
      </c>
      <c r="B1180" s="50" t="s">
        <v>33</v>
      </c>
      <c r="C1180" s="7">
        <v>2.2679999999999998</v>
      </c>
      <c r="D1180" s="7">
        <v>16.170000000000002</v>
      </c>
      <c r="E1180" s="85">
        <f t="shared" si="80"/>
        <v>36.673560000000002</v>
      </c>
    </row>
    <row r="1181" spans="1:5" ht="18" x14ac:dyDescent="0.35">
      <c r="A1181" s="5" t="s">
        <v>616</v>
      </c>
      <c r="B1181" s="50" t="s">
        <v>43</v>
      </c>
      <c r="C1181" s="7">
        <v>2</v>
      </c>
      <c r="D1181" s="7">
        <v>1.1499999999999999</v>
      </c>
      <c r="E1181" s="85">
        <f t="shared" si="80"/>
        <v>2.2999999999999998</v>
      </c>
    </row>
    <row r="1182" spans="1:5" ht="18" x14ac:dyDescent="0.35">
      <c r="A1182" s="5" t="s">
        <v>1301</v>
      </c>
      <c r="B1182" s="50" t="s">
        <v>88</v>
      </c>
      <c r="C1182" s="88">
        <v>2</v>
      </c>
      <c r="D1182" s="88">
        <v>2.2400000000000002</v>
      </c>
      <c r="E1182" s="90">
        <f t="shared" si="80"/>
        <v>4.4800000000000004</v>
      </c>
    </row>
    <row r="1183" spans="1:5" ht="18" x14ac:dyDescent="0.35">
      <c r="A1183" s="5"/>
      <c r="B1183" s="50" t="s">
        <v>34</v>
      </c>
      <c r="C1183" s="7"/>
      <c r="D1183" s="7">
        <v>18.05</v>
      </c>
      <c r="E1183" s="85">
        <f t="shared" si="80"/>
        <v>0</v>
      </c>
    </row>
    <row r="1184" spans="1:5" ht="18" x14ac:dyDescent="0.35">
      <c r="A1184" s="5"/>
      <c r="B1184" s="50" t="s">
        <v>35</v>
      </c>
      <c r="C1184" s="7">
        <v>4</v>
      </c>
      <c r="D1184" s="7">
        <v>2.0099999999999998</v>
      </c>
      <c r="E1184" s="85">
        <f t="shared" si="80"/>
        <v>8.0399999999999991</v>
      </c>
    </row>
    <row r="1185" spans="1:5" ht="18" x14ac:dyDescent="0.35">
      <c r="A1185" s="5"/>
      <c r="B1185" s="50" t="s">
        <v>36</v>
      </c>
      <c r="C1185" s="7">
        <v>4</v>
      </c>
      <c r="D1185" s="7">
        <v>0.25</v>
      </c>
      <c r="E1185" s="85">
        <f t="shared" si="80"/>
        <v>1</v>
      </c>
    </row>
    <row r="1186" spans="1:5" ht="18" x14ac:dyDescent="0.35">
      <c r="A1186" s="5"/>
      <c r="B1186" s="5"/>
      <c r="C1186" s="54"/>
      <c r="D1186" s="54"/>
      <c r="E1186" s="89">
        <f>SUM(E1178:E1185)</f>
        <v>106.64356000000001</v>
      </c>
    </row>
    <row r="1187" spans="1:5" ht="18" x14ac:dyDescent="0.35">
      <c r="A1187" s="5"/>
      <c r="B1187" s="5"/>
      <c r="C1187" s="54"/>
      <c r="D1187" s="54" t="s">
        <v>1158</v>
      </c>
      <c r="E1187" s="89">
        <f>E1186+E1186*10%</f>
        <v>117.30791600000001</v>
      </c>
    </row>
    <row r="1188" spans="1:5" ht="18" x14ac:dyDescent="0.35">
      <c r="A1188" s="5"/>
      <c r="B1188" s="50" t="s">
        <v>37</v>
      </c>
      <c r="C1188" s="54">
        <v>0.2</v>
      </c>
      <c r="D1188" s="54">
        <v>85</v>
      </c>
      <c r="E1188" s="85">
        <f>C1188*D1188</f>
        <v>17</v>
      </c>
    </row>
    <row r="1189" spans="1:5" ht="18" x14ac:dyDescent="0.35">
      <c r="A1189" s="5"/>
      <c r="B1189" s="5"/>
      <c r="C1189" s="54"/>
      <c r="D1189" s="54"/>
      <c r="E1189" s="112">
        <f>SUM(E1187:E1188)</f>
        <v>134.30791600000001</v>
      </c>
    </row>
    <row r="1192" spans="1:5" ht="21" x14ac:dyDescent="0.4">
      <c r="A1192" s="40" t="s">
        <v>1351</v>
      </c>
      <c r="B1192" s="40"/>
      <c r="C1192" s="84"/>
      <c r="D1192" s="12"/>
      <c r="E1192" s="12"/>
    </row>
    <row r="1193" spans="1:5" ht="21" x14ac:dyDescent="0.4">
      <c r="A1193" s="40"/>
      <c r="B1193" s="40"/>
      <c r="C1193" s="84"/>
      <c r="D1193" s="12" t="s">
        <v>1339</v>
      </c>
      <c r="E1193" s="12"/>
    </row>
    <row r="1194" spans="1:5" ht="18" x14ac:dyDescent="0.35">
      <c r="A1194" s="5"/>
      <c r="B1194" s="5"/>
      <c r="C1194" s="7" t="s">
        <v>28</v>
      </c>
      <c r="D1194" s="7" t="s">
        <v>29</v>
      </c>
      <c r="E1194" s="7" t="s">
        <v>30</v>
      </c>
    </row>
    <row r="1195" spans="1:5" ht="18" x14ac:dyDescent="0.35">
      <c r="A1195" s="5" t="s">
        <v>119</v>
      </c>
      <c r="B1195" s="50" t="s">
        <v>32</v>
      </c>
      <c r="C1195" s="7">
        <v>2.238</v>
      </c>
      <c r="D1195" s="7">
        <v>14.93</v>
      </c>
      <c r="E1195" s="85">
        <f t="shared" ref="E1195:E1202" si="81">C1195*D1195</f>
        <v>33.413339999999998</v>
      </c>
    </row>
    <row r="1196" spans="1:5" ht="18" x14ac:dyDescent="0.35">
      <c r="A1196" s="5" t="s">
        <v>117</v>
      </c>
      <c r="B1196" s="50" t="s">
        <v>33</v>
      </c>
      <c r="C1196" s="7">
        <v>11.77</v>
      </c>
      <c r="D1196" s="7">
        <v>16.170000000000002</v>
      </c>
      <c r="E1196" s="85">
        <f t="shared" si="81"/>
        <v>190.32090000000002</v>
      </c>
    </row>
    <row r="1197" spans="1:5" ht="18" x14ac:dyDescent="0.35">
      <c r="A1197" s="5" t="s">
        <v>168</v>
      </c>
      <c r="B1197" s="50" t="s">
        <v>33</v>
      </c>
      <c r="C1197" s="7">
        <v>11.875</v>
      </c>
      <c r="D1197" s="7">
        <v>16.170000000000002</v>
      </c>
      <c r="E1197" s="85">
        <f t="shared" si="81"/>
        <v>192.01875000000001</v>
      </c>
    </row>
    <row r="1198" spans="1:5" ht="18" x14ac:dyDescent="0.35">
      <c r="A1198" s="5" t="s">
        <v>431</v>
      </c>
      <c r="B1198" s="50" t="s">
        <v>128</v>
      </c>
      <c r="C1198" s="7">
        <v>2</v>
      </c>
      <c r="D1198" s="7">
        <v>1.81</v>
      </c>
      <c r="E1198" s="85">
        <f t="shared" si="81"/>
        <v>3.62</v>
      </c>
    </row>
    <row r="1199" spans="1:5" ht="18" x14ac:dyDescent="0.35">
      <c r="A1199" s="5" t="s">
        <v>1301</v>
      </c>
      <c r="B1199" s="50" t="s">
        <v>89</v>
      </c>
      <c r="C1199" s="88">
        <v>2</v>
      </c>
      <c r="D1199" s="88">
        <v>2.2400000000000002</v>
      </c>
      <c r="E1199" s="90">
        <f t="shared" si="81"/>
        <v>4.4800000000000004</v>
      </c>
    </row>
    <row r="1200" spans="1:5" ht="18" x14ac:dyDescent="0.35">
      <c r="A1200" s="5"/>
      <c r="B1200" s="50" t="s">
        <v>34</v>
      </c>
      <c r="C1200" s="7">
        <v>0.4</v>
      </c>
      <c r="D1200" s="7">
        <v>18.05</v>
      </c>
      <c r="E1200" s="85">
        <f t="shared" si="81"/>
        <v>7.2200000000000006</v>
      </c>
    </row>
    <row r="1201" spans="1:5" ht="18" x14ac:dyDescent="0.35">
      <c r="A1201" s="5"/>
      <c r="B1201" s="50" t="s">
        <v>35</v>
      </c>
      <c r="C1201" s="7">
        <v>4</v>
      </c>
      <c r="D1201" s="7">
        <v>2.0099999999999998</v>
      </c>
      <c r="E1201" s="85">
        <f t="shared" si="81"/>
        <v>8.0399999999999991</v>
      </c>
    </row>
    <row r="1202" spans="1:5" ht="18" x14ac:dyDescent="0.35">
      <c r="A1202" s="5"/>
      <c r="B1202" s="50" t="s">
        <v>36</v>
      </c>
      <c r="C1202" s="7">
        <v>4</v>
      </c>
      <c r="D1202" s="7">
        <v>0.25</v>
      </c>
      <c r="E1202" s="85">
        <f t="shared" si="81"/>
        <v>1</v>
      </c>
    </row>
    <row r="1203" spans="1:5" ht="18" x14ac:dyDescent="0.35">
      <c r="A1203" s="5"/>
      <c r="B1203" s="5"/>
      <c r="C1203" s="54"/>
      <c r="D1203" s="54"/>
      <c r="E1203" s="89">
        <f>SUM(E1195:E1202)</f>
        <v>440.11299000000014</v>
      </c>
    </row>
    <row r="1204" spans="1:5" ht="18" x14ac:dyDescent="0.35">
      <c r="A1204" s="5"/>
      <c r="B1204" s="5"/>
      <c r="C1204" s="54"/>
      <c r="D1204" s="54" t="s">
        <v>1158</v>
      </c>
      <c r="E1204" s="89">
        <f>E1203+E1203*10%</f>
        <v>484.12428900000015</v>
      </c>
    </row>
    <row r="1205" spans="1:5" ht="18" x14ac:dyDescent="0.35">
      <c r="A1205" s="5"/>
      <c r="B1205" s="50" t="s">
        <v>37</v>
      </c>
      <c r="C1205" s="54">
        <v>0.5</v>
      </c>
      <c r="D1205" s="54">
        <v>85</v>
      </c>
      <c r="E1205" s="85">
        <f>C1205*D1205</f>
        <v>42.5</v>
      </c>
    </row>
    <row r="1206" spans="1:5" ht="18" x14ac:dyDescent="0.35">
      <c r="A1206" s="5"/>
      <c r="B1206" s="5"/>
      <c r="C1206" s="54"/>
      <c r="D1206" s="54"/>
      <c r="E1206" s="112">
        <f>SUM(E1204:E1205)</f>
        <v>526.62428900000009</v>
      </c>
    </row>
    <row r="1208" spans="1:5" ht="21" x14ac:dyDescent="0.4">
      <c r="A1208" s="40" t="s">
        <v>599</v>
      </c>
      <c r="B1208" s="40"/>
      <c r="C1208" s="84"/>
    </row>
    <row r="1209" spans="1:5" ht="18" x14ac:dyDescent="0.35">
      <c r="A1209" s="5" t="s">
        <v>124</v>
      </c>
      <c r="B1209" s="5"/>
      <c r="C1209" s="7" t="s">
        <v>28</v>
      </c>
      <c r="D1209" s="7" t="s">
        <v>29</v>
      </c>
      <c r="E1209" s="7" t="s">
        <v>30</v>
      </c>
    </row>
    <row r="1210" spans="1:5" ht="18" x14ac:dyDescent="0.35">
      <c r="A1210" s="5" t="s">
        <v>117</v>
      </c>
      <c r="B1210" s="50" t="s">
        <v>32</v>
      </c>
      <c r="C1210" s="7">
        <v>3.4980000000000002</v>
      </c>
      <c r="D1210" s="7">
        <v>10.34</v>
      </c>
      <c r="E1210" s="85">
        <f t="shared" ref="E1210:E1215" si="82">C1210*D1210</f>
        <v>36.169319999999999</v>
      </c>
    </row>
    <row r="1211" spans="1:5" ht="18" x14ac:dyDescent="0.35">
      <c r="A1211" s="5" t="s">
        <v>1354</v>
      </c>
      <c r="B1211" s="50" t="s">
        <v>33</v>
      </c>
      <c r="C1211" s="7">
        <v>23.74</v>
      </c>
      <c r="D1211" s="7">
        <v>16.170000000000002</v>
      </c>
      <c r="E1211" s="85">
        <f t="shared" si="82"/>
        <v>383.87580000000003</v>
      </c>
    </row>
    <row r="1212" spans="1:5" ht="18" x14ac:dyDescent="0.35">
      <c r="A1212" s="102" t="s">
        <v>1222</v>
      </c>
      <c r="B1212" s="50" t="s">
        <v>128</v>
      </c>
      <c r="C1212" s="7">
        <v>2</v>
      </c>
      <c r="D1212" s="7">
        <v>1.81</v>
      </c>
      <c r="E1212" s="85">
        <f t="shared" si="82"/>
        <v>3.62</v>
      </c>
    </row>
    <row r="1213" spans="1:5" ht="18" x14ac:dyDescent="0.35">
      <c r="A1213" s="5"/>
      <c r="B1213" s="50" t="s">
        <v>34</v>
      </c>
      <c r="C1213" s="7">
        <v>0.44</v>
      </c>
      <c r="D1213" s="7">
        <v>14.61</v>
      </c>
      <c r="E1213" s="85">
        <f t="shared" si="82"/>
        <v>6.4283999999999999</v>
      </c>
    </row>
    <row r="1214" spans="1:5" ht="18" x14ac:dyDescent="0.35">
      <c r="A1214" s="5"/>
      <c r="B1214" s="50" t="s">
        <v>35</v>
      </c>
      <c r="C1214" s="7">
        <v>4</v>
      </c>
      <c r="D1214" s="7">
        <v>2.91</v>
      </c>
      <c r="E1214" s="85">
        <f t="shared" si="82"/>
        <v>11.64</v>
      </c>
    </row>
    <row r="1215" spans="1:5" ht="18" x14ac:dyDescent="0.35">
      <c r="A1215" s="5"/>
      <c r="B1215" s="50" t="s">
        <v>36</v>
      </c>
      <c r="C1215" s="7">
        <v>4</v>
      </c>
      <c r="D1215" s="7">
        <v>0.61</v>
      </c>
      <c r="E1215" s="85">
        <f t="shared" si="82"/>
        <v>2.44</v>
      </c>
    </row>
    <row r="1216" spans="1:5" ht="18" x14ac:dyDescent="0.35">
      <c r="A1216" s="5"/>
      <c r="B1216" s="5"/>
      <c r="C1216" s="54"/>
      <c r="D1216" s="54"/>
      <c r="E1216" s="89">
        <f>SUM(E1210:E1215)</f>
        <v>444.17352</v>
      </c>
    </row>
    <row r="1217" spans="1:5" ht="18" x14ac:dyDescent="0.35">
      <c r="A1217" s="5"/>
      <c r="B1217" s="5"/>
      <c r="C1217" s="54"/>
      <c r="D1217" s="54" t="s">
        <v>1158</v>
      </c>
      <c r="E1217" s="89">
        <f>E1216+E1216*10%</f>
        <v>488.59087199999999</v>
      </c>
    </row>
    <row r="1218" spans="1:5" ht="18" x14ac:dyDescent="0.35">
      <c r="A1218" s="5"/>
      <c r="B1218" s="50" t="s">
        <v>37</v>
      </c>
      <c r="C1218" s="54">
        <v>30</v>
      </c>
      <c r="D1218" s="54">
        <v>1.42</v>
      </c>
      <c r="E1218" s="85">
        <f>C1218*D1218</f>
        <v>42.599999999999994</v>
      </c>
    </row>
    <row r="1219" spans="1:5" ht="18" x14ac:dyDescent="0.35">
      <c r="A1219" s="5"/>
      <c r="B1219" s="5"/>
      <c r="C1219" s="54"/>
      <c r="D1219" s="54"/>
      <c r="E1219" s="85">
        <f>SUM(E1217:E1218)</f>
        <v>531.19087200000001</v>
      </c>
    </row>
    <row r="1221" spans="1:5" ht="21" x14ac:dyDescent="0.4">
      <c r="A1221" s="40" t="s">
        <v>1355</v>
      </c>
      <c r="B1221" s="40"/>
      <c r="C1221" s="84"/>
      <c r="D1221" s="12"/>
      <c r="E1221" s="12"/>
    </row>
    <row r="1222" spans="1:5" ht="21" x14ac:dyDescent="0.4">
      <c r="A1222" s="40"/>
      <c r="B1222" s="40"/>
      <c r="C1222" s="84"/>
      <c r="D1222" s="12" t="s">
        <v>1339</v>
      </c>
      <c r="E1222" s="12"/>
    </row>
    <row r="1223" spans="1:5" ht="18" x14ac:dyDescent="0.35">
      <c r="A1223" s="5"/>
      <c r="B1223" s="5"/>
      <c r="C1223" s="7" t="s">
        <v>28</v>
      </c>
      <c r="D1223" s="7" t="s">
        <v>29</v>
      </c>
      <c r="E1223" s="7" t="s">
        <v>30</v>
      </c>
    </row>
    <row r="1224" spans="1:5" ht="18" x14ac:dyDescent="0.35">
      <c r="A1224" s="5" t="s">
        <v>376</v>
      </c>
      <c r="B1224" s="50" t="s">
        <v>32</v>
      </c>
      <c r="C1224" s="7">
        <v>3.4980000000000002</v>
      </c>
      <c r="D1224" s="7">
        <v>14.93</v>
      </c>
      <c r="E1224" s="85">
        <f t="shared" ref="E1224:E1231" si="83">C1224*D1224</f>
        <v>52.225140000000003</v>
      </c>
    </row>
    <row r="1225" spans="1:5" ht="18" x14ac:dyDescent="0.35">
      <c r="A1225" s="5" t="s">
        <v>168</v>
      </c>
      <c r="B1225" s="50" t="s">
        <v>33</v>
      </c>
      <c r="C1225" s="7">
        <v>11.77</v>
      </c>
      <c r="D1225" s="7">
        <v>16.170000000000002</v>
      </c>
      <c r="E1225" s="85">
        <f t="shared" si="83"/>
        <v>190.32090000000002</v>
      </c>
    </row>
    <row r="1226" spans="1:5" ht="18" x14ac:dyDescent="0.35">
      <c r="A1226" s="5" t="s">
        <v>310</v>
      </c>
      <c r="B1226" s="50" t="s">
        <v>33</v>
      </c>
      <c r="C1226" s="7">
        <v>11.875</v>
      </c>
      <c r="D1226" s="7">
        <v>16.170000000000002</v>
      </c>
      <c r="E1226" s="85">
        <f t="shared" si="83"/>
        <v>192.01875000000001</v>
      </c>
    </row>
    <row r="1227" spans="1:5" ht="18" x14ac:dyDescent="0.35">
      <c r="A1227" s="5" t="s">
        <v>431</v>
      </c>
      <c r="B1227" s="50" t="s">
        <v>128</v>
      </c>
      <c r="C1227" s="7">
        <v>2</v>
      </c>
      <c r="D1227" s="7">
        <v>1.81</v>
      </c>
      <c r="E1227" s="85">
        <f t="shared" si="83"/>
        <v>3.62</v>
      </c>
    </row>
    <row r="1228" spans="1:5" ht="18" x14ac:dyDescent="0.35">
      <c r="A1228" s="5" t="s">
        <v>1301</v>
      </c>
      <c r="B1228" s="50" t="s">
        <v>89</v>
      </c>
      <c r="C1228" s="88">
        <v>2</v>
      </c>
      <c r="D1228" s="88">
        <v>2.2400000000000002</v>
      </c>
      <c r="E1228" s="90">
        <f t="shared" si="83"/>
        <v>4.4800000000000004</v>
      </c>
    </row>
    <row r="1229" spans="1:5" ht="18" x14ac:dyDescent="0.35">
      <c r="A1229" s="5"/>
      <c r="B1229" s="50" t="s">
        <v>34</v>
      </c>
      <c r="C1229" s="7">
        <v>0.4</v>
      </c>
      <c r="D1229" s="7">
        <v>18.05</v>
      </c>
      <c r="E1229" s="85">
        <f t="shared" si="83"/>
        <v>7.2200000000000006</v>
      </c>
    </row>
    <row r="1230" spans="1:5" ht="18" x14ac:dyDescent="0.35">
      <c r="A1230" s="5"/>
      <c r="B1230" s="50" t="s">
        <v>35</v>
      </c>
      <c r="C1230" s="7">
        <v>4</v>
      </c>
      <c r="D1230" s="7">
        <v>2.0099999999999998</v>
      </c>
      <c r="E1230" s="85">
        <f t="shared" si="83"/>
        <v>8.0399999999999991</v>
      </c>
    </row>
    <row r="1231" spans="1:5" ht="18" x14ac:dyDescent="0.35">
      <c r="A1231" s="5"/>
      <c r="B1231" s="50" t="s">
        <v>36</v>
      </c>
      <c r="C1231" s="7">
        <v>4</v>
      </c>
      <c r="D1231" s="7">
        <v>0.25</v>
      </c>
      <c r="E1231" s="85">
        <f t="shared" si="83"/>
        <v>1</v>
      </c>
    </row>
    <row r="1232" spans="1:5" ht="18" x14ac:dyDescent="0.35">
      <c r="A1232" s="5"/>
      <c r="B1232" s="5"/>
      <c r="C1232" s="54"/>
      <c r="D1232" s="54"/>
      <c r="E1232" s="89">
        <f>SUM(E1224:E1231)</f>
        <v>458.92479000000009</v>
      </c>
    </row>
    <row r="1233" spans="1:5" ht="18" x14ac:dyDescent="0.35">
      <c r="A1233" s="5"/>
      <c r="B1233" s="5"/>
      <c r="C1233" s="54"/>
      <c r="D1233" s="54" t="s">
        <v>1158</v>
      </c>
      <c r="E1233" s="89">
        <f>E1232+E1232*10%</f>
        <v>504.81726900000012</v>
      </c>
    </row>
    <row r="1234" spans="1:5" ht="18" x14ac:dyDescent="0.35">
      <c r="A1234" s="5"/>
      <c r="B1234" s="50" t="s">
        <v>37</v>
      </c>
      <c r="C1234" s="54">
        <v>0.5</v>
      </c>
      <c r="D1234" s="54">
        <v>85</v>
      </c>
      <c r="E1234" s="85">
        <f>C1234*D1234</f>
        <v>42.5</v>
      </c>
    </row>
    <row r="1235" spans="1:5" ht="18" x14ac:dyDescent="0.35">
      <c r="A1235" s="5"/>
      <c r="B1235" s="5"/>
      <c r="C1235" s="54"/>
      <c r="D1235" s="54"/>
      <c r="E1235" s="112">
        <f>SUM(E1233:E1234)</f>
        <v>547.31726900000012</v>
      </c>
    </row>
    <row r="1237" spans="1:5" ht="21" x14ac:dyDescent="0.4">
      <c r="A1237" s="40" t="s">
        <v>1357</v>
      </c>
      <c r="B1237" s="40"/>
      <c r="C1237" s="84"/>
      <c r="D1237" s="12"/>
      <c r="E1237" s="12"/>
    </row>
    <row r="1238" spans="1:5" ht="21" x14ac:dyDescent="0.4">
      <c r="A1238" s="40"/>
      <c r="B1238" s="40"/>
      <c r="C1238" s="84"/>
      <c r="D1238" s="12" t="s">
        <v>1358</v>
      </c>
      <c r="E1238" s="12"/>
    </row>
    <row r="1239" spans="1:5" ht="18" x14ac:dyDescent="0.35">
      <c r="A1239" s="5"/>
      <c r="B1239" s="5"/>
      <c r="C1239" s="7" t="s">
        <v>28</v>
      </c>
      <c r="D1239" s="7" t="s">
        <v>29</v>
      </c>
      <c r="E1239" s="7" t="s">
        <v>30</v>
      </c>
    </row>
    <row r="1240" spans="1:5" ht="18" x14ac:dyDescent="0.35">
      <c r="A1240" s="5" t="s">
        <v>175</v>
      </c>
      <c r="B1240" s="50" t="s">
        <v>32</v>
      </c>
      <c r="C1240" s="7">
        <v>1.44</v>
      </c>
      <c r="D1240" s="7">
        <v>14.93</v>
      </c>
      <c r="E1240" s="85">
        <f t="shared" ref="E1240:E1247" si="84">C1240*D1240</f>
        <v>21.499199999999998</v>
      </c>
    </row>
    <row r="1241" spans="1:5" ht="18" x14ac:dyDescent="0.35">
      <c r="A1241" s="5" t="s">
        <v>63</v>
      </c>
      <c r="B1241" s="50" t="s">
        <v>33</v>
      </c>
      <c r="C1241" s="7">
        <v>3.0870000000000002</v>
      </c>
      <c r="D1241" s="7">
        <v>16.170000000000002</v>
      </c>
      <c r="E1241" s="85">
        <f t="shared" si="84"/>
        <v>49.916790000000006</v>
      </c>
    </row>
    <row r="1242" spans="1:5" ht="18" x14ac:dyDescent="0.35">
      <c r="A1242" s="5" t="s">
        <v>293</v>
      </c>
      <c r="B1242" s="50" t="s">
        <v>33</v>
      </c>
      <c r="C1242" s="7">
        <v>2.7719999999999998</v>
      </c>
      <c r="D1242" s="7">
        <v>16.170000000000002</v>
      </c>
      <c r="E1242" s="85">
        <f t="shared" si="84"/>
        <v>44.823239999999998</v>
      </c>
    </row>
    <row r="1243" spans="1:5" ht="18" x14ac:dyDescent="0.35">
      <c r="A1243" s="5" t="s">
        <v>696</v>
      </c>
      <c r="B1243" s="50" t="s">
        <v>1359</v>
      </c>
      <c r="C1243" s="7">
        <v>2</v>
      </c>
      <c r="D1243" s="7">
        <v>1.1499999999999999</v>
      </c>
      <c r="E1243" s="85">
        <f t="shared" si="84"/>
        <v>2.2999999999999998</v>
      </c>
    </row>
    <row r="1244" spans="1:5" ht="18" x14ac:dyDescent="0.35">
      <c r="A1244" s="5" t="s">
        <v>1360</v>
      </c>
      <c r="B1244" s="50" t="s">
        <v>88</v>
      </c>
      <c r="C1244" s="88">
        <v>2</v>
      </c>
      <c r="D1244" s="88">
        <v>2.2400000000000002</v>
      </c>
      <c r="E1244" s="90">
        <f t="shared" si="84"/>
        <v>4.4800000000000004</v>
      </c>
    </row>
    <row r="1245" spans="1:5" ht="18" x14ac:dyDescent="0.35">
      <c r="A1245" s="5"/>
      <c r="B1245" s="50" t="s">
        <v>34</v>
      </c>
      <c r="C1245" s="7"/>
      <c r="D1245" s="7">
        <v>18.05</v>
      </c>
      <c r="E1245" s="85">
        <f t="shared" si="84"/>
        <v>0</v>
      </c>
    </row>
    <row r="1246" spans="1:5" ht="18" x14ac:dyDescent="0.35">
      <c r="A1246" s="5"/>
      <c r="B1246" s="50" t="s">
        <v>35</v>
      </c>
      <c r="C1246" s="7">
        <v>4</v>
      </c>
      <c r="D1246" s="7">
        <v>2.0099999999999998</v>
      </c>
      <c r="E1246" s="85">
        <f t="shared" si="84"/>
        <v>8.0399999999999991</v>
      </c>
    </row>
    <row r="1247" spans="1:5" ht="18" x14ac:dyDescent="0.35">
      <c r="A1247" s="5"/>
      <c r="B1247" s="50" t="s">
        <v>36</v>
      </c>
      <c r="C1247" s="7">
        <v>4</v>
      </c>
      <c r="D1247" s="7">
        <v>0.25</v>
      </c>
      <c r="E1247" s="85">
        <f t="shared" si="84"/>
        <v>1</v>
      </c>
    </row>
    <row r="1248" spans="1:5" ht="18" x14ac:dyDescent="0.35">
      <c r="A1248" s="5"/>
      <c r="B1248" s="5"/>
      <c r="C1248" s="54"/>
      <c r="D1248" s="54"/>
      <c r="E1248" s="89">
        <f>SUM(E1240:E1247)</f>
        <v>132.05923000000001</v>
      </c>
    </row>
    <row r="1249" spans="1:5" ht="18" x14ac:dyDescent="0.35">
      <c r="A1249" s="5"/>
      <c r="B1249" s="5"/>
      <c r="C1249" s="54"/>
      <c r="D1249" s="54" t="s">
        <v>1158</v>
      </c>
      <c r="E1249" s="89">
        <f>E1248+E1248*10%</f>
        <v>145.26515300000003</v>
      </c>
    </row>
    <row r="1250" spans="1:5" ht="18" x14ac:dyDescent="0.35">
      <c r="A1250" s="5"/>
      <c r="B1250" s="50" t="s">
        <v>37</v>
      </c>
      <c r="C1250" s="54">
        <v>0.5</v>
      </c>
      <c r="D1250" s="54">
        <v>65</v>
      </c>
      <c r="E1250" s="85">
        <f>C1250*D1250</f>
        <v>32.5</v>
      </c>
    </row>
    <row r="1251" spans="1:5" ht="18" x14ac:dyDescent="0.35">
      <c r="A1251" s="5"/>
      <c r="B1251" s="5"/>
      <c r="C1251" s="54"/>
      <c r="D1251" s="54"/>
      <c r="E1251" s="112">
        <f>SUM(E1249:E1250)</f>
        <v>177.76515300000003</v>
      </c>
    </row>
    <row r="1253" spans="1:5" ht="21" x14ac:dyDescent="0.4">
      <c r="A1253" s="40" t="s">
        <v>1363</v>
      </c>
      <c r="B1253" s="40"/>
      <c r="C1253" s="84"/>
      <c r="D1253" s="12"/>
      <c r="E1253" s="12"/>
    </row>
    <row r="1254" spans="1:5" ht="21" x14ac:dyDescent="0.4">
      <c r="A1254" s="40"/>
      <c r="B1254" s="40"/>
      <c r="C1254" s="84"/>
      <c r="D1254" s="12" t="s">
        <v>1339</v>
      </c>
      <c r="E1254" s="12"/>
    </row>
    <row r="1255" spans="1:5" ht="18" x14ac:dyDescent="0.35">
      <c r="A1255" s="5"/>
      <c r="B1255" s="5"/>
      <c r="C1255" s="7" t="s">
        <v>28</v>
      </c>
      <c r="D1255" s="7" t="s">
        <v>29</v>
      </c>
      <c r="E1255" s="7" t="s">
        <v>30</v>
      </c>
    </row>
    <row r="1256" spans="1:5" ht="18" x14ac:dyDescent="0.35">
      <c r="A1256" s="5" t="s">
        <v>102</v>
      </c>
      <c r="B1256" s="50" t="s">
        <v>32</v>
      </c>
      <c r="C1256" s="7">
        <v>1.3979999999999999</v>
      </c>
      <c r="D1256" s="7">
        <v>14.93</v>
      </c>
      <c r="E1256" s="85">
        <f t="shared" ref="E1256:E1263" si="85">C1256*D1256</f>
        <v>20.872139999999998</v>
      </c>
    </row>
    <row r="1257" spans="1:5" ht="18" x14ac:dyDescent="0.35">
      <c r="A1257" s="5" t="s">
        <v>53</v>
      </c>
      <c r="B1257" s="50" t="s">
        <v>33</v>
      </c>
      <c r="C1257" s="7">
        <v>4.2629999999999999</v>
      </c>
      <c r="D1257" s="7">
        <v>16.170000000000002</v>
      </c>
      <c r="E1257" s="85">
        <f t="shared" si="85"/>
        <v>68.93271</v>
      </c>
    </row>
    <row r="1258" spans="1:5" ht="18" x14ac:dyDescent="0.35">
      <c r="A1258" s="5" t="s">
        <v>53</v>
      </c>
      <c r="B1258" s="50" t="s">
        <v>33</v>
      </c>
      <c r="C1258" s="7">
        <v>4.2629999999999999</v>
      </c>
      <c r="D1258" s="7">
        <v>16.170000000000002</v>
      </c>
      <c r="E1258" s="85">
        <f t="shared" si="85"/>
        <v>68.93271</v>
      </c>
    </row>
    <row r="1259" spans="1:5" ht="18" x14ac:dyDescent="0.35">
      <c r="A1259" s="5" t="s">
        <v>431</v>
      </c>
      <c r="B1259" s="50" t="s">
        <v>90</v>
      </c>
      <c r="C1259" s="7">
        <v>2</v>
      </c>
      <c r="D1259" s="7">
        <v>1.7</v>
      </c>
      <c r="E1259" s="85">
        <f t="shared" si="85"/>
        <v>3.4</v>
      </c>
    </row>
    <row r="1260" spans="1:5" ht="18" x14ac:dyDescent="0.35">
      <c r="A1260" s="5" t="s">
        <v>1301</v>
      </c>
      <c r="B1260" s="50" t="s">
        <v>90</v>
      </c>
      <c r="C1260" s="88">
        <v>2</v>
      </c>
      <c r="D1260" s="88">
        <v>1.7</v>
      </c>
      <c r="E1260" s="90">
        <f t="shared" si="85"/>
        <v>3.4</v>
      </c>
    </row>
    <row r="1261" spans="1:5" ht="18" x14ac:dyDescent="0.35">
      <c r="A1261" s="5"/>
      <c r="B1261" s="50" t="s">
        <v>34</v>
      </c>
      <c r="C1261" s="7"/>
      <c r="D1261" s="7">
        <v>18.05</v>
      </c>
      <c r="E1261" s="85">
        <f t="shared" si="85"/>
        <v>0</v>
      </c>
    </row>
    <row r="1262" spans="1:5" ht="18" x14ac:dyDescent="0.35">
      <c r="A1262" s="5"/>
      <c r="B1262" s="50" t="s">
        <v>35</v>
      </c>
      <c r="C1262" s="7">
        <v>4</v>
      </c>
      <c r="D1262" s="7">
        <v>2.0099999999999998</v>
      </c>
      <c r="E1262" s="85">
        <f t="shared" si="85"/>
        <v>8.0399999999999991</v>
      </c>
    </row>
    <row r="1263" spans="1:5" ht="18" x14ac:dyDescent="0.35">
      <c r="A1263" s="5"/>
      <c r="B1263" s="50" t="s">
        <v>36</v>
      </c>
      <c r="C1263" s="7">
        <v>4</v>
      </c>
      <c r="D1263" s="7">
        <v>0.25</v>
      </c>
      <c r="E1263" s="85">
        <f t="shared" si="85"/>
        <v>1</v>
      </c>
    </row>
    <row r="1264" spans="1:5" ht="18" x14ac:dyDescent="0.35">
      <c r="A1264" s="5"/>
      <c r="B1264" s="5"/>
      <c r="C1264" s="54"/>
      <c r="D1264" s="54"/>
      <c r="E1264" s="89">
        <f>SUM(E1256:E1263)</f>
        <v>174.57756000000001</v>
      </c>
    </row>
    <row r="1265" spans="1:5" ht="18" x14ac:dyDescent="0.35">
      <c r="A1265" s="5"/>
      <c r="B1265" s="5"/>
      <c r="C1265" s="54"/>
      <c r="D1265" s="54" t="s">
        <v>1158</v>
      </c>
      <c r="E1265" s="89">
        <f>E1264+E1264*10%</f>
        <v>192.03531599999999</v>
      </c>
    </row>
    <row r="1266" spans="1:5" ht="18" x14ac:dyDescent="0.35">
      <c r="A1266" s="5"/>
      <c r="B1266" s="50" t="s">
        <v>37</v>
      </c>
      <c r="C1266" s="54">
        <v>0.5</v>
      </c>
      <c r="D1266" s="54">
        <v>85</v>
      </c>
      <c r="E1266" s="85">
        <f>C1266*D1266</f>
        <v>42.5</v>
      </c>
    </row>
    <row r="1267" spans="1:5" ht="18" x14ac:dyDescent="0.35">
      <c r="A1267" s="5"/>
      <c r="B1267" s="5"/>
      <c r="C1267" s="54"/>
      <c r="D1267" s="54"/>
      <c r="E1267" s="112">
        <f>SUM(E1265:E1266)</f>
        <v>234.53531599999999</v>
      </c>
    </row>
    <row r="1269" spans="1:5" ht="21" x14ac:dyDescent="0.4">
      <c r="A1269" s="40" t="s">
        <v>599</v>
      </c>
      <c r="B1269" s="40"/>
      <c r="C1269" s="84"/>
    </row>
    <row r="1270" spans="1:5" ht="18" x14ac:dyDescent="0.35">
      <c r="A1270" s="5" t="s">
        <v>946</v>
      </c>
      <c r="B1270" s="5"/>
      <c r="C1270" s="7" t="s">
        <v>28</v>
      </c>
      <c r="D1270" s="7" t="s">
        <v>29</v>
      </c>
      <c r="E1270" s="7" t="s">
        <v>30</v>
      </c>
    </row>
    <row r="1271" spans="1:5" ht="18" x14ac:dyDescent="0.35">
      <c r="A1271" s="5" t="s">
        <v>545</v>
      </c>
      <c r="B1271" s="50" t="s">
        <v>32</v>
      </c>
      <c r="C1271" s="7">
        <v>1.1879999999999999</v>
      </c>
      <c r="D1271" s="7">
        <v>10.34</v>
      </c>
      <c r="E1271" s="85">
        <f t="shared" ref="E1271:E1276" si="86">C1271*D1271</f>
        <v>12.283919999999998</v>
      </c>
    </row>
    <row r="1272" spans="1:5" ht="18" x14ac:dyDescent="0.35">
      <c r="A1272" s="5" t="s">
        <v>1354</v>
      </c>
      <c r="B1272" s="50" t="s">
        <v>33</v>
      </c>
      <c r="C1272" s="7">
        <v>2.7719999999999998</v>
      </c>
      <c r="D1272" s="7">
        <v>16.170000000000002</v>
      </c>
      <c r="E1272" s="85">
        <f t="shared" si="86"/>
        <v>44.823239999999998</v>
      </c>
    </row>
    <row r="1273" spans="1:5" ht="18" x14ac:dyDescent="0.35">
      <c r="A1273" s="102" t="s">
        <v>1222</v>
      </c>
      <c r="B1273" s="50" t="s">
        <v>485</v>
      </c>
      <c r="C1273" s="7">
        <v>2</v>
      </c>
      <c r="D1273" s="7">
        <v>1.08</v>
      </c>
      <c r="E1273" s="85">
        <f t="shared" si="86"/>
        <v>2.16</v>
      </c>
    </row>
    <row r="1274" spans="1:5" ht="18" x14ac:dyDescent="0.35">
      <c r="A1274" s="5"/>
      <c r="B1274" s="50" t="s">
        <v>34</v>
      </c>
      <c r="C1274" s="7"/>
      <c r="D1274" s="7">
        <v>14.61</v>
      </c>
      <c r="E1274" s="85">
        <f t="shared" si="86"/>
        <v>0</v>
      </c>
    </row>
    <row r="1275" spans="1:5" ht="18" x14ac:dyDescent="0.35">
      <c r="A1275" s="5"/>
      <c r="B1275" s="50" t="s">
        <v>35</v>
      </c>
      <c r="C1275" s="7">
        <v>4</v>
      </c>
      <c r="D1275" s="7">
        <v>2.91</v>
      </c>
      <c r="E1275" s="85">
        <f t="shared" si="86"/>
        <v>11.64</v>
      </c>
    </row>
    <row r="1276" spans="1:5" ht="18" x14ac:dyDescent="0.35">
      <c r="A1276" s="5"/>
      <c r="B1276" s="50" t="s">
        <v>36</v>
      </c>
      <c r="C1276" s="7">
        <v>4</v>
      </c>
      <c r="D1276" s="7">
        <v>0.61</v>
      </c>
      <c r="E1276" s="85">
        <f t="shared" si="86"/>
        <v>2.44</v>
      </c>
    </row>
    <row r="1277" spans="1:5" ht="18" x14ac:dyDescent="0.35">
      <c r="A1277" s="5"/>
      <c r="B1277" s="5"/>
      <c r="C1277" s="54"/>
      <c r="D1277" s="54"/>
      <c r="E1277" s="89">
        <f>SUM(E1271:E1276)</f>
        <v>73.347159999999988</v>
      </c>
    </row>
    <row r="1278" spans="1:5" ht="18" x14ac:dyDescent="0.35">
      <c r="A1278" s="5"/>
      <c r="B1278" s="5"/>
      <c r="C1278" s="54"/>
      <c r="D1278" s="54" t="s">
        <v>1158</v>
      </c>
      <c r="E1278" s="89">
        <f>E1277+E1277*10%</f>
        <v>80.681875999999988</v>
      </c>
    </row>
    <row r="1279" spans="1:5" ht="18" x14ac:dyDescent="0.35">
      <c r="A1279" s="5"/>
      <c r="B1279" s="50" t="s">
        <v>37</v>
      </c>
      <c r="C1279" s="54">
        <v>20</v>
      </c>
      <c r="D1279" s="54">
        <v>1.42</v>
      </c>
      <c r="E1279" s="85">
        <f>C1279*D1279</f>
        <v>28.4</v>
      </c>
    </row>
    <row r="1280" spans="1:5" ht="18" x14ac:dyDescent="0.35">
      <c r="A1280" s="5"/>
      <c r="B1280" s="5"/>
      <c r="C1280" s="54"/>
      <c r="D1280" s="54"/>
      <c r="E1280" s="85">
        <f>SUM(E1278:E1279)</f>
        <v>109.08187599999999</v>
      </c>
    </row>
    <row r="1283" spans="1:5" ht="21" x14ac:dyDescent="0.4">
      <c r="A1283" s="40" t="s">
        <v>599</v>
      </c>
      <c r="B1283" s="40"/>
      <c r="C1283" s="84"/>
    </row>
    <row r="1284" spans="1:5" ht="18" x14ac:dyDescent="0.35">
      <c r="A1284" s="5" t="s">
        <v>1396</v>
      </c>
      <c r="B1284" s="5"/>
      <c r="C1284" s="7" t="s">
        <v>28</v>
      </c>
      <c r="D1284" s="7" t="s">
        <v>29</v>
      </c>
      <c r="E1284" s="7" t="s">
        <v>30</v>
      </c>
    </row>
    <row r="1285" spans="1:5" ht="18" x14ac:dyDescent="0.35">
      <c r="A1285" s="5" t="s">
        <v>52</v>
      </c>
      <c r="B1285" s="50" t="s">
        <v>32</v>
      </c>
      <c r="C1285" s="7">
        <v>1.2929999999999999</v>
      </c>
      <c r="D1285" s="7">
        <v>10.34</v>
      </c>
      <c r="E1285" s="85">
        <f t="shared" ref="E1285:E1290" si="87">C1285*D1285</f>
        <v>13.369619999999999</v>
      </c>
    </row>
    <row r="1286" spans="1:5" ht="18" x14ac:dyDescent="0.35">
      <c r="A1286" s="5" t="s">
        <v>959</v>
      </c>
      <c r="B1286" s="50" t="s">
        <v>33</v>
      </c>
      <c r="C1286" s="7">
        <v>3.2130000000000001</v>
      </c>
      <c r="D1286" s="7">
        <v>16.170000000000002</v>
      </c>
      <c r="E1286" s="85">
        <f t="shared" si="87"/>
        <v>51.954210000000003</v>
      </c>
    </row>
    <row r="1287" spans="1:5" ht="18" x14ac:dyDescent="0.35">
      <c r="A1287" s="102" t="s">
        <v>1222</v>
      </c>
      <c r="B1287" s="50" t="s">
        <v>97</v>
      </c>
      <c r="C1287" s="7">
        <v>2</v>
      </c>
      <c r="D1287" s="7">
        <v>1.48</v>
      </c>
      <c r="E1287" s="85">
        <f t="shared" si="87"/>
        <v>2.96</v>
      </c>
    </row>
    <row r="1288" spans="1:5" ht="18" x14ac:dyDescent="0.35">
      <c r="A1288" s="5"/>
      <c r="B1288" s="50" t="s">
        <v>34</v>
      </c>
      <c r="C1288" s="7"/>
      <c r="D1288" s="7">
        <v>14.61</v>
      </c>
      <c r="E1288" s="85">
        <f t="shared" si="87"/>
        <v>0</v>
      </c>
    </row>
    <row r="1289" spans="1:5" ht="18" x14ac:dyDescent="0.35">
      <c r="A1289" s="5"/>
      <c r="B1289" s="50" t="s">
        <v>35</v>
      </c>
      <c r="C1289" s="7">
        <v>4</v>
      </c>
      <c r="D1289" s="7">
        <v>2.91</v>
      </c>
      <c r="E1289" s="85">
        <f t="shared" si="87"/>
        <v>11.64</v>
      </c>
    </row>
    <row r="1290" spans="1:5" ht="18" x14ac:dyDescent="0.35">
      <c r="A1290" s="5"/>
      <c r="B1290" s="50" t="s">
        <v>36</v>
      </c>
      <c r="C1290" s="7">
        <v>4</v>
      </c>
      <c r="D1290" s="7">
        <v>0.61</v>
      </c>
      <c r="E1290" s="85">
        <f t="shared" si="87"/>
        <v>2.44</v>
      </c>
    </row>
    <row r="1291" spans="1:5" ht="18" x14ac:dyDescent="0.35">
      <c r="A1291" s="5"/>
      <c r="B1291" s="5"/>
      <c r="C1291" s="54"/>
      <c r="D1291" s="54"/>
      <c r="E1291" s="89">
        <f>SUM(E1285:E1290)</f>
        <v>82.363829999999993</v>
      </c>
    </row>
    <row r="1292" spans="1:5" ht="18" x14ac:dyDescent="0.35">
      <c r="A1292" s="5"/>
      <c r="B1292" s="5"/>
      <c r="C1292" s="54"/>
      <c r="D1292" s="54" t="s">
        <v>1158</v>
      </c>
      <c r="E1292" s="89">
        <f>E1291+E1291*10%</f>
        <v>90.600212999999997</v>
      </c>
    </row>
    <row r="1293" spans="1:5" ht="18" x14ac:dyDescent="0.35">
      <c r="A1293" s="5"/>
      <c r="B1293" s="50" t="s">
        <v>37</v>
      </c>
      <c r="C1293" s="54">
        <v>20</v>
      </c>
      <c r="D1293" s="54">
        <v>1.42</v>
      </c>
      <c r="E1293" s="85">
        <f>C1293*D1293</f>
        <v>28.4</v>
      </c>
    </row>
    <row r="1294" spans="1:5" ht="18" x14ac:dyDescent="0.35">
      <c r="A1294" s="5"/>
      <c r="B1294" s="5"/>
      <c r="C1294" s="54"/>
      <c r="D1294" s="54"/>
      <c r="E1294" s="85">
        <f>SUM(E1292:E1293)</f>
        <v>119.000213</v>
      </c>
    </row>
    <row r="1296" spans="1:5" ht="21" x14ac:dyDescent="0.4">
      <c r="A1296" s="40" t="s">
        <v>599</v>
      </c>
      <c r="B1296" s="40"/>
      <c r="C1296" s="84"/>
    </row>
    <row r="1297" spans="1:5" ht="18" x14ac:dyDescent="0.35">
      <c r="A1297" s="5" t="s">
        <v>407</v>
      </c>
      <c r="B1297" s="5"/>
      <c r="C1297" s="7" t="s">
        <v>28</v>
      </c>
      <c r="D1297" s="7" t="s">
        <v>29</v>
      </c>
      <c r="E1297" s="7" t="s">
        <v>30</v>
      </c>
    </row>
    <row r="1298" spans="1:5" ht="18" x14ac:dyDescent="0.35">
      <c r="A1298" s="5" t="s">
        <v>408</v>
      </c>
      <c r="B1298" s="50" t="s">
        <v>32</v>
      </c>
      <c r="C1298" s="7">
        <v>1.7130000000000001</v>
      </c>
      <c r="D1298" s="7">
        <v>10.34</v>
      </c>
      <c r="E1298" s="85">
        <f t="shared" ref="E1298:E1303" si="88">C1298*D1298</f>
        <v>17.712420000000002</v>
      </c>
    </row>
    <row r="1299" spans="1:5" ht="18" x14ac:dyDescent="0.35">
      <c r="A1299" s="5" t="s">
        <v>984</v>
      </c>
      <c r="B1299" s="50" t="s">
        <v>33</v>
      </c>
      <c r="C1299" s="7">
        <v>6.5519999999999996</v>
      </c>
      <c r="D1299" s="7">
        <v>16.170000000000002</v>
      </c>
      <c r="E1299" s="85">
        <f t="shared" si="88"/>
        <v>105.94584</v>
      </c>
    </row>
    <row r="1300" spans="1:5" ht="18" x14ac:dyDescent="0.35">
      <c r="A1300" s="102" t="s">
        <v>1222</v>
      </c>
      <c r="B1300" s="50" t="s">
        <v>650</v>
      </c>
      <c r="C1300" s="7">
        <v>2</v>
      </c>
      <c r="D1300" s="7">
        <v>1.81</v>
      </c>
      <c r="E1300" s="85">
        <f t="shared" si="88"/>
        <v>3.62</v>
      </c>
    </row>
    <row r="1301" spans="1:5" ht="18" x14ac:dyDescent="0.35">
      <c r="A1301" s="5"/>
      <c r="B1301" s="50" t="s">
        <v>34</v>
      </c>
      <c r="C1301" s="7"/>
      <c r="D1301" s="7">
        <v>14.61</v>
      </c>
      <c r="E1301" s="85">
        <f t="shared" si="88"/>
        <v>0</v>
      </c>
    </row>
    <row r="1302" spans="1:5" ht="18" x14ac:dyDescent="0.35">
      <c r="A1302" s="5"/>
      <c r="B1302" s="50" t="s">
        <v>35</v>
      </c>
      <c r="C1302" s="7">
        <v>4</v>
      </c>
      <c r="D1302" s="7">
        <v>2.91</v>
      </c>
      <c r="E1302" s="85">
        <f t="shared" si="88"/>
        <v>11.64</v>
      </c>
    </row>
    <row r="1303" spans="1:5" ht="18" x14ac:dyDescent="0.35">
      <c r="A1303" s="5"/>
      <c r="B1303" s="50" t="s">
        <v>36</v>
      </c>
      <c r="C1303" s="7">
        <v>4</v>
      </c>
      <c r="D1303" s="7">
        <v>0.61</v>
      </c>
      <c r="E1303" s="85">
        <f t="shared" si="88"/>
        <v>2.44</v>
      </c>
    </row>
    <row r="1304" spans="1:5" ht="18" x14ac:dyDescent="0.35">
      <c r="A1304" s="5"/>
      <c r="B1304" s="5"/>
      <c r="C1304" s="54"/>
      <c r="D1304" s="54"/>
      <c r="E1304" s="89">
        <f>SUM(E1298:E1303)</f>
        <v>141.35826000000003</v>
      </c>
    </row>
    <row r="1305" spans="1:5" ht="18" x14ac:dyDescent="0.35">
      <c r="A1305" s="5"/>
      <c r="B1305" s="5"/>
      <c r="C1305" s="54"/>
      <c r="D1305" s="54" t="s">
        <v>1158</v>
      </c>
      <c r="E1305" s="89">
        <f>E1304+E1304*10%</f>
        <v>155.49408600000004</v>
      </c>
    </row>
    <row r="1306" spans="1:5" ht="18" x14ac:dyDescent="0.35">
      <c r="A1306" s="5"/>
      <c r="B1306" s="50" t="s">
        <v>37</v>
      </c>
      <c r="C1306" s="54">
        <v>20</v>
      </c>
      <c r="D1306" s="54">
        <v>1.42</v>
      </c>
      <c r="E1306" s="85">
        <f>C1306*D1306</f>
        <v>28.4</v>
      </c>
    </row>
    <row r="1307" spans="1:5" ht="18" x14ac:dyDescent="0.35">
      <c r="A1307" s="5"/>
      <c r="B1307" s="5"/>
      <c r="C1307" s="54"/>
      <c r="D1307" s="54"/>
      <c r="E1307" s="85">
        <f>SUM(E1305:E1306)</f>
        <v>183.89408600000004</v>
      </c>
    </row>
    <row r="1309" spans="1:5" ht="21" x14ac:dyDescent="0.4">
      <c r="A1309" s="40" t="s">
        <v>599</v>
      </c>
      <c r="B1309" s="40"/>
      <c r="C1309" s="84"/>
    </row>
    <row r="1310" spans="1:5" ht="18" x14ac:dyDescent="0.35">
      <c r="A1310" s="5" t="s">
        <v>1418</v>
      </c>
      <c r="B1310" s="5"/>
      <c r="C1310" s="7" t="s">
        <v>28</v>
      </c>
      <c r="D1310" s="7" t="s">
        <v>29</v>
      </c>
      <c r="E1310" s="7" t="s">
        <v>30</v>
      </c>
    </row>
    <row r="1311" spans="1:5" ht="18" x14ac:dyDescent="0.35">
      <c r="A1311" s="5" t="s">
        <v>63</v>
      </c>
      <c r="B1311" s="50" t="s">
        <v>32</v>
      </c>
      <c r="C1311" s="7">
        <v>1.5660000000000001</v>
      </c>
      <c r="D1311" s="7">
        <v>10.34</v>
      </c>
      <c r="E1311" s="85">
        <f t="shared" ref="E1311:E1316" si="89">C1311*D1311</f>
        <v>16.192440000000001</v>
      </c>
    </row>
    <row r="1312" spans="1:5" ht="18" x14ac:dyDescent="0.35">
      <c r="A1312" s="5" t="s">
        <v>747</v>
      </c>
      <c r="B1312" s="50" t="s">
        <v>33</v>
      </c>
      <c r="C1312" s="7">
        <v>3.4020000000000001</v>
      </c>
      <c r="D1312" s="7">
        <v>16.170000000000002</v>
      </c>
      <c r="E1312" s="85">
        <f t="shared" si="89"/>
        <v>55.010340000000006</v>
      </c>
    </row>
    <row r="1313" spans="1:5" ht="18" x14ac:dyDescent="0.35">
      <c r="A1313" s="102" t="s">
        <v>1222</v>
      </c>
      <c r="B1313" s="50" t="s">
        <v>1359</v>
      </c>
      <c r="C1313" s="7">
        <v>2</v>
      </c>
      <c r="D1313" s="7">
        <v>1.1499999999999999</v>
      </c>
      <c r="E1313" s="85">
        <f t="shared" si="89"/>
        <v>2.2999999999999998</v>
      </c>
    </row>
    <row r="1314" spans="1:5" ht="18" x14ac:dyDescent="0.35">
      <c r="A1314" s="5"/>
      <c r="B1314" s="50" t="s">
        <v>34</v>
      </c>
      <c r="C1314" s="7"/>
      <c r="D1314" s="7">
        <v>14.61</v>
      </c>
      <c r="E1314" s="85">
        <f t="shared" si="89"/>
        <v>0</v>
      </c>
    </row>
    <row r="1315" spans="1:5" ht="18" x14ac:dyDescent="0.35">
      <c r="A1315" s="5"/>
      <c r="B1315" s="50" t="s">
        <v>35</v>
      </c>
      <c r="C1315" s="7">
        <v>4</v>
      </c>
      <c r="D1315" s="7">
        <v>2.91</v>
      </c>
      <c r="E1315" s="85">
        <f t="shared" si="89"/>
        <v>11.64</v>
      </c>
    </row>
    <row r="1316" spans="1:5" ht="18" x14ac:dyDescent="0.35">
      <c r="A1316" s="5"/>
      <c r="B1316" s="50" t="s">
        <v>36</v>
      </c>
      <c r="C1316" s="7">
        <v>4</v>
      </c>
      <c r="D1316" s="7">
        <v>0.61</v>
      </c>
      <c r="E1316" s="85">
        <f t="shared" si="89"/>
        <v>2.44</v>
      </c>
    </row>
    <row r="1317" spans="1:5" ht="18" x14ac:dyDescent="0.35">
      <c r="A1317" s="5"/>
      <c r="B1317" s="5"/>
      <c r="C1317" s="54"/>
      <c r="D1317" s="54"/>
      <c r="E1317" s="89">
        <f>SUM(E1311:E1316)</f>
        <v>87.58278</v>
      </c>
    </row>
    <row r="1318" spans="1:5" ht="18" x14ac:dyDescent="0.35">
      <c r="A1318" s="5"/>
      <c r="B1318" s="5"/>
      <c r="C1318" s="54"/>
      <c r="D1318" s="54" t="s">
        <v>1158</v>
      </c>
      <c r="E1318" s="89">
        <f>E1317+E1317*10%</f>
        <v>96.341058000000004</v>
      </c>
    </row>
    <row r="1319" spans="1:5" ht="18" x14ac:dyDescent="0.35">
      <c r="A1319" s="5"/>
      <c r="B1319" s="50" t="s">
        <v>37</v>
      </c>
      <c r="C1319" s="54">
        <v>20</v>
      </c>
      <c r="D1319" s="54">
        <v>1.42</v>
      </c>
      <c r="E1319" s="85">
        <f>C1319*D1319</f>
        <v>28.4</v>
      </c>
    </row>
    <row r="1320" spans="1:5" ht="18" x14ac:dyDescent="0.35">
      <c r="A1320" s="5"/>
      <c r="B1320" s="5"/>
      <c r="C1320" s="54"/>
      <c r="D1320" s="54"/>
      <c r="E1320" s="85">
        <f>SUM(E1318:E1319)</f>
        <v>124.74105800000001</v>
      </c>
    </row>
    <row r="1323" spans="1:5" ht="21" x14ac:dyDescent="0.4">
      <c r="A1323" s="40" t="s">
        <v>599</v>
      </c>
      <c r="B1323" s="40"/>
      <c r="C1323" s="84"/>
    </row>
    <row r="1324" spans="1:5" ht="18" x14ac:dyDescent="0.35">
      <c r="A1324" s="5" t="s">
        <v>1419</v>
      </c>
      <c r="B1324" s="5"/>
      <c r="C1324" s="7" t="s">
        <v>28</v>
      </c>
      <c r="D1324" s="7" t="s">
        <v>29</v>
      </c>
      <c r="E1324" s="7" t="s">
        <v>30</v>
      </c>
    </row>
    <row r="1325" spans="1:5" ht="18" x14ac:dyDescent="0.35">
      <c r="A1325" s="5" t="s">
        <v>63</v>
      </c>
      <c r="B1325" s="50" t="s">
        <v>32</v>
      </c>
      <c r="C1325" s="7">
        <v>2.238</v>
      </c>
      <c r="D1325" s="7">
        <v>10.34</v>
      </c>
      <c r="E1325" s="85">
        <f t="shared" ref="E1325:E1330" si="90">C1325*D1325</f>
        <v>23.140920000000001</v>
      </c>
    </row>
    <row r="1326" spans="1:5" ht="18" x14ac:dyDescent="0.35">
      <c r="A1326" s="5" t="s">
        <v>747</v>
      </c>
      <c r="B1326" s="50" t="s">
        <v>33</v>
      </c>
      <c r="C1326" s="7">
        <v>5.4809999999999999</v>
      </c>
      <c r="D1326" s="7">
        <v>16.170000000000002</v>
      </c>
      <c r="E1326" s="85">
        <f t="shared" si="90"/>
        <v>88.627770000000012</v>
      </c>
    </row>
    <row r="1327" spans="1:5" ht="18" x14ac:dyDescent="0.35">
      <c r="A1327" s="102" t="s">
        <v>1222</v>
      </c>
      <c r="B1327" s="50" t="s">
        <v>1359</v>
      </c>
      <c r="C1327" s="7">
        <v>2</v>
      </c>
      <c r="D1327" s="7">
        <v>1.1499999999999999</v>
      </c>
      <c r="E1327" s="85">
        <f t="shared" si="90"/>
        <v>2.2999999999999998</v>
      </c>
    </row>
    <row r="1328" spans="1:5" ht="18" x14ac:dyDescent="0.35">
      <c r="A1328" s="5"/>
      <c r="B1328" s="50" t="s">
        <v>34</v>
      </c>
      <c r="C1328" s="7"/>
      <c r="D1328" s="7">
        <v>14.61</v>
      </c>
      <c r="E1328" s="85">
        <f t="shared" si="90"/>
        <v>0</v>
      </c>
    </row>
    <row r="1329" spans="1:5" ht="18" x14ac:dyDescent="0.35">
      <c r="A1329" s="5"/>
      <c r="B1329" s="50" t="s">
        <v>35</v>
      </c>
      <c r="C1329" s="7">
        <v>4</v>
      </c>
      <c r="D1329" s="7">
        <v>2.91</v>
      </c>
      <c r="E1329" s="85">
        <f t="shared" si="90"/>
        <v>11.64</v>
      </c>
    </row>
    <row r="1330" spans="1:5" ht="18" x14ac:dyDescent="0.35">
      <c r="A1330" s="5"/>
      <c r="B1330" s="50" t="s">
        <v>36</v>
      </c>
      <c r="C1330" s="7">
        <v>4</v>
      </c>
      <c r="D1330" s="7">
        <v>0.61</v>
      </c>
      <c r="E1330" s="85">
        <f t="shared" si="90"/>
        <v>2.44</v>
      </c>
    </row>
    <row r="1331" spans="1:5" ht="18" x14ac:dyDescent="0.35">
      <c r="A1331" s="5"/>
      <c r="B1331" s="5"/>
      <c r="C1331" s="54"/>
      <c r="D1331" s="54"/>
      <c r="E1331" s="89">
        <f>SUM(E1325:E1330)</f>
        <v>128.14869000000002</v>
      </c>
    </row>
    <row r="1332" spans="1:5" ht="18" x14ac:dyDescent="0.35">
      <c r="A1332" s="5"/>
      <c r="B1332" s="5"/>
      <c r="C1332" s="54"/>
      <c r="D1332" s="54" t="s">
        <v>1158</v>
      </c>
      <c r="E1332" s="89">
        <f>E1331+E1331*10%</f>
        <v>140.96355900000003</v>
      </c>
    </row>
    <row r="1333" spans="1:5" ht="18" x14ac:dyDescent="0.35">
      <c r="A1333" s="5"/>
      <c r="B1333" s="50" t="s">
        <v>37</v>
      </c>
      <c r="C1333" s="54">
        <v>20</v>
      </c>
      <c r="D1333" s="54">
        <v>1.42</v>
      </c>
      <c r="E1333" s="85">
        <f>C1333*D1333</f>
        <v>28.4</v>
      </c>
    </row>
    <row r="1334" spans="1:5" ht="18" x14ac:dyDescent="0.35">
      <c r="A1334" s="5"/>
      <c r="B1334" s="5"/>
      <c r="C1334" s="54"/>
      <c r="D1334" s="54"/>
      <c r="E1334" s="85">
        <f>SUM(E1332:E1333)</f>
        <v>169.36355900000004</v>
      </c>
    </row>
    <row r="1337" spans="1:5" ht="21" x14ac:dyDescent="0.4">
      <c r="A1337" s="40" t="s">
        <v>599</v>
      </c>
      <c r="B1337" s="40"/>
      <c r="C1337" s="84"/>
    </row>
    <row r="1338" spans="1:5" ht="18" x14ac:dyDescent="0.35">
      <c r="A1338" s="5" t="s">
        <v>191</v>
      </c>
      <c r="B1338" s="5"/>
      <c r="C1338" s="7" t="s">
        <v>28</v>
      </c>
      <c r="D1338" s="7" t="s">
        <v>29</v>
      </c>
      <c r="E1338" s="7" t="s">
        <v>30</v>
      </c>
    </row>
    <row r="1339" spans="1:5" ht="18" x14ac:dyDescent="0.35">
      <c r="A1339" s="5" t="s">
        <v>246</v>
      </c>
      <c r="B1339" s="50" t="s">
        <v>32</v>
      </c>
      <c r="C1339" s="7">
        <v>1.6919999999999999</v>
      </c>
      <c r="D1339" s="7">
        <v>10.34</v>
      </c>
      <c r="E1339" s="85">
        <f t="shared" ref="E1339:E1344" si="91">C1339*D1339</f>
        <v>17.495279999999998</v>
      </c>
    </row>
    <row r="1340" spans="1:5" ht="18" x14ac:dyDescent="0.35">
      <c r="A1340" s="5" t="s">
        <v>747</v>
      </c>
      <c r="B1340" s="50" t="s">
        <v>33</v>
      </c>
      <c r="C1340" s="7">
        <v>0.72399999999999998</v>
      </c>
      <c r="D1340" s="7">
        <v>16.170000000000002</v>
      </c>
      <c r="E1340" s="85">
        <f t="shared" si="91"/>
        <v>11.707080000000001</v>
      </c>
    </row>
    <row r="1341" spans="1:5" ht="18" x14ac:dyDescent="0.35">
      <c r="A1341" s="102" t="s">
        <v>1222</v>
      </c>
      <c r="B1341" s="50" t="s">
        <v>760</v>
      </c>
      <c r="C1341" s="7">
        <v>2</v>
      </c>
      <c r="D1341" s="7">
        <v>1.1499999999999999</v>
      </c>
      <c r="E1341" s="85">
        <f t="shared" si="91"/>
        <v>2.2999999999999998</v>
      </c>
    </row>
    <row r="1342" spans="1:5" ht="18" x14ac:dyDescent="0.35">
      <c r="A1342" s="5"/>
      <c r="B1342" s="50" t="s">
        <v>34</v>
      </c>
      <c r="C1342" s="7"/>
      <c r="D1342" s="7">
        <v>14.61</v>
      </c>
      <c r="E1342" s="85">
        <f t="shared" si="91"/>
        <v>0</v>
      </c>
    </row>
    <row r="1343" spans="1:5" ht="18" x14ac:dyDescent="0.35">
      <c r="A1343" s="5"/>
      <c r="B1343" s="50" t="s">
        <v>35</v>
      </c>
      <c r="C1343" s="7">
        <v>4</v>
      </c>
      <c r="D1343" s="7">
        <v>2.91</v>
      </c>
      <c r="E1343" s="85">
        <f t="shared" si="91"/>
        <v>11.64</v>
      </c>
    </row>
    <row r="1344" spans="1:5" ht="18" x14ac:dyDescent="0.35">
      <c r="A1344" s="5"/>
      <c r="B1344" s="50" t="s">
        <v>36</v>
      </c>
      <c r="C1344" s="7">
        <v>4</v>
      </c>
      <c r="D1344" s="7">
        <v>0.61</v>
      </c>
      <c r="E1344" s="85">
        <f t="shared" si="91"/>
        <v>2.44</v>
      </c>
    </row>
    <row r="1345" spans="1:5" ht="18" x14ac:dyDescent="0.35">
      <c r="A1345" s="5"/>
      <c r="B1345" s="5"/>
      <c r="C1345" s="54"/>
      <c r="D1345" s="54"/>
      <c r="E1345" s="89">
        <f>SUM(E1339:E1344)</f>
        <v>45.582359999999994</v>
      </c>
    </row>
    <row r="1346" spans="1:5" ht="18" x14ac:dyDescent="0.35">
      <c r="A1346" s="5"/>
      <c r="B1346" s="5"/>
      <c r="C1346" s="54"/>
      <c r="D1346" s="54" t="s">
        <v>1158</v>
      </c>
      <c r="E1346" s="89">
        <f>E1345+E1345*10%</f>
        <v>50.140595999999995</v>
      </c>
    </row>
    <row r="1347" spans="1:5" ht="18" x14ac:dyDescent="0.35">
      <c r="A1347" s="5"/>
      <c r="B1347" s="50" t="s">
        <v>37</v>
      </c>
      <c r="C1347" s="54">
        <v>20</v>
      </c>
      <c r="D1347" s="54">
        <v>1.42</v>
      </c>
      <c r="E1347" s="85">
        <f>C1347*D1347</f>
        <v>28.4</v>
      </c>
    </row>
    <row r="1348" spans="1:5" ht="18" x14ac:dyDescent="0.35">
      <c r="A1348" s="5"/>
      <c r="B1348" s="5"/>
      <c r="C1348" s="54"/>
      <c r="D1348" s="54"/>
      <c r="E1348" s="85">
        <f>SUM(E1346:E1347)</f>
        <v>78.540595999999994</v>
      </c>
    </row>
    <row r="1350" spans="1:5" ht="21" x14ac:dyDescent="0.4">
      <c r="A1350" s="40" t="s">
        <v>599</v>
      </c>
      <c r="B1350" s="40"/>
      <c r="C1350" s="84"/>
    </row>
    <row r="1351" spans="1:5" ht="18" x14ac:dyDescent="0.35">
      <c r="A1351" s="5" t="s">
        <v>40</v>
      </c>
      <c r="B1351" s="5"/>
      <c r="C1351" s="7" t="s">
        <v>28</v>
      </c>
      <c r="D1351" s="7" t="s">
        <v>29</v>
      </c>
      <c r="E1351" s="7" t="s">
        <v>30</v>
      </c>
    </row>
    <row r="1352" spans="1:5" ht="18" x14ac:dyDescent="0.35">
      <c r="A1352" s="5" t="s">
        <v>39</v>
      </c>
      <c r="B1352" s="50" t="s">
        <v>32</v>
      </c>
      <c r="C1352" s="7">
        <v>1.1879999999999999</v>
      </c>
      <c r="D1352" s="7">
        <v>10.34</v>
      </c>
      <c r="E1352" s="85">
        <f t="shared" ref="E1352:E1357" si="92">C1352*D1352</f>
        <v>12.283919999999998</v>
      </c>
    </row>
    <row r="1353" spans="1:5" ht="18" x14ac:dyDescent="0.35">
      <c r="A1353" s="5" t="s">
        <v>747</v>
      </c>
      <c r="B1353" s="50" t="s">
        <v>33</v>
      </c>
      <c r="C1353" s="7">
        <v>1.6379999999999999</v>
      </c>
      <c r="D1353" s="7">
        <v>16.170000000000002</v>
      </c>
      <c r="E1353" s="85">
        <f t="shared" si="92"/>
        <v>26.486460000000001</v>
      </c>
    </row>
    <row r="1354" spans="1:5" ht="18" x14ac:dyDescent="0.35">
      <c r="A1354" s="102" t="s">
        <v>1222</v>
      </c>
      <c r="B1354" s="50" t="s">
        <v>43</v>
      </c>
      <c r="C1354" s="7">
        <v>2</v>
      </c>
      <c r="D1354" s="7">
        <v>1.1499999999999999</v>
      </c>
      <c r="E1354" s="85">
        <f t="shared" si="92"/>
        <v>2.2999999999999998</v>
      </c>
    </row>
    <row r="1355" spans="1:5" ht="18" x14ac:dyDescent="0.35">
      <c r="A1355" s="5"/>
      <c r="B1355" s="50" t="s">
        <v>34</v>
      </c>
      <c r="C1355" s="7"/>
      <c r="D1355" s="7">
        <v>14.61</v>
      </c>
      <c r="E1355" s="85">
        <f t="shared" si="92"/>
        <v>0</v>
      </c>
    </row>
    <row r="1356" spans="1:5" ht="18" x14ac:dyDescent="0.35">
      <c r="A1356" s="5"/>
      <c r="B1356" s="50" t="s">
        <v>35</v>
      </c>
      <c r="C1356" s="7">
        <v>4</v>
      </c>
      <c r="D1356" s="7">
        <v>2.91</v>
      </c>
      <c r="E1356" s="85">
        <f t="shared" si="92"/>
        <v>11.64</v>
      </c>
    </row>
    <row r="1357" spans="1:5" ht="18" x14ac:dyDescent="0.35">
      <c r="A1357" s="5"/>
      <c r="B1357" s="50" t="s">
        <v>36</v>
      </c>
      <c r="C1357" s="7">
        <v>4</v>
      </c>
      <c r="D1357" s="7">
        <v>0.61</v>
      </c>
      <c r="E1357" s="85">
        <f t="shared" si="92"/>
        <v>2.44</v>
      </c>
    </row>
    <row r="1358" spans="1:5" ht="18" x14ac:dyDescent="0.35">
      <c r="A1358" s="5"/>
      <c r="B1358" s="5"/>
      <c r="C1358" s="54"/>
      <c r="D1358" s="54"/>
      <c r="E1358" s="89">
        <f>SUM(E1352:E1357)</f>
        <v>55.150379999999998</v>
      </c>
    </row>
    <row r="1359" spans="1:5" ht="18" x14ac:dyDescent="0.35">
      <c r="A1359" s="5"/>
      <c r="B1359" s="5"/>
      <c r="C1359" s="54"/>
      <c r="D1359" s="54" t="s">
        <v>1158</v>
      </c>
      <c r="E1359" s="89">
        <f>E1358+E1358*10%</f>
        <v>60.665418000000003</v>
      </c>
    </row>
    <row r="1360" spans="1:5" ht="18" x14ac:dyDescent="0.35">
      <c r="A1360" s="5"/>
      <c r="B1360" s="50" t="s">
        <v>37</v>
      </c>
      <c r="C1360" s="54">
        <v>20</v>
      </c>
      <c r="D1360" s="54">
        <v>1.42</v>
      </c>
      <c r="E1360" s="85">
        <f>C1360*D1360</f>
        <v>28.4</v>
      </c>
    </row>
    <row r="1361" spans="1:5" ht="18" x14ac:dyDescent="0.35">
      <c r="A1361" s="5"/>
      <c r="B1361" s="5"/>
      <c r="C1361" s="54"/>
      <c r="D1361" s="54"/>
      <c r="E1361" s="85">
        <f>SUM(E1359:E1360)</f>
        <v>89.065417999999994</v>
      </c>
    </row>
    <row r="1364" spans="1:5" ht="21" x14ac:dyDescent="0.4">
      <c r="A1364" s="40" t="s">
        <v>602</v>
      </c>
      <c r="B1364" s="40"/>
      <c r="C1364" s="84"/>
    </row>
    <row r="1365" spans="1:5" ht="18" x14ac:dyDescent="0.35">
      <c r="A1365" s="5" t="s">
        <v>40</v>
      </c>
      <c r="B1365" s="5"/>
      <c r="C1365" s="7" t="s">
        <v>28</v>
      </c>
      <c r="D1365" s="7" t="s">
        <v>29</v>
      </c>
      <c r="E1365" s="7" t="s">
        <v>30</v>
      </c>
    </row>
    <row r="1366" spans="1:5" ht="18" x14ac:dyDescent="0.35">
      <c r="A1366" s="5" t="s">
        <v>39</v>
      </c>
      <c r="B1366" s="50" t="s">
        <v>32</v>
      </c>
      <c r="C1366" s="7">
        <v>1.1879999999999999</v>
      </c>
      <c r="D1366" s="7">
        <v>10.34</v>
      </c>
      <c r="E1366" s="85">
        <f t="shared" ref="E1366:E1373" si="93">C1366*D1366</f>
        <v>12.283919999999998</v>
      </c>
    </row>
    <row r="1367" spans="1:5" ht="18" x14ac:dyDescent="0.35">
      <c r="A1367" s="5" t="s">
        <v>54</v>
      </c>
      <c r="B1367" s="50" t="s">
        <v>33</v>
      </c>
      <c r="C1367" s="7">
        <v>1.6379999999999999</v>
      </c>
      <c r="D1367" s="7">
        <v>16.170000000000002</v>
      </c>
      <c r="E1367" s="85">
        <f t="shared" si="93"/>
        <v>26.486460000000001</v>
      </c>
    </row>
    <row r="1368" spans="1:5" ht="18" x14ac:dyDescent="0.35">
      <c r="A1368" s="5" t="s">
        <v>747</v>
      </c>
      <c r="B1368" s="50" t="s">
        <v>33</v>
      </c>
      <c r="C1368" s="7">
        <v>1.796</v>
      </c>
      <c r="D1368" s="7">
        <v>16.170000000000002</v>
      </c>
      <c r="E1368" s="85">
        <f t="shared" si="93"/>
        <v>29.041320000000002</v>
      </c>
    </row>
    <row r="1369" spans="1:5" ht="18" x14ac:dyDescent="0.35">
      <c r="A1369" s="102" t="s">
        <v>1222</v>
      </c>
      <c r="B1369" s="50" t="s">
        <v>43</v>
      </c>
      <c r="C1369" s="7">
        <v>2</v>
      </c>
      <c r="D1369" s="7">
        <v>1.1499999999999999</v>
      </c>
      <c r="E1369" s="85">
        <f t="shared" si="93"/>
        <v>2.2999999999999998</v>
      </c>
    </row>
    <row r="1370" spans="1:5" ht="18" x14ac:dyDescent="0.35">
      <c r="A1370" s="5"/>
      <c r="B1370" s="50" t="s">
        <v>128</v>
      </c>
      <c r="C1370" s="7">
        <v>2</v>
      </c>
      <c r="D1370" s="7">
        <v>1.81</v>
      </c>
      <c r="E1370" s="85">
        <f t="shared" si="93"/>
        <v>3.62</v>
      </c>
    </row>
    <row r="1371" spans="1:5" ht="18" x14ac:dyDescent="0.35">
      <c r="A1371" s="5"/>
      <c r="B1371" s="50" t="s">
        <v>34</v>
      </c>
      <c r="C1371" s="7"/>
      <c r="D1371" s="7">
        <v>14.61</v>
      </c>
      <c r="E1371" s="85">
        <f t="shared" si="93"/>
        <v>0</v>
      </c>
    </row>
    <row r="1372" spans="1:5" ht="18" x14ac:dyDescent="0.35">
      <c r="A1372" s="5"/>
      <c r="B1372" s="50" t="s">
        <v>35</v>
      </c>
      <c r="C1372" s="7">
        <v>4</v>
      </c>
      <c r="D1372" s="7">
        <v>2.91</v>
      </c>
      <c r="E1372" s="85">
        <f t="shared" si="93"/>
        <v>11.64</v>
      </c>
    </row>
    <row r="1373" spans="1:5" ht="18" x14ac:dyDescent="0.35">
      <c r="A1373" s="5"/>
      <c r="B1373" s="50" t="s">
        <v>36</v>
      </c>
      <c r="C1373" s="7">
        <v>4</v>
      </c>
      <c r="D1373" s="7">
        <v>0.61</v>
      </c>
      <c r="E1373" s="85">
        <f t="shared" si="93"/>
        <v>2.44</v>
      </c>
    </row>
    <row r="1374" spans="1:5" ht="18" x14ac:dyDescent="0.35">
      <c r="A1374" s="5"/>
      <c r="B1374" s="5"/>
      <c r="C1374" s="54"/>
      <c r="D1374" s="54"/>
      <c r="E1374" s="89">
        <f>SUM(E1366:E1373)</f>
        <v>87.811700000000002</v>
      </c>
    </row>
    <row r="1375" spans="1:5" ht="18" x14ac:dyDescent="0.35">
      <c r="A1375" s="5"/>
      <c r="B1375" s="5"/>
      <c r="C1375" s="54"/>
      <c r="D1375" s="54" t="s">
        <v>1158</v>
      </c>
      <c r="E1375" s="89">
        <f>E1374+E1374*10%</f>
        <v>96.592870000000005</v>
      </c>
    </row>
    <row r="1376" spans="1:5" ht="18" x14ac:dyDescent="0.35">
      <c r="A1376" s="5"/>
      <c r="B1376" s="50" t="s">
        <v>37</v>
      </c>
      <c r="C1376" s="54">
        <v>40</v>
      </c>
      <c r="D1376" s="54">
        <v>1.42</v>
      </c>
      <c r="E1376" s="85">
        <f>C1376*D1376</f>
        <v>56.8</v>
      </c>
    </row>
    <row r="1377" spans="1:5" ht="18" x14ac:dyDescent="0.35">
      <c r="B1377" s="5"/>
      <c r="C1377" s="54"/>
      <c r="D1377" s="54"/>
      <c r="E1377" s="85">
        <f>SUM(E1375:E1376)</f>
        <v>153.39287000000002</v>
      </c>
    </row>
    <row r="1380" spans="1:5" ht="21" x14ac:dyDescent="0.4">
      <c r="A1380" s="40" t="s">
        <v>602</v>
      </c>
      <c r="B1380" s="40"/>
      <c r="C1380" s="84"/>
    </row>
    <row r="1381" spans="1:5" ht="18" x14ac:dyDescent="0.35">
      <c r="A1381" s="5" t="s">
        <v>67</v>
      </c>
      <c r="B1381" s="5"/>
      <c r="C1381" s="7" t="s">
        <v>28</v>
      </c>
      <c r="D1381" s="7" t="s">
        <v>29</v>
      </c>
      <c r="E1381" s="7" t="s">
        <v>30</v>
      </c>
    </row>
    <row r="1382" spans="1:5" ht="18" x14ac:dyDescent="0.35">
      <c r="A1382" s="5" t="s">
        <v>63</v>
      </c>
      <c r="B1382" s="50" t="s">
        <v>32</v>
      </c>
      <c r="C1382" s="7">
        <v>1.7130000000000001</v>
      </c>
      <c r="D1382" s="7">
        <v>10.34</v>
      </c>
      <c r="E1382" s="85">
        <f t="shared" ref="E1382:E1389" si="94">C1382*D1382</f>
        <v>17.712420000000002</v>
      </c>
    </row>
    <row r="1383" spans="1:5" ht="18" x14ac:dyDescent="0.35">
      <c r="A1383" s="5" t="s">
        <v>56</v>
      </c>
      <c r="B1383" s="50" t="s">
        <v>33</v>
      </c>
      <c r="C1383" s="7">
        <v>3.7170000000000001</v>
      </c>
      <c r="D1383" s="7">
        <v>16.170000000000002</v>
      </c>
      <c r="E1383" s="85">
        <f t="shared" si="94"/>
        <v>60.103890000000007</v>
      </c>
    </row>
    <row r="1384" spans="1:5" ht="18" x14ac:dyDescent="0.35">
      <c r="A1384" s="5" t="s">
        <v>821</v>
      </c>
      <c r="B1384" s="50" t="s">
        <v>33</v>
      </c>
      <c r="C1384" s="7">
        <v>4.2629999999999999</v>
      </c>
      <c r="D1384" s="7">
        <v>16.170000000000002</v>
      </c>
      <c r="E1384" s="85">
        <f t="shared" si="94"/>
        <v>68.93271</v>
      </c>
    </row>
    <row r="1385" spans="1:5" ht="18" x14ac:dyDescent="0.35">
      <c r="A1385" s="102"/>
      <c r="B1385" s="50" t="s">
        <v>96</v>
      </c>
      <c r="C1385" s="7">
        <v>2</v>
      </c>
      <c r="D1385" s="7">
        <v>1.1499999999999999</v>
      </c>
      <c r="E1385" s="85">
        <f t="shared" si="94"/>
        <v>2.2999999999999998</v>
      </c>
    </row>
    <row r="1386" spans="1:5" ht="18" x14ac:dyDescent="0.35">
      <c r="A1386" s="5"/>
      <c r="B1386" s="50" t="s">
        <v>128</v>
      </c>
      <c r="C1386" s="7">
        <v>2</v>
      </c>
      <c r="D1386" s="7">
        <v>3.4</v>
      </c>
      <c r="E1386" s="85">
        <f t="shared" si="94"/>
        <v>6.8</v>
      </c>
    </row>
    <row r="1387" spans="1:5" ht="18" x14ac:dyDescent="0.35">
      <c r="A1387" s="5"/>
      <c r="B1387" s="50" t="s">
        <v>34</v>
      </c>
      <c r="C1387" s="7">
        <v>0.16</v>
      </c>
      <c r="D1387" s="7">
        <v>14.61</v>
      </c>
      <c r="E1387" s="85">
        <f t="shared" si="94"/>
        <v>2.3376000000000001</v>
      </c>
    </row>
    <row r="1388" spans="1:5" ht="18" x14ac:dyDescent="0.35">
      <c r="A1388" s="5"/>
      <c r="B1388" s="50" t="s">
        <v>35</v>
      </c>
      <c r="C1388" s="7">
        <v>4</v>
      </c>
      <c r="D1388" s="7">
        <v>2.91</v>
      </c>
      <c r="E1388" s="85">
        <f t="shared" si="94"/>
        <v>11.64</v>
      </c>
    </row>
    <row r="1389" spans="1:5" ht="18" x14ac:dyDescent="0.35">
      <c r="A1389" s="5"/>
      <c r="B1389" s="50" t="s">
        <v>36</v>
      </c>
      <c r="C1389" s="7">
        <v>4</v>
      </c>
      <c r="D1389" s="7">
        <v>0.61</v>
      </c>
      <c r="E1389" s="85">
        <f t="shared" si="94"/>
        <v>2.44</v>
      </c>
    </row>
    <row r="1390" spans="1:5" ht="18" x14ac:dyDescent="0.35">
      <c r="A1390" s="5"/>
      <c r="B1390" s="5"/>
      <c r="C1390" s="54"/>
      <c r="D1390" s="54"/>
      <c r="E1390" s="89">
        <f>SUM(E1382:E1389)</f>
        <v>172.26662000000005</v>
      </c>
    </row>
    <row r="1391" spans="1:5" ht="18" x14ac:dyDescent="0.35">
      <c r="A1391" s="5"/>
      <c r="B1391" s="5"/>
      <c r="C1391" s="54"/>
      <c r="D1391" s="54" t="s">
        <v>1158</v>
      </c>
      <c r="E1391" s="89">
        <f>E1390+E1390*10%</f>
        <v>189.49328200000005</v>
      </c>
    </row>
    <row r="1392" spans="1:5" ht="18" x14ac:dyDescent="0.35">
      <c r="A1392" s="5"/>
      <c r="B1392" s="50" t="s">
        <v>37</v>
      </c>
      <c r="C1392" s="54">
        <v>40</v>
      </c>
      <c r="D1392" s="54">
        <v>1.42</v>
      </c>
      <c r="E1392" s="85">
        <f>C1392*D1392</f>
        <v>56.8</v>
      </c>
    </row>
    <row r="1393" spans="1:5" ht="18" x14ac:dyDescent="0.35">
      <c r="B1393" s="5"/>
      <c r="C1393" s="54"/>
      <c r="D1393" s="54"/>
      <c r="E1393" s="85">
        <f>SUM(E1391:E1392)</f>
        <v>246.29328200000003</v>
      </c>
    </row>
    <row r="1395" spans="1:5" ht="21" x14ac:dyDescent="0.4">
      <c r="A1395" s="40" t="s">
        <v>599</v>
      </c>
      <c r="B1395" s="40"/>
      <c r="C1395" s="84"/>
    </row>
    <row r="1396" spans="1:5" ht="18" x14ac:dyDescent="0.35">
      <c r="A1396" s="5" t="s">
        <v>67</v>
      </c>
      <c r="B1396" s="5"/>
      <c r="C1396" s="7" t="s">
        <v>28</v>
      </c>
      <c r="D1396" s="7" t="s">
        <v>29</v>
      </c>
      <c r="E1396" s="7" t="s">
        <v>30</v>
      </c>
    </row>
    <row r="1397" spans="1:5" ht="18" x14ac:dyDescent="0.35">
      <c r="A1397" s="5" t="s">
        <v>63</v>
      </c>
      <c r="B1397" s="50" t="s">
        <v>32</v>
      </c>
      <c r="C1397" s="7">
        <v>1.7130000000000001</v>
      </c>
      <c r="D1397" s="7">
        <v>10.34</v>
      </c>
      <c r="E1397" s="85">
        <f t="shared" ref="E1397:E1402" si="95">C1397*D1397</f>
        <v>17.712420000000002</v>
      </c>
    </row>
    <row r="1398" spans="1:5" ht="18" x14ac:dyDescent="0.35">
      <c r="A1398" s="5" t="s">
        <v>1444</v>
      </c>
      <c r="B1398" s="50" t="s">
        <v>33</v>
      </c>
      <c r="C1398" s="7">
        <v>3.7170000000000001</v>
      </c>
      <c r="D1398" s="7">
        <v>16.170000000000002</v>
      </c>
      <c r="E1398" s="85">
        <f t="shared" si="95"/>
        <v>60.103890000000007</v>
      </c>
    </row>
    <row r="1399" spans="1:5" ht="18" x14ac:dyDescent="0.35">
      <c r="A1399" s="102"/>
      <c r="B1399" s="50" t="s">
        <v>96</v>
      </c>
      <c r="C1399" s="7">
        <v>2</v>
      </c>
      <c r="D1399" s="7">
        <v>1.6</v>
      </c>
      <c r="E1399" s="85">
        <f t="shared" si="95"/>
        <v>3.2</v>
      </c>
    </row>
    <row r="1400" spans="1:5" ht="18" x14ac:dyDescent="0.35">
      <c r="A1400" s="5"/>
      <c r="B1400" s="50" t="s">
        <v>34</v>
      </c>
      <c r="C1400" s="7">
        <v>0.16</v>
      </c>
      <c r="D1400" s="7">
        <v>14.61</v>
      </c>
      <c r="E1400" s="85">
        <f t="shared" si="95"/>
        <v>2.3376000000000001</v>
      </c>
    </row>
    <row r="1401" spans="1:5" ht="18" x14ac:dyDescent="0.35">
      <c r="A1401" s="5"/>
      <c r="B1401" s="50" t="s">
        <v>35</v>
      </c>
      <c r="C1401" s="7">
        <v>4</v>
      </c>
      <c r="D1401" s="7">
        <v>2.91</v>
      </c>
      <c r="E1401" s="85">
        <f t="shared" si="95"/>
        <v>11.64</v>
      </c>
    </row>
    <row r="1402" spans="1:5" ht="18" x14ac:dyDescent="0.35">
      <c r="A1402" s="5"/>
      <c r="B1402" s="50" t="s">
        <v>36</v>
      </c>
      <c r="C1402" s="7">
        <v>4</v>
      </c>
      <c r="D1402" s="7">
        <v>0.61</v>
      </c>
      <c r="E1402" s="85">
        <f t="shared" si="95"/>
        <v>2.44</v>
      </c>
    </row>
    <row r="1403" spans="1:5" ht="18" x14ac:dyDescent="0.35">
      <c r="A1403" s="5"/>
      <c r="B1403" s="5"/>
      <c r="C1403" s="54"/>
      <c r="D1403" s="54"/>
      <c r="E1403" s="89">
        <f>SUM(E1397:E1402)</f>
        <v>97.433910000000012</v>
      </c>
    </row>
    <row r="1404" spans="1:5" ht="18" x14ac:dyDescent="0.35">
      <c r="A1404" s="5"/>
      <c r="B1404" s="5"/>
      <c r="C1404" s="54"/>
      <c r="D1404" s="54" t="s">
        <v>1158</v>
      </c>
      <c r="E1404" s="89">
        <f>E1403+E1403*10%</f>
        <v>107.17730100000001</v>
      </c>
    </row>
    <row r="1405" spans="1:5" ht="18" x14ac:dyDescent="0.35">
      <c r="A1405" s="5"/>
      <c r="B1405" s="50" t="s">
        <v>37</v>
      </c>
      <c r="C1405" s="54">
        <v>30</v>
      </c>
      <c r="D1405" s="54">
        <v>1.42</v>
      </c>
      <c r="E1405" s="85">
        <f>C1405*D1405</f>
        <v>42.599999999999994</v>
      </c>
    </row>
    <row r="1406" spans="1:5" ht="18" x14ac:dyDescent="0.35">
      <c r="A1406" s="5"/>
      <c r="B1406" s="5"/>
      <c r="C1406" s="54"/>
      <c r="D1406" s="54"/>
      <c r="E1406" s="85">
        <v>154</v>
      </c>
    </row>
    <row r="1410" spans="1:5" ht="21" x14ac:dyDescent="0.4">
      <c r="A1410" s="40" t="s">
        <v>732</v>
      </c>
      <c r="B1410" s="40"/>
      <c r="C1410" s="40"/>
      <c r="D1410" s="12"/>
      <c r="E1410" s="12"/>
    </row>
    <row r="1411" spans="1:5" ht="18" x14ac:dyDescent="0.35">
      <c r="A1411" s="5"/>
      <c r="B1411" s="5"/>
      <c r="C1411" s="7" t="s">
        <v>28</v>
      </c>
      <c r="D1411" s="7" t="s">
        <v>29</v>
      </c>
      <c r="E1411" s="7" t="s">
        <v>30</v>
      </c>
    </row>
    <row r="1412" spans="1:5" ht="18" x14ac:dyDescent="0.35">
      <c r="A1412" s="5" t="s">
        <v>352</v>
      </c>
      <c r="B1412" s="50" t="s">
        <v>32</v>
      </c>
      <c r="C1412" s="7">
        <v>3.4980000000000002</v>
      </c>
      <c r="D1412" s="7">
        <v>10.34</v>
      </c>
      <c r="E1412" s="85">
        <f>C1412*D1412</f>
        <v>36.169319999999999</v>
      </c>
    </row>
    <row r="1413" spans="1:5" ht="18" x14ac:dyDescent="0.35">
      <c r="A1413" s="5" t="s">
        <v>143</v>
      </c>
      <c r="B1413" s="50" t="s">
        <v>33</v>
      </c>
      <c r="C1413" s="7">
        <v>9.3870000000000005</v>
      </c>
      <c r="D1413" s="7">
        <v>17.059999999999999</v>
      </c>
      <c r="E1413" s="85">
        <f>C1413*D1413</f>
        <v>160.14222000000001</v>
      </c>
    </row>
    <row r="1414" spans="1:5" ht="18" x14ac:dyDescent="0.35">
      <c r="A1414" s="5" t="s">
        <v>673</v>
      </c>
      <c r="B1414" s="50" t="s">
        <v>137</v>
      </c>
      <c r="C1414" s="7">
        <v>0.53</v>
      </c>
      <c r="D1414" s="7">
        <v>15.25</v>
      </c>
      <c r="E1414" s="85">
        <f>C1414*D1414</f>
        <v>8.0824999999999996</v>
      </c>
    </row>
    <row r="1415" spans="1:5" ht="18" x14ac:dyDescent="0.35">
      <c r="A1415" s="5"/>
      <c r="B1415" s="50" t="s">
        <v>35</v>
      </c>
      <c r="C1415" s="7">
        <v>4</v>
      </c>
      <c r="D1415" s="7">
        <v>2.91</v>
      </c>
      <c r="E1415" s="85">
        <f>C1415*D1415</f>
        <v>11.64</v>
      </c>
    </row>
    <row r="1416" spans="1:5" ht="18" x14ac:dyDescent="0.35">
      <c r="A1416" s="5"/>
      <c r="B1416" s="50" t="s">
        <v>36</v>
      </c>
      <c r="C1416" s="7">
        <v>4</v>
      </c>
      <c r="D1416" s="7">
        <v>0.61</v>
      </c>
      <c r="E1416" s="85">
        <f>C1416*D1416</f>
        <v>2.44</v>
      </c>
    </row>
    <row r="1417" spans="1:5" ht="18" x14ac:dyDescent="0.35">
      <c r="A1417" s="5"/>
      <c r="B1417" s="50"/>
      <c r="C1417" s="87"/>
      <c r="D1417" s="88"/>
      <c r="E1417" s="85">
        <f>SUM(E1412:E1416)</f>
        <v>218.47404</v>
      </c>
    </row>
    <row r="1418" spans="1:5" ht="18" x14ac:dyDescent="0.35">
      <c r="A1418" s="5"/>
      <c r="B1418" s="50"/>
      <c r="C1418" s="87"/>
      <c r="D1418" s="88" t="s">
        <v>1085</v>
      </c>
      <c r="E1418" s="85">
        <f>E1417+E1417*10%</f>
        <v>240.32144400000001</v>
      </c>
    </row>
    <row r="1419" spans="1:5" ht="18" x14ac:dyDescent="0.35">
      <c r="A1419" s="5"/>
      <c r="B1419" s="50" t="s">
        <v>37</v>
      </c>
      <c r="C1419" s="54">
        <v>1</v>
      </c>
      <c r="D1419" s="86">
        <v>85</v>
      </c>
      <c r="E1419" s="85">
        <f>C1419*D1419</f>
        <v>85</v>
      </c>
    </row>
    <row r="1420" spans="1:5" ht="18" x14ac:dyDescent="0.35">
      <c r="A1420" s="5"/>
      <c r="B1420" s="5"/>
      <c r="C1420" s="54"/>
      <c r="D1420" s="54"/>
      <c r="E1420" s="85">
        <f>SUM(E1418:E1419)</f>
        <v>325.32144400000004</v>
      </c>
    </row>
    <row r="1422" spans="1:5" ht="21" x14ac:dyDescent="0.4">
      <c r="A1422" s="40" t="s">
        <v>599</v>
      </c>
      <c r="B1422" s="40"/>
      <c r="C1422" s="84"/>
    </row>
    <row r="1423" spans="1:5" ht="18" x14ac:dyDescent="0.35">
      <c r="A1423" s="5" t="s">
        <v>352</v>
      </c>
      <c r="B1423" s="5"/>
      <c r="C1423" s="7" t="s">
        <v>28</v>
      </c>
      <c r="D1423" s="7" t="s">
        <v>29</v>
      </c>
      <c r="E1423" s="7" t="s">
        <v>30</v>
      </c>
    </row>
    <row r="1424" spans="1:5" ht="18" x14ac:dyDescent="0.35">
      <c r="A1424" s="5" t="s">
        <v>39</v>
      </c>
      <c r="B1424" s="50" t="s">
        <v>32</v>
      </c>
      <c r="C1424" s="7">
        <v>3.4980000000000002</v>
      </c>
      <c r="D1424" s="7">
        <v>10.34</v>
      </c>
      <c r="E1424" s="85">
        <f t="shared" ref="E1424:E1429" si="96">C1424*D1424</f>
        <v>36.169319999999999</v>
      </c>
    </row>
    <row r="1425" spans="1:5" ht="18" x14ac:dyDescent="0.35">
      <c r="A1425" s="5" t="s">
        <v>1444</v>
      </c>
      <c r="B1425" s="50" t="s">
        <v>33</v>
      </c>
      <c r="C1425" s="7">
        <v>6.258</v>
      </c>
      <c r="D1425" s="7">
        <v>16.170000000000002</v>
      </c>
      <c r="E1425" s="85">
        <f t="shared" si="96"/>
        <v>101.19186000000001</v>
      </c>
    </row>
    <row r="1426" spans="1:5" ht="18" x14ac:dyDescent="0.35">
      <c r="A1426" s="102"/>
      <c r="B1426" s="50" t="s">
        <v>43</v>
      </c>
      <c r="C1426" s="7">
        <v>2</v>
      </c>
      <c r="D1426" s="7">
        <v>1.1499999999999999</v>
      </c>
      <c r="E1426" s="85">
        <f t="shared" si="96"/>
        <v>2.2999999999999998</v>
      </c>
    </row>
    <row r="1427" spans="1:5" ht="18" x14ac:dyDescent="0.35">
      <c r="A1427" s="5"/>
      <c r="B1427" s="50" t="s">
        <v>34</v>
      </c>
      <c r="C1427" s="7">
        <v>0.2</v>
      </c>
      <c r="D1427" s="7">
        <v>14.61</v>
      </c>
      <c r="E1427" s="85">
        <f t="shared" si="96"/>
        <v>2.9220000000000002</v>
      </c>
    </row>
    <row r="1428" spans="1:5" ht="18" x14ac:dyDescent="0.35">
      <c r="A1428" s="5"/>
      <c r="B1428" s="50" t="s">
        <v>35</v>
      </c>
      <c r="C1428" s="7">
        <v>4</v>
      </c>
      <c r="D1428" s="7">
        <v>2.91</v>
      </c>
      <c r="E1428" s="85">
        <f t="shared" si="96"/>
        <v>11.64</v>
      </c>
    </row>
    <row r="1429" spans="1:5" ht="18" x14ac:dyDescent="0.35">
      <c r="A1429" s="5"/>
      <c r="B1429" s="50" t="s">
        <v>36</v>
      </c>
      <c r="C1429" s="7">
        <v>4</v>
      </c>
      <c r="D1429" s="7">
        <v>0.61</v>
      </c>
      <c r="E1429" s="85">
        <f t="shared" si="96"/>
        <v>2.44</v>
      </c>
    </row>
    <row r="1430" spans="1:5" ht="18" x14ac:dyDescent="0.35">
      <c r="A1430" s="5"/>
      <c r="B1430" s="5"/>
      <c r="C1430" s="54"/>
      <c r="D1430" s="54"/>
      <c r="E1430" s="89">
        <f>SUM(E1424:E1429)</f>
        <v>156.66318000000001</v>
      </c>
    </row>
    <row r="1431" spans="1:5" ht="18" x14ac:dyDescent="0.35">
      <c r="A1431" s="5"/>
      <c r="B1431" s="5"/>
      <c r="C1431" s="54"/>
      <c r="D1431" s="54" t="s">
        <v>1158</v>
      </c>
      <c r="E1431" s="89">
        <f>E1430+E1430*10%</f>
        <v>172.329498</v>
      </c>
    </row>
    <row r="1432" spans="1:5" ht="18" x14ac:dyDescent="0.35">
      <c r="A1432" s="5"/>
      <c r="B1432" s="50" t="s">
        <v>37</v>
      </c>
      <c r="C1432" s="54">
        <v>55</v>
      </c>
      <c r="D1432" s="54">
        <v>1.42</v>
      </c>
      <c r="E1432" s="85">
        <f>C1432*D1432</f>
        <v>78.099999999999994</v>
      </c>
    </row>
    <row r="1433" spans="1:5" ht="18" x14ac:dyDescent="0.35">
      <c r="A1433" s="5"/>
      <c r="B1433" s="5"/>
      <c r="C1433" s="54"/>
      <c r="D1433" s="54"/>
      <c r="E1433" s="85">
        <f>SUM(E1431:E1432)</f>
        <v>250.429498</v>
      </c>
    </row>
    <row r="1436" spans="1:5" ht="21" x14ac:dyDescent="0.4">
      <c r="A1436" s="40" t="s">
        <v>602</v>
      </c>
      <c r="B1436" s="40"/>
      <c r="C1436" s="84"/>
    </row>
    <row r="1437" spans="1:5" ht="18" x14ac:dyDescent="0.35">
      <c r="A1437" s="5" t="s">
        <v>352</v>
      </c>
      <c r="B1437" s="5"/>
      <c r="C1437" s="7" t="s">
        <v>28</v>
      </c>
      <c r="D1437" s="7" t="s">
        <v>29</v>
      </c>
      <c r="E1437" s="7" t="s">
        <v>30</v>
      </c>
    </row>
    <row r="1438" spans="1:5" ht="18" x14ac:dyDescent="0.35">
      <c r="A1438" s="5" t="s">
        <v>39</v>
      </c>
      <c r="B1438" s="50" t="s">
        <v>32</v>
      </c>
      <c r="C1438" s="7">
        <v>3.4980000000000002</v>
      </c>
      <c r="D1438" s="7">
        <v>10.34</v>
      </c>
      <c r="E1438" s="85">
        <f t="shared" ref="E1438:E1445" si="97">C1438*D1438</f>
        <v>36.169319999999999</v>
      </c>
    </row>
    <row r="1439" spans="1:5" ht="18" x14ac:dyDescent="0.35">
      <c r="A1439" s="5" t="s">
        <v>1447</v>
      </c>
      <c r="B1439" s="50" t="s">
        <v>33</v>
      </c>
      <c r="C1439" s="7">
        <v>6.258</v>
      </c>
      <c r="D1439" s="7">
        <v>16.170000000000002</v>
      </c>
      <c r="E1439" s="85">
        <f t="shared" si="97"/>
        <v>101.19186000000001</v>
      </c>
    </row>
    <row r="1440" spans="1:5" ht="18" x14ac:dyDescent="0.35">
      <c r="A1440" s="5" t="s">
        <v>821</v>
      </c>
      <c r="B1440" s="50" t="s">
        <v>33</v>
      </c>
      <c r="C1440" s="7">
        <v>6.8040000000000003</v>
      </c>
      <c r="D1440" s="7">
        <v>16.170000000000002</v>
      </c>
      <c r="E1440" s="85">
        <f t="shared" si="97"/>
        <v>110.02068000000001</v>
      </c>
    </row>
    <row r="1441" spans="1:5" ht="18" x14ac:dyDescent="0.35">
      <c r="A1441" s="102"/>
      <c r="B1441" s="50" t="s">
        <v>96</v>
      </c>
      <c r="C1441" s="7">
        <v>2</v>
      </c>
      <c r="D1441" s="7">
        <v>1.1499999999999999</v>
      </c>
      <c r="E1441" s="85">
        <f t="shared" si="97"/>
        <v>2.2999999999999998</v>
      </c>
    </row>
    <row r="1442" spans="1:5" ht="18" x14ac:dyDescent="0.35">
      <c r="A1442" s="5"/>
      <c r="B1442" s="50" t="s">
        <v>289</v>
      </c>
      <c r="C1442" s="7">
        <v>2</v>
      </c>
      <c r="D1442" s="7">
        <v>6.72</v>
      </c>
      <c r="E1442" s="85">
        <f t="shared" si="97"/>
        <v>13.44</v>
      </c>
    </row>
    <row r="1443" spans="1:5" ht="18" x14ac:dyDescent="0.35">
      <c r="A1443" s="5"/>
      <c r="B1443" s="50" t="s">
        <v>34</v>
      </c>
      <c r="C1443" s="7">
        <v>0.16</v>
      </c>
      <c r="D1443" s="7">
        <v>14.61</v>
      </c>
      <c r="E1443" s="85">
        <f t="shared" si="97"/>
        <v>2.3376000000000001</v>
      </c>
    </row>
    <row r="1444" spans="1:5" ht="18" x14ac:dyDescent="0.35">
      <c r="A1444" s="5"/>
      <c r="B1444" s="50" t="s">
        <v>35</v>
      </c>
      <c r="C1444" s="7">
        <v>4</v>
      </c>
      <c r="D1444" s="7">
        <v>2.91</v>
      </c>
      <c r="E1444" s="85">
        <f t="shared" si="97"/>
        <v>11.64</v>
      </c>
    </row>
    <row r="1445" spans="1:5" ht="18" x14ac:dyDescent="0.35">
      <c r="A1445" s="5"/>
      <c r="B1445" s="50" t="s">
        <v>36</v>
      </c>
      <c r="C1445" s="7">
        <v>4</v>
      </c>
      <c r="D1445" s="7">
        <v>0.61</v>
      </c>
      <c r="E1445" s="85">
        <f t="shared" si="97"/>
        <v>2.44</v>
      </c>
    </row>
    <row r="1446" spans="1:5" ht="18" x14ac:dyDescent="0.35">
      <c r="A1446" s="5"/>
      <c r="B1446" s="5"/>
      <c r="C1446" s="54"/>
      <c r="D1446" s="54"/>
      <c r="E1446" s="89">
        <f>SUM(E1438:E1445)</f>
        <v>279.53946000000002</v>
      </c>
    </row>
    <row r="1447" spans="1:5" ht="18" x14ac:dyDescent="0.35">
      <c r="A1447" s="5"/>
      <c r="B1447" s="5"/>
      <c r="C1447" s="54"/>
      <c r="D1447" s="54" t="s">
        <v>1158</v>
      </c>
      <c r="E1447" s="89">
        <f>E1446+E1446*10%</f>
        <v>307.49340600000005</v>
      </c>
    </row>
    <row r="1448" spans="1:5" ht="18" x14ac:dyDescent="0.35">
      <c r="A1448" s="5"/>
      <c r="B1448" s="50" t="s">
        <v>37</v>
      </c>
      <c r="C1448" s="54">
        <v>60</v>
      </c>
      <c r="D1448" s="54">
        <v>1.42</v>
      </c>
      <c r="E1448" s="85">
        <f>C1448*D1448</f>
        <v>85.199999999999989</v>
      </c>
    </row>
    <row r="1449" spans="1:5" ht="18" x14ac:dyDescent="0.35">
      <c r="B1449" s="5"/>
      <c r="C1449" s="54"/>
      <c r="D1449" s="54"/>
      <c r="E1449" s="85">
        <f>SUM(E1447:E1448)</f>
        <v>392.69340600000004</v>
      </c>
    </row>
    <row r="1451" spans="1:5" ht="21" x14ac:dyDescent="0.4">
      <c r="A1451" s="40" t="s">
        <v>1463</v>
      </c>
      <c r="B1451" s="40"/>
      <c r="C1451" s="84"/>
    </row>
    <row r="1452" spans="1:5" ht="18" x14ac:dyDescent="0.35">
      <c r="B1452" s="5"/>
      <c r="C1452" s="7" t="s">
        <v>28</v>
      </c>
      <c r="D1452" s="7" t="s">
        <v>29</v>
      </c>
      <c r="E1452" s="7" t="s">
        <v>30</v>
      </c>
    </row>
    <row r="1453" spans="1:5" ht="18" x14ac:dyDescent="0.35">
      <c r="A1453" s="5" t="s">
        <v>1464</v>
      </c>
      <c r="B1453" s="50" t="s">
        <v>32</v>
      </c>
      <c r="C1453" s="7">
        <v>2.6579999999999999</v>
      </c>
      <c r="D1453" s="7">
        <v>14.93</v>
      </c>
      <c r="E1453" s="85">
        <f t="shared" ref="E1453:E1460" si="98">C1453*D1453</f>
        <v>39.68394</v>
      </c>
    </row>
    <row r="1454" spans="1:5" ht="18" x14ac:dyDescent="0.35">
      <c r="A1454" s="5" t="s">
        <v>829</v>
      </c>
      <c r="B1454" s="50" t="s">
        <v>33</v>
      </c>
      <c r="C1454" s="7">
        <v>4.5780000000000003</v>
      </c>
      <c r="D1454" s="7">
        <v>16.170000000000002</v>
      </c>
      <c r="E1454" s="85">
        <f t="shared" si="98"/>
        <v>74.026260000000008</v>
      </c>
    </row>
    <row r="1455" spans="1:5" ht="18" x14ac:dyDescent="0.35">
      <c r="A1455" s="5" t="s">
        <v>1465</v>
      </c>
      <c r="B1455" s="50" t="s">
        <v>33</v>
      </c>
      <c r="C1455" s="7">
        <v>5.1029999999999998</v>
      </c>
      <c r="D1455" s="7">
        <v>16.170000000000002</v>
      </c>
      <c r="E1455" s="85">
        <f t="shared" si="98"/>
        <v>82.515510000000006</v>
      </c>
    </row>
    <row r="1456" spans="1:5" ht="18" x14ac:dyDescent="0.35">
      <c r="A1456" s="5" t="s">
        <v>1461</v>
      </c>
      <c r="B1456" s="50" t="s">
        <v>42</v>
      </c>
      <c r="C1456" s="7">
        <v>4</v>
      </c>
      <c r="D1456" s="7">
        <v>1.1499999999999999</v>
      </c>
      <c r="E1456" s="85">
        <f t="shared" si="98"/>
        <v>4.5999999999999996</v>
      </c>
    </row>
    <row r="1457" spans="1:5" ht="18" x14ac:dyDescent="0.35">
      <c r="A1457" s="5"/>
      <c r="B1457" s="50" t="s">
        <v>1466</v>
      </c>
      <c r="C1457" s="7">
        <v>4</v>
      </c>
      <c r="D1457" s="7">
        <v>2.2400000000000002</v>
      </c>
      <c r="E1457" s="85">
        <f t="shared" si="98"/>
        <v>8.9600000000000009</v>
      </c>
    </row>
    <row r="1458" spans="1:5" ht="18" x14ac:dyDescent="0.35">
      <c r="A1458" s="5"/>
      <c r="B1458" s="50" t="s">
        <v>34</v>
      </c>
      <c r="C1458" s="7">
        <v>0.32</v>
      </c>
      <c r="D1458" s="7">
        <v>14.61</v>
      </c>
      <c r="E1458" s="85">
        <f t="shared" si="98"/>
        <v>4.6752000000000002</v>
      </c>
    </row>
    <row r="1459" spans="1:5" ht="18" x14ac:dyDescent="0.35">
      <c r="A1459" s="5"/>
      <c r="B1459" s="50" t="s">
        <v>35</v>
      </c>
      <c r="C1459" s="7">
        <v>4</v>
      </c>
      <c r="D1459" s="7">
        <v>2.91</v>
      </c>
      <c r="E1459" s="85">
        <f t="shared" si="98"/>
        <v>11.64</v>
      </c>
    </row>
    <row r="1460" spans="1:5" ht="18" x14ac:dyDescent="0.35">
      <c r="A1460" s="5"/>
      <c r="B1460" s="50" t="s">
        <v>36</v>
      </c>
      <c r="C1460" s="7">
        <v>4</v>
      </c>
      <c r="D1460" s="7">
        <v>0.61</v>
      </c>
      <c r="E1460" s="85">
        <f t="shared" si="98"/>
        <v>2.44</v>
      </c>
    </row>
    <row r="1461" spans="1:5" ht="18" x14ac:dyDescent="0.35">
      <c r="A1461" s="5"/>
      <c r="B1461" s="5"/>
      <c r="C1461" s="54"/>
      <c r="D1461" s="54"/>
      <c r="E1461" s="89">
        <f>SUM(E1453:E1460)</f>
        <v>228.54091</v>
      </c>
    </row>
    <row r="1462" spans="1:5" ht="18" x14ac:dyDescent="0.35">
      <c r="A1462" s="5"/>
      <c r="B1462" s="5"/>
      <c r="C1462" s="54"/>
      <c r="D1462" s="54" t="s">
        <v>1129</v>
      </c>
      <c r="E1462" s="89">
        <f>E1461+E1461*10%</f>
        <v>251.39500100000001</v>
      </c>
    </row>
    <row r="1463" spans="1:5" ht="18" x14ac:dyDescent="0.35">
      <c r="A1463" s="5"/>
      <c r="B1463" s="50" t="s">
        <v>37</v>
      </c>
      <c r="C1463" s="54">
        <v>1</v>
      </c>
      <c r="D1463" s="54">
        <v>65</v>
      </c>
      <c r="E1463" s="85">
        <f>C1463*D1463</f>
        <v>65</v>
      </c>
    </row>
    <row r="1464" spans="1:5" ht="18" x14ac:dyDescent="0.35">
      <c r="A1464" s="5"/>
      <c r="B1464" s="5"/>
      <c r="C1464" s="54"/>
      <c r="D1464" s="54"/>
      <c r="E1464" s="85">
        <f>SUM(E1462:E1463)</f>
        <v>316.39500099999998</v>
      </c>
    </row>
    <row r="1466" spans="1:5" ht="21" x14ac:dyDescent="0.4">
      <c r="A1466" s="40" t="s">
        <v>599</v>
      </c>
      <c r="B1466" s="40"/>
      <c r="C1466" s="84"/>
    </row>
    <row r="1467" spans="1:5" ht="18" x14ac:dyDescent="0.35">
      <c r="A1467" s="5" t="s">
        <v>105</v>
      </c>
      <c r="B1467" s="5"/>
      <c r="C1467" s="7" t="s">
        <v>28</v>
      </c>
      <c r="D1467" s="7" t="s">
        <v>29</v>
      </c>
      <c r="E1467" s="7" t="s">
        <v>30</v>
      </c>
    </row>
    <row r="1468" spans="1:5" ht="18" x14ac:dyDescent="0.35">
      <c r="A1468" s="5" t="s">
        <v>53</v>
      </c>
      <c r="B1468" s="50" t="s">
        <v>32</v>
      </c>
      <c r="C1468" s="7">
        <v>2.028</v>
      </c>
      <c r="D1468" s="7">
        <v>10.34</v>
      </c>
      <c r="E1468" s="85">
        <f t="shared" ref="E1468:E1473" si="99">C1468*D1468</f>
        <v>20.969519999999999</v>
      </c>
    </row>
    <row r="1469" spans="1:5" ht="18" x14ac:dyDescent="0.35">
      <c r="A1469" s="5" t="s">
        <v>1473</v>
      </c>
      <c r="B1469" s="50" t="s">
        <v>33</v>
      </c>
      <c r="C1469" s="7">
        <v>8.673</v>
      </c>
      <c r="D1469" s="7">
        <v>16.170000000000002</v>
      </c>
      <c r="E1469" s="85">
        <f t="shared" si="99"/>
        <v>140.24241000000001</v>
      </c>
    </row>
    <row r="1470" spans="1:5" ht="18" x14ac:dyDescent="0.35">
      <c r="A1470" s="102"/>
      <c r="B1470" s="50" t="s">
        <v>90</v>
      </c>
      <c r="C1470" s="7">
        <v>2</v>
      </c>
      <c r="D1470" s="7">
        <v>1.7</v>
      </c>
      <c r="E1470" s="85">
        <f t="shared" si="99"/>
        <v>3.4</v>
      </c>
    </row>
    <row r="1471" spans="1:5" ht="18" x14ac:dyDescent="0.35">
      <c r="A1471" s="5"/>
      <c r="B1471" s="50" t="s">
        <v>34</v>
      </c>
      <c r="C1471" s="7">
        <v>0.34</v>
      </c>
      <c r="D1471" s="7">
        <v>14.61</v>
      </c>
      <c r="E1471" s="85">
        <f t="shared" si="99"/>
        <v>4.9674000000000005</v>
      </c>
    </row>
    <row r="1472" spans="1:5" ht="18" x14ac:dyDescent="0.35">
      <c r="A1472" s="5"/>
      <c r="B1472" s="50" t="s">
        <v>35</v>
      </c>
      <c r="C1472" s="7">
        <v>4</v>
      </c>
      <c r="D1472" s="7">
        <v>2.91</v>
      </c>
      <c r="E1472" s="85">
        <f t="shared" si="99"/>
        <v>11.64</v>
      </c>
    </row>
    <row r="1473" spans="1:5" ht="18" x14ac:dyDescent="0.35">
      <c r="A1473" s="5"/>
      <c r="B1473" s="50" t="s">
        <v>36</v>
      </c>
      <c r="C1473" s="7">
        <v>4</v>
      </c>
      <c r="D1473" s="7">
        <v>0.61</v>
      </c>
      <c r="E1473" s="85">
        <f t="shared" si="99"/>
        <v>2.44</v>
      </c>
    </row>
    <row r="1474" spans="1:5" ht="18" x14ac:dyDescent="0.35">
      <c r="A1474" s="5"/>
      <c r="B1474" s="5"/>
      <c r="C1474" s="54"/>
      <c r="D1474" s="54"/>
      <c r="E1474" s="89">
        <f>SUM(E1468:E1473)</f>
        <v>183.65933000000001</v>
      </c>
    </row>
    <row r="1475" spans="1:5" ht="18" x14ac:dyDescent="0.35">
      <c r="A1475" s="5"/>
      <c r="B1475" s="5"/>
      <c r="C1475" s="54"/>
      <c r="D1475" s="54" t="s">
        <v>1158</v>
      </c>
      <c r="E1475" s="89">
        <f>E1474+E1474*10%</f>
        <v>202.02526300000002</v>
      </c>
    </row>
    <row r="1476" spans="1:5" ht="18" x14ac:dyDescent="0.35">
      <c r="A1476" s="5"/>
      <c r="B1476" s="50" t="s">
        <v>37</v>
      </c>
      <c r="C1476" s="54">
        <v>30</v>
      </c>
      <c r="D1476" s="54">
        <v>1.42</v>
      </c>
      <c r="E1476" s="85">
        <f>C1476*D1476</f>
        <v>42.599999999999994</v>
      </c>
    </row>
    <row r="1477" spans="1:5" ht="18" x14ac:dyDescent="0.35">
      <c r="A1477" s="5"/>
      <c r="B1477" s="5"/>
      <c r="C1477" s="54"/>
      <c r="D1477" s="54"/>
      <c r="E1477" s="85">
        <f>SUM(E1475:E1476)</f>
        <v>244.62526300000002</v>
      </c>
    </row>
    <row r="1479" spans="1:5" ht="21" x14ac:dyDescent="0.4">
      <c r="A1479" s="40" t="s">
        <v>1469</v>
      </c>
      <c r="B1479" s="40"/>
      <c r="C1479" s="84"/>
    </row>
    <row r="1480" spans="1:5" ht="18" x14ac:dyDescent="0.35">
      <c r="B1480" s="5"/>
      <c r="C1480" s="7" t="s">
        <v>28</v>
      </c>
      <c r="D1480" s="7" t="s">
        <v>29</v>
      </c>
      <c r="E1480" s="7" t="s">
        <v>30</v>
      </c>
    </row>
    <row r="1481" spans="1:5" ht="18" x14ac:dyDescent="0.35">
      <c r="A1481" s="5" t="s">
        <v>181</v>
      </c>
      <c r="B1481" s="50" t="s">
        <v>32</v>
      </c>
      <c r="C1481" s="7">
        <v>1.482</v>
      </c>
      <c r="D1481" s="7">
        <v>10.34</v>
      </c>
      <c r="E1481" s="85">
        <f t="shared" ref="E1481:E1486" si="100">C1481*D1481</f>
        <v>15.323879999999999</v>
      </c>
    </row>
    <row r="1482" spans="1:5" ht="18" x14ac:dyDescent="0.35">
      <c r="A1482" s="5" t="s">
        <v>839</v>
      </c>
      <c r="B1482" s="50" t="s">
        <v>33</v>
      </c>
      <c r="C1482" s="7">
        <v>0.61899999999999999</v>
      </c>
      <c r="D1482" s="7">
        <v>16.170000000000002</v>
      </c>
      <c r="E1482" s="85">
        <f t="shared" si="100"/>
        <v>10.009230000000001</v>
      </c>
    </row>
    <row r="1483" spans="1:5" ht="18" x14ac:dyDescent="0.35">
      <c r="A1483" s="5" t="s">
        <v>619</v>
      </c>
      <c r="B1483" s="50" t="s">
        <v>911</v>
      </c>
      <c r="C1483" s="7">
        <v>2</v>
      </c>
      <c r="D1483" s="7">
        <v>1.1499999999999999</v>
      </c>
      <c r="E1483" s="85">
        <f t="shared" si="100"/>
        <v>2.2999999999999998</v>
      </c>
    </row>
    <row r="1484" spans="1:5" ht="18" x14ac:dyDescent="0.35">
      <c r="A1484" s="5" t="s">
        <v>1446</v>
      </c>
      <c r="B1484" s="50" t="s">
        <v>34</v>
      </c>
      <c r="C1484" s="7">
        <v>0.05</v>
      </c>
      <c r="D1484" s="7">
        <v>14.61</v>
      </c>
      <c r="E1484" s="85">
        <f t="shared" si="100"/>
        <v>0.73050000000000004</v>
      </c>
    </row>
    <row r="1485" spans="1:5" ht="18" x14ac:dyDescent="0.35">
      <c r="A1485" s="5"/>
      <c r="B1485" s="50" t="s">
        <v>35</v>
      </c>
      <c r="C1485" s="7">
        <v>4</v>
      </c>
      <c r="D1485" s="7">
        <v>2.91</v>
      </c>
      <c r="E1485" s="85">
        <f t="shared" si="100"/>
        <v>11.64</v>
      </c>
    </row>
    <row r="1486" spans="1:5" ht="18" x14ac:dyDescent="0.35">
      <c r="A1486" s="5"/>
      <c r="B1486" s="50" t="s">
        <v>36</v>
      </c>
      <c r="C1486" s="7">
        <v>4</v>
      </c>
      <c r="D1486" s="7">
        <v>0.61</v>
      </c>
      <c r="E1486" s="85">
        <f t="shared" si="100"/>
        <v>2.44</v>
      </c>
    </row>
    <row r="1487" spans="1:5" ht="18" x14ac:dyDescent="0.35">
      <c r="A1487" s="5"/>
      <c r="B1487" s="5"/>
      <c r="C1487" s="54"/>
      <c r="D1487" s="54"/>
      <c r="E1487" s="89">
        <f>SUM(E1481:E1486)</f>
        <v>42.443609999999993</v>
      </c>
    </row>
    <row r="1488" spans="1:5" ht="18" x14ac:dyDescent="0.35">
      <c r="A1488" s="5"/>
      <c r="B1488" s="5"/>
      <c r="C1488" s="54"/>
      <c r="D1488" s="54" t="s">
        <v>1129</v>
      </c>
      <c r="E1488" s="89">
        <f>E1487+E1487*10%</f>
        <v>46.68797099999999</v>
      </c>
    </row>
    <row r="1489" spans="1:5" ht="18" x14ac:dyDescent="0.35">
      <c r="A1489" s="5"/>
      <c r="B1489" s="50" t="s">
        <v>37</v>
      </c>
      <c r="C1489" s="54">
        <v>20</v>
      </c>
      <c r="D1489" s="54">
        <v>1.42</v>
      </c>
      <c r="E1489" s="85">
        <f>C1489*D1489</f>
        <v>28.4</v>
      </c>
    </row>
    <row r="1490" spans="1:5" ht="18" x14ac:dyDescent="0.35">
      <c r="A1490" s="5"/>
      <c r="B1490" s="5"/>
      <c r="C1490" s="54"/>
      <c r="D1490" s="54"/>
      <c r="E1490" s="85">
        <f>SUM(E1488:E1489)</f>
        <v>75.087970999999982</v>
      </c>
    </row>
    <row r="1492" spans="1:5" ht="21" x14ac:dyDescent="0.4">
      <c r="A1492" s="40" t="s">
        <v>599</v>
      </c>
      <c r="B1492" s="40"/>
      <c r="C1492" s="84"/>
    </row>
    <row r="1493" spans="1:5" ht="18" x14ac:dyDescent="0.35">
      <c r="A1493" s="5" t="s">
        <v>109</v>
      </c>
      <c r="B1493" s="5"/>
      <c r="C1493" s="7" t="s">
        <v>28</v>
      </c>
      <c r="D1493" s="7" t="s">
        <v>29</v>
      </c>
      <c r="E1493" s="7" t="s">
        <v>30</v>
      </c>
    </row>
    <row r="1494" spans="1:5" ht="18" x14ac:dyDescent="0.35">
      <c r="A1494" s="5" t="s">
        <v>53</v>
      </c>
      <c r="B1494" s="50" t="s">
        <v>32</v>
      </c>
      <c r="C1494" s="7">
        <v>2.8679999999999999</v>
      </c>
      <c r="D1494" s="7">
        <v>10.34</v>
      </c>
      <c r="E1494" s="85">
        <f t="shared" ref="E1494:E1499" si="101">C1494*D1494</f>
        <v>29.65512</v>
      </c>
    </row>
    <row r="1495" spans="1:5" ht="18" x14ac:dyDescent="0.35">
      <c r="A1495" s="5" t="s">
        <v>1472</v>
      </c>
      <c r="B1495" s="50" t="s">
        <v>33</v>
      </c>
      <c r="C1495" s="7">
        <v>14.553000000000001</v>
      </c>
      <c r="D1495" s="7">
        <v>16.170000000000002</v>
      </c>
      <c r="E1495" s="85">
        <f t="shared" si="101"/>
        <v>235.32201000000003</v>
      </c>
    </row>
    <row r="1496" spans="1:5" ht="18" x14ac:dyDescent="0.35">
      <c r="A1496" s="102"/>
      <c r="B1496" s="50" t="s">
        <v>90</v>
      </c>
      <c r="C1496" s="7">
        <v>2</v>
      </c>
      <c r="D1496" s="7">
        <v>1.7</v>
      </c>
      <c r="E1496" s="85">
        <f t="shared" si="101"/>
        <v>3.4</v>
      </c>
    </row>
    <row r="1497" spans="1:5" ht="18" x14ac:dyDescent="0.35">
      <c r="A1497" s="5"/>
      <c r="B1497" s="50" t="s">
        <v>34</v>
      </c>
      <c r="C1497" s="7">
        <v>0.63</v>
      </c>
      <c r="D1497" s="7">
        <v>14.61</v>
      </c>
      <c r="E1497" s="85">
        <f t="shared" si="101"/>
        <v>9.2042999999999999</v>
      </c>
    </row>
    <row r="1498" spans="1:5" ht="18" x14ac:dyDescent="0.35">
      <c r="A1498" s="5"/>
      <c r="B1498" s="50" t="s">
        <v>35</v>
      </c>
      <c r="C1498" s="7">
        <v>4</v>
      </c>
      <c r="D1498" s="7">
        <v>2.91</v>
      </c>
      <c r="E1498" s="85">
        <f t="shared" si="101"/>
        <v>11.64</v>
      </c>
    </row>
    <row r="1499" spans="1:5" ht="18" x14ac:dyDescent="0.35">
      <c r="A1499" s="5"/>
      <c r="B1499" s="50" t="s">
        <v>36</v>
      </c>
      <c r="C1499" s="7">
        <v>4</v>
      </c>
      <c r="D1499" s="7">
        <v>0.61</v>
      </c>
      <c r="E1499" s="85">
        <f t="shared" si="101"/>
        <v>2.44</v>
      </c>
    </row>
    <row r="1500" spans="1:5" ht="18" x14ac:dyDescent="0.35">
      <c r="A1500" s="5"/>
      <c r="B1500" s="5"/>
      <c r="C1500" s="54"/>
      <c r="D1500" s="54"/>
      <c r="E1500" s="89">
        <f>SUM(E1494:E1499)</f>
        <v>291.66143</v>
      </c>
    </row>
    <row r="1501" spans="1:5" ht="18" x14ac:dyDescent="0.35">
      <c r="A1501" s="5"/>
      <c r="B1501" s="5"/>
      <c r="C1501" s="54"/>
      <c r="D1501" s="54" t="s">
        <v>1158</v>
      </c>
      <c r="E1501" s="89">
        <f>E1500+E1500*10%</f>
        <v>320.82757299999997</v>
      </c>
    </row>
    <row r="1502" spans="1:5" ht="18" x14ac:dyDescent="0.35">
      <c r="A1502" s="5"/>
      <c r="B1502" s="50" t="s">
        <v>37</v>
      </c>
      <c r="C1502" s="54">
        <v>60</v>
      </c>
      <c r="D1502" s="54">
        <v>1.42</v>
      </c>
      <c r="E1502" s="85">
        <f>C1502*D1502</f>
        <v>85.199999999999989</v>
      </c>
    </row>
    <row r="1503" spans="1:5" ht="18" x14ac:dyDescent="0.35">
      <c r="A1503" s="5"/>
      <c r="B1503" s="5"/>
      <c r="C1503" s="54"/>
      <c r="D1503" s="54"/>
      <c r="E1503" s="85">
        <f>SUM(E1501:E1502)</f>
        <v>406.02757299999996</v>
      </c>
    </row>
    <row r="1505" spans="1:5" ht="21" x14ac:dyDescent="0.4">
      <c r="A1505" s="40" t="s">
        <v>1336</v>
      </c>
      <c r="B1505" s="40"/>
      <c r="C1505" s="84"/>
    </row>
    <row r="1506" spans="1:5" ht="18" x14ac:dyDescent="0.35">
      <c r="B1506" s="5"/>
      <c r="C1506" s="7" t="s">
        <v>28</v>
      </c>
      <c r="D1506" s="7" t="s">
        <v>29</v>
      </c>
      <c r="E1506" s="7" t="s">
        <v>30</v>
      </c>
    </row>
    <row r="1507" spans="1:5" ht="18" x14ac:dyDescent="0.35">
      <c r="A1507" s="5" t="s">
        <v>234</v>
      </c>
      <c r="B1507" s="50" t="s">
        <v>32</v>
      </c>
      <c r="C1507" s="7">
        <v>2.3220000000000001</v>
      </c>
      <c r="D1507" s="7">
        <v>10.34</v>
      </c>
      <c r="E1507" s="85">
        <f t="shared" ref="E1507:E1512" si="102">C1507*D1507</f>
        <v>24.00948</v>
      </c>
    </row>
    <row r="1508" spans="1:5" ht="18" x14ac:dyDescent="0.35">
      <c r="A1508" s="5" t="s">
        <v>839</v>
      </c>
      <c r="B1508" s="50" t="s">
        <v>33</v>
      </c>
      <c r="C1508" s="7">
        <v>1.0389999999999999</v>
      </c>
      <c r="D1508" s="7">
        <v>16.170000000000002</v>
      </c>
      <c r="E1508" s="85">
        <f t="shared" si="102"/>
        <v>16.800630000000002</v>
      </c>
    </row>
    <row r="1509" spans="1:5" ht="18" x14ac:dyDescent="0.35">
      <c r="A1509" s="5" t="s">
        <v>677</v>
      </c>
      <c r="B1509" s="50" t="s">
        <v>911</v>
      </c>
      <c r="C1509" s="7">
        <v>2</v>
      </c>
      <c r="D1509" s="7">
        <v>1.1499999999999999</v>
      </c>
      <c r="E1509" s="85">
        <f t="shared" si="102"/>
        <v>2.2999999999999998</v>
      </c>
    </row>
    <row r="1510" spans="1:5" ht="18" x14ac:dyDescent="0.35">
      <c r="A1510" s="5" t="s">
        <v>1446</v>
      </c>
      <c r="B1510" s="50" t="s">
        <v>34</v>
      </c>
      <c r="C1510" s="7">
        <v>0.09</v>
      </c>
      <c r="D1510" s="7">
        <v>14.61</v>
      </c>
      <c r="E1510" s="85">
        <f t="shared" si="102"/>
        <v>1.3149</v>
      </c>
    </row>
    <row r="1511" spans="1:5" ht="18" x14ac:dyDescent="0.35">
      <c r="A1511" s="5"/>
      <c r="B1511" s="50" t="s">
        <v>35</v>
      </c>
      <c r="C1511" s="7">
        <v>4</v>
      </c>
      <c r="D1511" s="7">
        <v>2.91</v>
      </c>
      <c r="E1511" s="85">
        <f t="shared" si="102"/>
        <v>11.64</v>
      </c>
    </row>
    <row r="1512" spans="1:5" ht="18" x14ac:dyDescent="0.35">
      <c r="A1512" s="5"/>
      <c r="B1512" s="50" t="s">
        <v>36</v>
      </c>
      <c r="C1512" s="7">
        <v>4</v>
      </c>
      <c r="D1512" s="7">
        <v>0.61</v>
      </c>
      <c r="E1512" s="85">
        <f t="shared" si="102"/>
        <v>2.44</v>
      </c>
    </row>
    <row r="1513" spans="1:5" ht="18" x14ac:dyDescent="0.35">
      <c r="A1513" s="5"/>
      <c r="B1513" s="5"/>
      <c r="C1513" s="54"/>
      <c r="D1513" s="54"/>
      <c r="E1513" s="89">
        <f>SUM(E1507:E1512)</f>
        <v>58.505009999999999</v>
      </c>
    </row>
    <row r="1514" spans="1:5" ht="18" x14ac:dyDescent="0.35">
      <c r="A1514" s="5"/>
      <c r="B1514" s="5"/>
      <c r="C1514" s="54"/>
      <c r="D1514" s="54" t="s">
        <v>1129</v>
      </c>
      <c r="E1514" s="89">
        <f>E1513+E1513*10%</f>
        <v>64.355510999999993</v>
      </c>
    </row>
    <row r="1515" spans="1:5" ht="18" x14ac:dyDescent="0.35">
      <c r="A1515" s="5"/>
      <c r="B1515" s="50" t="s">
        <v>37</v>
      </c>
      <c r="C1515" s="54">
        <v>25</v>
      </c>
      <c r="D1515" s="54">
        <v>1.42</v>
      </c>
      <c r="E1515" s="85">
        <f>C1515*D1515</f>
        <v>35.5</v>
      </c>
    </row>
    <row r="1516" spans="1:5" ht="18" x14ac:dyDescent="0.35">
      <c r="A1516" s="5"/>
      <c r="B1516" s="5"/>
      <c r="C1516" s="54"/>
      <c r="D1516" s="54"/>
      <c r="E1516" s="85">
        <f>SUM(E1514:E1515)</f>
        <v>99.855510999999993</v>
      </c>
    </row>
    <row r="1518" spans="1:5" ht="21" x14ac:dyDescent="0.4">
      <c r="A1518" s="40" t="s">
        <v>1475</v>
      </c>
      <c r="B1518" s="40"/>
      <c r="C1518" s="84"/>
    </row>
    <row r="1519" spans="1:5" ht="18" x14ac:dyDescent="0.35">
      <c r="B1519" s="5"/>
      <c r="C1519" s="7" t="s">
        <v>28</v>
      </c>
      <c r="D1519" s="7" t="s">
        <v>29</v>
      </c>
      <c r="E1519" s="7" t="s">
        <v>30</v>
      </c>
    </row>
    <row r="1520" spans="1:5" ht="18" x14ac:dyDescent="0.35">
      <c r="A1520" s="5" t="s">
        <v>77</v>
      </c>
      <c r="B1520" s="50" t="s">
        <v>32</v>
      </c>
      <c r="C1520" s="7">
        <v>1.8180000000000001</v>
      </c>
      <c r="D1520" s="7">
        <v>14.93</v>
      </c>
      <c r="E1520" s="85">
        <f t="shared" ref="E1520:E1527" si="103">C1520*D1520</f>
        <v>27.14274</v>
      </c>
    </row>
    <row r="1521" spans="1:5" ht="18" x14ac:dyDescent="0.35">
      <c r="A1521" s="5" t="s">
        <v>828</v>
      </c>
      <c r="B1521" s="50" t="s">
        <v>33</v>
      </c>
      <c r="C1521" s="7">
        <v>5.5750000000000002</v>
      </c>
      <c r="D1521" s="7">
        <v>16.170000000000002</v>
      </c>
      <c r="E1521" s="85">
        <f t="shared" si="103"/>
        <v>90.147750000000016</v>
      </c>
    </row>
    <row r="1522" spans="1:5" ht="18" x14ac:dyDescent="0.35">
      <c r="A1522" s="5" t="s">
        <v>56</v>
      </c>
      <c r="B1522" s="50" t="s">
        <v>33</v>
      </c>
      <c r="C1522" s="7">
        <v>5.7850000000000001</v>
      </c>
      <c r="D1522" s="7">
        <v>16.170000000000002</v>
      </c>
      <c r="E1522" s="85">
        <f t="shared" si="103"/>
        <v>93.543450000000007</v>
      </c>
    </row>
    <row r="1523" spans="1:5" ht="18" x14ac:dyDescent="0.35">
      <c r="A1523" s="5" t="s">
        <v>616</v>
      </c>
      <c r="B1523" s="50" t="s">
        <v>85</v>
      </c>
      <c r="C1523" s="7">
        <v>2</v>
      </c>
      <c r="D1523" s="7">
        <v>1.48</v>
      </c>
      <c r="E1523" s="85">
        <f t="shared" si="103"/>
        <v>2.96</v>
      </c>
    </row>
    <row r="1524" spans="1:5" ht="18" x14ac:dyDescent="0.35">
      <c r="A1524" s="5"/>
      <c r="B1524" s="50" t="s">
        <v>98</v>
      </c>
      <c r="C1524" s="7">
        <v>2</v>
      </c>
      <c r="D1524" s="7">
        <v>3.39</v>
      </c>
      <c r="E1524" s="85">
        <f t="shared" si="103"/>
        <v>6.78</v>
      </c>
    </row>
    <row r="1525" spans="1:5" ht="18" x14ac:dyDescent="0.35">
      <c r="A1525" s="5"/>
      <c r="B1525" s="50" t="s">
        <v>34</v>
      </c>
      <c r="C1525" s="7">
        <v>0.21</v>
      </c>
      <c r="D1525" s="7">
        <v>14.61</v>
      </c>
      <c r="E1525" s="85">
        <f t="shared" si="103"/>
        <v>3.0680999999999998</v>
      </c>
    </row>
    <row r="1526" spans="1:5" ht="18" x14ac:dyDescent="0.35">
      <c r="A1526" s="5"/>
      <c r="B1526" s="50" t="s">
        <v>35</v>
      </c>
      <c r="C1526" s="7">
        <v>4</v>
      </c>
      <c r="D1526" s="7">
        <v>2.91</v>
      </c>
      <c r="E1526" s="85">
        <f t="shared" si="103"/>
        <v>11.64</v>
      </c>
    </row>
    <row r="1527" spans="1:5" ht="18" x14ac:dyDescent="0.35">
      <c r="A1527" s="5"/>
      <c r="B1527" s="50" t="s">
        <v>36</v>
      </c>
      <c r="C1527" s="7">
        <v>4</v>
      </c>
      <c r="D1527" s="7">
        <v>0.61</v>
      </c>
      <c r="E1527" s="85">
        <f t="shared" si="103"/>
        <v>2.44</v>
      </c>
    </row>
    <row r="1528" spans="1:5" ht="18" x14ac:dyDescent="0.35">
      <c r="A1528" s="5"/>
      <c r="B1528" s="5"/>
      <c r="C1528" s="54"/>
      <c r="D1528" s="54"/>
      <c r="E1528" s="89">
        <f>SUM(E1520:E1527)</f>
        <v>237.72204000000005</v>
      </c>
    </row>
    <row r="1529" spans="1:5" ht="18" x14ac:dyDescent="0.35">
      <c r="A1529" s="5"/>
      <c r="B1529" s="5"/>
      <c r="C1529" s="54"/>
      <c r="D1529" s="54" t="s">
        <v>1129</v>
      </c>
      <c r="E1529" s="89">
        <f>E1528+E1528*10%</f>
        <v>261.49424400000004</v>
      </c>
    </row>
    <row r="1530" spans="1:5" ht="18" x14ac:dyDescent="0.35">
      <c r="A1530" s="5"/>
      <c r="B1530" s="50" t="s">
        <v>37</v>
      </c>
      <c r="C1530" s="54">
        <v>1</v>
      </c>
      <c r="D1530" s="54">
        <v>65</v>
      </c>
      <c r="E1530" s="85">
        <f>C1530*D1530</f>
        <v>65</v>
      </c>
    </row>
    <row r="1531" spans="1:5" ht="18" x14ac:dyDescent="0.35">
      <c r="A1531" s="5"/>
      <c r="B1531" s="5"/>
      <c r="C1531" s="54"/>
      <c r="D1531" s="54"/>
      <c r="E1531" s="85">
        <v>342</v>
      </c>
    </row>
    <row r="1533" spans="1:5" ht="21" x14ac:dyDescent="0.4">
      <c r="A1533" s="40" t="s">
        <v>599</v>
      </c>
      <c r="B1533" s="40"/>
      <c r="C1533" s="84"/>
    </row>
    <row r="1534" spans="1:5" ht="18" x14ac:dyDescent="0.35">
      <c r="A1534" s="5" t="s">
        <v>40</v>
      </c>
      <c r="B1534" s="5"/>
      <c r="C1534" s="7" t="s">
        <v>28</v>
      </c>
      <c r="D1534" s="7" t="s">
        <v>29</v>
      </c>
      <c r="E1534" s="7" t="s">
        <v>30</v>
      </c>
    </row>
    <row r="1535" spans="1:5" ht="18" x14ac:dyDescent="0.35">
      <c r="A1535" s="5" t="s">
        <v>39</v>
      </c>
      <c r="B1535" s="50" t="s">
        <v>32</v>
      </c>
      <c r="C1535" s="7">
        <v>1.1879999999999999</v>
      </c>
      <c r="D1535" s="7">
        <v>10.34</v>
      </c>
      <c r="E1535" s="85">
        <f t="shared" ref="E1535:E1540" si="104">C1535*D1535</f>
        <v>12.283919999999998</v>
      </c>
    </row>
    <row r="1536" spans="1:5" ht="18" x14ac:dyDescent="0.35">
      <c r="A1536" s="5" t="s">
        <v>747</v>
      </c>
      <c r="B1536" s="50" t="s">
        <v>33</v>
      </c>
      <c r="C1536" s="7">
        <v>1.6379999999999999</v>
      </c>
      <c r="D1536" s="7">
        <v>16.170000000000002</v>
      </c>
      <c r="E1536" s="85">
        <f t="shared" si="104"/>
        <v>26.486460000000001</v>
      </c>
    </row>
    <row r="1537" spans="1:5" ht="18" x14ac:dyDescent="0.35">
      <c r="A1537" s="102" t="s">
        <v>1222</v>
      </c>
      <c r="B1537" s="50" t="s">
        <v>43</v>
      </c>
      <c r="C1537" s="7">
        <v>2</v>
      </c>
      <c r="D1537" s="7">
        <v>1.1499999999999999</v>
      </c>
      <c r="E1537" s="85">
        <f t="shared" si="104"/>
        <v>2.2999999999999998</v>
      </c>
    </row>
    <row r="1538" spans="1:5" ht="18" x14ac:dyDescent="0.35">
      <c r="A1538" s="5"/>
      <c r="B1538" s="50" t="s">
        <v>34</v>
      </c>
      <c r="C1538" s="7"/>
      <c r="D1538" s="7">
        <v>14.61</v>
      </c>
      <c r="E1538" s="85">
        <f t="shared" si="104"/>
        <v>0</v>
      </c>
    </row>
    <row r="1539" spans="1:5" ht="18" x14ac:dyDescent="0.35">
      <c r="A1539" s="5"/>
      <c r="B1539" s="50" t="s">
        <v>35</v>
      </c>
      <c r="C1539" s="7">
        <v>4</v>
      </c>
      <c r="D1539" s="7">
        <v>2.91</v>
      </c>
      <c r="E1539" s="85">
        <f t="shared" si="104"/>
        <v>11.64</v>
      </c>
    </row>
    <row r="1540" spans="1:5" ht="18" x14ac:dyDescent="0.35">
      <c r="A1540" s="5"/>
      <c r="B1540" s="50" t="s">
        <v>36</v>
      </c>
      <c r="C1540" s="7">
        <v>4</v>
      </c>
      <c r="D1540" s="7">
        <v>0.61</v>
      </c>
      <c r="E1540" s="85">
        <f t="shared" si="104"/>
        <v>2.44</v>
      </c>
    </row>
    <row r="1541" spans="1:5" ht="18" x14ac:dyDescent="0.35">
      <c r="A1541" s="5"/>
      <c r="B1541" s="5"/>
      <c r="C1541" s="54"/>
      <c r="D1541" s="54"/>
      <c r="E1541" s="89">
        <f>SUM(E1535:E1540)</f>
        <v>55.150379999999998</v>
      </c>
    </row>
    <row r="1542" spans="1:5" ht="18" x14ac:dyDescent="0.35">
      <c r="A1542" s="5"/>
      <c r="B1542" s="5"/>
      <c r="C1542" s="54"/>
      <c r="D1542" s="54" t="s">
        <v>1158</v>
      </c>
      <c r="E1542" s="89">
        <f>E1541+E1541*10%</f>
        <v>60.665418000000003</v>
      </c>
    </row>
    <row r="1543" spans="1:5" ht="18" x14ac:dyDescent="0.35">
      <c r="A1543" s="5"/>
      <c r="B1543" s="50" t="s">
        <v>37</v>
      </c>
      <c r="C1543" s="54">
        <v>20</v>
      </c>
      <c r="D1543" s="54">
        <v>1.42</v>
      </c>
      <c r="E1543" s="85">
        <f>C1543*D1543</f>
        <v>28.4</v>
      </c>
    </row>
    <row r="1544" spans="1:5" ht="18" x14ac:dyDescent="0.35">
      <c r="A1544" s="5"/>
      <c r="B1544" s="5"/>
      <c r="C1544" s="54"/>
      <c r="D1544" s="54"/>
      <c r="E1544" s="85">
        <f>SUM(E1542:E1543)</f>
        <v>89.065417999999994</v>
      </c>
    </row>
    <row r="1546" spans="1:5" ht="21" x14ac:dyDescent="0.4">
      <c r="A1546" s="40" t="s">
        <v>599</v>
      </c>
      <c r="B1546" s="40"/>
      <c r="C1546" s="84"/>
    </row>
    <row r="1547" spans="1:5" ht="18" x14ac:dyDescent="0.35">
      <c r="A1547" s="5" t="s">
        <v>1477</v>
      </c>
      <c r="B1547" s="5"/>
      <c r="C1547" s="7" t="s">
        <v>28</v>
      </c>
      <c r="D1547" s="7" t="s">
        <v>29</v>
      </c>
      <c r="E1547" s="7" t="s">
        <v>30</v>
      </c>
    </row>
    <row r="1548" spans="1:5" ht="18" x14ac:dyDescent="0.35">
      <c r="A1548" s="5" t="s">
        <v>39</v>
      </c>
      <c r="B1548" s="50" t="s">
        <v>32</v>
      </c>
      <c r="C1548" s="7">
        <v>1.083</v>
      </c>
      <c r="D1548" s="7">
        <v>10.34</v>
      </c>
      <c r="E1548" s="85">
        <f t="shared" ref="E1548:E1553" si="105">C1548*D1548</f>
        <v>11.198219999999999</v>
      </c>
    </row>
    <row r="1549" spans="1:5" ht="18" x14ac:dyDescent="0.35">
      <c r="A1549" s="5" t="s">
        <v>755</v>
      </c>
      <c r="B1549" s="50" t="s">
        <v>33</v>
      </c>
      <c r="C1549" s="7">
        <v>1.4279999999999999</v>
      </c>
      <c r="D1549" s="7">
        <v>16.170000000000002</v>
      </c>
      <c r="E1549" s="85">
        <f t="shared" si="105"/>
        <v>23.090760000000003</v>
      </c>
    </row>
    <row r="1550" spans="1:5" ht="18" x14ac:dyDescent="0.35">
      <c r="A1550" s="102" t="s">
        <v>1222</v>
      </c>
      <c r="B1550" s="50" t="s">
        <v>43</v>
      </c>
      <c r="C1550" s="7">
        <v>2</v>
      </c>
      <c r="D1550" s="7">
        <v>1.1499999999999999</v>
      </c>
      <c r="E1550" s="85">
        <f t="shared" si="105"/>
        <v>2.2999999999999998</v>
      </c>
    </row>
    <row r="1551" spans="1:5" ht="18" x14ac:dyDescent="0.35">
      <c r="A1551" s="5"/>
      <c r="B1551" s="50" t="s">
        <v>34</v>
      </c>
      <c r="C1551" s="7"/>
      <c r="D1551" s="7">
        <v>14.61</v>
      </c>
      <c r="E1551" s="85">
        <f t="shared" si="105"/>
        <v>0</v>
      </c>
    </row>
    <row r="1552" spans="1:5" ht="18" x14ac:dyDescent="0.35">
      <c r="A1552" s="5"/>
      <c r="B1552" s="50" t="s">
        <v>35</v>
      </c>
      <c r="C1552" s="7">
        <v>4</v>
      </c>
      <c r="D1552" s="7">
        <v>2.91</v>
      </c>
      <c r="E1552" s="85">
        <f t="shared" si="105"/>
        <v>11.64</v>
      </c>
    </row>
    <row r="1553" spans="1:5" ht="18" x14ac:dyDescent="0.35">
      <c r="A1553" s="5"/>
      <c r="B1553" s="50" t="s">
        <v>36</v>
      </c>
      <c r="C1553" s="7">
        <v>4</v>
      </c>
      <c r="D1553" s="7">
        <v>0.61</v>
      </c>
      <c r="E1553" s="85">
        <f t="shared" si="105"/>
        <v>2.44</v>
      </c>
    </row>
    <row r="1554" spans="1:5" ht="18" x14ac:dyDescent="0.35">
      <c r="A1554" s="5"/>
      <c r="B1554" s="5"/>
      <c r="C1554" s="54"/>
      <c r="D1554" s="54"/>
      <c r="E1554" s="89">
        <f>SUM(E1548:E1553)</f>
        <v>50.668979999999998</v>
      </c>
    </row>
    <row r="1555" spans="1:5" ht="18" x14ac:dyDescent="0.35">
      <c r="A1555" s="5"/>
      <c r="B1555" s="5"/>
      <c r="C1555" s="54"/>
      <c r="D1555" s="54" t="s">
        <v>1158</v>
      </c>
      <c r="E1555" s="89">
        <f>E1554+E1554*10%</f>
        <v>55.735878</v>
      </c>
    </row>
    <row r="1556" spans="1:5" ht="18" x14ac:dyDescent="0.35">
      <c r="A1556" s="5"/>
      <c r="B1556" s="50" t="s">
        <v>37</v>
      </c>
      <c r="C1556" s="54">
        <v>20</v>
      </c>
      <c r="D1556" s="54">
        <v>1.42</v>
      </c>
      <c r="E1556" s="85">
        <f>C1556*D1556</f>
        <v>28.4</v>
      </c>
    </row>
    <row r="1557" spans="1:5" ht="18" x14ac:dyDescent="0.35">
      <c r="A1557" s="5"/>
      <c r="B1557" s="5"/>
      <c r="C1557" s="54"/>
      <c r="D1557" s="54"/>
      <c r="E1557" s="85">
        <f>SUM(E1555:E1556)</f>
        <v>84.135877999999991</v>
      </c>
    </row>
    <row r="1559" spans="1:5" ht="21" x14ac:dyDescent="0.4">
      <c r="A1559" s="40" t="s">
        <v>599</v>
      </c>
      <c r="B1559" s="40"/>
      <c r="C1559" s="84"/>
    </row>
    <row r="1560" spans="1:5" ht="18" x14ac:dyDescent="0.35">
      <c r="A1560" s="5" t="s">
        <v>1484</v>
      </c>
      <c r="B1560" s="5"/>
      <c r="C1560" s="7" t="s">
        <v>28</v>
      </c>
      <c r="D1560" s="7" t="s">
        <v>29</v>
      </c>
      <c r="E1560" s="7" t="s">
        <v>30</v>
      </c>
    </row>
    <row r="1561" spans="1:5" ht="18" x14ac:dyDescent="0.35">
      <c r="A1561" s="5" t="s">
        <v>52</v>
      </c>
      <c r="B1561" s="50" t="s">
        <v>32</v>
      </c>
      <c r="C1561" s="7">
        <v>1.629</v>
      </c>
      <c r="D1561" s="7">
        <v>10.34</v>
      </c>
      <c r="E1561" s="85">
        <f t="shared" ref="E1561:E1566" si="106">C1561*D1561</f>
        <v>16.843859999999999</v>
      </c>
    </row>
    <row r="1562" spans="1:5" ht="18" x14ac:dyDescent="0.35">
      <c r="A1562" s="5" t="s">
        <v>746</v>
      </c>
      <c r="B1562" s="50" t="s">
        <v>33</v>
      </c>
      <c r="C1562" s="7">
        <v>4.9139999999999997</v>
      </c>
      <c r="D1562" s="7">
        <v>16.170000000000002</v>
      </c>
      <c r="E1562" s="85">
        <f t="shared" si="106"/>
        <v>79.45938000000001</v>
      </c>
    </row>
    <row r="1563" spans="1:5" ht="18" x14ac:dyDescent="0.35">
      <c r="A1563" s="102" t="s">
        <v>1222</v>
      </c>
      <c r="B1563" s="50" t="s">
        <v>97</v>
      </c>
      <c r="C1563" s="7">
        <v>2</v>
      </c>
      <c r="D1563" s="7">
        <v>1.48</v>
      </c>
      <c r="E1563" s="85">
        <f t="shared" si="106"/>
        <v>2.96</v>
      </c>
    </row>
    <row r="1564" spans="1:5" ht="18" x14ac:dyDescent="0.35">
      <c r="A1564" s="5"/>
      <c r="B1564" s="50" t="s">
        <v>34</v>
      </c>
      <c r="C1564" s="7"/>
      <c r="D1564" s="7">
        <v>14.61</v>
      </c>
      <c r="E1564" s="85">
        <f t="shared" si="106"/>
        <v>0</v>
      </c>
    </row>
    <row r="1565" spans="1:5" ht="18" x14ac:dyDescent="0.35">
      <c r="A1565" s="5"/>
      <c r="B1565" s="50" t="s">
        <v>35</v>
      </c>
      <c r="C1565" s="7">
        <v>4</v>
      </c>
      <c r="D1565" s="7">
        <v>2.91</v>
      </c>
      <c r="E1565" s="85">
        <f t="shared" si="106"/>
        <v>11.64</v>
      </c>
    </row>
    <row r="1566" spans="1:5" ht="18" x14ac:dyDescent="0.35">
      <c r="A1566" s="5"/>
      <c r="B1566" s="50" t="s">
        <v>36</v>
      </c>
      <c r="C1566" s="7">
        <v>4</v>
      </c>
      <c r="D1566" s="7">
        <v>0.61</v>
      </c>
      <c r="E1566" s="85">
        <f t="shared" si="106"/>
        <v>2.44</v>
      </c>
    </row>
    <row r="1567" spans="1:5" ht="18" x14ac:dyDescent="0.35">
      <c r="A1567" s="5"/>
      <c r="B1567" s="5"/>
      <c r="C1567" s="54"/>
      <c r="D1567" s="54"/>
      <c r="E1567" s="89">
        <f>SUM(E1561:E1566)</f>
        <v>113.34324000000001</v>
      </c>
    </row>
    <row r="1568" spans="1:5" ht="18" x14ac:dyDescent="0.35">
      <c r="A1568" s="5"/>
      <c r="B1568" s="5"/>
      <c r="C1568" s="54"/>
      <c r="D1568" s="54" t="s">
        <v>1158</v>
      </c>
      <c r="E1568" s="89">
        <f>E1567+E1567*10%</f>
        <v>124.67756400000002</v>
      </c>
    </row>
    <row r="1569" spans="1:5" ht="18" x14ac:dyDescent="0.35">
      <c r="A1569" s="5"/>
      <c r="B1569" s="50" t="s">
        <v>37</v>
      </c>
      <c r="C1569" s="54">
        <v>20</v>
      </c>
      <c r="D1569" s="54">
        <v>1.42</v>
      </c>
      <c r="E1569" s="85">
        <f>C1569*D1569</f>
        <v>28.4</v>
      </c>
    </row>
    <row r="1570" spans="1:5" ht="18" x14ac:dyDescent="0.35">
      <c r="A1570" s="5"/>
      <c r="B1570" s="5"/>
      <c r="C1570" s="54"/>
      <c r="D1570" s="54"/>
      <c r="E1570" s="85">
        <f>SUM(E1568:E1569)</f>
        <v>153.07756400000002</v>
      </c>
    </row>
    <row r="1572" spans="1:5" ht="21" x14ac:dyDescent="0.4">
      <c r="A1572" s="40" t="s">
        <v>599</v>
      </c>
      <c r="B1572" s="40"/>
      <c r="C1572" s="84"/>
    </row>
    <row r="1573" spans="1:5" ht="18" x14ac:dyDescent="0.35">
      <c r="A1573" s="5" t="s">
        <v>1492</v>
      </c>
      <c r="B1573" s="5"/>
      <c r="C1573" s="7" t="s">
        <v>28</v>
      </c>
      <c r="D1573" s="7" t="s">
        <v>29</v>
      </c>
      <c r="E1573" s="7" t="s">
        <v>30</v>
      </c>
    </row>
    <row r="1574" spans="1:5" ht="18" x14ac:dyDescent="0.35">
      <c r="A1574" s="5" t="s">
        <v>263</v>
      </c>
      <c r="B1574" s="50" t="s">
        <v>32</v>
      </c>
      <c r="C1574" s="7">
        <v>1.042</v>
      </c>
      <c r="D1574" s="7">
        <v>11.37</v>
      </c>
      <c r="E1574" s="85">
        <f t="shared" ref="E1574:E1579" si="107">C1574*D1574</f>
        <v>11.84754</v>
      </c>
    </row>
    <row r="1575" spans="1:5" ht="18" x14ac:dyDescent="0.35">
      <c r="A1575" s="5" t="s">
        <v>746</v>
      </c>
      <c r="B1575" s="50" t="s">
        <v>33</v>
      </c>
      <c r="C1575" s="7">
        <v>1.911</v>
      </c>
      <c r="D1575" s="7">
        <v>14.94</v>
      </c>
      <c r="E1575" s="85">
        <f t="shared" si="107"/>
        <v>28.550339999999998</v>
      </c>
    </row>
    <row r="1576" spans="1:5" ht="18" x14ac:dyDescent="0.35">
      <c r="A1576" s="102" t="s">
        <v>1222</v>
      </c>
      <c r="B1576" s="50" t="s">
        <v>97</v>
      </c>
      <c r="C1576" s="7">
        <v>2</v>
      </c>
      <c r="D1576" s="7">
        <v>1.1499999999999999</v>
      </c>
      <c r="E1576" s="85">
        <f t="shared" si="107"/>
        <v>2.2999999999999998</v>
      </c>
    </row>
    <row r="1577" spans="1:5" ht="18" x14ac:dyDescent="0.35">
      <c r="A1577" s="5"/>
      <c r="B1577" s="50" t="s">
        <v>34</v>
      </c>
      <c r="C1577" s="7"/>
      <c r="D1577" s="7">
        <v>14.61</v>
      </c>
      <c r="E1577" s="85">
        <f t="shared" si="107"/>
        <v>0</v>
      </c>
    </row>
    <row r="1578" spans="1:5" ht="18" x14ac:dyDescent="0.35">
      <c r="A1578" s="5"/>
      <c r="B1578" s="50" t="s">
        <v>35</v>
      </c>
      <c r="C1578" s="7">
        <v>4</v>
      </c>
      <c r="D1578" s="7">
        <v>2.91</v>
      </c>
      <c r="E1578" s="85">
        <f t="shared" si="107"/>
        <v>11.64</v>
      </c>
    </row>
    <row r="1579" spans="1:5" ht="18" x14ac:dyDescent="0.35">
      <c r="A1579" s="5"/>
      <c r="B1579" s="50" t="s">
        <v>36</v>
      </c>
      <c r="C1579" s="7">
        <v>4</v>
      </c>
      <c r="D1579" s="7">
        <v>0.61</v>
      </c>
      <c r="E1579" s="85">
        <f t="shared" si="107"/>
        <v>2.44</v>
      </c>
    </row>
    <row r="1580" spans="1:5" ht="18" x14ac:dyDescent="0.35">
      <c r="A1580" s="5"/>
      <c r="B1580" s="5"/>
      <c r="C1580" s="54"/>
      <c r="D1580" s="54"/>
      <c r="E1580" s="89">
        <f>SUM(E1574:E1579)</f>
        <v>56.777879999999996</v>
      </c>
    </row>
    <row r="1581" spans="1:5" ht="18" x14ac:dyDescent="0.35">
      <c r="A1581" s="5"/>
      <c r="B1581" s="5"/>
      <c r="C1581" s="54"/>
      <c r="D1581" s="54" t="s">
        <v>1158</v>
      </c>
      <c r="E1581" s="89">
        <f>E1580+E1580*10%</f>
        <v>62.455667999999996</v>
      </c>
    </row>
    <row r="1582" spans="1:5" ht="18" x14ac:dyDescent="0.35">
      <c r="A1582" s="5"/>
      <c r="B1582" s="50" t="s">
        <v>37</v>
      </c>
      <c r="C1582" s="54">
        <v>20</v>
      </c>
      <c r="D1582" s="54">
        <v>1.42</v>
      </c>
      <c r="E1582" s="85">
        <f>C1582*D1582</f>
        <v>28.4</v>
      </c>
    </row>
    <row r="1583" spans="1:5" ht="18" x14ac:dyDescent="0.35">
      <c r="A1583" s="5"/>
      <c r="B1583" s="5"/>
      <c r="C1583" s="54"/>
      <c r="D1583" s="54"/>
      <c r="E1583" s="85">
        <f>SUM(E1581:E1582)</f>
        <v>90.855667999999994</v>
      </c>
    </row>
    <row r="1585" spans="1:5" ht="21" x14ac:dyDescent="0.4">
      <c r="A1585" s="40" t="s">
        <v>599</v>
      </c>
      <c r="B1585" s="40"/>
      <c r="C1585" s="84"/>
    </row>
    <row r="1586" spans="1:5" ht="18" x14ac:dyDescent="0.35">
      <c r="A1586" s="5" t="s">
        <v>1493</v>
      </c>
      <c r="B1586" s="5"/>
      <c r="C1586" s="7" t="s">
        <v>28</v>
      </c>
      <c r="D1586" s="7" t="s">
        <v>29</v>
      </c>
      <c r="E1586" s="7" t="s">
        <v>30</v>
      </c>
    </row>
    <row r="1587" spans="1:5" ht="18" x14ac:dyDescent="0.35">
      <c r="A1587" s="5" t="s">
        <v>52</v>
      </c>
      <c r="B1587" s="50" t="s">
        <v>32</v>
      </c>
      <c r="C1587" s="7">
        <v>1.1259999999999999</v>
      </c>
      <c r="D1587" s="7">
        <v>11.37</v>
      </c>
      <c r="E1587" s="85">
        <f t="shared" ref="E1587:E1592" si="108">C1587*D1587</f>
        <v>12.802619999999997</v>
      </c>
    </row>
    <row r="1588" spans="1:5" ht="18" x14ac:dyDescent="0.35">
      <c r="A1588" s="5" t="s">
        <v>746</v>
      </c>
      <c r="B1588" s="50" t="s">
        <v>33</v>
      </c>
      <c r="C1588" s="7">
        <v>2.5510000000000002</v>
      </c>
      <c r="D1588" s="7">
        <v>14.94</v>
      </c>
      <c r="E1588" s="85">
        <f t="shared" si="108"/>
        <v>38.111940000000004</v>
      </c>
    </row>
    <row r="1589" spans="1:5" ht="18" x14ac:dyDescent="0.35">
      <c r="A1589" s="102" t="s">
        <v>1222</v>
      </c>
      <c r="B1589" s="50" t="s">
        <v>97</v>
      </c>
      <c r="C1589" s="7">
        <v>2</v>
      </c>
      <c r="D1589" s="7">
        <v>1.48</v>
      </c>
      <c r="E1589" s="85">
        <f t="shared" si="108"/>
        <v>2.96</v>
      </c>
    </row>
    <row r="1590" spans="1:5" ht="18" x14ac:dyDescent="0.35">
      <c r="A1590" s="5"/>
      <c r="B1590" s="50" t="s">
        <v>34</v>
      </c>
      <c r="C1590" s="7"/>
      <c r="D1590" s="7">
        <v>14.61</v>
      </c>
      <c r="E1590" s="85">
        <f t="shared" si="108"/>
        <v>0</v>
      </c>
    </row>
    <row r="1591" spans="1:5" ht="18" x14ac:dyDescent="0.35">
      <c r="A1591" s="5"/>
      <c r="B1591" s="50" t="s">
        <v>35</v>
      </c>
      <c r="C1591" s="7">
        <v>4</v>
      </c>
      <c r="D1591" s="7">
        <v>2.91</v>
      </c>
      <c r="E1591" s="85">
        <f t="shared" si="108"/>
        <v>11.64</v>
      </c>
    </row>
    <row r="1592" spans="1:5" ht="18" x14ac:dyDescent="0.35">
      <c r="A1592" s="5"/>
      <c r="B1592" s="50" t="s">
        <v>36</v>
      </c>
      <c r="C1592" s="7">
        <v>4</v>
      </c>
      <c r="D1592" s="7">
        <v>0.61</v>
      </c>
      <c r="E1592" s="85">
        <f t="shared" si="108"/>
        <v>2.44</v>
      </c>
    </row>
    <row r="1593" spans="1:5" ht="18" x14ac:dyDescent="0.35">
      <c r="A1593" s="5"/>
      <c r="B1593" s="5"/>
      <c r="C1593" s="54"/>
      <c r="D1593" s="54"/>
      <c r="E1593" s="89">
        <f>SUM(E1587:E1592)</f>
        <v>67.954560000000001</v>
      </c>
    </row>
    <row r="1594" spans="1:5" ht="18" x14ac:dyDescent="0.35">
      <c r="A1594" s="5"/>
      <c r="B1594" s="5"/>
      <c r="C1594" s="54"/>
      <c r="D1594" s="54" t="s">
        <v>1158</v>
      </c>
      <c r="E1594" s="89">
        <f>E1593+E1593*10%</f>
        <v>74.750016000000002</v>
      </c>
    </row>
    <row r="1595" spans="1:5" ht="18" x14ac:dyDescent="0.35">
      <c r="A1595" s="5"/>
      <c r="B1595" s="50" t="s">
        <v>37</v>
      </c>
      <c r="C1595" s="54">
        <v>20</v>
      </c>
      <c r="D1595" s="54">
        <v>1.42</v>
      </c>
      <c r="E1595" s="85">
        <f>C1595*D1595</f>
        <v>28.4</v>
      </c>
    </row>
    <row r="1596" spans="1:5" ht="18" x14ac:dyDescent="0.35">
      <c r="A1596" s="5"/>
      <c r="B1596" s="5"/>
      <c r="C1596" s="54"/>
      <c r="D1596" s="54"/>
      <c r="E1596" s="85">
        <f>SUM(E1594:E1595)</f>
        <v>103.15001599999999</v>
      </c>
    </row>
    <row r="1598" spans="1:5" ht="21" x14ac:dyDescent="0.4">
      <c r="A1598" s="40" t="s">
        <v>599</v>
      </c>
      <c r="B1598" s="40"/>
      <c r="C1598" s="84"/>
    </row>
    <row r="1599" spans="1:5" ht="18" x14ac:dyDescent="0.35">
      <c r="A1599" s="5" t="s">
        <v>45</v>
      </c>
      <c r="B1599" s="5"/>
      <c r="C1599" s="7" t="s">
        <v>28</v>
      </c>
      <c r="D1599" s="7" t="s">
        <v>29</v>
      </c>
      <c r="E1599" s="7" t="s">
        <v>30</v>
      </c>
    </row>
    <row r="1600" spans="1:5" ht="18" x14ac:dyDescent="0.35">
      <c r="A1600" s="5" t="s">
        <v>39</v>
      </c>
      <c r="B1600" s="50" t="s">
        <v>32</v>
      </c>
      <c r="C1600" s="7">
        <v>1.8180000000000001</v>
      </c>
      <c r="D1600" s="7">
        <v>11.37</v>
      </c>
      <c r="E1600" s="85">
        <f t="shared" ref="E1600:E1605" si="109">C1600*D1600</f>
        <v>20.670659999999998</v>
      </c>
    </row>
    <row r="1601" spans="1:5" ht="18" x14ac:dyDescent="0.35">
      <c r="A1601" s="5" t="s">
        <v>959</v>
      </c>
      <c r="B1601" s="50" t="s">
        <v>33</v>
      </c>
      <c r="C1601" s="7">
        <v>2.8980000000000001</v>
      </c>
      <c r="D1601" s="7">
        <v>14.94</v>
      </c>
      <c r="E1601" s="85">
        <f t="shared" si="109"/>
        <v>43.296120000000002</v>
      </c>
    </row>
    <row r="1602" spans="1:5" ht="18" x14ac:dyDescent="0.35">
      <c r="A1602" s="102" t="s">
        <v>1222</v>
      </c>
      <c r="B1602" s="50" t="s">
        <v>43</v>
      </c>
      <c r="C1602" s="7">
        <v>2</v>
      </c>
      <c r="D1602" s="7">
        <v>1.1499999999999999</v>
      </c>
      <c r="E1602" s="85">
        <f t="shared" si="109"/>
        <v>2.2999999999999998</v>
      </c>
    </row>
    <row r="1603" spans="1:5" ht="18" x14ac:dyDescent="0.35">
      <c r="A1603" s="5"/>
      <c r="B1603" s="50" t="s">
        <v>34</v>
      </c>
      <c r="C1603" s="7">
        <v>0.11</v>
      </c>
      <c r="D1603" s="7">
        <v>14.61</v>
      </c>
      <c r="E1603" s="85">
        <f t="shared" si="109"/>
        <v>1.6071</v>
      </c>
    </row>
    <row r="1604" spans="1:5" ht="18" x14ac:dyDescent="0.35">
      <c r="A1604" s="5"/>
      <c r="B1604" s="50" t="s">
        <v>35</v>
      </c>
      <c r="C1604" s="7">
        <v>4</v>
      </c>
      <c r="D1604" s="7">
        <v>2.91</v>
      </c>
      <c r="E1604" s="85">
        <f t="shared" si="109"/>
        <v>11.64</v>
      </c>
    </row>
    <row r="1605" spans="1:5" ht="18" x14ac:dyDescent="0.35">
      <c r="A1605" s="5"/>
      <c r="B1605" s="50" t="s">
        <v>36</v>
      </c>
      <c r="C1605" s="7">
        <v>4</v>
      </c>
      <c r="D1605" s="7">
        <v>0.61</v>
      </c>
      <c r="E1605" s="85">
        <f t="shared" si="109"/>
        <v>2.44</v>
      </c>
    </row>
    <row r="1606" spans="1:5" ht="18" x14ac:dyDescent="0.35">
      <c r="A1606" s="5"/>
      <c r="B1606" s="5"/>
      <c r="C1606" s="54"/>
      <c r="D1606" s="54"/>
      <c r="E1606" s="89">
        <f>SUM(E1600:E1605)</f>
        <v>81.953879999999998</v>
      </c>
    </row>
    <row r="1607" spans="1:5" ht="18" x14ac:dyDescent="0.35">
      <c r="A1607" s="5"/>
      <c r="B1607" s="5"/>
      <c r="C1607" s="54"/>
      <c r="D1607" s="54" t="s">
        <v>1158</v>
      </c>
      <c r="E1607" s="89">
        <f>E1606+E1606*10%</f>
        <v>90.149267999999992</v>
      </c>
    </row>
    <row r="1608" spans="1:5" ht="18" x14ac:dyDescent="0.35">
      <c r="A1608" s="5"/>
      <c r="B1608" s="50" t="s">
        <v>37</v>
      </c>
      <c r="C1608" s="54">
        <v>20</v>
      </c>
      <c r="D1608" s="54">
        <v>1.42</v>
      </c>
      <c r="E1608" s="85">
        <f>C1608*D1608</f>
        <v>28.4</v>
      </c>
    </row>
    <row r="1609" spans="1:5" ht="18" x14ac:dyDescent="0.35">
      <c r="A1609" s="5"/>
      <c r="B1609" s="5"/>
      <c r="C1609" s="54"/>
      <c r="D1609" s="54"/>
      <c r="E1609" s="85">
        <f>SUM(E1607:E1608)</f>
        <v>118.54926799999998</v>
      </c>
    </row>
    <row r="1611" spans="1:5" ht="21" x14ac:dyDescent="0.4">
      <c r="A1611" s="40" t="s">
        <v>599</v>
      </c>
      <c r="B1611" s="40"/>
      <c r="C1611" s="84"/>
    </row>
    <row r="1612" spans="1:5" ht="18" x14ac:dyDescent="0.35">
      <c r="A1612" s="5" t="s">
        <v>1511</v>
      </c>
      <c r="B1612" s="5"/>
      <c r="C1612" s="7" t="s">
        <v>28</v>
      </c>
      <c r="D1612" s="7" t="s">
        <v>29</v>
      </c>
      <c r="E1612" s="7" t="s">
        <v>30</v>
      </c>
    </row>
    <row r="1613" spans="1:5" ht="18" x14ac:dyDescent="0.35">
      <c r="A1613" s="5" t="s">
        <v>246</v>
      </c>
      <c r="B1613" s="50" t="s">
        <v>32</v>
      </c>
      <c r="C1613" s="7">
        <v>1.44</v>
      </c>
      <c r="D1613" s="7">
        <v>11.37</v>
      </c>
      <c r="E1613" s="85">
        <f t="shared" ref="E1613:E1618" si="110">C1613*D1613</f>
        <v>16.372799999999998</v>
      </c>
    </row>
    <row r="1614" spans="1:5" ht="18" x14ac:dyDescent="0.35">
      <c r="A1614" s="5" t="s">
        <v>952</v>
      </c>
      <c r="B1614" s="50" t="s">
        <v>33</v>
      </c>
      <c r="C1614" s="7">
        <v>0.59799999999999998</v>
      </c>
      <c r="D1614" s="7">
        <v>14.94</v>
      </c>
      <c r="E1614" s="85">
        <f t="shared" si="110"/>
        <v>8.9341200000000001</v>
      </c>
    </row>
    <row r="1615" spans="1:5" ht="18" x14ac:dyDescent="0.35">
      <c r="A1615" s="102" t="s">
        <v>1222</v>
      </c>
      <c r="B1615" s="50" t="s">
        <v>43</v>
      </c>
      <c r="C1615" s="7">
        <v>2</v>
      </c>
      <c r="D1615" s="7">
        <v>1.1499999999999999</v>
      </c>
      <c r="E1615" s="85">
        <f t="shared" si="110"/>
        <v>2.2999999999999998</v>
      </c>
    </row>
    <row r="1616" spans="1:5" ht="18" x14ac:dyDescent="0.35">
      <c r="A1616" s="5"/>
      <c r="B1616" s="50" t="s">
        <v>34</v>
      </c>
      <c r="C1616" s="7"/>
      <c r="D1616" s="7">
        <v>14.61</v>
      </c>
      <c r="E1616" s="85">
        <f t="shared" si="110"/>
        <v>0</v>
      </c>
    </row>
    <row r="1617" spans="1:5" ht="18" x14ac:dyDescent="0.35">
      <c r="A1617" s="5"/>
      <c r="B1617" s="50" t="s">
        <v>35</v>
      </c>
      <c r="C1617" s="7">
        <v>4</v>
      </c>
      <c r="D1617" s="7">
        <v>2.91</v>
      </c>
      <c r="E1617" s="85">
        <f t="shared" si="110"/>
        <v>11.64</v>
      </c>
    </row>
    <row r="1618" spans="1:5" ht="18" x14ac:dyDescent="0.35">
      <c r="A1618" s="5"/>
      <c r="B1618" s="50" t="s">
        <v>36</v>
      </c>
      <c r="C1618" s="7">
        <v>4</v>
      </c>
      <c r="D1618" s="7">
        <v>0.61</v>
      </c>
      <c r="E1618" s="85">
        <f t="shared" si="110"/>
        <v>2.44</v>
      </c>
    </row>
    <row r="1619" spans="1:5" ht="18" x14ac:dyDescent="0.35">
      <c r="A1619" s="5"/>
      <c r="B1619" s="5"/>
      <c r="C1619" s="54"/>
      <c r="D1619" s="54"/>
      <c r="E1619" s="89">
        <f>SUM(E1613:E1618)</f>
        <v>41.686920000000001</v>
      </c>
    </row>
    <row r="1620" spans="1:5" ht="18" x14ac:dyDescent="0.35">
      <c r="A1620" s="5"/>
      <c r="B1620" s="5"/>
      <c r="C1620" s="54"/>
      <c r="D1620" s="54" t="s">
        <v>1158</v>
      </c>
      <c r="E1620" s="89">
        <f>E1619+E1619*10%</f>
        <v>45.855612000000001</v>
      </c>
    </row>
    <row r="1621" spans="1:5" ht="18" x14ac:dyDescent="0.35">
      <c r="A1621" s="5"/>
      <c r="B1621" s="50" t="s">
        <v>37</v>
      </c>
      <c r="C1621" s="54">
        <v>20</v>
      </c>
      <c r="D1621" s="54">
        <v>1.42</v>
      </c>
      <c r="E1621" s="85">
        <f>C1621*D1621</f>
        <v>28.4</v>
      </c>
    </row>
    <row r="1622" spans="1:5" ht="18" x14ac:dyDescent="0.35">
      <c r="A1622" s="5"/>
      <c r="B1622" s="5"/>
      <c r="C1622" s="54"/>
      <c r="D1622" s="54"/>
      <c r="E1622" s="85">
        <f>SUM(E1620:E1621)</f>
        <v>74.255611999999999</v>
      </c>
    </row>
    <row r="1624" spans="1:5" ht="21" x14ac:dyDescent="0.4">
      <c r="A1624" s="40" t="s">
        <v>827</v>
      </c>
      <c r="B1624" s="40"/>
      <c r="C1624" s="84"/>
    </row>
    <row r="1625" spans="1:5" ht="18" x14ac:dyDescent="0.35">
      <c r="A1625" s="5" t="s">
        <v>1535</v>
      </c>
      <c r="B1625" s="5"/>
      <c r="C1625" s="7" t="s">
        <v>28</v>
      </c>
      <c r="D1625" s="7" t="s">
        <v>29</v>
      </c>
      <c r="E1625" s="7" t="s">
        <v>30</v>
      </c>
    </row>
    <row r="1626" spans="1:5" ht="18" x14ac:dyDescent="0.35">
      <c r="A1626" s="5" t="s">
        <v>52</v>
      </c>
      <c r="B1626" s="50" t="s">
        <v>32</v>
      </c>
      <c r="C1626" s="7">
        <v>1.377</v>
      </c>
      <c r="D1626" s="7">
        <v>11.37</v>
      </c>
      <c r="E1626" s="85">
        <f t="shared" ref="E1626:E1631" si="111">C1626*D1626</f>
        <v>15.65649</v>
      </c>
    </row>
    <row r="1627" spans="1:5" ht="18" x14ac:dyDescent="0.35">
      <c r="A1627" s="5" t="s">
        <v>747</v>
      </c>
      <c r="B1627" s="50" t="s">
        <v>33</v>
      </c>
      <c r="C1627" s="7">
        <v>3.78</v>
      </c>
      <c r="D1627" s="7">
        <v>14.94</v>
      </c>
      <c r="E1627" s="85">
        <f t="shared" si="111"/>
        <v>56.473199999999999</v>
      </c>
    </row>
    <row r="1628" spans="1:5" ht="18" x14ac:dyDescent="0.35">
      <c r="A1628" s="102" t="s">
        <v>1222</v>
      </c>
      <c r="B1628" s="50" t="s">
        <v>1536</v>
      </c>
      <c r="C1628" s="7">
        <v>2</v>
      </c>
      <c r="D1628" s="7">
        <v>1.48</v>
      </c>
      <c r="E1628" s="85">
        <f t="shared" si="111"/>
        <v>2.96</v>
      </c>
    </row>
    <row r="1629" spans="1:5" ht="18" x14ac:dyDescent="0.35">
      <c r="A1629" s="5"/>
      <c r="B1629" s="50" t="s">
        <v>34</v>
      </c>
      <c r="C1629" s="7"/>
      <c r="D1629" s="7">
        <v>14.61</v>
      </c>
      <c r="E1629" s="85">
        <f t="shared" si="111"/>
        <v>0</v>
      </c>
    </row>
    <row r="1630" spans="1:5" ht="18" x14ac:dyDescent="0.35">
      <c r="A1630" s="5"/>
      <c r="B1630" s="50" t="s">
        <v>35</v>
      </c>
      <c r="C1630" s="7">
        <v>4</v>
      </c>
      <c r="D1630" s="7">
        <v>2.91</v>
      </c>
      <c r="E1630" s="85">
        <f t="shared" si="111"/>
        <v>11.64</v>
      </c>
    </row>
    <row r="1631" spans="1:5" ht="18" x14ac:dyDescent="0.35">
      <c r="A1631" s="5"/>
      <c r="B1631" s="50" t="s">
        <v>36</v>
      </c>
      <c r="C1631" s="7">
        <v>4</v>
      </c>
      <c r="D1631" s="7">
        <v>0.61</v>
      </c>
      <c r="E1631" s="85">
        <f t="shared" si="111"/>
        <v>2.44</v>
      </c>
    </row>
    <row r="1632" spans="1:5" ht="18" x14ac:dyDescent="0.35">
      <c r="A1632" s="5"/>
      <c r="B1632" s="5"/>
      <c r="C1632" s="54"/>
      <c r="D1632" s="54"/>
      <c r="E1632" s="89">
        <f>SUM(E1626:E1631)</f>
        <v>89.169689999999989</v>
      </c>
    </row>
    <row r="1633" spans="1:5" ht="18" x14ac:dyDescent="0.35">
      <c r="A1633" s="5"/>
      <c r="B1633" s="5"/>
      <c r="C1633" s="54"/>
      <c r="D1633" s="54" t="s">
        <v>1158</v>
      </c>
      <c r="E1633" s="89">
        <f>E1632+E1632*10%</f>
        <v>98.086658999999983</v>
      </c>
    </row>
    <row r="1634" spans="1:5" ht="18" x14ac:dyDescent="0.35">
      <c r="A1634" s="5"/>
      <c r="B1634" s="50" t="s">
        <v>37</v>
      </c>
      <c r="C1634" s="54">
        <v>20</v>
      </c>
      <c r="D1634" s="54">
        <v>1.42</v>
      </c>
      <c r="E1634" s="85">
        <f>C1634*D1634</f>
        <v>28.4</v>
      </c>
    </row>
    <row r="1635" spans="1:5" ht="18" x14ac:dyDescent="0.35">
      <c r="A1635" s="5"/>
      <c r="B1635" s="5"/>
      <c r="C1635" s="54"/>
      <c r="D1635" s="54"/>
      <c r="E1635" s="85">
        <f>SUM(E1633:E1634)</f>
        <v>126.48665899999997</v>
      </c>
    </row>
    <row r="1637" spans="1:5" ht="21" x14ac:dyDescent="0.4">
      <c r="A1637" s="40" t="s">
        <v>599</v>
      </c>
      <c r="B1637" s="40"/>
      <c r="C1637" s="84"/>
    </row>
    <row r="1638" spans="1:5" ht="18" x14ac:dyDescent="0.35">
      <c r="A1638" s="5" t="s">
        <v>1541</v>
      </c>
      <c r="B1638" s="5"/>
      <c r="C1638" s="7" t="s">
        <v>28</v>
      </c>
      <c r="D1638" s="7" t="s">
        <v>29</v>
      </c>
      <c r="E1638" s="7" t="s">
        <v>30</v>
      </c>
    </row>
    <row r="1639" spans="1:5" ht="18" x14ac:dyDescent="0.35">
      <c r="A1639" s="5" t="s">
        <v>201</v>
      </c>
      <c r="B1639" s="50" t="s">
        <v>32</v>
      </c>
      <c r="C1639" s="7">
        <v>1.0840000000000001</v>
      </c>
      <c r="D1639" s="7">
        <v>11.37</v>
      </c>
      <c r="E1639" s="85">
        <f t="shared" ref="E1639:E1644" si="112">C1639*D1639</f>
        <v>12.32508</v>
      </c>
    </row>
    <row r="1640" spans="1:5" ht="18" x14ac:dyDescent="0.35">
      <c r="A1640" s="5" t="s">
        <v>754</v>
      </c>
      <c r="B1640" s="50" t="s">
        <v>33</v>
      </c>
      <c r="C1640" s="7">
        <v>0.81899999999999995</v>
      </c>
      <c r="D1640" s="7">
        <v>14.94</v>
      </c>
      <c r="E1640" s="85">
        <f t="shared" si="112"/>
        <v>12.235859999999999</v>
      </c>
    </row>
    <row r="1641" spans="1:5" ht="18" x14ac:dyDescent="0.35">
      <c r="A1641" s="102" t="s">
        <v>1222</v>
      </c>
      <c r="B1641" s="50" t="s">
        <v>43</v>
      </c>
      <c r="C1641" s="7">
        <v>2</v>
      </c>
      <c r="D1641" s="7">
        <v>1.1499999999999999</v>
      </c>
      <c r="E1641" s="85">
        <f t="shared" si="112"/>
        <v>2.2999999999999998</v>
      </c>
    </row>
    <row r="1642" spans="1:5" ht="18" x14ac:dyDescent="0.35">
      <c r="A1642" s="5"/>
      <c r="B1642" s="50" t="s">
        <v>34</v>
      </c>
      <c r="C1642" s="7"/>
      <c r="D1642" s="7">
        <v>14.61</v>
      </c>
      <c r="E1642" s="85">
        <f t="shared" si="112"/>
        <v>0</v>
      </c>
    </row>
    <row r="1643" spans="1:5" ht="18" x14ac:dyDescent="0.35">
      <c r="A1643" s="5"/>
      <c r="B1643" s="50" t="s">
        <v>35</v>
      </c>
      <c r="C1643" s="7">
        <v>4</v>
      </c>
      <c r="D1643" s="7">
        <v>2.91</v>
      </c>
      <c r="E1643" s="85">
        <f t="shared" si="112"/>
        <v>11.64</v>
      </c>
    </row>
    <row r="1644" spans="1:5" ht="18" x14ac:dyDescent="0.35">
      <c r="A1644" s="5"/>
      <c r="B1644" s="50" t="s">
        <v>36</v>
      </c>
      <c r="C1644" s="7">
        <v>4</v>
      </c>
      <c r="D1644" s="7">
        <v>0.61</v>
      </c>
      <c r="E1644" s="85">
        <f t="shared" si="112"/>
        <v>2.44</v>
      </c>
    </row>
    <row r="1645" spans="1:5" ht="18" x14ac:dyDescent="0.35">
      <c r="A1645" s="5"/>
      <c r="B1645" s="5"/>
      <c r="C1645" s="54"/>
      <c r="D1645" s="54"/>
      <c r="E1645" s="89">
        <f>SUM(E1639:E1644)</f>
        <v>40.940939999999998</v>
      </c>
    </row>
    <row r="1646" spans="1:5" ht="18" x14ac:dyDescent="0.35">
      <c r="A1646" s="5"/>
      <c r="B1646" s="5"/>
      <c r="C1646" s="54"/>
      <c r="D1646" s="54" t="s">
        <v>1158</v>
      </c>
      <c r="E1646" s="89">
        <f>E1645+E1645*10%</f>
        <v>45.035033999999996</v>
      </c>
    </row>
    <row r="1647" spans="1:5" ht="18" x14ac:dyDescent="0.35">
      <c r="A1647" s="5"/>
      <c r="B1647" s="50" t="s">
        <v>37</v>
      </c>
      <c r="C1647" s="54">
        <v>20</v>
      </c>
      <c r="D1647" s="54">
        <v>1.42</v>
      </c>
      <c r="E1647" s="85">
        <f>C1647*D1647</f>
        <v>28.4</v>
      </c>
    </row>
    <row r="1648" spans="1:5" ht="18" x14ac:dyDescent="0.35">
      <c r="A1648" s="5"/>
      <c r="B1648" s="5"/>
      <c r="C1648" s="54"/>
      <c r="D1648" s="54"/>
      <c r="E1648" s="85">
        <f>SUM(E1646:E1647)</f>
        <v>73.435034000000002</v>
      </c>
    </row>
    <row r="1650" spans="1:5" ht="21" x14ac:dyDescent="0.4">
      <c r="A1650" s="40" t="s">
        <v>1542</v>
      </c>
      <c r="B1650" s="40"/>
      <c r="C1650" s="84"/>
    </row>
    <row r="1651" spans="1:5" ht="18" x14ac:dyDescent="0.35">
      <c r="B1651" s="5"/>
      <c r="C1651" s="7" t="s">
        <v>28</v>
      </c>
      <c r="D1651" s="7" t="s">
        <v>29</v>
      </c>
      <c r="E1651" s="7" t="s">
        <v>30</v>
      </c>
    </row>
    <row r="1652" spans="1:5" ht="18" x14ac:dyDescent="0.35">
      <c r="A1652" s="5" t="s">
        <v>1543</v>
      </c>
      <c r="B1652" s="50" t="s">
        <v>32</v>
      </c>
      <c r="C1652" s="7">
        <v>1.2090000000000001</v>
      </c>
      <c r="D1652" s="7">
        <v>14.93</v>
      </c>
      <c r="E1652" s="85">
        <f t="shared" ref="E1652:E1659" si="113">C1652*D1652</f>
        <v>18.050370000000001</v>
      </c>
    </row>
    <row r="1653" spans="1:5" ht="18" x14ac:dyDescent="0.35">
      <c r="A1653" s="5" t="s">
        <v>828</v>
      </c>
      <c r="B1653" s="50" t="s">
        <v>33</v>
      </c>
      <c r="C1653" s="7">
        <v>3.024</v>
      </c>
      <c r="D1653" s="7">
        <v>16.170000000000002</v>
      </c>
      <c r="E1653" s="85">
        <f t="shared" si="113"/>
        <v>48.898080000000007</v>
      </c>
    </row>
    <row r="1654" spans="1:5" ht="18" x14ac:dyDescent="0.35">
      <c r="A1654" s="5" t="s">
        <v>1544</v>
      </c>
      <c r="B1654" s="50" t="s">
        <v>33</v>
      </c>
      <c r="C1654" s="7">
        <v>2.677</v>
      </c>
      <c r="D1654" s="7">
        <v>16.170000000000002</v>
      </c>
      <c r="E1654" s="85">
        <f t="shared" si="113"/>
        <v>43.287090000000006</v>
      </c>
    </row>
    <row r="1655" spans="1:5" ht="18" x14ac:dyDescent="0.35">
      <c r="A1655" s="5" t="s">
        <v>696</v>
      </c>
      <c r="B1655" s="50" t="s">
        <v>85</v>
      </c>
      <c r="C1655" s="7">
        <v>2</v>
      </c>
      <c r="D1655" s="7">
        <v>1.48</v>
      </c>
      <c r="E1655" s="85">
        <f t="shared" si="113"/>
        <v>2.96</v>
      </c>
    </row>
    <row r="1656" spans="1:5" ht="18" x14ac:dyDescent="0.35">
      <c r="A1656" s="5"/>
      <c r="B1656" s="50" t="s">
        <v>1545</v>
      </c>
      <c r="C1656" s="7">
        <v>2</v>
      </c>
      <c r="D1656" s="7">
        <v>1.7</v>
      </c>
      <c r="E1656" s="85">
        <f t="shared" si="113"/>
        <v>3.4</v>
      </c>
    </row>
    <row r="1657" spans="1:5" ht="18" x14ac:dyDescent="0.35">
      <c r="A1657" s="5"/>
      <c r="B1657" s="50" t="s">
        <v>34</v>
      </c>
      <c r="C1657" s="7"/>
      <c r="D1657" s="7">
        <v>14.61</v>
      </c>
      <c r="E1657" s="85">
        <f t="shared" si="113"/>
        <v>0</v>
      </c>
    </row>
    <row r="1658" spans="1:5" ht="18" x14ac:dyDescent="0.35">
      <c r="A1658" s="5"/>
      <c r="B1658" s="50" t="s">
        <v>35</v>
      </c>
      <c r="C1658" s="7">
        <v>4</v>
      </c>
      <c r="D1658" s="7">
        <v>2.91</v>
      </c>
      <c r="E1658" s="85">
        <f t="shared" si="113"/>
        <v>11.64</v>
      </c>
    </row>
    <row r="1659" spans="1:5" ht="18" x14ac:dyDescent="0.35">
      <c r="A1659" s="5"/>
      <c r="B1659" s="50" t="s">
        <v>36</v>
      </c>
      <c r="C1659" s="7">
        <v>4</v>
      </c>
      <c r="D1659" s="7">
        <v>0.61</v>
      </c>
      <c r="E1659" s="85">
        <f t="shared" si="113"/>
        <v>2.44</v>
      </c>
    </row>
    <row r="1660" spans="1:5" ht="18" x14ac:dyDescent="0.35">
      <c r="A1660" s="5"/>
      <c r="B1660" s="5"/>
      <c r="C1660" s="54"/>
      <c r="D1660" s="54"/>
      <c r="E1660" s="89">
        <f>SUM(E1652:E1659)</f>
        <v>130.67554000000001</v>
      </c>
    </row>
    <row r="1661" spans="1:5" ht="18" x14ac:dyDescent="0.35">
      <c r="A1661" s="5"/>
      <c r="B1661" s="5"/>
      <c r="C1661" s="54"/>
      <c r="D1661" s="54" t="s">
        <v>1129</v>
      </c>
      <c r="E1661" s="89">
        <f>E1660+E1660*10%</f>
        <v>143.74309400000001</v>
      </c>
    </row>
    <row r="1662" spans="1:5" ht="18" x14ac:dyDescent="0.35">
      <c r="A1662" s="5"/>
      <c r="B1662" s="50" t="s">
        <v>37</v>
      </c>
      <c r="C1662" s="54">
        <v>1</v>
      </c>
      <c r="D1662" s="54">
        <v>65</v>
      </c>
      <c r="E1662" s="85">
        <f>C1662*D1662</f>
        <v>65</v>
      </c>
    </row>
    <row r="1663" spans="1:5" ht="18" x14ac:dyDescent="0.35">
      <c r="A1663" s="5"/>
      <c r="B1663" s="5"/>
      <c r="C1663" s="54"/>
      <c r="D1663" s="54"/>
      <c r="E1663" s="85">
        <f>SUM(E1661:E1662)</f>
        <v>208.74309400000001</v>
      </c>
    </row>
    <row r="1665" spans="1:5" ht="21" x14ac:dyDescent="0.4">
      <c r="A1665" s="40" t="s">
        <v>599</v>
      </c>
      <c r="B1665" s="40"/>
      <c r="C1665" s="84"/>
    </row>
    <row r="1666" spans="1:5" ht="18" x14ac:dyDescent="0.35">
      <c r="A1666" s="5" t="s">
        <v>1546</v>
      </c>
      <c r="B1666" s="5"/>
      <c r="C1666" s="7" t="s">
        <v>28</v>
      </c>
      <c r="D1666" s="7" t="s">
        <v>29</v>
      </c>
      <c r="E1666" s="7" t="s">
        <v>30</v>
      </c>
    </row>
    <row r="1667" spans="1:5" ht="18" x14ac:dyDescent="0.35">
      <c r="A1667" s="5" t="s">
        <v>262</v>
      </c>
      <c r="B1667" s="50" t="s">
        <v>32</v>
      </c>
      <c r="C1667" s="7">
        <v>3.444</v>
      </c>
      <c r="D1667" s="7">
        <v>11.37</v>
      </c>
      <c r="E1667" s="85">
        <f t="shared" ref="E1667:E1672" si="114">C1667*D1667</f>
        <v>39.158279999999998</v>
      </c>
    </row>
    <row r="1668" spans="1:5" ht="18" x14ac:dyDescent="0.35">
      <c r="A1668" s="5" t="s">
        <v>757</v>
      </c>
      <c r="B1668" s="50" t="s">
        <v>33</v>
      </c>
      <c r="C1668" s="7">
        <v>7.6120000000000001</v>
      </c>
      <c r="D1668" s="7">
        <v>14.94</v>
      </c>
      <c r="E1668" s="85">
        <f t="shared" si="114"/>
        <v>113.72328</v>
      </c>
    </row>
    <row r="1669" spans="1:5" ht="18" x14ac:dyDescent="0.35">
      <c r="A1669" s="102" t="s">
        <v>1222</v>
      </c>
      <c r="B1669" s="50" t="s">
        <v>1547</v>
      </c>
      <c r="C1669" s="7">
        <v>2</v>
      </c>
      <c r="D1669" s="7">
        <v>1.1499999999999999</v>
      </c>
      <c r="E1669" s="85">
        <f t="shared" si="114"/>
        <v>2.2999999999999998</v>
      </c>
    </row>
    <row r="1670" spans="1:5" ht="18" x14ac:dyDescent="0.35">
      <c r="A1670" s="5"/>
      <c r="B1670" s="50" t="s">
        <v>34</v>
      </c>
      <c r="C1670" s="7">
        <v>0.5</v>
      </c>
      <c r="D1670" s="7">
        <v>14.61</v>
      </c>
      <c r="E1670" s="85">
        <f t="shared" si="114"/>
        <v>7.3049999999999997</v>
      </c>
    </row>
    <row r="1671" spans="1:5" ht="18" x14ac:dyDescent="0.35">
      <c r="A1671" s="5"/>
      <c r="B1671" s="50" t="s">
        <v>35</v>
      </c>
      <c r="C1671" s="7">
        <v>4</v>
      </c>
      <c r="D1671" s="7">
        <v>2.91</v>
      </c>
      <c r="E1671" s="85">
        <f t="shared" si="114"/>
        <v>11.64</v>
      </c>
    </row>
    <row r="1672" spans="1:5" ht="18" x14ac:dyDescent="0.35">
      <c r="A1672" s="5"/>
      <c r="B1672" s="50" t="s">
        <v>36</v>
      </c>
      <c r="C1672" s="7">
        <v>4</v>
      </c>
      <c r="D1672" s="7">
        <v>0.61</v>
      </c>
      <c r="E1672" s="85">
        <f t="shared" si="114"/>
        <v>2.44</v>
      </c>
    </row>
    <row r="1673" spans="1:5" ht="18" x14ac:dyDescent="0.35">
      <c r="A1673" s="5"/>
      <c r="B1673" s="5"/>
      <c r="C1673" s="54"/>
      <c r="D1673" s="54"/>
      <c r="E1673" s="89">
        <f>SUM(E1667:E1672)</f>
        <v>176.56656000000004</v>
      </c>
    </row>
    <row r="1674" spans="1:5" ht="18" x14ac:dyDescent="0.35">
      <c r="A1674" s="5"/>
      <c r="B1674" s="5"/>
      <c r="C1674" s="54"/>
      <c r="D1674" s="54" t="s">
        <v>1158</v>
      </c>
      <c r="E1674" s="89">
        <f>E1673+E1673*10%</f>
        <v>194.22321600000004</v>
      </c>
    </row>
    <row r="1675" spans="1:5" ht="18" x14ac:dyDescent="0.35">
      <c r="A1675" s="5"/>
      <c r="B1675" s="50" t="s">
        <v>37</v>
      </c>
      <c r="C1675" s="54">
        <v>50</v>
      </c>
      <c r="D1675" s="54">
        <v>1.42</v>
      </c>
      <c r="E1675" s="85">
        <f>C1675*D1675</f>
        <v>71</v>
      </c>
    </row>
    <row r="1676" spans="1:5" ht="18" x14ac:dyDescent="0.35">
      <c r="A1676" s="5"/>
      <c r="B1676" s="5"/>
      <c r="C1676" s="54"/>
      <c r="D1676" s="54"/>
      <c r="E1676" s="85">
        <f>SUM(E1674:E1675)</f>
        <v>265.22321600000004</v>
      </c>
    </row>
    <row r="1678" spans="1:5" ht="21" x14ac:dyDescent="0.4">
      <c r="A1678" s="40" t="s">
        <v>1548</v>
      </c>
      <c r="B1678" s="40"/>
      <c r="C1678" s="40"/>
      <c r="D1678" s="12"/>
      <c r="E1678" s="12"/>
    </row>
    <row r="1679" spans="1:5" ht="18" x14ac:dyDescent="0.35">
      <c r="A1679" s="5"/>
      <c r="B1679" s="5"/>
      <c r="C1679" s="7" t="s">
        <v>28</v>
      </c>
      <c r="D1679" s="7" t="s">
        <v>29</v>
      </c>
      <c r="E1679" s="7" t="s">
        <v>30</v>
      </c>
    </row>
    <row r="1680" spans="1:5" ht="18" x14ac:dyDescent="0.35">
      <c r="A1680" s="5" t="s">
        <v>1549</v>
      </c>
      <c r="B1680" s="50" t="s">
        <v>32</v>
      </c>
      <c r="C1680" s="7">
        <v>2.4689999999999999</v>
      </c>
      <c r="D1680" s="7">
        <v>10.34</v>
      </c>
      <c r="E1680" s="85">
        <f>C1680*D1680</f>
        <v>25.529459999999997</v>
      </c>
    </row>
    <row r="1681" spans="1:5" ht="18" x14ac:dyDescent="0.35">
      <c r="A1681" s="5" t="s">
        <v>220</v>
      </c>
      <c r="B1681" s="50" t="s">
        <v>33</v>
      </c>
      <c r="C1681" s="7">
        <v>8.1479999999999997</v>
      </c>
      <c r="D1681" s="7">
        <v>17.059999999999999</v>
      </c>
      <c r="E1681" s="85">
        <f>C1681*D1681</f>
        <v>139.00487999999999</v>
      </c>
    </row>
    <row r="1682" spans="1:5" ht="18" x14ac:dyDescent="0.35">
      <c r="A1682" s="5" t="s">
        <v>673</v>
      </c>
      <c r="B1682" s="50" t="s">
        <v>137</v>
      </c>
      <c r="C1682" s="7">
        <v>0.3</v>
      </c>
      <c r="D1682" s="7">
        <v>15.25</v>
      </c>
      <c r="E1682" s="85">
        <f>C1682*D1682</f>
        <v>4.5750000000000002</v>
      </c>
    </row>
    <row r="1683" spans="1:5" ht="18" x14ac:dyDescent="0.35">
      <c r="A1683" s="5"/>
      <c r="B1683" s="50" t="s">
        <v>35</v>
      </c>
      <c r="C1683" s="7">
        <v>4</v>
      </c>
      <c r="D1683" s="7">
        <v>2.91</v>
      </c>
      <c r="E1683" s="85">
        <f>C1683*D1683</f>
        <v>11.64</v>
      </c>
    </row>
    <row r="1684" spans="1:5" ht="18" x14ac:dyDescent="0.35">
      <c r="A1684" s="5"/>
      <c r="B1684" s="50" t="s">
        <v>36</v>
      </c>
      <c r="C1684" s="7">
        <v>4</v>
      </c>
      <c r="D1684" s="7">
        <v>0.61</v>
      </c>
      <c r="E1684" s="85">
        <f>C1684*D1684</f>
        <v>2.44</v>
      </c>
    </row>
    <row r="1685" spans="1:5" ht="18" x14ac:dyDescent="0.35">
      <c r="A1685" s="5"/>
      <c r="B1685" s="50"/>
      <c r="C1685" s="87"/>
      <c r="D1685" s="88"/>
      <c r="E1685" s="85">
        <f>SUM(E1680:E1684)</f>
        <v>183.18933999999996</v>
      </c>
    </row>
    <row r="1686" spans="1:5" ht="18" x14ac:dyDescent="0.35">
      <c r="A1686" s="5"/>
      <c r="B1686" s="50"/>
      <c r="C1686" s="87"/>
      <c r="D1686" s="88" t="s">
        <v>1085</v>
      </c>
      <c r="E1686" s="85">
        <f>E1685+E1685*10%</f>
        <v>201.50827399999994</v>
      </c>
    </row>
    <row r="1687" spans="1:5" ht="18" x14ac:dyDescent="0.35">
      <c r="A1687" s="5"/>
      <c r="B1687" s="50" t="s">
        <v>37</v>
      </c>
      <c r="C1687" s="54">
        <v>0.6</v>
      </c>
      <c r="D1687" s="86">
        <v>85</v>
      </c>
      <c r="E1687" s="85">
        <f>C1687*D1687</f>
        <v>51</v>
      </c>
    </row>
    <row r="1688" spans="1:5" ht="18" x14ac:dyDescent="0.35">
      <c r="A1688" s="5"/>
      <c r="B1688" s="5"/>
      <c r="C1688" s="54"/>
      <c r="D1688" s="54"/>
      <c r="E1688" s="85">
        <f>SUM(E1686:E1687)</f>
        <v>252.50827399999994</v>
      </c>
    </row>
    <row r="1690" spans="1:5" ht="21" x14ac:dyDescent="0.4">
      <c r="A1690" s="40" t="s">
        <v>1569</v>
      </c>
      <c r="B1690" s="40"/>
      <c r="C1690" s="84"/>
    </row>
    <row r="1691" spans="1:5" ht="18" x14ac:dyDescent="0.35">
      <c r="B1691" s="5"/>
      <c r="C1691" s="7" t="s">
        <v>28</v>
      </c>
      <c r="D1691" s="7" t="s">
        <v>29</v>
      </c>
      <c r="E1691" s="7" t="s">
        <v>30</v>
      </c>
    </row>
    <row r="1692" spans="1:5" ht="18" x14ac:dyDescent="0.35">
      <c r="A1692" s="5" t="s">
        <v>1570</v>
      </c>
      <c r="B1692" s="50" t="s">
        <v>32</v>
      </c>
      <c r="C1692" s="7">
        <v>3.0779999999999998</v>
      </c>
      <c r="D1692" s="7">
        <v>14.93</v>
      </c>
      <c r="E1692" s="85">
        <f t="shared" ref="E1692:E1699" si="115">C1692*D1692</f>
        <v>45.954539999999994</v>
      </c>
    </row>
    <row r="1693" spans="1:5" ht="18" x14ac:dyDescent="0.35">
      <c r="A1693" s="5" t="s">
        <v>819</v>
      </c>
      <c r="B1693" s="50" t="s">
        <v>33</v>
      </c>
      <c r="C1693" s="7">
        <v>24.055</v>
      </c>
      <c r="D1693" s="7">
        <v>16.170000000000002</v>
      </c>
      <c r="E1693" s="85">
        <f t="shared" si="115"/>
        <v>388.96935000000002</v>
      </c>
    </row>
    <row r="1694" spans="1:5" ht="18" x14ac:dyDescent="0.35">
      <c r="A1694" s="5" t="s">
        <v>58</v>
      </c>
      <c r="B1694" s="50" t="s">
        <v>33</v>
      </c>
      <c r="C1694" s="7">
        <v>24.16</v>
      </c>
      <c r="D1694" s="7">
        <v>16.170000000000002</v>
      </c>
      <c r="E1694" s="85">
        <f t="shared" si="115"/>
        <v>390.66720000000004</v>
      </c>
    </row>
    <row r="1695" spans="1:5" ht="18" x14ac:dyDescent="0.35">
      <c r="A1695" s="5" t="s">
        <v>954</v>
      </c>
      <c r="B1695" s="50" t="s">
        <v>98</v>
      </c>
      <c r="C1695" s="7">
        <v>2</v>
      </c>
      <c r="D1695" s="7">
        <v>3.4</v>
      </c>
      <c r="E1695" s="85">
        <f t="shared" si="115"/>
        <v>6.8</v>
      </c>
    </row>
    <row r="1696" spans="1:5" ht="18" x14ac:dyDescent="0.35">
      <c r="A1696" s="5"/>
      <c r="B1696" s="50" t="s">
        <v>92</v>
      </c>
      <c r="C1696" s="7">
        <v>2</v>
      </c>
      <c r="D1696" s="7">
        <v>3.62</v>
      </c>
      <c r="E1696" s="85">
        <f t="shared" si="115"/>
        <v>7.24</v>
      </c>
    </row>
    <row r="1697" spans="1:5" ht="18" x14ac:dyDescent="0.35">
      <c r="A1697" s="5"/>
      <c r="B1697" s="50" t="s">
        <v>34</v>
      </c>
      <c r="C1697" s="7"/>
      <c r="D1697" s="7">
        <v>14.61</v>
      </c>
      <c r="E1697" s="85">
        <f t="shared" si="115"/>
        <v>0</v>
      </c>
    </row>
    <row r="1698" spans="1:5" ht="18" x14ac:dyDescent="0.35">
      <c r="A1698" s="5"/>
      <c r="B1698" s="50" t="s">
        <v>35</v>
      </c>
      <c r="C1698" s="7">
        <v>4</v>
      </c>
      <c r="D1698" s="7">
        <v>2.91</v>
      </c>
      <c r="E1698" s="85">
        <f t="shared" si="115"/>
        <v>11.64</v>
      </c>
    </row>
    <row r="1699" spans="1:5" ht="18" x14ac:dyDescent="0.35">
      <c r="A1699" s="5"/>
      <c r="B1699" s="50" t="s">
        <v>36</v>
      </c>
      <c r="C1699" s="7">
        <v>4</v>
      </c>
      <c r="D1699" s="7">
        <v>0.61</v>
      </c>
      <c r="E1699" s="85">
        <f t="shared" si="115"/>
        <v>2.44</v>
      </c>
    </row>
    <row r="1700" spans="1:5" ht="18" x14ac:dyDescent="0.35">
      <c r="A1700" s="5"/>
      <c r="B1700" s="5"/>
      <c r="C1700" s="54"/>
      <c r="D1700" s="54"/>
      <c r="E1700" s="89">
        <f>SUM(E1692:E1699)</f>
        <v>853.71109000000013</v>
      </c>
    </row>
    <row r="1701" spans="1:5" ht="18" x14ac:dyDescent="0.35">
      <c r="A1701" s="5"/>
      <c r="B1701" s="5"/>
      <c r="C1701" s="54"/>
      <c r="D1701" s="54" t="s">
        <v>1129</v>
      </c>
      <c r="E1701" s="89">
        <f>E1700+E1700*10%</f>
        <v>939.08219900000017</v>
      </c>
    </row>
    <row r="1702" spans="1:5" ht="18" x14ac:dyDescent="0.35">
      <c r="A1702" s="5"/>
      <c r="B1702" s="50" t="s">
        <v>37</v>
      </c>
      <c r="C1702" s="54">
        <v>1</v>
      </c>
      <c r="D1702" s="54">
        <v>65</v>
      </c>
      <c r="E1702" s="85">
        <f>C1702*D1702</f>
        <v>65</v>
      </c>
    </row>
    <row r="1703" spans="1:5" ht="18" x14ac:dyDescent="0.35">
      <c r="A1703" s="5"/>
      <c r="B1703" s="5"/>
      <c r="C1703" s="54"/>
      <c r="D1703" s="54"/>
      <c r="E1703" s="85">
        <f>SUM(E1701:E1702)</f>
        <v>1004.0821990000002</v>
      </c>
    </row>
    <row r="1705" spans="1:5" ht="21" x14ac:dyDescent="0.4">
      <c r="A1705" s="40" t="s">
        <v>599</v>
      </c>
      <c r="B1705" s="40"/>
      <c r="C1705" s="84"/>
    </row>
    <row r="1706" spans="1:5" ht="18" x14ac:dyDescent="0.35">
      <c r="A1706" s="5" t="s">
        <v>1575</v>
      </c>
      <c r="B1706" s="5"/>
      <c r="C1706" s="7" t="s">
        <v>28</v>
      </c>
      <c r="D1706" s="7" t="s">
        <v>29</v>
      </c>
      <c r="E1706" s="7" t="s">
        <v>30</v>
      </c>
    </row>
    <row r="1707" spans="1:5" ht="18" x14ac:dyDescent="0.35">
      <c r="A1707" s="5" t="s">
        <v>212</v>
      </c>
      <c r="B1707" s="50" t="s">
        <v>32</v>
      </c>
      <c r="C1707" s="7">
        <v>1.587</v>
      </c>
      <c r="D1707" s="7">
        <v>10.34</v>
      </c>
      <c r="E1707" s="85">
        <f t="shared" ref="E1707:E1712" si="116">C1707*D1707</f>
        <v>16.409579999999998</v>
      </c>
    </row>
    <row r="1708" spans="1:5" ht="18" x14ac:dyDescent="0.35">
      <c r="A1708" s="5" t="s">
        <v>1576</v>
      </c>
      <c r="B1708" s="50" t="s">
        <v>33</v>
      </c>
      <c r="C1708" s="7">
        <v>4.83</v>
      </c>
      <c r="D1708" s="7">
        <v>16.170000000000002</v>
      </c>
      <c r="E1708" s="85">
        <f t="shared" si="116"/>
        <v>78.101100000000002</v>
      </c>
    </row>
    <row r="1709" spans="1:5" ht="18" x14ac:dyDescent="0.35">
      <c r="A1709" s="102" t="s">
        <v>1222</v>
      </c>
      <c r="B1709" s="50" t="s">
        <v>1577</v>
      </c>
      <c r="C1709" s="7">
        <v>2</v>
      </c>
      <c r="D1709" s="7">
        <v>1.48</v>
      </c>
      <c r="E1709" s="85">
        <f t="shared" si="116"/>
        <v>2.96</v>
      </c>
    </row>
    <row r="1710" spans="1:5" ht="18" x14ac:dyDescent="0.35">
      <c r="A1710" s="5"/>
      <c r="B1710" s="50" t="s">
        <v>34</v>
      </c>
      <c r="C1710" s="7"/>
      <c r="D1710" s="7">
        <v>14.61</v>
      </c>
      <c r="E1710" s="85">
        <f t="shared" si="116"/>
        <v>0</v>
      </c>
    </row>
    <row r="1711" spans="1:5" ht="18" x14ac:dyDescent="0.35">
      <c r="A1711" s="5"/>
      <c r="B1711" s="50" t="s">
        <v>35</v>
      </c>
      <c r="C1711" s="7">
        <v>4</v>
      </c>
      <c r="D1711" s="7">
        <v>2.91</v>
      </c>
      <c r="E1711" s="85">
        <f t="shared" si="116"/>
        <v>11.64</v>
      </c>
    </row>
    <row r="1712" spans="1:5" ht="18" x14ac:dyDescent="0.35">
      <c r="A1712" s="5"/>
      <c r="B1712" s="50" t="s">
        <v>36</v>
      </c>
      <c r="C1712" s="7">
        <v>4</v>
      </c>
      <c r="D1712" s="7">
        <v>0.61</v>
      </c>
      <c r="E1712" s="85">
        <f t="shared" si="116"/>
        <v>2.44</v>
      </c>
    </row>
    <row r="1713" spans="1:5" ht="18" x14ac:dyDescent="0.35">
      <c r="A1713" s="5"/>
      <c r="B1713" s="5"/>
      <c r="C1713" s="54"/>
      <c r="D1713" s="54"/>
      <c r="E1713" s="89">
        <f>SUM(E1707:E1712)</f>
        <v>111.55068</v>
      </c>
    </row>
    <row r="1714" spans="1:5" ht="18" x14ac:dyDescent="0.35">
      <c r="A1714" s="5"/>
      <c r="B1714" s="5"/>
      <c r="C1714" s="54"/>
      <c r="D1714" s="54" t="s">
        <v>1158</v>
      </c>
      <c r="E1714" s="89">
        <f>E1713+E1713*10%</f>
        <v>122.705748</v>
      </c>
    </row>
    <row r="1715" spans="1:5" ht="18" x14ac:dyDescent="0.35">
      <c r="A1715" s="5"/>
      <c r="B1715" s="50" t="s">
        <v>37</v>
      </c>
      <c r="C1715" s="54">
        <v>0.4</v>
      </c>
      <c r="D1715" s="54">
        <v>1.42</v>
      </c>
      <c r="E1715" s="85">
        <f>C1715*D1715</f>
        <v>0.56799999999999995</v>
      </c>
    </row>
    <row r="1716" spans="1:5" ht="18" x14ac:dyDescent="0.35">
      <c r="A1716" s="5"/>
      <c r="B1716" s="5"/>
      <c r="C1716" s="54"/>
      <c r="D1716" s="54"/>
      <c r="E1716" s="85">
        <f>SUM(E1714:E1715)</f>
        <v>123.273748</v>
      </c>
    </row>
    <row r="1718" spans="1:5" ht="21" x14ac:dyDescent="0.4">
      <c r="A1718" s="40" t="s">
        <v>1592</v>
      </c>
      <c r="B1718" s="40"/>
      <c r="C1718" s="84"/>
    </row>
    <row r="1719" spans="1:5" ht="18" x14ac:dyDescent="0.35">
      <c r="B1719" s="5"/>
      <c r="C1719" s="7" t="s">
        <v>28</v>
      </c>
      <c r="D1719" s="7" t="s">
        <v>29</v>
      </c>
      <c r="E1719" s="7" t="s">
        <v>30</v>
      </c>
    </row>
    <row r="1720" spans="1:5" ht="18" x14ac:dyDescent="0.35">
      <c r="A1720" s="5" t="s">
        <v>40</v>
      </c>
      <c r="B1720" s="50" t="s">
        <v>32</v>
      </c>
      <c r="C1720" s="7">
        <v>1.1879999999999999</v>
      </c>
      <c r="D1720" s="7">
        <v>14.93</v>
      </c>
      <c r="E1720" s="85">
        <f t="shared" ref="E1720:E1727" si="117">C1720*D1720</f>
        <v>17.736839999999997</v>
      </c>
    </row>
    <row r="1721" spans="1:5" ht="18" x14ac:dyDescent="0.35">
      <c r="A1721" s="5" t="s">
        <v>829</v>
      </c>
      <c r="B1721" s="50" t="s">
        <v>33</v>
      </c>
      <c r="C1721" s="7">
        <v>1.63</v>
      </c>
      <c r="D1721" s="7">
        <v>16.170000000000002</v>
      </c>
      <c r="E1721" s="85">
        <f t="shared" si="117"/>
        <v>26.357100000000003</v>
      </c>
    </row>
    <row r="1722" spans="1:5" ht="18" x14ac:dyDescent="0.35">
      <c r="A1722" s="5" t="s">
        <v>54</v>
      </c>
      <c r="B1722" s="50" t="s">
        <v>33</v>
      </c>
      <c r="C1722" s="7">
        <v>1.7949999999999999</v>
      </c>
      <c r="D1722" s="7">
        <v>16.170000000000002</v>
      </c>
      <c r="E1722" s="85">
        <f t="shared" si="117"/>
        <v>29.025150000000004</v>
      </c>
    </row>
    <row r="1723" spans="1:5" ht="18" x14ac:dyDescent="0.35">
      <c r="A1723" s="5" t="s">
        <v>677</v>
      </c>
      <c r="B1723" s="50" t="s">
        <v>42</v>
      </c>
      <c r="C1723" s="7">
        <v>2</v>
      </c>
      <c r="D1723" s="7">
        <v>1.1499999999999999</v>
      </c>
      <c r="E1723" s="85">
        <f t="shared" si="117"/>
        <v>2.2999999999999998</v>
      </c>
    </row>
    <row r="1724" spans="1:5" ht="18" x14ac:dyDescent="0.35">
      <c r="A1724" s="5"/>
      <c r="B1724" s="50" t="s">
        <v>87</v>
      </c>
      <c r="C1724" s="7">
        <v>2</v>
      </c>
      <c r="D1724" s="7">
        <v>1.81</v>
      </c>
      <c r="E1724" s="85">
        <f t="shared" si="117"/>
        <v>3.62</v>
      </c>
    </row>
    <row r="1725" spans="1:5" ht="18" x14ac:dyDescent="0.35">
      <c r="A1725" s="5"/>
      <c r="B1725" s="50" t="s">
        <v>34</v>
      </c>
      <c r="C1725" s="7"/>
      <c r="D1725" s="7">
        <v>14.61</v>
      </c>
      <c r="E1725" s="85">
        <f t="shared" si="117"/>
        <v>0</v>
      </c>
    </row>
    <row r="1726" spans="1:5" ht="18" x14ac:dyDescent="0.35">
      <c r="A1726" s="5"/>
      <c r="B1726" s="50" t="s">
        <v>35</v>
      </c>
      <c r="C1726" s="7">
        <v>4</v>
      </c>
      <c r="D1726" s="7">
        <v>2.91</v>
      </c>
      <c r="E1726" s="85">
        <f t="shared" si="117"/>
        <v>11.64</v>
      </c>
    </row>
    <row r="1727" spans="1:5" ht="18" x14ac:dyDescent="0.35">
      <c r="A1727" s="5"/>
      <c r="B1727" s="50" t="s">
        <v>36</v>
      </c>
      <c r="C1727" s="7">
        <v>4</v>
      </c>
      <c r="D1727" s="7">
        <v>0.61</v>
      </c>
      <c r="E1727" s="85">
        <f t="shared" si="117"/>
        <v>2.44</v>
      </c>
    </row>
    <row r="1728" spans="1:5" ht="18" x14ac:dyDescent="0.35">
      <c r="A1728" s="5"/>
      <c r="B1728" s="5"/>
      <c r="C1728" s="54"/>
      <c r="D1728" s="54"/>
      <c r="E1728" s="89">
        <f>SUM(E1720:E1727)</f>
        <v>93.11909</v>
      </c>
    </row>
    <row r="1729" spans="1:5" ht="18" x14ac:dyDescent="0.35">
      <c r="A1729" s="5"/>
      <c r="B1729" s="5"/>
      <c r="C1729" s="54"/>
      <c r="D1729" s="54" t="s">
        <v>1129</v>
      </c>
      <c r="E1729" s="89">
        <f>E1728+E1728*10%</f>
        <v>102.430999</v>
      </c>
    </row>
    <row r="1730" spans="1:5" ht="18" x14ac:dyDescent="0.35">
      <c r="A1730" s="5"/>
      <c r="B1730" s="50" t="s">
        <v>37</v>
      </c>
      <c r="C1730" s="54">
        <v>0.5</v>
      </c>
      <c r="D1730" s="54">
        <v>65</v>
      </c>
      <c r="E1730" s="85">
        <f>C1730*D1730</f>
        <v>32.5</v>
      </c>
    </row>
    <row r="1731" spans="1:5" ht="18" x14ac:dyDescent="0.35">
      <c r="A1731" s="5"/>
      <c r="B1731" s="5"/>
      <c r="C1731" s="54"/>
      <c r="D1731" s="54"/>
      <c r="E1731" s="85">
        <f>SUM(E1729:E1730)</f>
        <v>134.93099899999999</v>
      </c>
    </row>
    <row r="1733" spans="1:5" ht="21" x14ac:dyDescent="0.4">
      <c r="A1733" s="40" t="s">
        <v>1593</v>
      </c>
      <c r="B1733" s="40"/>
      <c r="C1733" s="40"/>
      <c r="D1733" s="12"/>
      <c r="E1733" s="12"/>
    </row>
    <row r="1734" spans="1:5" ht="18" x14ac:dyDescent="0.35">
      <c r="A1734" s="5"/>
      <c r="B1734" s="5"/>
      <c r="C1734" s="7" t="s">
        <v>28</v>
      </c>
      <c r="D1734" s="7" t="s">
        <v>29</v>
      </c>
      <c r="E1734" s="7" t="s">
        <v>30</v>
      </c>
    </row>
    <row r="1735" spans="1:5" ht="18" x14ac:dyDescent="0.35">
      <c r="A1735" s="5" t="s">
        <v>105</v>
      </c>
      <c r="B1735" s="50" t="s">
        <v>32</v>
      </c>
      <c r="C1735" s="7">
        <v>2.028</v>
      </c>
      <c r="D1735" s="7">
        <v>10.34</v>
      </c>
      <c r="E1735" s="85">
        <f>C1735*D1735</f>
        <v>20.969519999999999</v>
      </c>
    </row>
    <row r="1736" spans="1:5" ht="18" x14ac:dyDescent="0.35">
      <c r="A1736" s="5" t="s">
        <v>213</v>
      </c>
      <c r="B1736" s="50" t="s">
        <v>33</v>
      </c>
      <c r="C1736" s="7">
        <v>13.009</v>
      </c>
      <c r="D1736" s="7">
        <v>17.059999999999999</v>
      </c>
      <c r="E1736" s="85">
        <f>C1736*D1736</f>
        <v>221.93353999999999</v>
      </c>
    </row>
    <row r="1737" spans="1:5" ht="18" x14ac:dyDescent="0.35">
      <c r="A1737" s="5" t="s">
        <v>427</v>
      </c>
      <c r="B1737" s="50" t="s">
        <v>137</v>
      </c>
      <c r="C1737" s="7">
        <v>0.63</v>
      </c>
      <c r="D1737" s="7">
        <v>15.25</v>
      </c>
      <c r="E1737" s="85">
        <f>C1737*D1737</f>
        <v>9.6074999999999999</v>
      </c>
    </row>
    <row r="1738" spans="1:5" ht="18" x14ac:dyDescent="0.35">
      <c r="A1738" s="5"/>
      <c r="B1738" s="50" t="s">
        <v>35</v>
      </c>
      <c r="C1738" s="7">
        <v>4</v>
      </c>
      <c r="D1738" s="7">
        <v>2.91</v>
      </c>
      <c r="E1738" s="85">
        <f>C1738*D1738</f>
        <v>11.64</v>
      </c>
    </row>
    <row r="1739" spans="1:5" ht="18" x14ac:dyDescent="0.35">
      <c r="A1739" s="5"/>
      <c r="B1739" s="50" t="s">
        <v>36</v>
      </c>
      <c r="C1739" s="7">
        <v>4</v>
      </c>
      <c r="D1739" s="7">
        <v>0.61</v>
      </c>
      <c r="E1739" s="85">
        <f>C1739*D1739</f>
        <v>2.44</v>
      </c>
    </row>
    <row r="1740" spans="1:5" ht="18" x14ac:dyDescent="0.35">
      <c r="A1740" s="5"/>
      <c r="B1740" s="50"/>
      <c r="C1740" s="87"/>
      <c r="D1740" s="88"/>
      <c r="E1740" s="85">
        <f>SUM(E1735:E1739)</f>
        <v>266.59055999999998</v>
      </c>
    </row>
    <row r="1741" spans="1:5" ht="18" x14ac:dyDescent="0.35">
      <c r="A1741" s="5"/>
      <c r="B1741" s="50"/>
      <c r="C1741" s="87"/>
      <c r="D1741" s="88" t="s">
        <v>1085</v>
      </c>
      <c r="E1741" s="85">
        <f>E1740+E1740*10%</f>
        <v>293.249616</v>
      </c>
    </row>
    <row r="1742" spans="1:5" ht="18" x14ac:dyDescent="0.35">
      <c r="A1742" s="5"/>
      <c r="B1742" s="50" t="s">
        <v>37</v>
      </c>
      <c r="C1742" s="54">
        <v>0.6</v>
      </c>
      <c r="D1742" s="86">
        <v>85</v>
      </c>
      <c r="E1742" s="85">
        <f>C1742*D1742</f>
        <v>51</v>
      </c>
    </row>
    <row r="1743" spans="1:5" ht="18" x14ac:dyDescent="0.35">
      <c r="A1743" s="5"/>
      <c r="B1743" s="5"/>
      <c r="C1743" s="54"/>
      <c r="D1743" s="54"/>
      <c r="E1743" s="85">
        <f>SUM(E1741:E1742)</f>
        <v>344.249616</v>
      </c>
    </row>
    <row r="1745" spans="1:5" ht="21" x14ac:dyDescent="0.4">
      <c r="A1745" s="40" t="s">
        <v>1594</v>
      </c>
      <c r="B1745" s="40"/>
      <c r="C1745" s="40"/>
      <c r="D1745" s="12"/>
      <c r="E1745" s="12"/>
    </row>
    <row r="1746" spans="1:5" ht="18" x14ac:dyDescent="0.35">
      <c r="A1746" s="5"/>
      <c r="B1746" s="5"/>
      <c r="C1746" s="7" t="s">
        <v>28</v>
      </c>
      <c r="D1746" s="7" t="s">
        <v>29</v>
      </c>
      <c r="E1746" s="7" t="s">
        <v>30</v>
      </c>
    </row>
    <row r="1747" spans="1:5" ht="18" x14ac:dyDescent="0.35">
      <c r="A1747" s="5" t="s">
        <v>496</v>
      </c>
      <c r="B1747" s="50" t="s">
        <v>32</v>
      </c>
      <c r="C1747" s="7">
        <v>1.8180000000000001</v>
      </c>
      <c r="D1747" s="7">
        <v>10.34</v>
      </c>
      <c r="E1747" s="85">
        <f>C1747*D1747</f>
        <v>18.798120000000001</v>
      </c>
    </row>
    <row r="1748" spans="1:5" ht="18" x14ac:dyDescent="0.35">
      <c r="A1748" s="5" t="s">
        <v>232</v>
      </c>
      <c r="B1748" s="50" t="s">
        <v>33</v>
      </c>
      <c r="C1748" s="7">
        <v>6.72</v>
      </c>
      <c r="D1748" s="7">
        <v>17.059999999999999</v>
      </c>
      <c r="E1748" s="85">
        <f>C1748*D1748</f>
        <v>114.64319999999999</v>
      </c>
    </row>
    <row r="1749" spans="1:5" ht="18" x14ac:dyDescent="0.35">
      <c r="A1749" s="5" t="s">
        <v>1595</v>
      </c>
      <c r="B1749" s="50" t="s">
        <v>137</v>
      </c>
      <c r="C1749" s="7">
        <v>0.315</v>
      </c>
      <c r="D1749" s="7">
        <v>15.25</v>
      </c>
      <c r="E1749" s="85">
        <f>C1749*D1749</f>
        <v>4.80375</v>
      </c>
    </row>
    <row r="1750" spans="1:5" ht="18" x14ac:dyDescent="0.35">
      <c r="A1750" s="5"/>
      <c r="B1750" s="50" t="s">
        <v>35</v>
      </c>
      <c r="C1750" s="7">
        <v>4</v>
      </c>
      <c r="D1750" s="7">
        <v>2.91</v>
      </c>
      <c r="E1750" s="85">
        <f>C1750*D1750</f>
        <v>11.64</v>
      </c>
    </row>
    <row r="1751" spans="1:5" ht="18" x14ac:dyDescent="0.35">
      <c r="A1751" s="5"/>
      <c r="B1751" s="50" t="s">
        <v>36</v>
      </c>
      <c r="C1751" s="7">
        <v>4</v>
      </c>
      <c r="D1751" s="7">
        <v>0.61</v>
      </c>
      <c r="E1751" s="85">
        <f>C1751*D1751</f>
        <v>2.44</v>
      </c>
    </row>
    <row r="1752" spans="1:5" ht="18" x14ac:dyDescent="0.35">
      <c r="A1752" s="5"/>
      <c r="B1752" s="50"/>
      <c r="C1752" s="87"/>
      <c r="D1752" s="88"/>
      <c r="E1752" s="85">
        <f>SUM(E1747:E1751)</f>
        <v>152.32506999999998</v>
      </c>
    </row>
    <row r="1753" spans="1:5" ht="18" x14ac:dyDescent="0.35">
      <c r="A1753" s="5"/>
      <c r="B1753" s="50"/>
      <c r="C1753" s="87"/>
      <c r="D1753" s="88" t="s">
        <v>1085</v>
      </c>
      <c r="E1753" s="85">
        <f>E1752+E1752*10%</f>
        <v>167.55757699999998</v>
      </c>
    </row>
    <row r="1754" spans="1:5" ht="18" x14ac:dyDescent="0.35">
      <c r="A1754" s="5"/>
      <c r="B1754" s="50" t="s">
        <v>37</v>
      </c>
      <c r="C1754" s="54">
        <v>0.5</v>
      </c>
      <c r="D1754" s="86">
        <v>85</v>
      </c>
      <c r="E1754" s="85">
        <f>C1754*D1754</f>
        <v>42.5</v>
      </c>
    </row>
    <row r="1755" spans="1:5" ht="18" x14ac:dyDescent="0.35">
      <c r="A1755" s="5"/>
      <c r="B1755" s="5"/>
      <c r="C1755" s="54"/>
      <c r="D1755" s="54"/>
      <c r="E1755" s="85">
        <f>SUM(E1753:E1754)</f>
        <v>210.05757699999998</v>
      </c>
    </row>
    <row r="1757" spans="1:5" ht="21" x14ac:dyDescent="0.4">
      <c r="A1757" s="40" t="s">
        <v>599</v>
      </c>
      <c r="B1757" s="40"/>
      <c r="C1757" s="84"/>
    </row>
    <row r="1758" spans="1:5" ht="18" x14ac:dyDescent="0.35">
      <c r="A1758" s="5" t="s">
        <v>1604</v>
      </c>
      <c r="B1758" s="5"/>
      <c r="C1758" s="7" t="s">
        <v>28</v>
      </c>
      <c r="D1758" s="7" t="s">
        <v>29</v>
      </c>
      <c r="E1758" s="7" t="s">
        <v>30</v>
      </c>
    </row>
    <row r="1759" spans="1:5" ht="18" x14ac:dyDescent="0.35">
      <c r="A1759" s="5" t="s">
        <v>261</v>
      </c>
      <c r="B1759" s="50" t="s">
        <v>32</v>
      </c>
      <c r="C1759" s="7">
        <v>1.23</v>
      </c>
      <c r="D1759" s="7">
        <v>10.34</v>
      </c>
      <c r="E1759" s="85">
        <f t="shared" ref="E1759:E1764" si="118">C1759*D1759</f>
        <v>12.7182</v>
      </c>
    </row>
    <row r="1760" spans="1:5" ht="18" x14ac:dyDescent="0.35">
      <c r="A1760" s="5" t="s">
        <v>852</v>
      </c>
      <c r="B1760" s="50" t="s">
        <v>33</v>
      </c>
      <c r="C1760" s="7">
        <v>1.3540000000000001</v>
      </c>
      <c r="D1760" s="7">
        <v>16.170000000000002</v>
      </c>
      <c r="E1760" s="85">
        <f t="shared" si="118"/>
        <v>21.894180000000002</v>
      </c>
    </row>
    <row r="1761" spans="1:5" ht="18" x14ac:dyDescent="0.35">
      <c r="A1761" s="102" t="s">
        <v>1222</v>
      </c>
      <c r="B1761" s="50" t="s">
        <v>969</v>
      </c>
      <c r="C1761" s="7">
        <v>2</v>
      </c>
      <c r="D1761" s="7">
        <v>1.1499999999999999</v>
      </c>
      <c r="E1761" s="85">
        <f t="shared" si="118"/>
        <v>2.2999999999999998</v>
      </c>
    </row>
    <row r="1762" spans="1:5" ht="18" x14ac:dyDescent="0.35">
      <c r="A1762" s="5"/>
      <c r="B1762" s="50" t="s">
        <v>34</v>
      </c>
      <c r="C1762" s="7"/>
      <c r="D1762" s="7">
        <v>14.61</v>
      </c>
      <c r="E1762" s="85">
        <f t="shared" si="118"/>
        <v>0</v>
      </c>
    </row>
    <row r="1763" spans="1:5" ht="18" x14ac:dyDescent="0.35">
      <c r="A1763" s="5"/>
      <c r="B1763" s="50" t="s">
        <v>35</v>
      </c>
      <c r="C1763" s="7">
        <v>4</v>
      </c>
      <c r="D1763" s="7">
        <v>2.91</v>
      </c>
      <c r="E1763" s="85">
        <f t="shared" si="118"/>
        <v>11.64</v>
      </c>
    </row>
    <row r="1764" spans="1:5" ht="18" x14ac:dyDescent="0.35">
      <c r="A1764" s="5"/>
      <c r="B1764" s="50" t="s">
        <v>36</v>
      </c>
      <c r="C1764" s="7">
        <v>4</v>
      </c>
      <c r="D1764" s="7">
        <v>0.61</v>
      </c>
      <c r="E1764" s="85">
        <f t="shared" si="118"/>
        <v>2.44</v>
      </c>
    </row>
    <row r="1765" spans="1:5" ht="18" x14ac:dyDescent="0.35">
      <c r="A1765" s="5"/>
      <c r="B1765" s="5"/>
      <c r="C1765" s="54"/>
      <c r="D1765" s="54"/>
      <c r="E1765" s="89">
        <f>SUM(E1759:E1764)</f>
        <v>50.992379999999997</v>
      </c>
    </row>
    <row r="1766" spans="1:5" ht="18" x14ac:dyDescent="0.35">
      <c r="A1766" s="5"/>
      <c r="B1766" s="5"/>
      <c r="C1766" s="54"/>
      <c r="D1766" s="54" t="s">
        <v>1158</v>
      </c>
      <c r="E1766" s="89">
        <f>E1765+E1765*10%</f>
        <v>56.091617999999997</v>
      </c>
    </row>
    <row r="1767" spans="1:5" ht="18" x14ac:dyDescent="0.35">
      <c r="A1767" s="5"/>
      <c r="B1767" s="50" t="s">
        <v>37</v>
      </c>
      <c r="C1767" s="54">
        <v>30</v>
      </c>
      <c r="D1767" s="54">
        <v>1.42</v>
      </c>
      <c r="E1767" s="85">
        <f>C1767*D1767</f>
        <v>42.599999999999994</v>
      </c>
    </row>
    <row r="1768" spans="1:5" ht="18" x14ac:dyDescent="0.35">
      <c r="A1768" s="5"/>
      <c r="B1768" s="5"/>
      <c r="C1768" s="54"/>
      <c r="D1768" s="54"/>
      <c r="E1768" s="85">
        <f>SUM(E1766:E1767)</f>
        <v>98.691617999999991</v>
      </c>
    </row>
    <row r="1771" spans="1:5" ht="21" x14ac:dyDescent="0.4">
      <c r="A1771" s="40" t="s">
        <v>1605</v>
      </c>
      <c r="B1771" s="40"/>
      <c r="C1771" s="84"/>
    </row>
    <row r="1772" spans="1:5" ht="18" x14ac:dyDescent="0.35">
      <c r="B1772" s="5"/>
      <c r="C1772" s="7" t="s">
        <v>28</v>
      </c>
      <c r="D1772" s="7" t="s">
        <v>29</v>
      </c>
      <c r="E1772" s="7" t="s">
        <v>30</v>
      </c>
    </row>
    <row r="1773" spans="1:5" ht="18" x14ac:dyDescent="0.35">
      <c r="A1773" s="5" t="s">
        <v>1606</v>
      </c>
      <c r="B1773" s="50" t="s">
        <v>32</v>
      </c>
      <c r="C1773" s="7">
        <v>2.6480000000000001</v>
      </c>
      <c r="D1773" s="7">
        <v>14.93</v>
      </c>
      <c r="E1773" s="85">
        <f t="shared" ref="E1773:E1780" si="119">C1773*D1773</f>
        <v>39.534640000000003</v>
      </c>
    </row>
    <row r="1774" spans="1:5" ht="18" x14ac:dyDescent="0.35">
      <c r="A1774" s="5" t="s">
        <v>1378</v>
      </c>
      <c r="B1774" s="50" t="s">
        <v>33</v>
      </c>
      <c r="C1774" s="7">
        <v>16.206</v>
      </c>
      <c r="D1774" s="7">
        <v>16.170000000000002</v>
      </c>
      <c r="E1774" s="85">
        <f t="shared" si="119"/>
        <v>262.05101999999999</v>
      </c>
    </row>
    <row r="1775" spans="1:5" ht="18" x14ac:dyDescent="0.35">
      <c r="A1775" s="5" t="s">
        <v>769</v>
      </c>
      <c r="B1775" s="50" t="s">
        <v>33</v>
      </c>
      <c r="C1775" s="7">
        <v>17.094000000000001</v>
      </c>
      <c r="D1775" s="7">
        <v>16.170000000000002</v>
      </c>
      <c r="E1775" s="85">
        <f t="shared" si="119"/>
        <v>276.40998000000008</v>
      </c>
    </row>
    <row r="1776" spans="1:5" ht="18" x14ac:dyDescent="0.35">
      <c r="A1776" s="5" t="s">
        <v>1607</v>
      </c>
      <c r="B1776" s="50" t="s">
        <v>1004</v>
      </c>
      <c r="C1776" s="7">
        <v>2</v>
      </c>
      <c r="D1776" s="7">
        <v>1.81</v>
      </c>
      <c r="E1776" s="85">
        <f t="shared" si="119"/>
        <v>3.62</v>
      </c>
    </row>
    <row r="1777" spans="1:5" ht="18" x14ac:dyDescent="0.35">
      <c r="A1777" s="5"/>
      <c r="B1777" s="50" t="s">
        <v>1608</v>
      </c>
      <c r="C1777" s="7">
        <v>2</v>
      </c>
      <c r="D1777" s="7">
        <v>3.4</v>
      </c>
      <c r="E1777" s="85">
        <f t="shared" si="119"/>
        <v>6.8</v>
      </c>
    </row>
    <row r="1778" spans="1:5" ht="18" x14ac:dyDescent="0.35">
      <c r="A1778" s="5"/>
      <c r="B1778" s="50" t="s">
        <v>34</v>
      </c>
      <c r="C1778" s="7">
        <v>0.47199999999999998</v>
      </c>
      <c r="D1778" s="7">
        <v>14.61</v>
      </c>
      <c r="E1778" s="85">
        <f t="shared" si="119"/>
        <v>6.8959199999999994</v>
      </c>
    </row>
    <row r="1779" spans="1:5" ht="18" x14ac:dyDescent="0.35">
      <c r="A1779" s="5"/>
      <c r="B1779" s="50" t="s">
        <v>35</v>
      </c>
      <c r="C1779" s="7">
        <v>4</v>
      </c>
      <c r="D1779" s="7">
        <v>2.91</v>
      </c>
      <c r="E1779" s="85">
        <f t="shared" si="119"/>
        <v>11.64</v>
      </c>
    </row>
    <row r="1780" spans="1:5" ht="18" x14ac:dyDescent="0.35">
      <c r="A1780" s="5"/>
      <c r="B1780" s="50" t="s">
        <v>36</v>
      </c>
      <c r="C1780" s="7">
        <v>4</v>
      </c>
      <c r="D1780" s="7">
        <v>0.61</v>
      </c>
      <c r="E1780" s="85">
        <f t="shared" si="119"/>
        <v>2.44</v>
      </c>
    </row>
    <row r="1781" spans="1:5" ht="18" x14ac:dyDescent="0.35">
      <c r="A1781" s="5"/>
      <c r="B1781" s="5"/>
      <c r="C1781" s="54"/>
      <c r="D1781" s="54"/>
      <c r="E1781" s="89">
        <f>SUM(E1773:E1780)</f>
        <v>609.39156000000014</v>
      </c>
    </row>
    <row r="1782" spans="1:5" ht="18" x14ac:dyDescent="0.35">
      <c r="A1782" s="5"/>
      <c r="B1782" s="5"/>
      <c r="C1782" s="54"/>
      <c r="D1782" s="54" t="s">
        <v>1129</v>
      </c>
      <c r="E1782" s="89">
        <f>E1781+E1781*10%</f>
        <v>670.33071600000017</v>
      </c>
    </row>
    <row r="1783" spans="1:5" ht="18" x14ac:dyDescent="0.35">
      <c r="A1783" s="5"/>
      <c r="B1783" s="50" t="s">
        <v>37</v>
      </c>
      <c r="C1783" s="54">
        <v>1</v>
      </c>
      <c r="D1783" s="54">
        <v>65</v>
      </c>
      <c r="E1783" s="85">
        <f>C1783*D1783</f>
        <v>65</v>
      </c>
    </row>
    <row r="1784" spans="1:5" ht="18" x14ac:dyDescent="0.35">
      <c r="A1784" s="5"/>
      <c r="B1784" s="5"/>
      <c r="C1784" s="54"/>
      <c r="D1784" s="54"/>
      <c r="E1784" s="85">
        <f>SUM(E1782:E1783)</f>
        <v>735.33071600000017</v>
      </c>
    </row>
    <row r="1786" spans="1:5" ht="21" x14ac:dyDescent="0.4">
      <c r="A1786" s="40" t="s">
        <v>599</v>
      </c>
      <c r="B1786" s="40"/>
      <c r="C1786" s="84"/>
    </row>
    <row r="1787" spans="1:5" ht="18" x14ac:dyDescent="0.35">
      <c r="A1787" s="5" t="s">
        <v>1609</v>
      </c>
      <c r="B1787" s="5"/>
      <c r="C1787" s="7" t="s">
        <v>28</v>
      </c>
      <c r="D1787" s="7" t="s">
        <v>29</v>
      </c>
      <c r="E1787" s="7" t="s">
        <v>30</v>
      </c>
    </row>
    <row r="1788" spans="1:5" ht="18" x14ac:dyDescent="0.35">
      <c r="A1788" s="5" t="s">
        <v>212</v>
      </c>
      <c r="B1788" s="50" t="s">
        <v>32</v>
      </c>
      <c r="C1788" s="7">
        <v>2.669</v>
      </c>
      <c r="D1788" s="7">
        <v>10.34</v>
      </c>
      <c r="E1788" s="85">
        <f t="shared" ref="E1788:E1793" si="120">C1788*D1788</f>
        <v>27.597460000000002</v>
      </c>
    </row>
    <row r="1789" spans="1:5" ht="18" x14ac:dyDescent="0.35">
      <c r="A1789" s="5" t="s">
        <v>1610</v>
      </c>
      <c r="B1789" s="50" t="s">
        <v>33</v>
      </c>
      <c r="C1789" s="7">
        <v>10.395</v>
      </c>
      <c r="D1789" s="7">
        <v>16.170000000000002</v>
      </c>
      <c r="E1789" s="85">
        <f t="shared" si="120"/>
        <v>168.08715000000001</v>
      </c>
    </row>
    <row r="1790" spans="1:5" ht="18" x14ac:dyDescent="0.35">
      <c r="A1790" s="102" t="s">
        <v>1222</v>
      </c>
      <c r="B1790" s="50" t="s">
        <v>1611</v>
      </c>
      <c r="C1790" s="7">
        <v>2</v>
      </c>
      <c r="D1790" s="7">
        <v>1.48</v>
      </c>
      <c r="E1790" s="85">
        <f t="shared" si="120"/>
        <v>2.96</v>
      </c>
    </row>
    <row r="1791" spans="1:5" ht="18" x14ac:dyDescent="0.35">
      <c r="A1791" s="5"/>
      <c r="B1791" s="50" t="s">
        <v>34</v>
      </c>
      <c r="C1791" s="7">
        <v>0.61499999999999999</v>
      </c>
      <c r="D1791" s="7">
        <v>14.61</v>
      </c>
      <c r="E1791" s="85">
        <f t="shared" si="120"/>
        <v>8.9851499999999991</v>
      </c>
    </row>
    <row r="1792" spans="1:5" ht="18" x14ac:dyDescent="0.35">
      <c r="A1792" s="5"/>
      <c r="B1792" s="50" t="s">
        <v>35</v>
      </c>
      <c r="C1792" s="7">
        <v>4</v>
      </c>
      <c r="D1792" s="7">
        <v>2.91</v>
      </c>
      <c r="E1792" s="85">
        <f t="shared" si="120"/>
        <v>11.64</v>
      </c>
    </row>
    <row r="1793" spans="1:5" ht="18" x14ac:dyDescent="0.35">
      <c r="A1793" s="5"/>
      <c r="B1793" s="50" t="s">
        <v>36</v>
      </c>
      <c r="C1793" s="7">
        <v>4</v>
      </c>
      <c r="D1793" s="7">
        <v>0.61</v>
      </c>
      <c r="E1793" s="85">
        <f t="shared" si="120"/>
        <v>2.44</v>
      </c>
    </row>
    <row r="1794" spans="1:5" ht="18" x14ac:dyDescent="0.35">
      <c r="A1794" s="5"/>
      <c r="B1794" s="5"/>
      <c r="C1794" s="54"/>
      <c r="D1794" s="54"/>
      <c r="E1794" s="89">
        <f>SUM(E1788:E1793)</f>
        <v>221.70976000000002</v>
      </c>
    </row>
    <row r="1795" spans="1:5" ht="18" x14ac:dyDescent="0.35">
      <c r="A1795" s="5"/>
      <c r="B1795" s="5"/>
      <c r="C1795" s="54"/>
      <c r="D1795" s="54" t="s">
        <v>1158</v>
      </c>
      <c r="E1795" s="89">
        <f>E1794+E1794*10%</f>
        <v>243.88073600000001</v>
      </c>
    </row>
    <row r="1796" spans="1:5" ht="18" x14ac:dyDescent="0.35">
      <c r="A1796" s="5"/>
      <c r="B1796" s="50" t="s">
        <v>37</v>
      </c>
      <c r="C1796" s="54">
        <v>30</v>
      </c>
      <c r="D1796" s="54">
        <v>1.42</v>
      </c>
      <c r="E1796" s="85">
        <f>C1796*D1796</f>
        <v>42.599999999999994</v>
      </c>
    </row>
    <row r="1797" spans="1:5" ht="18" x14ac:dyDescent="0.35">
      <c r="A1797" s="5"/>
      <c r="B1797" s="5"/>
      <c r="C1797" s="54"/>
      <c r="D1797" s="54"/>
      <c r="E1797" s="85">
        <f>SUM(E1795:E1796)</f>
        <v>286.48073599999998</v>
      </c>
    </row>
    <row r="1799" spans="1:5" ht="21" x14ac:dyDescent="0.4">
      <c r="A1799" s="40" t="s">
        <v>599</v>
      </c>
      <c r="B1799" s="40"/>
      <c r="C1799" s="84"/>
    </row>
    <row r="1800" spans="1:5" ht="18" x14ac:dyDescent="0.35">
      <c r="A1800" s="5" t="s">
        <v>1612</v>
      </c>
      <c r="B1800" s="5"/>
      <c r="C1800" s="7" t="s">
        <v>28</v>
      </c>
      <c r="D1800" s="7" t="s">
        <v>29</v>
      </c>
      <c r="E1800" s="7" t="s">
        <v>30</v>
      </c>
    </row>
    <row r="1801" spans="1:5" ht="18" x14ac:dyDescent="0.35">
      <c r="A1801" s="5" t="s">
        <v>212</v>
      </c>
      <c r="B1801" s="50" t="s">
        <v>32</v>
      </c>
      <c r="C1801" s="7">
        <v>2.8050000000000002</v>
      </c>
      <c r="D1801" s="7">
        <v>10.34</v>
      </c>
      <c r="E1801" s="85">
        <f t="shared" ref="E1801:E1806" si="121">C1801*D1801</f>
        <v>29.003700000000002</v>
      </c>
    </row>
    <row r="1802" spans="1:5" ht="18" x14ac:dyDescent="0.35">
      <c r="A1802" s="5" t="s">
        <v>976</v>
      </c>
      <c r="B1802" s="50" t="s">
        <v>33</v>
      </c>
      <c r="C1802" s="7">
        <v>10.815</v>
      </c>
      <c r="D1802" s="7">
        <v>16.170000000000002</v>
      </c>
      <c r="E1802" s="85">
        <f t="shared" si="121"/>
        <v>174.87855000000002</v>
      </c>
    </row>
    <row r="1803" spans="1:5" ht="18" x14ac:dyDescent="0.35">
      <c r="A1803" s="102" t="s">
        <v>1222</v>
      </c>
      <c r="B1803" s="50" t="s">
        <v>1613</v>
      </c>
      <c r="C1803" s="7">
        <v>2</v>
      </c>
      <c r="D1803" s="7">
        <v>1.48</v>
      </c>
      <c r="E1803" s="85">
        <f t="shared" si="121"/>
        <v>2.96</v>
      </c>
    </row>
    <row r="1804" spans="1:5" ht="18" x14ac:dyDescent="0.35">
      <c r="A1804" s="5"/>
      <c r="B1804" s="50" t="s">
        <v>34</v>
      </c>
      <c r="C1804" s="7">
        <v>0.69</v>
      </c>
      <c r="D1804" s="7">
        <v>14.61</v>
      </c>
      <c r="E1804" s="85">
        <f t="shared" si="121"/>
        <v>10.080899999999998</v>
      </c>
    </row>
    <row r="1805" spans="1:5" ht="18" x14ac:dyDescent="0.35">
      <c r="A1805" s="5"/>
      <c r="B1805" s="50" t="s">
        <v>35</v>
      </c>
      <c r="C1805" s="7">
        <v>4</v>
      </c>
      <c r="D1805" s="7">
        <v>2.91</v>
      </c>
      <c r="E1805" s="85">
        <f t="shared" si="121"/>
        <v>11.64</v>
      </c>
    </row>
    <row r="1806" spans="1:5" ht="18" x14ac:dyDescent="0.35">
      <c r="A1806" s="5"/>
      <c r="B1806" s="50" t="s">
        <v>36</v>
      </c>
      <c r="C1806" s="7">
        <v>4</v>
      </c>
      <c r="D1806" s="7">
        <v>0.61</v>
      </c>
      <c r="E1806" s="85">
        <f t="shared" si="121"/>
        <v>2.44</v>
      </c>
    </row>
    <row r="1807" spans="1:5" ht="18" x14ac:dyDescent="0.35">
      <c r="A1807" s="5"/>
      <c r="B1807" s="5"/>
      <c r="C1807" s="54"/>
      <c r="D1807" s="54"/>
      <c r="E1807" s="89">
        <f>SUM(E1801:E1806)</f>
        <v>231.00315000000001</v>
      </c>
    </row>
    <row r="1808" spans="1:5" ht="18" x14ac:dyDescent="0.35">
      <c r="A1808" s="5"/>
      <c r="B1808" s="5"/>
      <c r="C1808" s="54"/>
      <c r="D1808" s="54" t="s">
        <v>1158</v>
      </c>
      <c r="E1808" s="89">
        <f>E1807+E1807*10%</f>
        <v>254.103465</v>
      </c>
    </row>
    <row r="1809" spans="1:5" ht="18" x14ac:dyDescent="0.35">
      <c r="A1809" s="5"/>
      <c r="B1809" s="50" t="s">
        <v>37</v>
      </c>
      <c r="C1809" s="54">
        <v>30</v>
      </c>
      <c r="D1809" s="54">
        <v>1.42</v>
      </c>
      <c r="E1809" s="85">
        <f>C1809*D1809</f>
        <v>42.599999999999994</v>
      </c>
    </row>
    <row r="1810" spans="1:5" ht="18" x14ac:dyDescent="0.35">
      <c r="A1810" s="5"/>
      <c r="B1810" s="5"/>
      <c r="C1810" s="54"/>
      <c r="D1810" s="54"/>
      <c r="E1810" s="85">
        <f>SUM(E1808:E1809)</f>
        <v>296.70346499999999</v>
      </c>
    </row>
    <row r="1812" spans="1:5" ht="21" x14ac:dyDescent="0.4">
      <c r="A1812" s="40" t="s">
        <v>599</v>
      </c>
      <c r="B1812" s="40"/>
      <c r="C1812" s="84"/>
    </row>
    <row r="1813" spans="1:5" ht="18" x14ac:dyDescent="0.35">
      <c r="A1813" s="5" t="s">
        <v>248</v>
      </c>
      <c r="B1813" s="5"/>
      <c r="C1813" s="7" t="s">
        <v>28</v>
      </c>
      <c r="D1813" s="7" t="s">
        <v>29</v>
      </c>
      <c r="E1813" s="7" t="s">
        <v>30</v>
      </c>
    </row>
    <row r="1814" spans="1:5" ht="18" x14ac:dyDescent="0.35">
      <c r="A1814" s="5" t="s">
        <v>1629</v>
      </c>
      <c r="B1814" s="50" t="s">
        <v>32</v>
      </c>
      <c r="C1814" s="7">
        <v>2.7850000000000001</v>
      </c>
      <c r="D1814" s="7">
        <v>10.34</v>
      </c>
      <c r="E1814" s="85">
        <f t="shared" ref="E1814:E1819" si="122">C1814*D1814</f>
        <v>28.796900000000001</v>
      </c>
    </row>
    <row r="1815" spans="1:5" ht="18" x14ac:dyDescent="0.35">
      <c r="A1815" s="5" t="s">
        <v>846</v>
      </c>
      <c r="B1815" s="50" t="s">
        <v>33</v>
      </c>
      <c r="C1815" s="7">
        <v>2.4990000000000001</v>
      </c>
      <c r="D1815" s="7">
        <v>16.170000000000002</v>
      </c>
      <c r="E1815" s="85">
        <f t="shared" si="122"/>
        <v>40.408830000000009</v>
      </c>
    </row>
    <row r="1816" spans="1:5" ht="18" x14ac:dyDescent="0.35">
      <c r="A1816" s="102" t="s">
        <v>1222</v>
      </c>
      <c r="B1816" s="50" t="s">
        <v>646</v>
      </c>
      <c r="C1816" s="7">
        <v>2</v>
      </c>
      <c r="D1816" s="7">
        <v>1.1499999999999999</v>
      </c>
      <c r="E1816" s="85">
        <f t="shared" si="122"/>
        <v>2.2999999999999998</v>
      </c>
    </row>
    <row r="1817" spans="1:5" ht="18" x14ac:dyDescent="0.35">
      <c r="A1817" s="5"/>
      <c r="B1817" s="50" t="s">
        <v>34</v>
      </c>
      <c r="C1817" s="7">
        <v>0.3</v>
      </c>
      <c r="D1817" s="7">
        <v>14.61</v>
      </c>
      <c r="E1817" s="85">
        <f t="shared" si="122"/>
        <v>4.383</v>
      </c>
    </row>
    <row r="1818" spans="1:5" ht="18" x14ac:dyDescent="0.35">
      <c r="A1818" s="5"/>
      <c r="B1818" s="50" t="s">
        <v>35</v>
      </c>
      <c r="C1818" s="7">
        <v>4</v>
      </c>
      <c r="D1818" s="7">
        <v>2.91</v>
      </c>
      <c r="E1818" s="85">
        <f t="shared" si="122"/>
        <v>11.64</v>
      </c>
    </row>
    <row r="1819" spans="1:5" ht="18" x14ac:dyDescent="0.35">
      <c r="A1819" s="5"/>
      <c r="B1819" s="50" t="s">
        <v>36</v>
      </c>
      <c r="C1819" s="7">
        <v>4</v>
      </c>
      <c r="D1819" s="7">
        <v>0.61</v>
      </c>
      <c r="E1819" s="85">
        <f t="shared" si="122"/>
        <v>2.44</v>
      </c>
    </row>
    <row r="1820" spans="1:5" ht="18" x14ac:dyDescent="0.35">
      <c r="A1820" s="5"/>
      <c r="B1820" s="5"/>
      <c r="C1820" s="54"/>
      <c r="D1820" s="54"/>
      <c r="E1820" s="89">
        <f>SUM(E1814:E1819)</f>
        <v>89.968730000000008</v>
      </c>
    </row>
    <row r="1821" spans="1:5" ht="18" x14ac:dyDescent="0.35">
      <c r="A1821" s="5"/>
      <c r="B1821" s="5"/>
      <c r="C1821" s="54"/>
      <c r="D1821" s="54" t="s">
        <v>1158</v>
      </c>
      <c r="E1821" s="89">
        <f>E1820+E1820*10%</f>
        <v>98.965603000000016</v>
      </c>
    </row>
    <row r="1822" spans="1:5" ht="18" x14ac:dyDescent="0.35">
      <c r="A1822" s="5"/>
      <c r="B1822" s="50" t="s">
        <v>37</v>
      </c>
      <c r="C1822" s="54">
        <v>30</v>
      </c>
      <c r="D1822" s="54">
        <v>1.42</v>
      </c>
      <c r="E1822" s="85">
        <f>C1822*D1822</f>
        <v>42.599999999999994</v>
      </c>
    </row>
    <row r="1823" spans="1:5" ht="18" x14ac:dyDescent="0.35">
      <c r="A1823" s="5"/>
      <c r="B1823" s="5"/>
      <c r="C1823" s="54"/>
      <c r="D1823" s="54"/>
      <c r="E1823" s="85">
        <f>SUM(E1821:E1822)</f>
        <v>141.56560300000001</v>
      </c>
    </row>
    <row r="1825" spans="1:5" ht="21" x14ac:dyDescent="0.4">
      <c r="A1825" s="40" t="s">
        <v>599</v>
      </c>
      <c r="B1825" s="40"/>
      <c r="C1825" s="84"/>
    </row>
    <row r="1826" spans="1:5" ht="18" x14ac:dyDescent="0.35">
      <c r="A1826" s="5" t="s">
        <v>211</v>
      </c>
      <c r="B1826" s="5"/>
      <c r="C1826" s="7" t="s">
        <v>28</v>
      </c>
      <c r="D1826" s="7" t="s">
        <v>29</v>
      </c>
      <c r="E1826" s="7" t="s">
        <v>30</v>
      </c>
    </row>
    <row r="1827" spans="1:5" ht="18" x14ac:dyDescent="0.35">
      <c r="A1827" s="5" t="s">
        <v>1629</v>
      </c>
      <c r="B1827" s="50" t="s">
        <v>32</v>
      </c>
      <c r="C1827" s="7">
        <v>1.3149999999999999</v>
      </c>
      <c r="D1827" s="7">
        <v>10.34</v>
      </c>
      <c r="E1827" s="85">
        <f t="shared" ref="E1827:E1832" si="123">C1827*D1827</f>
        <v>13.597099999999999</v>
      </c>
    </row>
    <row r="1828" spans="1:5" ht="18" x14ac:dyDescent="0.35">
      <c r="A1828" s="5" t="s">
        <v>846</v>
      </c>
      <c r="B1828" s="50" t="s">
        <v>33</v>
      </c>
      <c r="C1828" s="7">
        <v>1.0289999999999999</v>
      </c>
      <c r="D1828" s="7">
        <v>16.170000000000002</v>
      </c>
      <c r="E1828" s="85">
        <f t="shared" si="123"/>
        <v>16.638930000000002</v>
      </c>
    </row>
    <row r="1829" spans="1:5" ht="18" x14ac:dyDescent="0.35">
      <c r="A1829" s="102" t="s">
        <v>1222</v>
      </c>
      <c r="B1829" s="50" t="s">
        <v>646</v>
      </c>
      <c r="C1829" s="7">
        <v>2</v>
      </c>
      <c r="D1829" s="7">
        <v>1.1499999999999999</v>
      </c>
      <c r="E1829" s="85">
        <f t="shared" si="123"/>
        <v>2.2999999999999998</v>
      </c>
    </row>
    <row r="1830" spans="1:5" ht="18" x14ac:dyDescent="0.35">
      <c r="A1830" s="5"/>
      <c r="B1830" s="50" t="s">
        <v>34</v>
      </c>
      <c r="C1830" s="7">
        <v>0.3</v>
      </c>
      <c r="D1830" s="7">
        <v>14.61</v>
      </c>
      <c r="E1830" s="85">
        <f t="shared" si="123"/>
        <v>4.383</v>
      </c>
    </row>
    <row r="1831" spans="1:5" ht="18" x14ac:dyDescent="0.35">
      <c r="A1831" s="5"/>
      <c r="B1831" s="50" t="s">
        <v>35</v>
      </c>
      <c r="C1831" s="7">
        <v>4</v>
      </c>
      <c r="D1831" s="7">
        <v>2.91</v>
      </c>
      <c r="E1831" s="85">
        <f t="shared" si="123"/>
        <v>11.64</v>
      </c>
    </row>
    <row r="1832" spans="1:5" ht="18" x14ac:dyDescent="0.35">
      <c r="A1832" s="5"/>
      <c r="B1832" s="50" t="s">
        <v>36</v>
      </c>
      <c r="C1832" s="7">
        <v>4</v>
      </c>
      <c r="D1832" s="7">
        <v>0.61</v>
      </c>
      <c r="E1832" s="85">
        <f t="shared" si="123"/>
        <v>2.44</v>
      </c>
    </row>
    <row r="1833" spans="1:5" ht="18" x14ac:dyDescent="0.35">
      <c r="A1833" s="5"/>
      <c r="B1833" s="5"/>
      <c r="C1833" s="54"/>
      <c r="D1833" s="54"/>
      <c r="E1833" s="89">
        <f>SUM(E1827:E1832)</f>
        <v>50.999029999999998</v>
      </c>
    </row>
    <row r="1834" spans="1:5" ht="18" x14ac:dyDescent="0.35">
      <c r="A1834" s="5"/>
      <c r="B1834" s="5"/>
      <c r="C1834" s="54"/>
      <c r="D1834" s="54" t="s">
        <v>1158</v>
      </c>
      <c r="E1834" s="89">
        <f>E1833+E1833*10%</f>
        <v>56.098932999999995</v>
      </c>
    </row>
    <row r="1835" spans="1:5" ht="18" x14ac:dyDescent="0.35">
      <c r="A1835" s="5"/>
      <c r="B1835" s="50" t="s">
        <v>37</v>
      </c>
      <c r="C1835" s="54">
        <v>30</v>
      </c>
      <c r="D1835" s="54">
        <v>1.42</v>
      </c>
      <c r="E1835" s="85">
        <f>C1835*D1835</f>
        <v>42.599999999999994</v>
      </c>
    </row>
    <row r="1836" spans="1:5" ht="18" x14ac:dyDescent="0.35">
      <c r="A1836" s="5"/>
      <c r="B1836" s="5"/>
      <c r="C1836" s="54"/>
      <c r="D1836" s="54"/>
      <c r="E1836" s="85">
        <f>SUM(E1834:E1835)</f>
        <v>98.698932999999982</v>
      </c>
    </row>
    <row r="1838" spans="1:5" ht="21" x14ac:dyDescent="0.4">
      <c r="A1838" s="40" t="s">
        <v>599</v>
      </c>
      <c r="B1838" s="40"/>
      <c r="C1838" s="84"/>
    </row>
    <row r="1839" spans="1:5" ht="18" x14ac:dyDescent="0.35">
      <c r="A1839" s="5" t="s">
        <v>1671</v>
      </c>
      <c r="B1839" s="5"/>
      <c r="C1839" s="7" t="s">
        <v>28</v>
      </c>
      <c r="D1839" s="7" t="s">
        <v>29</v>
      </c>
      <c r="E1839" s="7" t="s">
        <v>30</v>
      </c>
    </row>
    <row r="1840" spans="1:5" ht="18" x14ac:dyDescent="0.35">
      <c r="A1840" s="5" t="s">
        <v>1672</v>
      </c>
      <c r="B1840" s="50" t="s">
        <v>32</v>
      </c>
      <c r="C1840" s="7">
        <v>0.6</v>
      </c>
      <c r="D1840" s="7">
        <v>10.34</v>
      </c>
      <c r="E1840" s="85">
        <f t="shared" ref="E1840:E1845" si="124">C1840*D1840</f>
        <v>6.2039999999999997</v>
      </c>
    </row>
    <row r="1841" spans="1:5" ht="18" x14ac:dyDescent="0.35">
      <c r="A1841" s="5" t="s">
        <v>846</v>
      </c>
      <c r="B1841" s="50" t="s">
        <v>33</v>
      </c>
      <c r="C1841" s="7">
        <v>0.46200000000000002</v>
      </c>
      <c r="D1841" s="7">
        <v>16.170000000000002</v>
      </c>
      <c r="E1841" s="85">
        <f t="shared" si="124"/>
        <v>7.4705400000000015</v>
      </c>
    </row>
    <row r="1842" spans="1:5" ht="18" x14ac:dyDescent="0.35">
      <c r="A1842" s="102" t="s">
        <v>1222</v>
      </c>
      <c r="B1842" s="50" t="s">
        <v>646</v>
      </c>
      <c r="C1842" s="7">
        <v>2</v>
      </c>
      <c r="D1842" s="7">
        <v>1.1499999999999999</v>
      </c>
      <c r="E1842" s="85">
        <f t="shared" si="124"/>
        <v>2.2999999999999998</v>
      </c>
    </row>
    <row r="1843" spans="1:5" ht="18" x14ac:dyDescent="0.35">
      <c r="A1843" s="5"/>
      <c r="B1843" s="50" t="s">
        <v>34</v>
      </c>
      <c r="C1843" s="7"/>
      <c r="D1843" s="7">
        <v>14.61</v>
      </c>
      <c r="E1843" s="85">
        <f t="shared" si="124"/>
        <v>0</v>
      </c>
    </row>
    <row r="1844" spans="1:5" ht="18" x14ac:dyDescent="0.35">
      <c r="A1844" s="5"/>
      <c r="B1844" s="50" t="s">
        <v>35</v>
      </c>
      <c r="C1844" s="7">
        <v>4</v>
      </c>
      <c r="D1844" s="7">
        <v>2.91</v>
      </c>
      <c r="E1844" s="85">
        <f t="shared" si="124"/>
        <v>11.64</v>
      </c>
    </row>
    <row r="1845" spans="1:5" ht="18" x14ac:dyDescent="0.35">
      <c r="A1845" s="5"/>
      <c r="B1845" s="50" t="s">
        <v>36</v>
      </c>
      <c r="C1845" s="7">
        <v>4</v>
      </c>
      <c r="D1845" s="7">
        <v>0.61</v>
      </c>
      <c r="E1845" s="85">
        <f t="shared" si="124"/>
        <v>2.44</v>
      </c>
    </row>
    <row r="1846" spans="1:5" ht="18" x14ac:dyDescent="0.35">
      <c r="A1846" s="5"/>
      <c r="B1846" s="5"/>
      <c r="C1846" s="54"/>
      <c r="D1846" s="54"/>
      <c r="E1846" s="89">
        <f>SUM(E1840:E1845)</f>
        <v>30.054540000000003</v>
      </c>
    </row>
    <row r="1847" spans="1:5" ht="18" x14ac:dyDescent="0.35">
      <c r="A1847" s="5"/>
      <c r="B1847" s="5"/>
      <c r="C1847" s="54"/>
      <c r="D1847" s="54" t="s">
        <v>1158</v>
      </c>
      <c r="E1847" s="89">
        <f>E1846+E1846*10%</f>
        <v>33.059994000000003</v>
      </c>
    </row>
    <row r="1848" spans="1:5" ht="18" x14ac:dyDescent="0.35">
      <c r="A1848" s="5"/>
      <c r="B1848" s="50" t="s">
        <v>37</v>
      </c>
      <c r="C1848" s="54">
        <v>20</v>
      </c>
      <c r="D1848" s="54">
        <v>1.42</v>
      </c>
      <c r="E1848" s="85">
        <f>C1848*D1848</f>
        <v>28.4</v>
      </c>
    </row>
    <row r="1849" spans="1:5" ht="18" x14ac:dyDescent="0.35">
      <c r="A1849" s="5"/>
      <c r="B1849" s="5"/>
      <c r="C1849" s="54"/>
      <c r="D1849" s="54"/>
      <c r="E1849" s="85">
        <f>SUM(E1847:E1848)</f>
        <v>61.459994000000002</v>
      </c>
    </row>
    <row r="1851" spans="1:5" ht="21" x14ac:dyDescent="0.4">
      <c r="A1851" s="40" t="s">
        <v>873</v>
      </c>
      <c r="B1851" s="40"/>
      <c r="C1851" s="40"/>
      <c r="D1851" s="12"/>
      <c r="E1851" s="12"/>
    </row>
    <row r="1852" spans="1:5" ht="18" x14ac:dyDescent="0.35">
      <c r="A1852" s="5"/>
      <c r="B1852" s="5"/>
      <c r="C1852" s="7" t="s">
        <v>28</v>
      </c>
      <c r="D1852" s="7" t="s">
        <v>29</v>
      </c>
      <c r="E1852" s="7" t="s">
        <v>30</v>
      </c>
    </row>
    <row r="1853" spans="1:5" ht="18" x14ac:dyDescent="0.35">
      <c r="A1853" s="5" t="s">
        <v>44</v>
      </c>
      <c r="B1853" s="50" t="s">
        <v>32</v>
      </c>
      <c r="C1853" s="7">
        <v>1.6080000000000001</v>
      </c>
      <c r="D1853" s="7">
        <v>10.34</v>
      </c>
      <c r="E1853" s="85">
        <f>C1853*D1853</f>
        <v>16.626720000000002</v>
      </c>
    </row>
    <row r="1854" spans="1:5" ht="18" x14ac:dyDescent="0.35">
      <c r="A1854" s="5" t="s">
        <v>238</v>
      </c>
      <c r="B1854" s="50" t="s">
        <v>33</v>
      </c>
      <c r="C1854" s="7">
        <v>1.6080000000000001</v>
      </c>
      <c r="D1854" s="7">
        <v>17.059999999999999</v>
      </c>
      <c r="E1854" s="85">
        <f>C1854*D1854</f>
        <v>27.432479999999998</v>
      </c>
    </row>
    <row r="1855" spans="1:5" ht="18" x14ac:dyDescent="0.35">
      <c r="A1855" s="5" t="s">
        <v>696</v>
      </c>
      <c r="B1855" s="50" t="s">
        <v>137</v>
      </c>
      <c r="C1855" s="7">
        <v>0.21</v>
      </c>
      <c r="D1855" s="7">
        <v>15.25</v>
      </c>
      <c r="E1855" s="85">
        <f>C1855*D1855</f>
        <v>3.2024999999999997</v>
      </c>
    </row>
    <row r="1856" spans="1:5" ht="18" x14ac:dyDescent="0.35">
      <c r="A1856" s="5"/>
      <c r="B1856" s="50" t="s">
        <v>35</v>
      </c>
      <c r="C1856" s="7">
        <v>4</v>
      </c>
      <c r="D1856" s="7">
        <v>2.91</v>
      </c>
      <c r="E1856" s="85">
        <f>C1856*D1856</f>
        <v>11.64</v>
      </c>
    </row>
    <row r="1857" spans="1:5" ht="18" x14ac:dyDescent="0.35">
      <c r="A1857" s="5"/>
      <c r="B1857" s="50" t="s">
        <v>36</v>
      </c>
      <c r="C1857" s="7">
        <v>4</v>
      </c>
      <c r="D1857" s="7">
        <v>0.61</v>
      </c>
      <c r="E1857" s="85">
        <f>C1857*D1857</f>
        <v>2.44</v>
      </c>
    </row>
    <row r="1858" spans="1:5" ht="18" x14ac:dyDescent="0.35">
      <c r="A1858" s="5"/>
      <c r="B1858" s="50"/>
      <c r="C1858" s="87"/>
      <c r="D1858" s="88"/>
      <c r="E1858" s="85">
        <f>SUM(E1853:E1857)</f>
        <v>61.341700000000003</v>
      </c>
    </row>
    <row r="1859" spans="1:5" ht="18" x14ac:dyDescent="0.35">
      <c r="A1859" s="5"/>
      <c r="B1859" s="50"/>
      <c r="C1859" s="87"/>
      <c r="D1859" s="88" t="s">
        <v>1085</v>
      </c>
      <c r="E1859" s="85">
        <f>E1858+E1858*10%</f>
        <v>67.47587</v>
      </c>
    </row>
    <row r="1860" spans="1:5" ht="18" x14ac:dyDescent="0.35">
      <c r="A1860" s="5"/>
      <c r="B1860" s="50" t="s">
        <v>37</v>
      </c>
      <c r="C1860" s="54">
        <v>0.5</v>
      </c>
      <c r="D1860" s="86">
        <v>85</v>
      </c>
      <c r="E1860" s="85">
        <f>C1860*D1860</f>
        <v>42.5</v>
      </c>
    </row>
    <row r="1861" spans="1:5" ht="18" x14ac:dyDescent="0.35">
      <c r="A1861" s="5"/>
      <c r="B1861" s="5"/>
      <c r="C1861" s="54"/>
      <c r="D1861" s="54"/>
      <c r="E1861" s="85">
        <f>SUM(E1859:E1860)</f>
        <v>109.97587</v>
      </c>
    </row>
    <row r="1863" spans="1:5" ht="21" x14ac:dyDescent="0.4">
      <c r="A1863" s="40" t="s">
        <v>1680</v>
      </c>
      <c r="B1863" s="40"/>
      <c r="C1863" s="84"/>
    </row>
    <row r="1864" spans="1:5" ht="18" x14ac:dyDescent="0.35">
      <c r="B1864" s="5"/>
      <c r="C1864" s="7" t="s">
        <v>28</v>
      </c>
      <c r="D1864" s="7" t="s">
        <v>29</v>
      </c>
      <c r="E1864" s="7" t="s">
        <v>30</v>
      </c>
    </row>
    <row r="1865" spans="1:5" ht="18" x14ac:dyDescent="0.35">
      <c r="A1865" s="5" t="s">
        <v>1681</v>
      </c>
      <c r="B1865" s="50" t="s">
        <v>32</v>
      </c>
      <c r="C1865" s="7">
        <v>2.9950000000000001</v>
      </c>
      <c r="D1865" s="7">
        <v>10.34</v>
      </c>
      <c r="E1865" s="85">
        <f t="shared" ref="E1865:E1872" si="125">C1865*D1865</f>
        <v>30.968299999999999</v>
      </c>
    </row>
    <row r="1866" spans="1:5" ht="18" x14ac:dyDescent="0.35">
      <c r="A1866" s="5" t="s">
        <v>1220</v>
      </c>
      <c r="B1866" s="50" t="s">
        <v>33</v>
      </c>
      <c r="C1866" s="7">
        <v>6.4050000000000002</v>
      </c>
      <c r="D1866" s="7">
        <v>16.170000000000002</v>
      </c>
      <c r="E1866" s="85">
        <f t="shared" si="125"/>
        <v>103.56885000000001</v>
      </c>
    </row>
    <row r="1867" spans="1:5" ht="18" x14ac:dyDescent="0.35">
      <c r="A1867" s="5" t="s">
        <v>519</v>
      </c>
      <c r="B1867" s="50" t="s">
        <v>33</v>
      </c>
      <c r="C1867" s="7">
        <v>7.56</v>
      </c>
      <c r="D1867" s="7">
        <v>16.170000000000002</v>
      </c>
      <c r="E1867" s="85">
        <f t="shared" si="125"/>
        <v>122.24520000000001</v>
      </c>
    </row>
    <row r="1868" spans="1:5" ht="18" x14ac:dyDescent="0.35">
      <c r="A1868" s="5" t="s">
        <v>1682</v>
      </c>
      <c r="B1868" s="50" t="s">
        <v>1683</v>
      </c>
      <c r="C1868" s="7">
        <v>2</v>
      </c>
      <c r="D1868" s="7">
        <v>1.1499999999999999</v>
      </c>
      <c r="E1868" s="85">
        <f t="shared" si="125"/>
        <v>2.2999999999999998</v>
      </c>
    </row>
    <row r="1869" spans="1:5" ht="18" x14ac:dyDescent="0.35">
      <c r="A1869" s="5"/>
      <c r="B1869" s="50" t="s">
        <v>1684</v>
      </c>
      <c r="C1869" s="7">
        <v>2</v>
      </c>
      <c r="D1869" s="7">
        <v>7.13</v>
      </c>
      <c r="E1869" s="85">
        <f t="shared" si="125"/>
        <v>14.26</v>
      </c>
    </row>
    <row r="1870" spans="1:5" ht="18" x14ac:dyDescent="0.35">
      <c r="A1870" s="5"/>
      <c r="B1870" s="50" t="s">
        <v>34</v>
      </c>
      <c r="C1870" s="7">
        <v>0.68200000000000005</v>
      </c>
      <c r="D1870" s="7">
        <v>14.61</v>
      </c>
      <c r="E1870" s="85">
        <f t="shared" si="125"/>
        <v>9.9640199999999997</v>
      </c>
    </row>
    <row r="1871" spans="1:5" ht="18" x14ac:dyDescent="0.35">
      <c r="A1871" s="5"/>
      <c r="B1871" s="50" t="s">
        <v>35</v>
      </c>
      <c r="C1871" s="7">
        <v>4</v>
      </c>
      <c r="D1871" s="7">
        <v>2.91</v>
      </c>
      <c r="E1871" s="85">
        <f t="shared" si="125"/>
        <v>11.64</v>
      </c>
    </row>
    <row r="1872" spans="1:5" ht="18" x14ac:dyDescent="0.35">
      <c r="A1872" s="5"/>
      <c r="B1872" s="50" t="s">
        <v>36</v>
      </c>
      <c r="C1872" s="7">
        <v>4</v>
      </c>
      <c r="D1872" s="7">
        <v>0.61</v>
      </c>
      <c r="E1872" s="85">
        <f t="shared" si="125"/>
        <v>2.44</v>
      </c>
    </row>
    <row r="1873" spans="1:5" ht="18" x14ac:dyDescent="0.35">
      <c r="A1873" s="5"/>
      <c r="B1873" s="5"/>
      <c r="C1873" s="54"/>
      <c r="D1873" s="54"/>
      <c r="E1873" s="89">
        <f>SUM(E1865:E1872)</f>
        <v>297.38637</v>
      </c>
    </row>
    <row r="1874" spans="1:5" ht="18" x14ac:dyDescent="0.35">
      <c r="A1874" s="5"/>
      <c r="B1874" s="5"/>
      <c r="C1874" s="54"/>
      <c r="D1874" s="54" t="s">
        <v>1129</v>
      </c>
      <c r="E1874" s="89">
        <f>E1873+E1873*10%</f>
        <v>327.12500699999998</v>
      </c>
    </row>
    <row r="1875" spans="1:5" ht="18" x14ac:dyDescent="0.35">
      <c r="A1875" s="5"/>
      <c r="B1875" s="50" t="s">
        <v>37</v>
      </c>
      <c r="C1875" s="54">
        <v>1</v>
      </c>
      <c r="D1875" s="54">
        <v>65</v>
      </c>
      <c r="E1875" s="85">
        <f>C1875*D1875</f>
        <v>65</v>
      </c>
    </row>
    <row r="1876" spans="1:5" ht="18" x14ac:dyDescent="0.35">
      <c r="A1876" s="5"/>
      <c r="B1876" s="5"/>
      <c r="C1876" s="54"/>
      <c r="D1876" s="54"/>
      <c r="E1876" s="85">
        <v>395</v>
      </c>
    </row>
    <row r="1878" spans="1:5" ht="21" x14ac:dyDescent="0.4">
      <c r="A1878" s="40" t="s">
        <v>1712</v>
      </c>
      <c r="B1878" s="40"/>
      <c r="C1878" s="84"/>
    </row>
    <row r="1879" spans="1:5" ht="18" x14ac:dyDescent="0.35">
      <c r="A1879" s="5" t="s">
        <v>1358</v>
      </c>
      <c r="B1879" s="5"/>
      <c r="C1879" s="7" t="s">
        <v>28</v>
      </c>
      <c r="D1879" s="7" t="s">
        <v>29</v>
      </c>
      <c r="E1879" s="7" t="s">
        <v>30</v>
      </c>
    </row>
    <row r="1880" spans="1:5" ht="18" x14ac:dyDescent="0.35">
      <c r="A1880" s="5" t="s">
        <v>537</v>
      </c>
      <c r="B1880" s="50" t="s">
        <v>32</v>
      </c>
      <c r="C1880" s="7">
        <v>3.0779999999999998</v>
      </c>
      <c r="D1880" s="7">
        <v>10.34</v>
      </c>
      <c r="E1880" s="85">
        <f t="shared" ref="E1880:E1885" si="126">C1880*D1880</f>
        <v>31.826519999999999</v>
      </c>
    </row>
    <row r="1881" spans="1:5" ht="18" x14ac:dyDescent="0.35">
      <c r="A1881" s="5" t="s">
        <v>1713</v>
      </c>
      <c r="B1881" s="50" t="s">
        <v>33</v>
      </c>
      <c r="C1881" s="7">
        <v>23.908000000000001</v>
      </c>
      <c r="D1881" s="7">
        <v>16.170000000000002</v>
      </c>
      <c r="E1881" s="85">
        <f t="shared" si="126"/>
        <v>386.59236000000004</v>
      </c>
    </row>
    <row r="1882" spans="1:5" ht="18" x14ac:dyDescent="0.35">
      <c r="A1882" s="5" t="s">
        <v>1714</v>
      </c>
      <c r="B1882" s="50" t="s">
        <v>99</v>
      </c>
      <c r="C1882" s="7">
        <v>2</v>
      </c>
      <c r="D1882" s="7">
        <v>3.51</v>
      </c>
      <c r="E1882" s="85">
        <f t="shared" si="126"/>
        <v>7.02</v>
      </c>
    </row>
    <row r="1883" spans="1:5" ht="18" x14ac:dyDescent="0.35">
      <c r="A1883" s="5"/>
      <c r="B1883" s="50" t="s">
        <v>34</v>
      </c>
      <c r="C1883" s="7">
        <v>0.73499999999999999</v>
      </c>
      <c r="D1883" s="7">
        <v>14.61</v>
      </c>
      <c r="E1883" s="85">
        <f t="shared" si="126"/>
        <v>10.738349999999999</v>
      </c>
    </row>
    <row r="1884" spans="1:5" ht="18" x14ac:dyDescent="0.35">
      <c r="A1884" s="5"/>
      <c r="B1884" s="50" t="s">
        <v>35</v>
      </c>
      <c r="C1884" s="7">
        <v>4</v>
      </c>
      <c r="D1884" s="7">
        <v>2.91</v>
      </c>
      <c r="E1884" s="85">
        <f t="shared" si="126"/>
        <v>11.64</v>
      </c>
    </row>
    <row r="1885" spans="1:5" ht="18" x14ac:dyDescent="0.35">
      <c r="A1885" s="5"/>
      <c r="B1885" s="50" t="s">
        <v>36</v>
      </c>
      <c r="C1885" s="7">
        <v>4</v>
      </c>
      <c r="D1885" s="7">
        <v>0.61</v>
      </c>
      <c r="E1885" s="85">
        <f t="shared" si="126"/>
        <v>2.44</v>
      </c>
    </row>
    <row r="1886" spans="1:5" ht="18" x14ac:dyDescent="0.35">
      <c r="A1886" s="5"/>
      <c r="B1886" s="5"/>
      <c r="C1886" s="54"/>
      <c r="D1886" s="54"/>
      <c r="E1886" s="89">
        <f>SUM(E1880:E1885)</f>
        <v>450.25723000000005</v>
      </c>
    </row>
    <row r="1887" spans="1:5" ht="18" x14ac:dyDescent="0.35">
      <c r="A1887" s="5"/>
      <c r="B1887" s="5"/>
      <c r="C1887" s="54"/>
      <c r="D1887" s="54" t="s">
        <v>1129</v>
      </c>
      <c r="E1887" s="89">
        <f>E1886+E1886*10%</f>
        <v>495.28295300000008</v>
      </c>
    </row>
    <row r="1888" spans="1:5" ht="18" x14ac:dyDescent="0.35">
      <c r="A1888" s="5"/>
      <c r="B1888" s="50" t="s">
        <v>37</v>
      </c>
      <c r="C1888" s="54">
        <v>0.6</v>
      </c>
      <c r="D1888" s="54">
        <v>85</v>
      </c>
      <c r="E1888" s="85">
        <f>C1888*D1888</f>
        <v>51</v>
      </c>
    </row>
    <row r="1889" spans="1:5" ht="18" x14ac:dyDescent="0.35">
      <c r="A1889" s="5"/>
      <c r="B1889" s="5"/>
      <c r="C1889" s="54"/>
      <c r="D1889" s="54"/>
      <c r="E1889" s="85">
        <f>SUM(E1887:E1888)</f>
        <v>546.28295300000013</v>
      </c>
    </row>
    <row r="1892" spans="1:5" ht="21" x14ac:dyDescent="0.4">
      <c r="A1892" s="40" t="s">
        <v>1712</v>
      </c>
      <c r="B1892" s="40"/>
      <c r="C1892" s="84"/>
    </row>
    <row r="1893" spans="1:5" ht="18" x14ac:dyDescent="0.35">
      <c r="A1893" s="5" t="s">
        <v>1358</v>
      </c>
      <c r="B1893" s="5"/>
      <c r="C1893" s="7" t="s">
        <v>28</v>
      </c>
      <c r="D1893" s="7" t="s">
        <v>29</v>
      </c>
      <c r="E1893" s="7" t="s">
        <v>30</v>
      </c>
    </row>
    <row r="1894" spans="1:5" ht="18" x14ac:dyDescent="0.35">
      <c r="A1894" s="5" t="s">
        <v>1715</v>
      </c>
      <c r="B1894" s="50" t="s">
        <v>32</v>
      </c>
      <c r="C1894" s="7">
        <v>1.839</v>
      </c>
      <c r="D1894" s="7">
        <v>10.34</v>
      </c>
      <c r="E1894" s="85">
        <f t="shared" ref="E1894:E1899" si="127">C1894*D1894</f>
        <v>19.015259999999998</v>
      </c>
    </row>
    <row r="1895" spans="1:5" ht="18" x14ac:dyDescent="0.35">
      <c r="A1895" s="5" t="s">
        <v>54</v>
      </c>
      <c r="B1895" s="50" t="s">
        <v>33</v>
      </c>
      <c r="C1895" s="7">
        <v>7.88</v>
      </c>
      <c r="D1895" s="7">
        <v>16.170000000000002</v>
      </c>
      <c r="E1895" s="85">
        <f t="shared" si="127"/>
        <v>127.41960000000002</v>
      </c>
    </row>
    <row r="1896" spans="1:5" ht="18" x14ac:dyDescent="0.35">
      <c r="A1896" s="5" t="s">
        <v>1716</v>
      </c>
      <c r="B1896" s="50" t="s">
        <v>99</v>
      </c>
      <c r="C1896" s="7">
        <v>2</v>
      </c>
      <c r="D1896" s="7">
        <v>3.51</v>
      </c>
      <c r="E1896" s="85">
        <f t="shared" si="127"/>
        <v>7.02</v>
      </c>
    </row>
    <row r="1897" spans="1:5" ht="18" x14ac:dyDescent="0.35">
      <c r="A1897" s="5"/>
      <c r="B1897" s="50" t="s">
        <v>34</v>
      </c>
      <c r="C1897" s="7">
        <v>0.73499999999999999</v>
      </c>
      <c r="D1897" s="7">
        <v>14.61</v>
      </c>
      <c r="E1897" s="85">
        <f t="shared" si="127"/>
        <v>10.738349999999999</v>
      </c>
    </row>
    <row r="1898" spans="1:5" ht="18" x14ac:dyDescent="0.35">
      <c r="A1898" s="5"/>
      <c r="B1898" s="50" t="s">
        <v>35</v>
      </c>
      <c r="C1898" s="7">
        <v>4</v>
      </c>
      <c r="D1898" s="7">
        <v>2.91</v>
      </c>
      <c r="E1898" s="85">
        <f t="shared" si="127"/>
        <v>11.64</v>
      </c>
    </row>
    <row r="1899" spans="1:5" ht="18" x14ac:dyDescent="0.35">
      <c r="A1899" s="5"/>
      <c r="B1899" s="50" t="s">
        <v>36</v>
      </c>
      <c r="C1899" s="7">
        <v>4</v>
      </c>
      <c r="D1899" s="7">
        <v>0.61</v>
      </c>
      <c r="E1899" s="85">
        <f t="shared" si="127"/>
        <v>2.44</v>
      </c>
    </row>
    <row r="1900" spans="1:5" ht="18" x14ac:dyDescent="0.35">
      <c r="A1900" s="5"/>
      <c r="B1900" s="5"/>
      <c r="C1900" s="54"/>
      <c r="D1900" s="54"/>
      <c r="E1900" s="89">
        <f>SUM(E1894:E1899)</f>
        <v>178.27321000000001</v>
      </c>
    </row>
    <row r="1901" spans="1:5" ht="18" x14ac:dyDescent="0.35">
      <c r="A1901" s="5"/>
      <c r="B1901" s="5"/>
      <c r="C1901" s="54"/>
      <c r="D1901" s="54" t="s">
        <v>1129</v>
      </c>
      <c r="E1901" s="89">
        <f>E1900+E1900*10%</f>
        <v>196.10053100000002</v>
      </c>
    </row>
    <row r="1902" spans="1:5" ht="18" x14ac:dyDescent="0.35">
      <c r="A1902" s="5"/>
      <c r="B1902" s="50" t="s">
        <v>37</v>
      </c>
      <c r="C1902" s="54">
        <v>0.6</v>
      </c>
      <c r="D1902" s="54">
        <v>85</v>
      </c>
      <c r="E1902" s="85">
        <f>C1902*D1902</f>
        <v>51</v>
      </c>
    </row>
    <row r="1903" spans="1:5" ht="18" x14ac:dyDescent="0.35">
      <c r="A1903" s="5"/>
      <c r="B1903" s="5"/>
      <c r="C1903" s="54"/>
      <c r="D1903" s="54"/>
      <c r="E1903" s="85">
        <f>SUM(E1901:E1902)</f>
        <v>247.10053100000002</v>
      </c>
    </row>
    <row r="1905" spans="1:5" ht="21" x14ac:dyDescent="0.4">
      <c r="A1905" s="40" t="s">
        <v>1717</v>
      </c>
      <c r="B1905" s="40"/>
      <c r="C1905" s="40"/>
      <c r="D1905" s="12"/>
      <c r="E1905" s="12"/>
    </row>
    <row r="1906" spans="1:5" ht="18" x14ac:dyDescent="0.35">
      <c r="A1906" s="5"/>
      <c r="B1906" s="5"/>
      <c r="C1906" s="7" t="s">
        <v>28</v>
      </c>
      <c r="D1906" s="7" t="s">
        <v>29</v>
      </c>
      <c r="E1906" s="7" t="s">
        <v>30</v>
      </c>
    </row>
    <row r="1907" spans="1:5" ht="18" x14ac:dyDescent="0.35">
      <c r="A1907" s="5" t="s">
        <v>175</v>
      </c>
      <c r="B1907" s="50" t="s">
        <v>32</v>
      </c>
      <c r="C1907" s="7">
        <v>1.44</v>
      </c>
      <c r="D1907" s="7">
        <v>10.34</v>
      </c>
      <c r="E1907" s="85">
        <f>C1907*D1907</f>
        <v>14.8896</v>
      </c>
    </row>
    <row r="1908" spans="1:5" ht="18" x14ac:dyDescent="0.35">
      <c r="A1908" s="5" t="s">
        <v>260</v>
      </c>
      <c r="B1908" s="50" t="s">
        <v>33</v>
      </c>
      <c r="C1908" s="7">
        <v>3.601</v>
      </c>
      <c r="D1908" s="7">
        <v>17.059999999999999</v>
      </c>
      <c r="E1908" s="85">
        <f>C1908*D1908</f>
        <v>61.433059999999998</v>
      </c>
    </row>
    <row r="1909" spans="1:5" ht="18" x14ac:dyDescent="0.35">
      <c r="A1909" s="5" t="s">
        <v>696</v>
      </c>
      <c r="B1909" s="50" t="s">
        <v>137</v>
      </c>
      <c r="C1909" s="7">
        <v>0.24</v>
      </c>
      <c r="D1909" s="7">
        <v>15.25</v>
      </c>
      <c r="E1909" s="85">
        <f>C1909*D1909</f>
        <v>3.6599999999999997</v>
      </c>
    </row>
    <row r="1910" spans="1:5" ht="18" x14ac:dyDescent="0.35">
      <c r="A1910" s="5"/>
      <c r="B1910" s="50" t="s">
        <v>35</v>
      </c>
      <c r="C1910" s="7">
        <v>4</v>
      </c>
      <c r="D1910" s="7">
        <v>2.91</v>
      </c>
      <c r="E1910" s="85">
        <f>C1910*D1910</f>
        <v>11.64</v>
      </c>
    </row>
    <row r="1911" spans="1:5" ht="18" x14ac:dyDescent="0.35">
      <c r="A1911" s="5"/>
      <c r="B1911" s="50" t="s">
        <v>36</v>
      </c>
      <c r="C1911" s="7">
        <v>4</v>
      </c>
      <c r="D1911" s="7">
        <v>0.61</v>
      </c>
      <c r="E1911" s="85">
        <f>C1911*D1911</f>
        <v>2.44</v>
      </c>
    </row>
    <row r="1912" spans="1:5" ht="18" x14ac:dyDescent="0.35">
      <c r="A1912" s="5"/>
      <c r="B1912" s="50"/>
      <c r="C1912" s="87"/>
      <c r="D1912" s="88"/>
      <c r="E1912" s="85">
        <f>SUM(E1907:E1911)</f>
        <v>94.062659999999994</v>
      </c>
    </row>
    <row r="1913" spans="1:5" ht="18" x14ac:dyDescent="0.35">
      <c r="A1913" s="5"/>
      <c r="B1913" s="50"/>
      <c r="C1913" s="87"/>
      <c r="D1913" s="88" t="s">
        <v>1085</v>
      </c>
      <c r="E1913" s="85">
        <f>E1912+E1912*10%</f>
        <v>103.468926</v>
      </c>
    </row>
    <row r="1914" spans="1:5" ht="18" x14ac:dyDescent="0.35">
      <c r="A1914" s="5"/>
      <c r="B1914" s="50" t="s">
        <v>37</v>
      </c>
      <c r="C1914" s="54">
        <v>0.4</v>
      </c>
      <c r="D1914" s="86">
        <v>85</v>
      </c>
      <c r="E1914" s="85">
        <f>C1914*D1914</f>
        <v>34</v>
      </c>
    </row>
    <row r="1915" spans="1:5" ht="18" x14ac:dyDescent="0.35">
      <c r="A1915" s="5"/>
      <c r="B1915" s="5"/>
      <c r="C1915" s="54"/>
      <c r="D1915" s="54"/>
      <c r="E1915" s="85">
        <f>SUM(E1913:E1914)</f>
        <v>137.46892600000001</v>
      </c>
    </row>
    <row r="1917" spans="1:5" ht="21" x14ac:dyDescent="0.4">
      <c r="A1917" s="40" t="s">
        <v>599</v>
      </c>
      <c r="B1917" s="40"/>
      <c r="C1917" s="84"/>
    </row>
    <row r="1918" spans="1:5" ht="18" x14ac:dyDescent="0.35">
      <c r="A1918" s="5" t="s">
        <v>1749</v>
      </c>
      <c r="B1918" s="5"/>
      <c r="C1918" s="7" t="s">
        <v>28</v>
      </c>
      <c r="D1918" s="7" t="s">
        <v>29</v>
      </c>
      <c r="E1918" s="7" t="s">
        <v>30</v>
      </c>
    </row>
    <row r="1919" spans="1:5" ht="18" x14ac:dyDescent="0.35">
      <c r="A1919" s="5" t="s">
        <v>1629</v>
      </c>
      <c r="B1919" s="50" t="s">
        <v>32</v>
      </c>
      <c r="C1919" s="7">
        <v>1.4930000000000001</v>
      </c>
      <c r="D1919" s="7">
        <v>10.34</v>
      </c>
      <c r="E1919" s="85">
        <f t="shared" ref="E1919:E1924" si="128">C1919*D1919</f>
        <v>15.437620000000001</v>
      </c>
    </row>
    <row r="1920" spans="1:5" ht="18" x14ac:dyDescent="0.35">
      <c r="A1920" s="5" t="s">
        <v>1750</v>
      </c>
      <c r="B1920" s="50" t="s">
        <v>33</v>
      </c>
      <c r="C1920" s="7">
        <v>1.2390000000000001</v>
      </c>
      <c r="D1920" s="7">
        <v>16.170000000000002</v>
      </c>
      <c r="E1920" s="85">
        <f t="shared" si="128"/>
        <v>20.034630000000003</v>
      </c>
    </row>
    <row r="1921" spans="1:5" ht="18" x14ac:dyDescent="0.35">
      <c r="A1921" s="102" t="s">
        <v>1222</v>
      </c>
      <c r="B1921" s="50" t="s">
        <v>646</v>
      </c>
      <c r="C1921" s="7">
        <v>2</v>
      </c>
      <c r="D1921" s="7">
        <v>1.1499999999999999</v>
      </c>
      <c r="E1921" s="85">
        <f t="shared" si="128"/>
        <v>2.2999999999999998</v>
      </c>
    </row>
    <row r="1922" spans="1:5" ht="18" x14ac:dyDescent="0.35">
      <c r="A1922" s="5"/>
      <c r="B1922" s="50" t="s">
        <v>34</v>
      </c>
      <c r="C1922" s="7">
        <v>4.7E-2</v>
      </c>
      <c r="D1922" s="7">
        <v>14.61</v>
      </c>
      <c r="E1922" s="85">
        <f t="shared" si="128"/>
        <v>0.68667</v>
      </c>
    </row>
    <row r="1923" spans="1:5" ht="18" x14ac:dyDescent="0.35">
      <c r="A1923" s="5"/>
      <c r="B1923" s="50" t="s">
        <v>35</v>
      </c>
      <c r="C1923" s="7">
        <v>4</v>
      </c>
      <c r="D1923" s="7">
        <v>2.91</v>
      </c>
      <c r="E1923" s="85">
        <f t="shared" si="128"/>
        <v>11.64</v>
      </c>
    </row>
    <row r="1924" spans="1:5" ht="18" x14ac:dyDescent="0.35">
      <c r="A1924" s="5"/>
      <c r="B1924" s="50" t="s">
        <v>36</v>
      </c>
      <c r="C1924" s="7">
        <v>4</v>
      </c>
      <c r="D1924" s="7">
        <v>0.61</v>
      </c>
      <c r="E1924" s="85">
        <f t="shared" si="128"/>
        <v>2.44</v>
      </c>
    </row>
    <row r="1925" spans="1:5" ht="18" x14ac:dyDescent="0.35">
      <c r="A1925" s="5"/>
      <c r="B1925" s="5"/>
      <c r="C1925" s="54"/>
      <c r="D1925" s="54"/>
      <c r="E1925" s="89">
        <f>SUM(E1919:E1924)</f>
        <v>52.538919999999997</v>
      </c>
    </row>
    <row r="1926" spans="1:5" ht="18" x14ac:dyDescent="0.35">
      <c r="A1926" s="5"/>
      <c r="B1926" s="5"/>
      <c r="C1926" s="54"/>
      <c r="D1926" s="54" t="s">
        <v>1158</v>
      </c>
      <c r="E1926" s="89">
        <f>E1925+E1925*10%</f>
        <v>57.792811999999998</v>
      </c>
    </row>
    <row r="1927" spans="1:5" ht="18" x14ac:dyDescent="0.35">
      <c r="A1927" s="5"/>
      <c r="B1927" s="50" t="s">
        <v>37</v>
      </c>
      <c r="C1927" s="54">
        <v>30</v>
      </c>
      <c r="D1927" s="54">
        <v>1.42</v>
      </c>
      <c r="E1927" s="85">
        <f>C1927*D1927</f>
        <v>42.599999999999994</v>
      </c>
    </row>
    <row r="1928" spans="1:5" ht="18" x14ac:dyDescent="0.35">
      <c r="A1928" s="5"/>
      <c r="B1928" s="5"/>
      <c r="C1928" s="54"/>
      <c r="D1928" s="54"/>
      <c r="E1928" s="85">
        <f>SUM(E1926:E1927)</f>
        <v>100.39281199999999</v>
      </c>
    </row>
    <row r="1929" spans="1:5" ht="18" x14ac:dyDescent="0.35">
      <c r="D1929" s="99" t="s">
        <v>1754</v>
      </c>
      <c r="E1929" s="85">
        <v>110</v>
      </c>
    </row>
    <row r="1930" spans="1:5" ht="21" x14ac:dyDescent="0.4">
      <c r="A1930" s="40" t="s">
        <v>1086</v>
      </c>
      <c r="B1930" s="40"/>
      <c r="C1930" s="84"/>
    </row>
    <row r="1931" spans="1:5" ht="18" x14ac:dyDescent="0.35">
      <c r="B1931" s="5"/>
      <c r="C1931" s="7" t="s">
        <v>28</v>
      </c>
      <c r="D1931" s="7" t="s">
        <v>29</v>
      </c>
      <c r="E1931" s="7" t="s">
        <v>30</v>
      </c>
    </row>
    <row r="1932" spans="1:5" ht="18" x14ac:dyDescent="0.35">
      <c r="A1932" s="5" t="s">
        <v>46</v>
      </c>
      <c r="B1932" s="50" t="s">
        <v>32</v>
      </c>
      <c r="C1932" s="7">
        <v>2.028</v>
      </c>
      <c r="D1932" s="7">
        <v>10.34</v>
      </c>
      <c r="E1932" s="85">
        <f t="shared" ref="E1932:E1939" si="129">C1932*D1932</f>
        <v>20.969519999999999</v>
      </c>
    </row>
    <row r="1933" spans="1:5" ht="18" x14ac:dyDescent="0.35">
      <c r="A1933" s="5" t="s">
        <v>829</v>
      </c>
      <c r="B1933" s="50" t="s">
        <v>33</v>
      </c>
      <c r="C1933" s="7">
        <v>3.3180000000000001</v>
      </c>
      <c r="D1933" s="7">
        <v>16.170000000000002</v>
      </c>
      <c r="E1933" s="85">
        <f t="shared" si="129"/>
        <v>53.652060000000006</v>
      </c>
    </row>
    <row r="1934" spans="1:5" ht="18" x14ac:dyDescent="0.35">
      <c r="A1934" s="5" t="s">
        <v>397</v>
      </c>
      <c r="B1934" s="50" t="s">
        <v>33</v>
      </c>
      <c r="C1934" s="7">
        <v>3.78</v>
      </c>
      <c r="D1934" s="7">
        <v>16.170000000000002</v>
      </c>
      <c r="E1934" s="85">
        <f t="shared" si="129"/>
        <v>61.122600000000006</v>
      </c>
    </row>
    <row r="1935" spans="1:5" ht="18" x14ac:dyDescent="0.35">
      <c r="A1935" s="5" t="s">
        <v>674</v>
      </c>
      <c r="B1935" s="50" t="s">
        <v>42</v>
      </c>
      <c r="C1935" s="7">
        <v>2</v>
      </c>
      <c r="D1935" s="7">
        <v>1.1499999999999999</v>
      </c>
      <c r="E1935" s="85">
        <f t="shared" si="129"/>
        <v>2.2999999999999998</v>
      </c>
    </row>
    <row r="1936" spans="1:5" ht="18" x14ac:dyDescent="0.35">
      <c r="A1936" s="5"/>
      <c r="B1936" s="50" t="s">
        <v>92</v>
      </c>
      <c r="C1936" s="7">
        <v>2</v>
      </c>
      <c r="D1936" s="7">
        <v>3.62</v>
      </c>
      <c r="E1936" s="85">
        <f t="shared" si="129"/>
        <v>7.24</v>
      </c>
    </row>
    <row r="1937" spans="1:5" ht="18" x14ac:dyDescent="0.35">
      <c r="A1937" s="5"/>
      <c r="B1937" s="50" t="s">
        <v>34</v>
      </c>
      <c r="C1937" s="7">
        <v>0.2</v>
      </c>
      <c r="D1937" s="7">
        <v>14.61</v>
      </c>
      <c r="E1937" s="85">
        <f t="shared" si="129"/>
        <v>2.9220000000000002</v>
      </c>
    </row>
    <row r="1938" spans="1:5" ht="18" x14ac:dyDescent="0.35">
      <c r="A1938" s="5"/>
      <c r="B1938" s="50" t="s">
        <v>35</v>
      </c>
      <c r="C1938" s="7">
        <v>4</v>
      </c>
      <c r="D1938" s="7">
        <v>2.91</v>
      </c>
      <c r="E1938" s="85">
        <f t="shared" si="129"/>
        <v>11.64</v>
      </c>
    </row>
    <row r="1939" spans="1:5" ht="18" x14ac:dyDescent="0.35">
      <c r="A1939" s="5"/>
      <c r="B1939" s="50" t="s">
        <v>36</v>
      </c>
      <c r="C1939" s="7">
        <v>4</v>
      </c>
      <c r="D1939" s="7">
        <v>0.61</v>
      </c>
      <c r="E1939" s="85">
        <f t="shared" si="129"/>
        <v>2.44</v>
      </c>
    </row>
    <row r="1940" spans="1:5" ht="18" x14ac:dyDescent="0.35">
      <c r="A1940" s="5"/>
      <c r="B1940" s="5"/>
      <c r="C1940" s="54"/>
      <c r="D1940" s="54"/>
      <c r="E1940" s="89">
        <f>SUM(E1932:E1939)</f>
        <v>162.28618000000006</v>
      </c>
    </row>
    <row r="1941" spans="1:5" ht="18" x14ac:dyDescent="0.35">
      <c r="A1941" s="5"/>
      <c r="B1941" s="5"/>
      <c r="C1941" s="54"/>
      <c r="D1941" s="54" t="s">
        <v>1129</v>
      </c>
      <c r="E1941" s="89">
        <f>E1940+E1940*10%</f>
        <v>178.51479800000007</v>
      </c>
    </row>
    <row r="1942" spans="1:5" ht="18" x14ac:dyDescent="0.35">
      <c r="A1942" s="5"/>
      <c r="B1942" s="50" t="s">
        <v>37</v>
      </c>
      <c r="C1942" s="54">
        <v>0.6</v>
      </c>
      <c r="D1942" s="54">
        <v>85</v>
      </c>
      <c r="E1942" s="85">
        <f>C1942*D1942</f>
        <v>51</v>
      </c>
    </row>
    <row r="1943" spans="1:5" ht="18" x14ac:dyDescent="0.35">
      <c r="A1943" s="5"/>
      <c r="B1943" s="5"/>
      <c r="C1943" s="54"/>
      <c r="D1943" s="54"/>
      <c r="E1943" s="85">
        <f>SUM(E1941:E1942)</f>
        <v>229.51479800000007</v>
      </c>
    </row>
    <row r="1944" spans="1:5" ht="18" x14ac:dyDescent="0.35">
      <c r="D1944" s="99" t="s">
        <v>1754</v>
      </c>
      <c r="E1944" s="85">
        <v>250</v>
      </c>
    </row>
    <row r="1945" spans="1:5" ht="21" x14ac:dyDescent="0.4">
      <c r="A1945" s="40" t="s">
        <v>1751</v>
      </c>
      <c r="B1945" s="40"/>
      <c r="C1945" s="84"/>
    </row>
    <row r="1946" spans="1:5" ht="18" x14ac:dyDescent="0.35">
      <c r="B1946" s="5"/>
      <c r="C1946" s="7" t="s">
        <v>28</v>
      </c>
      <c r="D1946" s="7" t="s">
        <v>29</v>
      </c>
      <c r="E1946" s="7" t="s">
        <v>30</v>
      </c>
    </row>
    <row r="1947" spans="1:5" ht="18" x14ac:dyDescent="0.35">
      <c r="A1947" s="5" t="s">
        <v>1752</v>
      </c>
      <c r="B1947" s="50" t="s">
        <v>32</v>
      </c>
      <c r="C1947" s="7">
        <v>3.2879999999999998</v>
      </c>
      <c r="D1947" s="7">
        <v>10.34</v>
      </c>
      <c r="E1947" s="85">
        <f t="shared" ref="E1947:E1954" si="130">C1947*D1947</f>
        <v>33.997920000000001</v>
      </c>
    </row>
    <row r="1948" spans="1:5" ht="18" x14ac:dyDescent="0.35">
      <c r="A1948" s="5" t="s">
        <v>1220</v>
      </c>
      <c r="B1948" s="50" t="s">
        <v>33</v>
      </c>
      <c r="C1948" s="7">
        <v>7.14</v>
      </c>
      <c r="D1948" s="7">
        <v>16.170000000000002</v>
      </c>
      <c r="E1948" s="85">
        <f t="shared" si="130"/>
        <v>115.4538</v>
      </c>
    </row>
    <row r="1949" spans="1:5" ht="18" x14ac:dyDescent="0.35">
      <c r="A1949" s="5" t="s">
        <v>866</v>
      </c>
      <c r="B1949" s="50" t="s">
        <v>33</v>
      </c>
      <c r="C1949" s="7">
        <v>8.4420000000000002</v>
      </c>
      <c r="D1949" s="7">
        <v>16.170000000000002</v>
      </c>
      <c r="E1949" s="85">
        <f t="shared" si="130"/>
        <v>136.50714000000002</v>
      </c>
    </row>
    <row r="1950" spans="1:5" ht="18" x14ac:dyDescent="0.35">
      <c r="A1950" s="5" t="s">
        <v>1753</v>
      </c>
      <c r="B1950" s="50" t="s">
        <v>1683</v>
      </c>
      <c r="C1950" s="7">
        <v>2</v>
      </c>
      <c r="D1950" s="7">
        <v>1.1499999999999999</v>
      </c>
      <c r="E1950" s="85">
        <f t="shared" si="130"/>
        <v>2.2999999999999998</v>
      </c>
    </row>
    <row r="1951" spans="1:5" ht="18" x14ac:dyDescent="0.35">
      <c r="A1951" s="5"/>
      <c r="B1951" s="50" t="s">
        <v>879</v>
      </c>
      <c r="C1951" s="7">
        <v>2</v>
      </c>
      <c r="D1951" s="7">
        <v>6.29</v>
      </c>
      <c r="E1951" s="85">
        <f t="shared" si="130"/>
        <v>12.58</v>
      </c>
    </row>
    <row r="1952" spans="1:5" ht="18" x14ac:dyDescent="0.35">
      <c r="A1952" s="5"/>
      <c r="B1952" s="50" t="s">
        <v>34</v>
      </c>
      <c r="C1952" s="7">
        <v>0.5</v>
      </c>
      <c r="D1952" s="7">
        <v>14.61</v>
      </c>
      <c r="E1952" s="85">
        <f t="shared" si="130"/>
        <v>7.3049999999999997</v>
      </c>
    </row>
    <row r="1953" spans="1:5" ht="18" x14ac:dyDescent="0.35">
      <c r="A1953" s="5"/>
      <c r="B1953" s="50" t="s">
        <v>35</v>
      </c>
      <c r="C1953" s="7">
        <v>4</v>
      </c>
      <c r="D1953" s="7">
        <v>2.91</v>
      </c>
      <c r="E1953" s="85">
        <f t="shared" si="130"/>
        <v>11.64</v>
      </c>
    </row>
    <row r="1954" spans="1:5" ht="18" x14ac:dyDescent="0.35">
      <c r="A1954" s="5"/>
      <c r="B1954" s="50" t="s">
        <v>36</v>
      </c>
      <c r="C1954" s="7">
        <v>4</v>
      </c>
      <c r="D1954" s="7">
        <v>0.61</v>
      </c>
      <c r="E1954" s="85">
        <f t="shared" si="130"/>
        <v>2.44</v>
      </c>
    </row>
    <row r="1955" spans="1:5" ht="18" x14ac:dyDescent="0.35">
      <c r="A1955" s="5"/>
      <c r="B1955" s="5"/>
      <c r="C1955" s="54"/>
      <c r="D1955" s="54"/>
      <c r="E1955" s="89">
        <f>SUM(E1947:E1954)</f>
        <v>322.22386</v>
      </c>
    </row>
    <row r="1956" spans="1:5" ht="18" x14ac:dyDescent="0.35">
      <c r="A1956" s="5"/>
      <c r="B1956" s="5"/>
      <c r="C1956" s="54"/>
      <c r="D1956" s="54" t="s">
        <v>1129</v>
      </c>
      <c r="E1956" s="89">
        <f>E1955+E1955*10%</f>
        <v>354.44624599999997</v>
      </c>
    </row>
    <row r="1957" spans="1:5" ht="18" x14ac:dyDescent="0.35">
      <c r="A1957" s="5"/>
      <c r="B1957" s="50" t="s">
        <v>37</v>
      </c>
      <c r="C1957" s="54">
        <v>1</v>
      </c>
      <c r="D1957" s="54">
        <v>85</v>
      </c>
      <c r="E1957" s="85">
        <f>C1957*D1957</f>
        <v>85</v>
      </c>
    </row>
    <row r="1958" spans="1:5" ht="18" x14ac:dyDescent="0.35">
      <c r="A1958" s="5"/>
      <c r="B1958" s="5"/>
      <c r="C1958" s="54"/>
      <c r="D1958" s="54"/>
      <c r="E1958" s="85">
        <f>SUM(E1956:E1957)</f>
        <v>439.44624599999997</v>
      </c>
    </row>
    <row r="1959" spans="1:5" ht="18" x14ac:dyDescent="0.35">
      <c r="D1959" s="99" t="s">
        <v>1754</v>
      </c>
      <c r="E1959" s="85">
        <v>482</v>
      </c>
    </row>
    <row r="1961" spans="1:5" ht="21" x14ac:dyDescent="0.4">
      <c r="A1961" s="40" t="s">
        <v>1755</v>
      </c>
      <c r="B1961" s="40"/>
      <c r="C1961" s="84"/>
    </row>
    <row r="1962" spans="1:5" ht="18" x14ac:dyDescent="0.35">
      <c r="B1962" s="5"/>
      <c r="C1962" s="7" t="s">
        <v>28</v>
      </c>
      <c r="D1962" s="7" t="s">
        <v>29</v>
      </c>
      <c r="E1962" s="7" t="s">
        <v>30</v>
      </c>
    </row>
    <row r="1963" spans="1:5" ht="18" x14ac:dyDescent="0.35">
      <c r="A1963" s="5" t="s">
        <v>1756</v>
      </c>
      <c r="B1963" s="50" t="s">
        <v>32</v>
      </c>
      <c r="C1963" s="7">
        <v>3.415</v>
      </c>
      <c r="D1963" s="7">
        <v>10.34</v>
      </c>
      <c r="E1963" s="85">
        <f t="shared" ref="E1963:E1970" si="131">C1963*D1963</f>
        <v>35.311100000000003</v>
      </c>
    </row>
    <row r="1964" spans="1:5" ht="18" x14ac:dyDescent="0.35">
      <c r="A1964" s="5" t="s">
        <v>1220</v>
      </c>
      <c r="B1964" s="50" t="s">
        <v>33</v>
      </c>
      <c r="C1964" s="7">
        <v>7.4550000000000001</v>
      </c>
      <c r="D1964" s="7">
        <v>16.170000000000002</v>
      </c>
      <c r="E1964" s="85">
        <f t="shared" si="131"/>
        <v>120.54735000000001</v>
      </c>
    </row>
    <row r="1965" spans="1:5" ht="18" x14ac:dyDescent="0.35">
      <c r="A1965" s="5" t="s">
        <v>1676</v>
      </c>
      <c r="B1965" s="50" t="s">
        <v>33</v>
      </c>
      <c r="C1965" s="7">
        <v>8.6940000000000008</v>
      </c>
      <c r="D1965" s="7">
        <v>16.170000000000002</v>
      </c>
      <c r="E1965" s="85">
        <f t="shared" si="131"/>
        <v>140.58198000000002</v>
      </c>
    </row>
    <row r="1966" spans="1:5" ht="18" x14ac:dyDescent="0.35">
      <c r="A1966" s="5" t="s">
        <v>1757</v>
      </c>
      <c r="B1966" s="50" t="s">
        <v>1683</v>
      </c>
      <c r="C1966" s="7">
        <v>2</v>
      </c>
      <c r="D1966" s="7">
        <v>1.1499999999999999</v>
      </c>
      <c r="E1966" s="85">
        <f t="shared" si="131"/>
        <v>2.2999999999999998</v>
      </c>
    </row>
    <row r="1967" spans="1:5" ht="18" x14ac:dyDescent="0.35">
      <c r="A1967" s="5"/>
      <c r="B1967" s="50" t="s">
        <v>1758</v>
      </c>
      <c r="C1967" s="7">
        <v>2</v>
      </c>
      <c r="D1967" s="7">
        <v>7.44</v>
      </c>
      <c r="E1967" s="85">
        <f t="shared" si="131"/>
        <v>14.88</v>
      </c>
    </row>
    <row r="1968" spans="1:5" ht="18" x14ac:dyDescent="0.35">
      <c r="A1968" s="5"/>
      <c r="B1968" s="50" t="s">
        <v>34</v>
      </c>
      <c r="C1968" s="7">
        <v>0.54600000000000004</v>
      </c>
      <c r="D1968" s="7">
        <v>14.61</v>
      </c>
      <c r="E1968" s="85">
        <f t="shared" si="131"/>
        <v>7.9770600000000007</v>
      </c>
    </row>
    <row r="1969" spans="1:5" ht="18" x14ac:dyDescent="0.35">
      <c r="A1969" s="5"/>
      <c r="B1969" s="50" t="s">
        <v>35</v>
      </c>
      <c r="C1969" s="7">
        <v>4</v>
      </c>
      <c r="D1969" s="7">
        <v>2.91</v>
      </c>
      <c r="E1969" s="85">
        <f t="shared" si="131"/>
        <v>11.64</v>
      </c>
    </row>
    <row r="1970" spans="1:5" ht="18" x14ac:dyDescent="0.35">
      <c r="A1970" s="5"/>
      <c r="B1970" s="50" t="s">
        <v>36</v>
      </c>
      <c r="C1970" s="7">
        <v>4</v>
      </c>
      <c r="D1970" s="7">
        <v>0.61</v>
      </c>
      <c r="E1970" s="85">
        <f t="shared" si="131"/>
        <v>2.44</v>
      </c>
    </row>
    <row r="1971" spans="1:5" ht="18" x14ac:dyDescent="0.35">
      <c r="A1971" s="5"/>
      <c r="B1971" s="5"/>
      <c r="C1971" s="54"/>
      <c r="D1971" s="54"/>
      <c r="E1971" s="89">
        <f>SUM(E1963:E1970)</f>
        <v>335.67748999999998</v>
      </c>
    </row>
    <row r="1972" spans="1:5" ht="18" x14ac:dyDescent="0.35">
      <c r="A1972" s="5"/>
      <c r="B1972" s="5"/>
      <c r="C1972" s="54"/>
      <c r="D1972" s="54" t="s">
        <v>1129</v>
      </c>
      <c r="E1972" s="89">
        <f>E1971+E1971*10%</f>
        <v>369.24523899999997</v>
      </c>
    </row>
    <row r="1973" spans="1:5" ht="18" x14ac:dyDescent="0.35">
      <c r="A1973" s="5"/>
      <c r="B1973" s="50" t="s">
        <v>37</v>
      </c>
      <c r="C1973" s="54">
        <v>1</v>
      </c>
      <c r="D1973" s="54">
        <v>85</v>
      </c>
      <c r="E1973" s="85">
        <f>C1973*D1973</f>
        <v>85</v>
      </c>
    </row>
    <row r="1974" spans="1:5" ht="18" x14ac:dyDescent="0.35">
      <c r="A1974" s="5"/>
      <c r="B1974" s="5"/>
      <c r="C1974" s="54"/>
      <c r="D1974" s="54"/>
      <c r="E1974" s="85">
        <f>SUM(E1972:E1973)</f>
        <v>454.24523899999997</v>
      </c>
    </row>
    <row r="1975" spans="1:5" ht="18" x14ac:dyDescent="0.35">
      <c r="D1975" s="99" t="s">
        <v>1754</v>
      </c>
      <c r="E1975" s="85">
        <v>499</v>
      </c>
    </row>
    <row r="1977" spans="1:5" ht="21" x14ac:dyDescent="0.4">
      <c r="A1977" s="40" t="s">
        <v>599</v>
      </c>
      <c r="B1977" s="40"/>
      <c r="C1977" s="84"/>
    </row>
    <row r="1978" spans="1:5" ht="18" x14ac:dyDescent="0.35">
      <c r="A1978" s="5" t="s">
        <v>31</v>
      </c>
      <c r="B1978" s="5"/>
      <c r="C1978" s="7" t="s">
        <v>28</v>
      </c>
      <c r="D1978" s="7" t="s">
        <v>29</v>
      </c>
      <c r="E1978" s="7" t="s">
        <v>30</v>
      </c>
    </row>
    <row r="1979" spans="1:5" ht="18" x14ac:dyDescent="0.35">
      <c r="A1979" s="5" t="s">
        <v>1672</v>
      </c>
      <c r="B1979" s="50" t="s">
        <v>32</v>
      </c>
      <c r="C1979" s="7">
        <v>0.76900000000000002</v>
      </c>
      <c r="D1979" s="7">
        <v>10.34</v>
      </c>
      <c r="E1979" s="85">
        <f t="shared" ref="E1979:E1984" si="132">C1979*D1979</f>
        <v>7.95146</v>
      </c>
    </row>
    <row r="1980" spans="1:5" ht="18" x14ac:dyDescent="0.35">
      <c r="A1980" s="5" t="s">
        <v>846</v>
      </c>
      <c r="B1980" s="50" t="s">
        <v>33</v>
      </c>
      <c r="C1980" s="7">
        <v>0.79800000000000004</v>
      </c>
      <c r="D1980" s="7">
        <v>16.170000000000002</v>
      </c>
      <c r="E1980" s="85">
        <f t="shared" si="132"/>
        <v>12.903660000000002</v>
      </c>
    </row>
    <row r="1981" spans="1:5" ht="18" x14ac:dyDescent="0.35">
      <c r="A1981" s="102" t="s">
        <v>1222</v>
      </c>
      <c r="B1981" s="50" t="s">
        <v>43</v>
      </c>
      <c r="C1981" s="7">
        <v>2</v>
      </c>
      <c r="D1981" s="7">
        <v>1.1499999999999999</v>
      </c>
      <c r="E1981" s="85">
        <f t="shared" si="132"/>
        <v>2.2999999999999998</v>
      </c>
    </row>
    <row r="1982" spans="1:5" ht="18" x14ac:dyDescent="0.35">
      <c r="A1982" s="5"/>
      <c r="B1982" s="50" t="s">
        <v>34</v>
      </c>
      <c r="C1982" s="7"/>
      <c r="D1982" s="7">
        <v>14.61</v>
      </c>
      <c r="E1982" s="85">
        <f t="shared" si="132"/>
        <v>0</v>
      </c>
    </row>
    <row r="1983" spans="1:5" ht="18" x14ac:dyDescent="0.35">
      <c r="A1983" s="5"/>
      <c r="B1983" s="50" t="s">
        <v>35</v>
      </c>
      <c r="C1983" s="7">
        <v>4</v>
      </c>
      <c r="D1983" s="7">
        <v>2.91</v>
      </c>
      <c r="E1983" s="85">
        <f t="shared" si="132"/>
        <v>11.64</v>
      </c>
    </row>
    <row r="1984" spans="1:5" ht="18" x14ac:dyDescent="0.35">
      <c r="A1984" s="5"/>
      <c r="B1984" s="50" t="s">
        <v>36</v>
      </c>
      <c r="C1984" s="7">
        <v>4</v>
      </c>
      <c r="D1984" s="7">
        <v>0.61</v>
      </c>
      <c r="E1984" s="85">
        <f t="shared" si="132"/>
        <v>2.44</v>
      </c>
    </row>
    <row r="1985" spans="1:5" ht="18" x14ac:dyDescent="0.35">
      <c r="A1985" s="5"/>
      <c r="B1985" s="5"/>
      <c r="C1985" s="54"/>
      <c r="D1985" s="54"/>
      <c r="E1985" s="89">
        <f>SUM(E1979:E1984)</f>
        <v>37.235120000000002</v>
      </c>
    </row>
    <row r="1986" spans="1:5" ht="18" x14ac:dyDescent="0.35">
      <c r="A1986" s="5"/>
      <c r="B1986" s="5"/>
      <c r="C1986" s="54"/>
      <c r="D1986" s="54" t="s">
        <v>1158</v>
      </c>
      <c r="E1986" s="89">
        <f>E1985+E1985*10%</f>
        <v>40.958632000000001</v>
      </c>
    </row>
    <row r="1987" spans="1:5" ht="18" x14ac:dyDescent="0.35">
      <c r="A1987" s="5"/>
      <c r="B1987" s="50" t="s">
        <v>37</v>
      </c>
      <c r="C1987" s="54">
        <v>20</v>
      </c>
      <c r="D1987" s="54">
        <v>1.42</v>
      </c>
      <c r="E1987" s="85">
        <f>C1987*D1987</f>
        <v>28.4</v>
      </c>
    </row>
    <row r="1988" spans="1:5" ht="18" x14ac:dyDescent="0.35">
      <c r="A1988" s="5"/>
      <c r="B1988" s="5"/>
      <c r="C1988" s="54"/>
      <c r="D1988" s="54"/>
      <c r="E1988" s="85">
        <f>SUM(E1986:E1987)</f>
        <v>69.358632</v>
      </c>
    </row>
    <row r="1990" spans="1:5" ht="21" x14ac:dyDescent="0.4">
      <c r="A1990" s="40" t="s">
        <v>599</v>
      </c>
      <c r="B1990" s="40"/>
      <c r="C1990" s="84"/>
    </row>
    <row r="1991" spans="1:5" ht="18" x14ac:dyDescent="0.35">
      <c r="A1991" s="5" t="s">
        <v>41</v>
      </c>
      <c r="B1991" s="5"/>
      <c r="C1991" s="7" t="s">
        <v>28</v>
      </c>
      <c r="D1991" s="7" t="s">
        <v>29</v>
      </c>
      <c r="E1991" s="7" t="s">
        <v>30</v>
      </c>
    </row>
    <row r="1992" spans="1:5" ht="18" x14ac:dyDescent="0.35">
      <c r="A1992" s="5" t="s">
        <v>1672</v>
      </c>
      <c r="B1992" s="50" t="s">
        <v>32</v>
      </c>
      <c r="C1992" s="7">
        <v>1.3979999999999999</v>
      </c>
      <c r="D1992" s="7">
        <v>10.34</v>
      </c>
      <c r="E1992" s="85">
        <f t="shared" ref="E1992:E1997" si="133">C1992*D1992</f>
        <v>14.455319999999999</v>
      </c>
    </row>
    <row r="1993" spans="1:5" ht="18" x14ac:dyDescent="0.35">
      <c r="A1993" s="5" t="s">
        <v>799</v>
      </c>
      <c r="B1993" s="50" t="s">
        <v>33</v>
      </c>
      <c r="C1993" s="7">
        <v>2.0579999999999998</v>
      </c>
      <c r="D1993" s="7">
        <v>16.170000000000002</v>
      </c>
      <c r="E1993" s="85">
        <f t="shared" si="133"/>
        <v>33.277860000000004</v>
      </c>
    </row>
    <row r="1994" spans="1:5" ht="18" x14ac:dyDescent="0.35">
      <c r="A1994" s="102" t="s">
        <v>1222</v>
      </c>
      <c r="B1994" s="50" t="s">
        <v>43</v>
      </c>
      <c r="C1994" s="7">
        <v>2</v>
      </c>
      <c r="D1994" s="7">
        <v>1.1499999999999999</v>
      </c>
      <c r="E1994" s="85">
        <f t="shared" si="133"/>
        <v>2.2999999999999998</v>
      </c>
    </row>
    <row r="1995" spans="1:5" ht="18" x14ac:dyDescent="0.35">
      <c r="A1995" s="5"/>
      <c r="B1995" s="50" t="s">
        <v>34</v>
      </c>
      <c r="C1995" s="7"/>
      <c r="D1995" s="7">
        <v>14.61</v>
      </c>
      <c r="E1995" s="85">
        <f t="shared" si="133"/>
        <v>0</v>
      </c>
    </row>
    <row r="1996" spans="1:5" ht="18" x14ac:dyDescent="0.35">
      <c r="A1996" s="5"/>
      <c r="B1996" s="50" t="s">
        <v>35</v>
      </c>
      <c r="C1996" s="7">
        <v>4</v>
      </c>
      <c r="D1996" s="7">
        <v>2.91</v>
      </c>
      <c r="E1996" s="85">
        <f t="shared" si="133"/>
        <v>11.64</v>
      </c>
    </row>
    <row r="1997" spans="1:5" ht="18" x14ac:dyDescent="0.35">
      <c r="A1997" s="5"/>
      <c r="B1997" s="50" t="s">
        <v>36</v>
      </c>
      <c r="C1997" s="7">
        <v>4</v>
      </c>
      <c r="D1997" s="7">
        <v>0.61</v>
      </c>
      <c r="E1997" s="85">
        <f t="shared" si="133"/>
        <v>2.44</v>
      </c>
    </row>
    <row r="1998" spans="1:5" ht="18" x14ac:dyDescent="0.35">
      <c r="A1998" s="5"/>
      <c r="B1998" s="5"/>
      <c r="C1998" s="54"/>
      <c r="D1998" s="54"/>
      <c r="E1998" s="89">
        <f>SUM(E1992:E1997)</f>
        <v>64.11318</v>
      </c>
    </row>
    <row r="1999" spans="1:5" ht="18" x14ac:dyDescent="0.35">
      <c r="A1999" s="5"/>
      <c r="B1999" s="5"/>
      <c r="C1999" s="54"/>
      <c r="D1999" s="54" t="s">
        <v>1158</v>
      </c>
      <c r="E1999" s="89">
        <f>E1998+E1998*10%</f>
        <v>70.524497999999994</v>
      </c>
    </row>
    <row r="2000" spans="1:5" ht="18" x14ac:dyDescent="0.35">
      <c r="A2000" s="5"/>
      <c r="B2000" s="50" t="s">
        <v>37</v>
      </c>
      <c r="C2000" s="54">
        <v>20</v>
      </c>
      <c r="D2000" s="54">
        <v>1.42</v>
      </c>
      <c r="E2000" s="85">
        <f>C2000*D2000</f>
        <v>28.4</v>
      </c>
    </row>
    <row r="2001" spans="1:5" ht="18" x14ac:dyDescent="0.35">
      <c r="A2001" s="5"/>
      <c r="B2001" s="5"/>
      <c r="C2001" s="54"/>
      <c r="D2001" s="54"/>
      <c r="E2001" s="85">
        <f>SUM(E1999:E2000)</f>
        <v>98.924498</v>
      </c>
    </row>
    <row r="2002" spans="1:5" ht="18" x14ac:dyDescent="0.35">
      <c r="D2002" t="s">
        <v>1768</v>
      </c>
      <c r="E2002" s="85">
        <v>109</v>
      </c>
    </row>
    <row r="2004" spans="1:5" ht="21" x14ac:dyDescent="0.4">
      <c r="A2004" s="40" t="s">
        <v>599</v>
      </c>
      <c r="B2004" s="40"/>
      <c r="C2004" s="84"/>
    </row>
    <row r="2005" spans="1:5" ht="18" x14ac:dyDescent="0.35">
      <c r="A2005" s="5" t="s">
        <v>73</v>
      </c>
      <c r="B2005" s="5"/>
      <c r="C2005" s="7" t="s">
        <v>28</v>
      </c>
      <c r="D2005" s="7" t="s">
        <v>29</v>
      </c>
      <c r="E2005" s="7" t="s">
        <v>30</v>
      </c>
    </row>
    <row r="2006" spans="1:5" ht="18" x14ac:dyDescent="0.35">
      <c r="A2006" s="5" t="s">
        <v>633</v>
      </c>
      <c r="B2006" s="50" t="s">
        <v>32</v>
      </c>
      <c r="C2006" s="7">
        <v>0.97899999999999998</v>
      </c>
      <c r="D2006" s="7">
        <v>10.34</v>
      </c>
      <c r="E2006" s="85">
        <f t="shared" ref="E2006:E2011" si="134">C2006*D2006</f>
        <v>10.122859999999999</v>
      </c>
    </row>
    <row r="2007" spans="1:5" ht="18" x14ac:dyDescent="0.35">
      <c r="A2007" s="5" t="s">
        <v>755</v>
      </c>
      <c r="B2007" s="50" t="s">
        <v>33</v>
      </c>
      <c r="C2007" s="7">
        <v>1.7949999999999999</v>
      </c>
      <c r="D2007" s="7">
        <v>16.170000000000002</v>
      </c>
      <c r="E2007" s="85">
        <f t="shared" si="134"/>
        <v>29.025150000000004</v>
      </c>
    </row>
    <row r="2008" spans="1:5" ht="18" x14ac:dyDescent="0.35">
      <c r="A2008" s="102" t="s">
        <v>1222</v>
      </c>
      <c r="B2008" s="50" t="s">
        <v>97</v>
      </c>
      <c r="C2008" s="7">
        <v>2</v>
      </c>
      <c r="D2008" s="7">
        <v>1.48</v>
      </c>
      <c r="E2008" s="85">
        <f t="shared" si="134"/>
        <v>2.96</v>
      </c>
    </row>
    <row r="2009" spans="1:5" ht="18" x14ac:dyDescent="0.35">
      <c r="A2009" s="5"/>
      <c r="B2009" s="50" t="s">
        <v>34</v>
      </c>
      <c r="C2009" s="7"/>
      <c r="D2009" s="7">
        <v>14.61</v>
      </c>
      <c r="E2009" s="85">
        <f t="shared" si="134"/>
        <v>0</v>
      </c>
    </row>
    <row r="2010" spans="1:5" ht="18" x14ac:dyDescent="0.35">
      <c r="A2010" s="5"/>
      <c r="B2010" s="50" t="s">
        <v>35</v>
      </c>
      <c r="C2010" s="7">
        <v>4</v>
      </c>
      <c r="D2010" s="7">
        <v>2.91</v>
      </c>
      <c r="E2010" s="85">
        <f t="shared" si="134"/>
        <v>11.64</v>
      </c>
    </row>
    <row r="2011" spans="1:5" ht="18" x14ac:dyDescent="0.35">
      <c r="A2011" s="5"/>
      <c r="B2011" s="50" t="s">
        <v>36</v>
      </c>
      <c r="C2011" s="7">
        <v>4</v>
      </c>
      <c r="D2011" s="7">
        <v>0.61</v>
      </c>
      <c r="E2011" s="85">
        <f t="shared" si="134"/>
        <v>2.44</v>
      </c>
    </row>
    <row r="2012" spans="1:5" ht="18" x14ac:dyDescent="0.35">
      <c r="A2012" s="5"/>
      <c r="B2012" s="5"/>
      <c r="C2012" s="54"/>
      <c r="D2012" s="54"/>
      <c r="E2012" s="89">
        <f>SUM(E2006:E2011)</f>
        <v>56.188009999999998</v>
      </c>
    </row>
    <row r="2013" spans="1:5" ht="18" x14ac:dyDescent="0.35">
      <c r="A2013" s="5"/>
      <c r="B2013" s="5"/>
      <c r="C2013" s="54"/>
      <c r="D2013" s="54" t="s">
        <v>1158</v>
      </c>
      <c r="E2013" s="89">
        <f>E2012+E2012*10%</f>
        <v>61.806810999999996</v>
      </c>
    </row>
    <row r="2014" spans="1:5" ht="18" x14ac:dyDescent="0.35">
      <c r="A2014" s="5"/>
      <c r="B2014" s="50" t="s">
        <v>37</v>
      </c>
      <c r="C2014" s="54">
        <v>20</v>
      </c>
      <c r="D2014" s="54">
        <v>1.42</v>
      </c>
      <c r="E2014" s="85">
        <f>C2014*D2014</f>
        <v>28.4</v>
      </c>
    </row>
    <row r="2015" spans="1:5" ht="18" x14ac:dyDescent="0.35">
      <c r="A2015" s="5"/>
      <c r="B2015" s="5"/>
      <c r="C2015" s="54"/>
      <c r="D2015" s="54"/>
      <c r="E2015" s="85">
        <f>SUM(E2013:E2014)</f>
        <v>90.206810999999988</v>
      </c>
    </row>
    <row r="2016" spans="1:5" ht="18" x14ac:dyDescent="0.35">
      <c r="D2016" t="s">
        <v>1768</v>
      </c>
      <c r="E2016" s="85">
        <v>99.24</v>
      </c>
    </row>
    <row r="2018" spans="1:5" ht="21" x14ac:dyDescent="0.4">
      <c r="A2018" s="40" t="s">
        <v>599</v>
      </c>
      <c r="B2018" s="40"/>
      <c r="C2018" s="84"/>
    </row>
    <row r="2019" spans="1:5" ht="18" x14ac:dyDescent="0.35">
      <c r="A2019" s="5" t="s">
        <v>38</v>
      </c>
      <c r="B2019" s="5"/>
      <c r="C2019" s="7" t="s">
        <v>28</v>
      </c>
      <c r="D2019" s="7" t="s">
        <v>29</v>
      </c>
      <c r="E2019" s="7" t="s">
        <v>30</v>
      </c>
    </row>
    <row r="2020" spans="1:5" ht="18" x14ac:dyDescent="0.35">
      <c r="A2020" s="5" t="s">
        <v>1672</v>
      </c>
      <c r="B2020" s="50" t="s">
        <v>32</v>
      </c>
      <c r="C2020" s="7">
        <v>0.97899999999999998</v>
      </c>
      <c r="D2020" s="7">
        <v>10.34</v>
      </c>
      <c r="E2020" s="85">
        <f t="shared" ref="E2020:E2025" si="135">C2020*D2020</f>
        <v>10.122859999999999</v>
      </c>
    </row>
    <row r="2021" spans="1:5" ht="18" x14ac:dyDescent="0.35">
      <c r="A2021" s="5" t="s">
        <v>755</v>
      </c>
      <c r="B2021" s="50" t="s">
        <v>33</v>
      </c>
      <c r="C2021" s="7">
        <v>1.218</v>
      </c>
      <c r="D2021" s="7">
        <v>16.170000000000002</v>
      </c>
      <c r="E2021" s="85">
        <f t="shared" si="135"/>
        <v>19.695060000000002</v>
      </c>
    </row>
    <row r="2022" spans="1:5" ht="18" x14ac:dyDescent="0.35">
      <c r="A2022" s="102" t="s">
        <v>1222</v>
      </c>
      <c r="B2022" s="50" t="s">
        <v>43</v>
      </c>
      <c r="C2022" s="7">
        <v>2</v>
      </c>
      <c r="D2022" s="7">
        <v>1.1499999999999999</v>
      </c>
      <c r="E2022" s="85">
        <f t="shared" si="135"/>
        <v>2.2999999999999998</v>
      </c>
    </row>
    <row r="2023" spans="1:5" ht="18" x14ac:dyDescent="0.35">
      <c r="A2023" s="5"/>
      <c r="B2023" s="50" t="s">
        <v>34</v>
      </c>
      <c r="C2023" s="7"/>
      <c r="D2023" s="7">
        <v>14.61</v>
      </c>
      <c r="E2023" s="85">
        <f t="shared" si="135"/>
        <v>0</v>
      </c>
    </row>
    <row r="2024" spans="1:5" ht="18" x14ac:dyDescent="0.35">
      <c r="A2024" s="5"/>
      <c r="B2024" s="50" t="s">
        <v>35</v>
      </c>
      <c r="C2024" s="7">
        <v>4</v>
      </c>
      <c r="D2024" s="7">
        <v>2.91</v>
      </c>
      <c r="E2024" s="85">
        <f t="shared" si="135"/>
        <v>11.64</v>
      </c>
    </row>
    <row r="2025" spans="1:5" ht="18" x14ac:dyDescent="0.35">
      <c r="A2025" s="5"/>
      <c r="B2025" s="50" t="s">
        <v>36</v>
      </c>
      <c r="C2025" s="7">
        <v>4</v>
      </c>
      <c r="D2025" s="7">
        <v>0.61</v>
      </c>
      <c r="E2025" s="85">
        <f t="shared" si="135"/>
        <v>2.44</v>
      </c>
    </row>
    <row r="2026" spans="1:5" ht="18" x14ac:dyDescent="0.35">
      <c r="A2026" s="5"/>
      <c r="B2026" s="5"/>
      <c r="C2026" s="54"/>
      <c r="D2026" s="54"/>
      <c r="E2026" s="89">
        <f>SUM(E2020:E2025)</f>
        <v>46.197919999999996</v>
      </c>
    </row>
    <row r="2027" spans="1:5" ht="18" x14ac:dyDescent="0.35">
      <c r="A2027" s="5"/>
      <c r="B2027" s="5"/>
      <c r="C2027" s="54"/>
      <c r="D2027" s="54" t="s">
        <v>1158</v>
      </c>
      <c r="E2027" s="89">
        <f>E2026+E2026*10%</f>
        <v>50.817711999999993</v>
      </c>
    </row>
    <row r="2028" spans="1:5" ht="18" x14ac:dyDescent="0.35">
      <c r="A2028" s="5"/>
      <c r="B2028" s="50" t="s">
        <v>37</v>
      </c>
      <c r="C2028" s="54">
        <v>20</v>
      </c>
      <c r="D2028" s="54">
        <v>1.42</v>
      </c>
      <c r="E2028" s="85">
        <f>C2028*D2028</f>
        <v>28.4</v>
      </c>
    </row>
    <row r="2029" spans="1:5" ht="18" x14ac:dyDescent="0.35">
      <c r="A2029" s="5"/>
      <c r="B2029" s="5"/>
      <c r="C2029" s="54"/>
      <c r="D2029" s="54"/>
      <c r="E2029" s="85">
        <f>SUM(E2027:E2028)</f>
        <v>79.217711999999992</v>
      </c>
    </row>
    <row r="2030" spans="1:5" ht="18" x14ac:dyDescent="0.35">
      <c r="D2030" t="s">
        <v>1768</v>
      </c>
      <c r="E2030" s="85">
        <v>87.14</v>
      </c>
    </row>
    <row r="2032" spans="1:5" ht="21" x14ac:dyDescent="0.4">
      <c r="A2032" s="40" t="s">
        <v>599</v>
      </c>
      <c r="B2032" s="40"/>
      <c r="C2032" s="84"/>
    </row>
    <row r="2033" spans="1:5" ht="18" x14ac:dyDescent="0.35">
      <c r="A2033" s="5" t="s">
        <v>76</v>
      </c>
      <c r="B2033" s="5"/>
      <c r="C2033" s="7" t="s">
        <v>28</v>
      </c>
      <c r="D2033" s="7" t="s">
        <v>29</v>
      </c>
      <c r="E2033" s="7" t="s">
        <v>30</v>
      </c>
    </row>
    <row r="2034" spans="1:5" ht="18" x14ac:dyDescent="0.35">
      <c r="A2034" s="5" t="s">
        <v>633</v>
      </c>
      <c r="B2034" s="50" t="s">
        <v>32</v>
      </c>
      <c r="C2034" s="7">
        <v>1.6080000000000001</v>
      </c>
      <c r="D2034" s="7">
        <v>10.34</v>
      </c>
      <c r="E2034" s="85">
        <f t="shared" ref="E2034:E2039" si="136">C2034*D2034</f>
        <v>16.626720000000002</v>
      </c>
    </row>
    <row r="2035" spans="1:5" ht="18" x14ac:dyDescent="0.35">
      <c r="A2035" s="5" t="s">
        <v>755</v>
      </c>
      <c r="B2035" s="50" t="s">
        <v>33</v>
      </c>
      <c r="C2035" s="7">
        <v>4.63</v>
      </c>
      <c r="D2035" s="7">
        <v>16.170000000000002</v>
      </c>
      <c r="E2035" s="85">
        <f t="shared" si="136"/>
        <v>74.867100000000008</v>
      </c>
    </row>
    <row r="2036" spans="1:5" ht="18" x14ac:dyDescent="0.35">
      <c r="A2036" s="102" t="s">
        <v>1222</v>
      </c>
      <c r="B2036" s="50" t="s">
        <v>97</v>
      </c>
      <c r="C2036" s="7">
        <v>2</v>
      </c>
      <c r="D2036" s="7">
        <v>1.48</v>
      </c>
      <c r="E2036" s="85">
        <f t="shared" si="136"/>
        <v>2.96</v>
      </c>
    </row>
    <row r="2037" spans="1:5" ht="18" x14ac:dyDescent="0.35">
      <c r="A2037" s="5"/>
      <c r="B2037" s="50" t="s">
        <v>34</v>
      </c>
      <c r="C2037" s="7"/>
      <c r="D2037" s="7">
        <v>14.61</v>
      </c>
      <c r="E2037" s="85">
        <f t="shared" si="136"/>
        <v>0</v>
      </c>
    </row>
    <row r="2038" spans="1:5" ht="18" x14ac:dyDescent="0.35">
      <c r="A2038" s="5"/>
      <c r="B2038" s="50" t="s">
        <v>35</v>
      </c>
      <c r="C2038" s="7">
        <v>4</v>
      </c>
      <c r="D2038" s="7">
        <v>2.91</v>
      </c>
      <c r="E2038" s="85">
        <f t="shared" si="136"/>
        <v>11.64</v>
      </c>
    </row>
    <row r="2039" spans="1:5" ht="18" x14ac:dyDescent="0.35">
      <c r="A2039" s="5"/>
      <c r="B2039" s="50" t="s">
        <v>36</v>
      </c>
      <c r="C2039" s="7">
        <v>4</v>
      </c>
      <c r="D2039" s="7">
        <v>0.61</v>
      </c>
      <c r="E2039" s="85">
        <f t="shared" si="136"/>
        <v>2.44</v>
      </c>
    </row>
    <row r="2040" spans="1:5" ht="18" x14ac:dyDescent="0.35">
      <c r="A2040" s="5"/>
      <c r="B2040" s="5"/>
      <c r="C2040" s="54"/>
      <c r="D2040" s="54"/>
      <c r="E2040" s="89">
        <f>SUM(E2034:E2039)</f>
        <v>108.53382000000001</v>
      </c>
    </row>
    <row r="2041" spans="1:5" ht="18" x14ac:dyDescent="0.35">
      <c r="A2041" s="5"/>
      <c r="B2041" s="5"/>
      <c r="C2041" s="54"/>
      <c r="D2041" s="54" t="s">
        <v>1158</v>
      </c>
      <c r="E2041" s="89">
        <f>E2040+E2040*10%</f>
        <v>119.387202</v>
      </c>
    </row>
    <row r="2042" spans="1:5" ht="18" x14ac:dyDescent="0.35">
      <c r="A2042" s="5"/>
      <c r="B2042" s="50" t="s">
        <v>37</v>
      </c>
      <c r="C2042" s="54">
        <v>20</v>
      </c>
      <c r="D2042" s="54">
        <v>1.42</v>
      </c>
      <c r="E2042" s="85">
        <f>C2042*D2042</f>
        <v>28.4</v>
      </c>
    </row>
    <row r="2043" spans="1:5" ht="18" x14ac:dyDescent="0.35">
      <c r="A2043" s="5"/>
      <c r="B2043" s="5"/>
      <c r="C2043" s="54"/>
      <c r="D2043" s="54"/>
      <c r="E2043" s="85">
        <f>SUM(E2041:E2042)</f>
        <v>147.78720200000001</v>
      </c>
    </row>
    <row r="2044" spans="1:5" ht="18" x14ac:dyDescent="0.35">
      <c r="D2044" t="s">
        <v>1768</v>
      </c>
      <c r="E2044" s="85">
        <v>163</v>
      </c>
    </row>
    <row r="2046" spans="1:5" ht="21" x14ac:dyDescent="0.4">
      <c r="A2046" s="40" t="s">
        <v>1769</v>
      </c>
      <c r="B2046" s="40"/>
      <c r="C2046" s="40"/>
      <c r="D2046" s="12"/>
      <c r="E2046" s="12"/>
    </row>
    <row r="2047" spans="1:5" ht="18" x14ac:dyDescent="0.35">
      <c r="A2047" s="5"/>
      <c r="B2047" s="5"/>
      <c r="C2047" s="7" t="s">
        <v>28</v>
      </c>
      <c r="D2047" s="7" t="s">
        <v>29</v>
      </c>
      <c r="E2047" s="7" t="s">
        <v>30</v>
      </c>
    </row>
    <row r="2048" spans="1:5" ht="18" x14ac:dyDescent="0.35">
      <c r="A2048" s="5" t="s">
        <v>119</v>
      </c>
      <c r="B2048" s="50" t="s">
        <v>32</v>
      </c>
      <c r="C2048" s="7">
        <v>2.238</v>
      </c>
      <c r="D2048" s="7">
        <v>10.34</v>
      </c>
      <c r="E2048" s="85">
        <f>C2048*D2048</f>
        <v>23.140920000000001</v>
      </c>
    </row>
    <row r="2049" spans="1:5" ht="18" x14ac:dyDescent="0.35">
      <c r="A2049" s="5" t="s">
        <v>56</v>
      </c>
      <c r="B2049" s="50" t="s">
        <v>33</v>
      </c>
      <c r="C2049" s="7">
        <v>17.965</v>
      </c>
      <c r="D2049" s="7">
        <v>17.059999999999999</v>
      </c>
      <c r="E2049" s="85">
        <f>C2049*D2049</f>
        <v>306.48289999999997</v>
      </c>
    </row>
    <row r="2050" spans="1:5" ht="18" x14ac:dyDescent="0.35">
      <c r="A2050" s="5" t="s">
        <v>663</v>
      </c>
      <c r="B2050" s="50" t="s">
        <v>137</v>
      </c>
      <c r="C2050" s="7">
        <v>0.84</v>
      </c>
      <c r="D2050" s="7">
        <v>15.25</v>
      </c>
      <c r="E2050" s="85">
        <f>C2050*D2050</f>
        <v>12.809999999999999</v>
      </c>
    </row>
    <row r="2051" spans="1:5" ht="18" x14ac:dyDescent="0.35">
      <c r="A2051" s="5"/>
      <c r="B2051" s="50" t="s">
        <v>35</v>
      </c>
      <c r="C2051" s="7">
        <v>4</v>
      </c>
      <c r="D2051" s="7">
        <v>2.91</v>
      </c>
      <c r="E2051" s="85">
        <f>C2051*D2051</f>
        <v>11.64</v>
      </c>
    </row>
    <row r="2052" spans="1:5" ht="18" x14ac:dyDescent="0.35">
      <c r="A2052" s="5"/>
      <c r="B2052" s="50" t="s">
        <v>36</v>
      </c>
      <c r="C2052" s="7">
        <v>4</v>
      </c>
      <c r="D2052" s="7">
        <v>0.61</v>
      </c>
      <c r="E2052" s="85">
        <f>C2052*D2052</f>
        <v>2.44</v>
      </c>
    </row>
    <row r="2053" spans="1:5" ht="18" x14ac:dyDescent="0.35">
      <c r="A2053" s="5"/>
      <c r="B2053" s="50"/>
      <c r="C2053" s="87"/>
      <c r="D2053" s="88"/>
      <c r="E2053" s="85">
        <f>SUM(E2048:E2052)</f>
        <v>356.51381999999995</v>
      </c>
    </row>
    <row r="2054" spans="1:5" ht="18" x14ac:dyDescent="0.35">
      <c r="A2054" s="5"/>
      <c r="B2054" s="50"/>
      <c r="C2054" s="87"/>
      <c r="D2054" s="88" t="s">
        <v>1085</v>
      </c>
      <c r="E2054" s="85">
        <f>E2053+E2053*10%</f>
        <v>392.16520199999997</v>
      </c>
    </row>
    <row r="2055" spans="1:5" ht="18" x14ac:dyDescent="0.35">
      <c r="A2055" s="5"/>
      <c r="B2055" s="50" t="s">
        <v>37</v>
      </c>
      <c r="C2055" s="54">
        <v>1</v>
      </c>
      <c r="D2055" s="86">
        <v>85</v>
      </c>
      <c r="E2055" s="85">
        <f>C2055*D2055</f>
        <v>85</v>
      </c>
    </row>
    <row r="2056" spans="1:5" ht="18" x14ac:dyDescent="0.35">
      <c r="A2056" s="5"/>
      <c r="B2056" s="5"/>
      <c r="C2056" s="54"/>
      <c r="D2056" s="54"/>
      <c r="E2056" s="85">
        <f>SUM(E2054:E2055)</f>
        <v>477.16520199999997</v>
      </c>
    </row>
    <row r="2058" spans="1:5" ht="18" x14ac:dyDescent="0.35">
      <c r="D2058" t="s">
        <v>822</v>
      </c>
      <c r="E2058" s="85">
        <v>499</v>
      </c>
    </row>
    <row r="2061" spans="1:5" ht="21" x14ac:dyDescent="0.4">
      <c r="A2061" s="40" t="s">
        <v>599</v>
      </c>
      <c r="B2061" s="40"/>
      <c r="C2061" s="84"/>
    </row>
    <row r="2062" spans="1:5" ht="18" x14ac:dyDescent="0.35">
      <c r="A2062" s="5" t="s">
        <v>1770</v>
      </c>
      <c r="B2062" s="5"/>
      <c r="C2062" s="7" t="s">
        <v>28</v>
      </c>
      <c r="D2062" s="7" t="s">
        <v>29</v>
      </c>
      <c r="E2062" s="7" t="s">
        <v>30</v>
      </c>
    </row>
    <row r="2063" spans="1:5" ht="18" x14ac:dyDescent="0.35">
      <c r="A2063" s="5" t="s">
        <v>814</v>
      </c>
      <c r="B2063" s="50" t="s">
        <v>32</v>
      </c>
      <c r="C2063" s="7">
        <v>1.986</v>
      </c>
      <c r="D2063" s="7">
        <v>10.34</v>
      </c>
      <c r="E2063" s="85">
        <f t="shared" ref="E2063:E2068" si="137">C2063*D2063</f>
        <v>20.535239999999998</v>
      </c>
    </row>
    <row r="2064" spans="1:5" ht="18" x14ac:dyDescent="0.35">
      <c r="A2064" s="5" t="s">
        <v>1771</v>
      </c>
      <c r="B2064" s="50" t="s">
        <v>33</v>
      </c>
      <c r="C2064" s="7">
        <v>4.72</v>
      </c>
      <c r="D2064" s="7">
        <v>16.170000000000002</v>
      </c>
      <c r="E2064" s="85">
        <f t="shared" si="137"/>
        <v>76.322400000000002</v>
      </c>
    </row>
    <row r="2065" spans="1:5" ht="18" x14ac:dyDescent="0.35">
      <c r="A2065" s="102" t="s">
        <v>1222</v>
      </c>
      <c r="B2065" s="50" t="s">
        <v>97</v>
      </c>
      <c r="C2065" s="7">
        <v>2</v>
      </c>
      <c r="D2065" s="7">
        <v>1.48</v>
      </c>
      <c r="E2065" s="85">
        <f t="shared" si="137"/>
        <v>2.96</v>
      </c>
    </row>
    <row r="2066" spans="1:5" ht="18" x14ac:dyDescent="0.35">
      <c r="A2066" s="5"/>
      <c r="B2066" s="50" t="s">
        <v>34</v>
      </c>
      <c r="C2066" s="7">
        <v>0.13</v>
      </c>
      <c r="D2066" s="7">
        <v>14.61</v>
      </c>
      <c r="E2066" s="85">
        <f t="shared" si="137"/>
        <v>1.8993</v>
      </c>
    </row>
    <row r="2067" spans="1:5" ht="18" x14ac:dyDescent="0.35">
      <c r="A2067" s="5"/>
      <c r="B2067" s="50" t="s">
        <v>35</v>
      </c>
      <c r="C2067" s="7">
        <v>4</v>
      </c>
      <c r="D2067" s="7">
        <v>2.91</v>
      </c>
      <c r="E2067" s="85">
        <f t="shared" si="137"/>
        <v>11.64</v>
      </c>
    </row>
    <row r="2068" spans="1:5" ht="18" x14ac:dyDescent="0.35">
      <c r="A2068" s="5"/>
      <c r="B2068" s="50" t="s">
        <v>36</v>
      </c>
      <c r="C2068" s="7">
        <v>4</v>
      </c>
      <c r="D2068" s="7">
        <v>0.61</v>
      </c>
      <c r="E2068" s="85">
        <f t="shared" si="137"/>
        <v>2.44</v>
      </c>
    </row>
    <row r="2069" spans="1:5" ht="18" x14ac:dyDescent="0.35">
      <c r="A2069" s="5"/>
      <c r="B2069" s="5"/>
      <c r="C2069" s="54"/>
      <c r="D2069" s="54"/>
      <c r="E2069" s="89">
        <f>SUM(E2063:E2068)</f>
        <v>115.79693999999999</v>
      </c>
    </row>
    <row r="2070" spans="1:5" ht="18" x14ac:dyDescent="0.35">
      <c r="A2070" s="5"/>
      <c r="B2070" s="5"/>
      <c r="C2070" s="54"/>
      <c r="D2070" s="54" t="s">
        <v>1158</v>
      </c>
      <c r="E2070" s="89">
        <f>E2069+E2069*10%</f>
        <v>127.376634</v>
      </c>
    </row>
    <row r="2071" spans="1:5" ht="18" x14ac:dyDescent="0.35">
      <c r="A2071" s="5"/>
      <c r="B2071" s="50" t="s">
        <v>37</v>
      </c>
      <c r="C2071" s="54">
        <v>30</v>
      </c>
      <c r="D2071" s="54">
        <v>1.42</v>
      </c>
      <c r="E2071" s="85">
        <f>C2071*D2071</f>
        <v>42.599999999999994</v>
      </c>
    </row>
    <row r="2072" spans="1:5" ht="18" x14ac:dyDescent="0.35">
      <c r="A2072" s="5"/>
      <c r="B2072" s="5"/>
      <c r="C2072" s="54"/>
      <c r="D2072" s="54"/>
      <c r="E2072" s="85">
        <f>SUM(E2070:E2071)</f>
        <v>169.97663399999999</v>
      </c>
    </row>
    <row r="2073" spans="1:5" ht="18" x14ac:dyDescent="0.35">
      <c r="D2073" t="s">
        <v>1768</v>
      </c>
      <c r="E2073" s="85">
        <v>186.97</v>
      </c>
    </row>
    <row r="2075" spans="1:5" ht="21" x14ac:dyDescent="0.4">
      <c r="A2075" s="40" t="s">
        <v>1772</v>
      </c>
      <c r="B2075" s="40"/>
      <c r="C2075" s="40"/>
      <c r="D2075" s="12"/>
      <c r="E2075" s="12"/>
    </row>
    <row r="2076" spans="1:5" ht="18" x14ac:dyDescent="0.35">
      <c r="A2076" s="5"/>
      <c r="B2076" s="5"/>
      <c r="C2076" s="7" t="s">
        <v>28</v>
      </c>
      <c r="D2076" s="7" t="s">
        <v>29</v>
      </c>
      <c r="E2076" s="7" t="s">
        <v>30</v>
      </c>
    </row>
    <row r="2077" spans="1:5" ht="18" x14ac:dyDescent="0.35">
      <c r="A2077" s="5" t="s">
        <v>1770</v>
      </c>
      <c r="B2077" s="50" t="s">
        <v>32</v>
      </c>
      <c r="C2077" s="7">
        <v>1.986</v>
      </c>
      <c r="D2077" s="7">
        <v>10.34</v>
      </c>
      <c r="E2077" s="85">
        <f>C2077*D2077</f>
        <v>20.535239999999998</v>
      </c>
    </row>
    <row r="2078" spans="1:5" ht="18" x14ac:dyDescent="0.35">
      <c r="A2078" s="5" t="s">
        <v>260</v>
      </c>
      <c r="B2078" s="50" t="s">
        <v>33</v>
      </c>
      <c r="C2078" s="7">
        <v>5.5119999999999996</v>
      </c>
      <c r="D2078" s="7">
        <v>17.059999999999999</v>
      </c>
      <c r="E2078" s="85">
        <f>C2078*D2078</f>
        <v>94.034719999999979</v>
      </c>
    </row>
    <row r="2079" spans="1:5" ht="18" x14ac:dyDescent="0.35">
      <c r="A2079" s="5" t="s">
        <v>1773</v>
      </c>
      <c r="B2079" s="50" t="s">
        <v>137</v>
      </c>
      <c r="C2079" s="7">
        <v>0.25</v>
      </c>
      <c r="D2079" s="7">
        <v>15.25</v>
      </c>
      <c r="E2079" s="85">
        <f>C2079*D2079</f>
        <v>3.8125</v>
      </c>
    </row>
    <row r="2080" spans="1:5" ht="18" x14ac:dyDescent="0.35">
      <c r="A2080" s="5"/>
      <c r="B2080" s="50" t="s">
        <v>35</v>
      </c>
      <c r="C2080" s="7">
        <v>4</v>
      </c>
      <c r="D2080" s="7">
        <v>2.91</v>
      </c>
      <c r="E2080" s="85">
        <f>C2080*D2080</f>
        <v>11.64</v>
      </c>
    </row>
    <row r="2081" spans="1:5" ht="18" x14ac:dyDescent="0.35">
      <c r="A2081" s="5"/>
      <c r="B2081" s="50" t="s">
        <v>36</v>
      </c>
      <c r="C2081" s="7">
        <v>4</v>
      </c>
      <c r="D2081" s="7">
        <v>0.61</v>
      </c>
      <c r="E2081" s="85">
        <f>C2081*D2081</f>
        <v>2.44</v>
      </c>
    </row>
    <row r="2082" spans="1:5" ht="18" x14ac:dyDescent="0.35">
      <c r="A2082" s="5"/>
      <c r="B2082" s="50"/>
      <c r="C2082" s="87"/>
      <c r="D2082" s="88"/>
      <c r="E2082" s="85">
        <f>SUM(E2077:E2081)</f>
        <v>132.46245999999996</v>
      </c>
    </row>
    <row r="2083" spans="1:5" ht="18" x14ac:dyDescent="0.35">
      <c r="A2083" s="5"/>
      <c r="B2083" s="50"/>
      <c r="C2083" s="87"/>
      <c r="D2083" s="88" t="s">
        <v>1085</v>
      </c>
      <c r="E2083" s="85">
        <f>E2082+E2082*10%</f>
        <v>145.70870599999995</v>
      </c>
    </row>
    <row r="2084" spans="1:5" ht="18" x14ac:dyDescent="0.35">
      <c r="A2084" s="5"/>
      <c r="B2084" s="50" t="s">
        <v>37</v>
      </c>
      <c r="C2084" s="54">
        <v>30</v>
      </c>
      <c r="D2084" s="86">
        <v>1.42</v>
      </c>
      <c r="E2084" s="85">
        <f>C2084*D2084</f>
        <v>42.599999999999994</v>
      </c>
    </row>
    <row r="2085" spans="1:5" ht="18" x14ac:dyDescent="0.35">
      <c r="A2085" s="5"/>
      <c r="B2085" s="5"/>
      <c r="C2085" s="54"/>
      <c r="D2085" s="54"/>
      <c r="E2085" s="85">
        <f>SUM(E2083:E2084)</f>
        <v>188.30870599999994</v>
      </c>
    </row>
    <row r="2087" spans="1:5" ht="18" x14ac:dyDescent="0.35">
      <c r="D2087" t="s">
        <v>1768</v>
      </c>
      <c r="E2087" s="85">
        <v>208</v>
      </c>
    </row>
    <row r="2089" spans="1:5" ht="21" x14ac:dyDescent="0.4">
      <c r="A2089" s="40" t="s">
        <v>599</v>
      </c>
      <c r="B2089" s="40"/>
      <c r="C2089" s="84"/>
    </row>
    <row r="2090" spans="1:5" ht="18" x14ac:dyDescent="0.35">
      <c r="A2090" s="5" t="s">
        <v>235</v>
      </c>
      <c r="B2090" s="5"/>
      <c r="C2090" s="7" t="s">
        <v>28</v>
      </c>
      <c r="D2090" s="7" t="s">
        <v>29</v>
      </c>
      <c r="E2090" s="7" t="s">
        <v>30</v>
      </c>
    </row>
    <row r="2091" spans="1:5" ht="18" x14ac:dyDescent="0.35">
      <c r="A2091" s="5" t="s">
        <v>1629</v>
      </c>
      <c r="B2091" s="50" t="s">
        <v>32</v>
      </c>
      <c r="C2091" s="7">
        <v>2.343</v>
      </c>
      <c r="D2091" s="7">
        <v>10.34</v>
      </c>
      <c r="E2091" s="85">
        <f t="shared" ref="E2091:E2096" si="138">C2091*D2091</f>
        <v>24.22662</v>
      </c>
    </row>
    <row r="2092" spans="1:5" ht="18" x14ac:dyDescent="0.35">
      <c r="A2092" s="5" t="s">
        <v>799</v>
      </c>
      <c r="B2092" s="50" t="s">
        <v>33</v>
      </c>
      <c r="C2092" s="7">
        <v>2.0790000000000002</v>
      </c>
      <c r="D2092" s="7">
        <v>16.170000000000002</v>
      </c>
      <c r="E2092" s="85">
        <f t="shared" si="138"/>
        <v>33.617430000000006</v>
      </c>
    </row>
    <row r="2093" spans="1:5" ht="18" x14ac:dyDescent="0.35">
      <c r="A2093" s="102" t="s">
        <v>1222</v>
      </c>
      <c r="B2093" s="50" t="s">
        <v>507</v>
      </c>
      <c r="C2093" s="7">
        <v>2</v>
      </c>
      <c r="D2093" s="7">
        <v>1.1499999999999999</v>
      </c>
      <c r="E2093" s="85">
        <f t="shared" si="138"/>
        <v>2.2999999999999998</v>
      </c>
    </row>
    <row r="2094" spans="1:5" ht="18" x14ac:dyDescent="0.35">
      <c r="A2094" s="5"/>
      <c r="B2094" s="50" t="s">
        <v>34</v>
      </c>
      <c r="C2094" s="7">
        <v>0.157</v>
      </c>
      <c r="D2094" s="7">
        <v>14.61</v>
      </c>
      <c r="E2094" s="85">
        <f t="shared" si="138"/>
        <v>2.2937699999999999</v>
      </c>
    </row>
    <row r="2095" spans="1:5" ht="18" x14ac:dyDescent="0.35">
      <c r="A2095" s="5"/>
      <c r="B2095" s="50" t="s">
        <v>35</v>
      </c>
      <c r="C2095" s="7">
        <v>4</v>
      </c>
      <c r="D2095" s="7">
        <v>2.91</v>
      </c>
      <c r="E2095" s="85">
        <f t="shared" si="138"/>
        <v>11.64</v>
      </c>
    </row>
    <row r="2096" spans="1:5" ht="18" x14ac:dyDescent="0.35">
      <c r="A2096" s="5"/>
      <c r="B2096" s="50" t="s">
        <v>36</v>
      </c>
      <c r="C2096" s="7">
        <v>4</v>
      </c>
      <c r="D2096" s="7">
        <v>0.61</v>
      </c>
      <c r="E2096" s="85">
        <f t="shared" si="138"/>
        <v>2.44</v>
      </c>
    </row>
    <row r="2097" spans="1:5" ht="18" x14ac:dyDescent="0.35">
      <c r="A2097" s="5"/>
      <c r="B2097" s="5"/>
      <c r="C2097" s="54"/>
      <c r="D2097" s="54"/>
      <c r="E2097" s="89">
        <f>SUM(E2091:E2096)</f>
        <v>76.51782</v>
      </c>
    </row>
    <row r="2098" spans="1:5" ht="18" x14ac:dyDescent="0.35">
      <c r="A2098" s="5"/>
      <c r="B2098" s="5"/>
      <c r="C2098" s="54"/>
      <c r="D2098" s="54" t="s">
        <v>1158</v>
      </c>
      <c r="E2098" s="89">
        <f>E2097+E2097*10%</f>
        <v>84.169601999999998</v>
      </c>
    </row>
    <row r="2099" spans="1:5" ht="18" x14ac:dyDescent="0.35">
      <c r="A2099" s="5"/>
      <c r="B2099" s="50" t="s">
        <v>37</v>
      </c>
      <c r="C2099" s="54">
        <v>30</v>
      </c>
      <c r="D2099" s="54">
        <v>1.42</v>
      </c>
      <c r="E2099" s="85">
        <f>C2099*D2099</f>
        <v>42.599999999999994</v>
      </c>
    </row>
    <row r="2100" spans="1:5" ht="18" x14ac:dyDescent="0.35">
      <c r="A2100" s="5"/>
      <c r="B2100" s="5"/>
      <c r="C2100" s="54"/>
      <c r="D2100" s="54"/>
      <c r="E2100" s="85">
        <f>SUM(E2098:E2099)</f>
        <v>126.76960199999999</v>
      </c>
    </row>
    <row r="2101" spans="1:5" ht="18" x14ac:dyDescent="0.35">
      <c r="D2101" t="s">
        <v>1768</v>
      </c>
      <c r="E2101" s="85">
        <v>140</v>
      </c>
    </row>
    <row r="2103" spans="1:5" ht="21" x14ac:dyDescent="0.4">
      <c r="A2103" s="40" t="s">
        <v>599</v>
      </c>
      <c r="B2103" s="40"/>
      <c r="C2103" s="84"/>
    </row>
    <row r="2104" spans="1:5" ht="18" x14ac:dyDescent="0.35">
      <c r="A2104" s="5" t="s">
        <v>1774</v>
      </c>
      <c r="B2104" s="5"/>
      <c r="C2104" s="7" t="s">
        <v>28</v>
      </c>
      <c r="D2104" s="7" t="s">
        <v>29</v>
      </c>
      <c r="E2104" s="7" t="s">
        <v>30</v>
      </c>
    </row>
    <row r="2105" spans="1:5" ht="18" x14ac:dyDescent="0.35">
      <c r="A2105" s="5" t="s">
        <v>1629</v>
      </c>
      <c r="B2105" s="50" t="s">
        <v>32</v>
      </c>
      <c r="C2105" s="7">
        <v>1.2509999999999999</v>
      </c>
      <c r="D2105" s="7">
        <v>10.34</v>
      </c>
      <c r="E2105" s="85">
        <f t="shared" ref="E2105:E2110" si="139">C2105*D2105</f>
        <v>12.935339999999998</v>
      </c>
    </row>
    <row r="2106" spans="1:5" ht="18" x14ac:dyDescent="0.35">
      <c r="A2106" s="5" t="s">
        <v>1775</v>
      </c>
      <c r="B2106" s="50" t="s">
        <v>33</v>
      </c>
      <c r="C2106" s="7">
        <v>0.96599999999999997</v>
      </c>
      <c r="D2106" s="7">
        <v>16.170000000000002</v>
      </c>
      <c r="E2106" s="85">
        <f t="shared" si="139"/>
        <v>15.620220000000002</v>
      </c>
    </row>
    <row r="2107" spans="1:5" ht="18" x14ac:dyDescent="0.35">
      <c r="A2107" s="102" t="s">
        <v>1222</v>
      </c>
      <c r="B2107" s="50" t="s">
        <v>646</v>
      </c>
      <c r="C2107" s="7">
        <v>2</v>
      </c>
      <c r="D2107" s="7">
        <v>1.1499999999999999</v>
      </c>
      <c r="E2107" s="85">
        <f t="shared" si="139"/>
        <v>2.2999999999999998</v>
      </c>
    </row>
    <row r="2108" spans="1:5" ht="18" x14ac:dyDescent="0.35">
      <c r="A2108" s="5"/>
      <c r="B2108" s="50" t="s">
        <v>34</v>
      </c>
      <c r="C2108" s="7"/>
      <c r="D2108" s="7">
        <v>14.61</v>
      </c>
      <c r="E2108" s="85">
        <f t="shared" si="139"/>
        <v>0</v>
      </c>
    </row>
    <row r="2109" spans="1:5" ht="18" x14ac:dyDescent="0.35">
      <c r="A2109" s="5"/>
      <c r="B2109" s="50" t="s">
        <v>35</v>
      </c>
      <c r="C2109" s="7">
        <v>4</v>
      </c>
      <c r="D2109" s="7">
        <v>2.91</v>
      </c>
      <c r="E2109" s="85">
        <f t="shared" si="139"/>
        <v>11.64</v>
      </c>
    </row>
    <row r="2110" spans="1:5" ht="18" x14ac:dyDescent="0.35">
      <c r="A2110" s="5"/>
      <c r="B2110" s="50" t="s">
        <v>36</v>
      </c>
      <c r="C2110" s="7">
        <v>4</v>
      </c>
      <c r="D2110" s="7">
        <v>0.61</v>
      </c>
      <c r="E2110" s="85">
        <f t="shared" si="139"/>
        <v>2.44</v>
      </c>
    </row>
    <row r="2111" spans="1:5" ht="18" x14ac:dyDescent="0.35">
      <c r="A2111" s="5"/>
      <c r="B2111" s="5"/>
      <c r="C2111" s="54"/>
      <c r="D2111" s="54"/>
      <c r="E2111" s="89">
        <f>SUM(E2105:E2110)</f>
        <v>44.935559999999995</v>
      </c>
    </row>
    <row r="2112" spans="1:5" ht="18" x14ac:dyDescent="0.35">
      <c r="A2112" s="5"/>
      <c r="B2112" s="5"/>
      <c r="C2112" s="54"/>
      <c r="D2112" s="54" t="s">
        <v>1158</v>
      </c>
      <c r="E2112" s="89">
        <f>E2111+E2111*10%</f>
        <v>49.429115999999993</v>
      </c>
    </row>
    <row r="2113" spans="1:5" ht="18" x14ac:dyDescent="0.35">
      <c r="A2113" s="5"/>
      <c r="B2113" s="50" t="s">
        <v>37</v>
      </c>
      <c r="C2113" s="54">
        <v>20</v>
      </c>
      <c r="D2113" s="54">
        <v>1.42</v>
      </c>
      <c r="E2113" s="85">
        <f>C2113*D2113</f>
        <v>28.4</v>
      </c>
    </row>
    <row r="2114" spans="1:5" ht="18" x14ac:dyDescent="0.35">
      <c r="A2114" s="5"/>
      <c r="B2114" s="5"/>
      <c r="C2114" s="54"/>
      <c r="D2114" s="54"/>
      <c r="E2114" s="85">
        <f>SUM(E2112:E2113)</f>
        <v>77.829115999999999</v>
      </c>
    </row>
    <row r="2115" spans="1:5" ht="18" x14ac:dyDescent="0.35">
      <c r="D2115" t="s">
        <v>1768</v>
      </c>
      <c r="E2115" s="85">
        <v>86</v>
      </c>
    </row>
    <row r="2117" spans="1:5" ht="21" x14ac:dyDescent="0.4">
      <c r="A2117" s="40" t="s">
        <v>1787</v>
      </c>
      <c r="B2117" s="40"/>
      <c r="C2117" s="84"/>
    </row>
    <row r="2118" spans="1:5" ht="18" x14ac:dyDescent="0.35">
      <c r="B2118" s="5"/>
      <c r="C2118" s="7" t="s">
        <v>28</v>
      </c>
      <c r="D2118" s="7" t="s">
        <v>29</v>
      </c>
      <c r="E2118" s="7" t="s">
        <v>30</v>
      </c>
    </row>
    <row r="2119" spans="1:5" ht="18" x14ac:dyDescent="0.35">
      <c r="A2119" s="5" t="s">
        <v>1788</v>
      </c>
      <c r="B2119" s="50" t="s">
        <v>32</v>
      </c>
      <c r="C2119" s="7">
        <v>1.3140000000000001</v>
      </c>
      <c r="D2119" s="7">
        <v>10.34</v>
      </c>
      <c r="E2119" s="85">
        <f t="shared" ref="E2119:E2126" si="140">C2119*D2119</f>
        <v>13.58676</v>
      </c>
    </row>
    <row r="2120" spans="1:5" ht="18" x14ac:dyDescent="0.35">
      <c r="A2120" s="5" t="s">
        <v>1220</v>
      </c>
      <c r="B2120" s="50" t="s">
        <v>33</v>
      </c>
      <c r="C2120" s="7">
        <v>2.31</v>
      </c>
      <c r="D2120" s="7">
        <v>16.170000000000002</v>
      </c>
      <c r="E2120" s="85">
        <f t="shared" si="140"/>
        <v>37.352700000000006</v>
      </c>
    </row>
    <row r="2121" spans="1:5" ht="18" x14ac:dyDescent="0.35">
      <c r="A2121" s="5" t="s">
        <v>714</v>
      </c>
      <c r="B2121" s="50" t="s">
        <v>33</v>
      </c>
      <c r="C2121" s="7">
        <v>2.31</v>
      </c>
      <c r="D2121" s="7">
        <v>16.170000000000002</v>
      </c>
      <c r="E2121" s="85">
        <f t="shared" si="140"/>
        <v>37.352700000000006</v>
      </c>
    </row>
    <row r="2122" spans="1:5" ht="18" x14ac:dyDescent="0.35">
      <c r="A2122" s="5" t="s">
        <v>623</v>
      </c>
      <c r="B2122" s="50" t="s">
        <v>1789</v>
      </c>
      <c r="C2122" s="7">
        <v>2</v>
      </c>
      <c r="D2122" s="7">
        <v>1.1499999999999999</v>
      </c>
      <c r="E2122" s="85">
        <f t="shared" si="140"/>
        <v>2.2999999999999998</v>
      </c>
    </row>
    <row r="2123" spans="1:5" ht="18" x14ac:dyDescent="0.35">
      <c r="A2123" s="5"/>
      <c r="B2123" s="50" t="s">
        <v>1004</v>
      </c>
      <c r="C2123" s="7">
        <v>2</v>
      </c>
      <c r="D2123" s="7">
        <v>2.95</v>
      </c>
      <c r="E2123" s="85">
        <f t="shared" si="140"/>
        <v>5.9</v>
      </c>
    </row>
    <row r="2124" spans="1:5" ht="18" x14ac:dyDescent="0.35">
      <c r="A2124" s="5"/>
      <c r="B2124" s="50" t="s">
        <v>34</v>
      </c>
      <c r="C2124" s="7"/>
      <c r="D2124" s="7">
        <v>14.61</v>
      </c>
      <c r="E2124" s="85">
        <f t="shared" si="140"/>
        <v>0</v>
      </c>
    </row>
    <row r="2125" spans="1:5" ht="18" x14ac:dyDescent="0.35">
      <c r="A2125" s="5"/>
      <c r="B2125" s="50" t="s">
        <v>35</v>
      </c>
      <c r="C2125" s="7">
        <v>4</v>
      </c>
      <c r="D2125" s="7">
        <v>2.91</v>
      </c>
      <c r="E2125" s="85">
        <f t="shared" si="140"/>
        <v>11.64</v>
      </c>
    </row>
    <row r="2126" spans="1:5" ht="18" x14ac:dyDescent="0.35">
      <c r="A2126" s="5"/>
      <c r="B2126" s="50" t="s">
        <v>36</v>
      </c>
      <c r="C2126" s="7">
        <v>4</v>
      </c>
      <c r="D2126" s="7">
        <v>0.61</v>
      </c>
      <c r="E2126" s="85">
        <f t="shared" si="140"/>
        <v>2.44</v>
      </c>
    </row>
    <row r="2127" spans="1:5" ht="18" x14ac:dyDescent="0.35">
      <c r="A2127" s="5"/>
      <c r="B2127" s="5"/>
      <c r="C2127" s="54"/>
      <c r="D2127" s="54"/>
      <c r="E2127" s="89">
        <f>SUM(E2119:E2126)</f>
        <v>110.57216000000001</v>
      </c>
    </row>
    <row r="2128" spans="1:5" ht="18" x14ac:dyDescent="0.35">
      <c r="A2128" s="5"/>
      <c r="B2128" s="5"/>
      <c r="C2128" s="54"/>
      <c r="D2128" s="54" t="s">
        <v>1129</v>
      </c>
      <c r="E2128" s="89">
        <f>E2127+E2127*10%</f>
        <v>121.62937600000001</v>
      </c>
    </row>
    <row r="2129" spans="1:5" ht="18" x14ac:dyDescent="0.35">
      <c r="A2129" s="5"/>
      <c r="B2129" s="50" t="s">
        <v>37</v>
      </c>
      <c r="C2129" s="54">
        <v>0.4</v>
      </c>
      <c r="D2129" s="54">
        <v>85</v>
      </c>
      <c r="E2129" s="85">
        <f>C2129*D2129</f>
        <v>34</v>
      </c>
    </row>
    <row r="2130" spans="1:5" ht="18" x14ac:dyDescent="0.35">
      <c r="A2130" s="5"/>
      <c r="B2130" s="5"/>
      <c r="C2130" s="54"/>
      <c r="D2130" s="54"/>
      <c r="E2130" s="85">
        <f>SUM(E2128:E2129)</f>
        <v>155.62937600000001</v>
      </c>
    </row>
    <row r="2131" spans="1:5" ht="18" x14ac:dyDescent="0.35">
      <c r="D2131" s="99" t="s">
        <v>1754</v>
      </c>
      <c r="E2131" s="85">
        <v>170</v>
      </c>
    </row>
    <row r="2134" spans="1:5" ht="21" x14ac:dyDescent="0.4">
      <c r="A2134" s="40" t="s">
        <v>1787</v>
      </c>
      <c r="B2134" s="40"/>
      <c r="C2134" s="84"/>
    </row>
    <row r="2135" spans="1:5" ht="18" x14ac:dyDescent="0.35">
      <c r="B2135" s="5"/>
      <c r="C2135" s="7" t="s">
        <v>28</v>
      </c>
      <c r="D2135" s="7" t="s">
        <v>29</v>
      </c>
      <c r="E2135" s="7" t="s">
        <v>30</v>
      </c>
    </row>
    <row r="2136" spans="1:5" ht="18" x14ac:dyDescent="0.35">
      <c r="A2136" s="5" t="s">
        <v>1790</v>
      </c>
      <c r="B2136" s="50" t="s">
        <v>32</v>
      </c>
      <c r="C2136" s="7">
        <v>0.999</v>
      </c>
      <c r="D2136" s="7">
        <v>10.34</v>
      </c>
      <c r="E2136" s="85">
        <f t="shared" ref="E2136:E2143" si="141">C2136*D2136</f>
        <v>10.329660000000001</v>
      </c>
    </row>
    <row r="2137" spans="1:5" ht="18" x14ac:dyDescent="0.35">
      <c r="A2137" s="5" t="s">
        <v>1220</v>
      </c>
      <c r="B2137" s="50" t="s">
        <v>33</v>
      </c>
      <c r="C2137" s="7">
        <v>1.522</v>
      </c>
      <c r="D2137" s="7">
        <v>16.170000000000002</v>
      </c>
      <c r="E2137" s="85">
        <f t="shared" si="141"/>
        <v>24.610740000000003</v>
      </c>
    </row>
    <row r="2138" spans="1:5" ht="18" x14ac:dyDescent="0.35">
      <c r="A2138" s="5" t="s">
        <v>217</v>
      </c>
      <c r="B2138" s="50" t="s">
        <v>33</v>
      </c>
      <c r="C2138" s="7">
        <v>1.47</v>
      </c>
      <c r="D2138" s="7">
        <v>16.170000000000002</v>
      </c>
      <c r="E2138" s="85">
        <f t="shared" si="141"/>
        <v>23.769900000000003</v>
      </c>
    </row>
    <row r="2139" spans="1:5" ht="18" x14ac:dyDescent="0.35">
      <c r="A2139" s="5" t="s">
        <v>619</v>
      </c>
      <c r="B2139" s="50" t="s">
        <v>1789</v>
      </c>
      <c r="C2139" s="7">
        <v>2</v>
      </c>
      <c r="D2139" s="7">
        <v>1.1499999999999999</v>
      </c>
      <c r="E2139" s="85">
        <f t="shared" si="141"/>
        <v>2.2999999999999998</v>
      </c>
    </row>
    <row r="2140" spans="1:5" ht="18" x14ac:dyDescent="0.35">
      <c r="A2140" s="5"/>
      <c r="B2140" s="50" t="s">
        <v>1004</v>
      </c>
      <c r="C2140" s="7">
        <v>2</v>
      </c>
      <c r="D2140" s="7">
        <v>2.95</v>
      </c>
      <c r="E2140" s="85">
        <f t="shared" si="141"/>
        <v>5.9</v>
      </c>
    </row>
    <row r="2141" spans="1:5" ht="18" x14ac:dyDescent="0.35">
      <c r="A2141" s="5"/>
      <c r="B2141" s="50" t="s">
        <v>34</v>
      </c>
      <c r="C2141" s="7"/>
      <c r="D2141" s="7">
        <v>14.61</v>
      </c>
      <c r="E2141" s="85">
        <f t="shared" si="141"/>
        <v>0</v>
      </c>
    </row>
    <row r="2142" spans="1:5" ht="18" x14ac:dyDescent="0.35">
      <c r="A2142" s="5"/>
      <c r="B2142" s="50" t="s">
        <v>35</v>
      </c>
      <c r="C2142" s="7">
        <v>4</v>
      </c>
      <c r="D2142" s="7">
        <v>2.91</v>
      </c>
      <c r="E2142" s="85">
        <f t="shared" si="141"/>
        <v>11.64</v>
      </c>
    </row>
    <row r="2143" spans="1:5" ht="18" x14ac:dyDescent="0.35">
      <c r="A2143" s="5"/>
      <c r="B2143" s="50" t="s">
        <v>36</v>
      </c>
      <c r="C2143" s="7">
        <v>4</v>
      </c>
      <c r="D2143" s="7">
        <v>0.61</v>
      </c>
      <c r="E2143" s="85">
        <f t="shared" si="141"/>
        <v>2.44</v>
      </c>
    </row>
    <row r="2144" spans="1:5" ht="18" x14ac:dyDescent="0.35">
      <c r="A2144" s="5"/>
      <c r="B2144" s="5"/>
      <c r="C2144" s="54"/>
      <c r="D2144" s="54"/>
      <c r="E2144" s="89">
        <f>SUM(E2136:E2143)</f>
        <v>80.990300000000005</v>
      </c>
    </row>
    <row r="2145" spans="1:5" ht="18" x14ac:dyDescent="0.35">
      <c r="A2145" s="5"/>
      <c r="B2145" s="5"/>
      <c r="C2145" s="54"/>
      <c r="D2145" s="54" t="s">
        <v>1129</v>
      </c>
      <c r="E2145" s="89">
        <f>E2144+E2144*10%</f>
        <v>89.089330000000004</v>
      </c>
    </row>
    <row r="2146" spans="1:5" ht="18" x14ac:dyDescent="0.35">
      <c r="A2146" s="5"/>
      <c r="B2146" s="50" t="s">
        <v>37</v>
      </c>
      <c r="C2146" s="54">
        <v>0.4</v>
      </c>
      <c r="D2146" s="54">
        <v>85</v>
      </c>
      <c r="E2146" s="85">
        <f>C2146*D2146</f>
        <v>34</v>
      </c>
    </row>
    <row r="2147" spans="1:5" ht="18" x14ac:dyDescent="0.35">
      <c r="A2147" s="5"/>
      <c r="B2147" s="5"/>
      <c r="C2147" s="54"/>
      <c r="D2147" s="54"/>
      <c r="E2147" s="85">
        <f>SUM(E2145:E2146)</f>
        <v>123.08933</v>
      </c>
    </row>
    <row r="2148" spans="1:5" ht="18" x14ac:dyDescent="0.35">
      <c r="D2148" s="99" t="s">
        <v>1754</v>
      </c>
      <c r="E2148" s="85">
        <v>135.5</v>
      </c>
    </row>
    <row r="2150" spans="1:5" ht="21" x14ac:dyDescent="0.4">
      <c r="A2150" s="40" t="s">
        <v>1791</v>
      </c>
      <c r="B2150" s="40"/>
      <c r="C2150" s="84"/>
    </row>
    <row r="2151" spans="1:5" ht="18" x14ac:dyDescent="0.35">
      <c r="B2151" s="5"/>
      <c r="C2151" s="7" t="s">
        <v>28</v>
      </c>
      <c r="D2151" s="7" t="s">
        <v>29</v>
      </c>
      <c r="E2151" s="7" t="s">
        <v>30</v>
      </c>
    </row>
    <row r="2152" spans="1:5" ht="18" x14ac:dyDescent="0.35">
      <c r="A2152" s="5" t="s">
        <v>1556</v>
      </c>
      <c r="B2152" s="50" t="s">
        <v>32</v>
      </c>
      <c r="C2152" s="7">
        <v>4.3380000000000001</v>
      </c>
      <c r="D2152" s="7">
        <v>10.34</v>
      </c>
      <c r="E2152" s="85">
        <f t="shared" ref="E2152:E2159" si="142">C2152*D2152</f>
        <v>44.85492</v>
      </c>
    </row>
    <row r="2153" spans="1:5" ht="18" x14ac:dyDescent="0.35">
      <c r="A2153" s="5" t="s">
        <v>819</v>
      </c>
      <c r="B2153" s="50" t="s">
        <v>33</v>
      </c>
      <c r="C2153" s="7">
        <v>42.325000000000003</v>
      </c>
      <c r="D2153" s="7">
        <v>16.170000000000002</v>
      </c>
      <c r="E2153" s="85">
        <f t="shared" si="142"/>
        <v>684.39525000000015</v>
      </c>
    </row>
    <row r="2154" spans="1:5" ht="18" x14ac:dyDescent="0.35">
      <c r="A2154" s="5" t="s">
        <v>1676</v>
      </c>
      <c r="B2154" s="50" t="s">
        <v>33</v>
      </c>
      <c r="C2154" s="7">
        <v>42.744999999999997</v>
      </c>
      <c r="D2154" s="7">
        <v>16.170000000000002</v>
      </c>
      <c r="E2154" s="85">
        <f t="shared" si="142"/>
        <v>691.18664999999999</v>
      </c>
    </row>
    <row r="2155" spans="1:5" ht="18" x14ac:dyDescent="0.35">
      <c r="A2155" s="5" t="s">
        <v>1557</v>
      </c>
      <c r="B2155" s="50" t="s">
        <v>98</v>
      </c>
      <c r="C2155" s="7">
        <v>2</v>
      </c>
      <c r="D2155" s="7">
        <v>3.4</v>
      </c>
      <c r="E2155" s="85">
        <f t="shared" si="142"/>
        <v>6.8</v>
      </c>
    </row>
    <row r="2156" spans="1:5" ht="18" x14ac:dyDescent="0.35">
      <c r="A2156" s="5"/>
      <c r="B2156" s="50" t="s">
        <v>1677</v>
      </c>
      <c r="C2156" s="7">
        <v>2</v>
      </c>
      <c r="D2156" s="7">
        <v>6.29</v>
      </c>
      <c r="E2156" s="85">
        <f t="shared" si="142"/>
        <v>12.58</v>
      </c>
    </row>
    <row r="2157" spans="1:5" ht="18" x14ac:dyDescent="0.35">
      <c r="A2157" s="5"/>
      <c r="B2157" s="50" t="s">
        <v>34</v>
      </c>
      <c r="C2157" s="7">
        <v>2.5</v>
      </c>
      <c r="D2157" s="7">
        <v>14.61</v>
      </c>
      <c r="E2157" s="85">
        <f t="shared" si="142"/>
        <v>36.524999999999999</v>
      </c>
    </row>
    <row r="2158" spans="1:5" ht="18" x14ac:dyDescent="0.35">
      <c r="A2158" s="5"/>
      <c r="B2158" s="50" t="s">
        <v>35</v>
      </c>
      <c r="C2158" s="7">
        <v>4</v>
      </c>
      <c r="D2158" s="7">
        <v>2.91</v>
      </c>
      <c r="E2158" s="85">
        <f t="shared" si="142"/>
        <v>11.64</v>
      </c>
    </row>
    <row r="2159" spans="1:5" ht="18" x14ac:dyDescent="0.35">
      <c r="A2159" s="5"/>
      <c r="B2159" s="50" t="s">
        <v>36</v>
      </c>
      <c r="C2159" s="7">
        <v>4</v>
      </c>
      <c r="D2159" s="7">
        <v>0.61</v>
      </c>
      <c r="E2159" s="85">
        <f t="shared" si="142"/>
        <v>2.44</v>
      </c>
    </row>
    <row r="2160" spans="1:5" ht="18" x14ac:dyDescent="0.35">
      <c r="A2160" s="5"/>
      <c r="B2160" s="5"/>
      <c r="C2160" s="54"/>
      <c r="D2160" s="54"/>
      <c r="E2160" s="89">
        <f>SUM(E2152:E2159)</f>
        <v>1490.4218200000003</v>
      </c>
    </row>
    <row r="2161" spans="1:5" ht="18" x14ac:dyDescent="0.35">
      <c r="A2161" s="5"/>
      <c r="B2161" s="5"/>
      <c r="C2161" s="54"/>
      <c r="D2161" s="54" t="s">
        <v>1129</v>
      </c>
      <c r="E2161" s="89">
        <f>E2160+E2160*10%</f>
        <v>1639.4640020000002</v>
      </c>
    </row>
    <row r="2162" spans="1:5" ht="18" x14ac:dyDescent="0.35">
      <c r="A2162" s="5"/>
      <c r="B2162" s="50" t="s">
        <v>37</v>
      </c>
      <c r="C2162" s="54">
        <v>2</v>
      </c>
      <c r="D2162" s="54">
        <v>85</v>
      </c>
      <c r="E2162" s="85">
        <f>C2162*D2162</f>
        <v>170</v>
      </c>
    </row>
    <row r="2163" spans="1:5" ht="18" x14ac:dyDescent="0.35">
      <c r="A2163" s="5"/>
      <c r="B2163" s="5"/>
      <c r="C2163" s="54"/>
      <c r="D2163" s="54"/>
      <c r="E2163" s="85">
        <f>SUM(E2161:E2162)</f>
        <v>1809.4640020000002</v>
      </c>
    </row>
    <row r="2164" spans="1:5" ht="18" x14ac:dyDescent="0.35">
      <c r="D2164" s="99" t="s">
        <v>1792</v>
      </c>
      <c r="E2164" s="85">
        <v>1899</v>
      </c>
    </row>
    <row r="2166" spans="1:5" ht="21" x14ac:dyDescent="0.4">
      <c r="A2166" s="40" t="s">
        <v>599</v>
      </c>
      <c r="B2166" s="40"/>
      <c r="C2166" s="84"/>
    </row>
    <row r="2167" spans="1:5" ht="18" x14ac:dyDescent="0.35">
      <c r="A2167" s="5" t="s">
        <v>291</v>
      </c>
      <c r="B2167" s="5"/>
      <c r="C2167" s="7" t="s">
        <v>28</v>
      </c>
      <c r="D2167" s="7" t="s">
        <v>29</v>
      </c>
      <c r="E2167" s="7" t="s">
        <v>30</v>
      </c>
    </row>
    <row r="2168" spans="1:5" ht="18" x14ac:dyDescent="0.35">
      <c r="A2168" s="5" t="s">
        <v>168</v>
      </c>
      <c r="B2168" s="50" t="s">
        <v>32</v>
      </c>
      <c r="C2168" s="7">
        <v>2.6579999999999999</v>
      </c>
      <c r="D2168" s="7">
        <v>10.34</v>
      </c>
      <c r="E2168" s="85">
        <f t="shared" ref="E2168:E2173" si="143">C2168*D2168</f>
        <v>27.483719999999998</v>
      </c>
    </row>
    <row r="2169" spans="1:5" ht="18" x14ac:dyDescent="0.35">
      <c r="A2169" s="5" t="s">
        <v>820</v>
      </c>
      <c r="B2169" s="50" t="s">
        <v>33</v>
      </c>
      <c r="C2169" s="7">
        <v>17.965</v>
      </c>
      <c r="D2169" s="7">
        <v>16.170000000000002</v>
      </c>
      <c r="E2169" s="85">
        <f t="shared" si="143"/>
        <v>290.49405000000002</v>
      </c>
    </row>
    <row r="2170" spans="1:5" ht="18" x14ac:dyDescent="0.35">
      <c r="A2170" s="102" t="s">
        <v>1222</v>
      </c>
      <c r="B2170" s="50" t="s">
        <v>89</v>
      </c>
      <c r="C2170" s="7">
        <v>2</v>
      </c>
      <c r="D2170" s="7">
        <v>3.39</v>
      </c>
      <c r="E2170" s="85">
        <f t="shared" si="143"/>
        <v>6.78</v>
      </c>
    </row>
    <row r="2171" spans="1:5" ht="18" x14ac:dyDescent="0.35">
      <c r="A2171" s="5"/>
      <c r="B2171" s="50" t="s">
        <v>34</v>
      </c>
      <c r="C2171" s="7">
        <v>0.6</v>
      </c>
      <c r="D2171" s="7">
        <v>14.61</v>
      </c>
      <c r="E2171" s="85">
        <f t="shared" si="143"/>
        <v>8.766</v>
      </c>
    </row>
    <row r="2172" spans="1:5" ht="18" x14ac:dyDescent="0.35">
      <c r="A2172" s="5"/>
      <c r="B2172" s="50" t="s">
        <v>35</v>
      </c>
      <c r="C2172" s="7">
        <v>4</v>
      </c>
      <c r="D2172" s="7">
        <v>2.91</v>
      </c>
      <c r="E2172" s="85">
        <f t="shared" si="143"/>
        <v>11.64</v>
      </c>
    </row>
    <row r="2173" spans="1:5" ht="18" x14ac:dyDescent="0.35">
      <c r="A2173" s="5"/>
      <c r="B2173" s="50" t="s">
        <v>36</v>
      </c>
      <c r="C2173" s="7">
        <v>4</v>
      </c>
      <c r="D2173" s="7">
        <v>0.61</v>
      </c>
      <c r="E2173" s="85">
        <f t="shared" si="143"/>
        <v>2.44</v>
      </c>
    </row>
    <row r="2174" spans="1:5" ht="18" x14ac:dyDescent="0.35">
      <c r="A2174" s="5"/>
      <c r="B2174" s="5"/>
      <c r="C2174" s="54"/>
      <c r="D2174" s="54"/>
      <c r="E2174" s="89">
        <f>SUM(E2168:E2173)</f>
        <v>347.60377</v>
      </c>
    </row>
    <row r="2175" spans="1:5" ht="18" x14ac:dyDescent="0.35">
      <c r="A2175" s="5"/>
      <c r="B2175" s="5"/>
      <c r="C2175" s="54"/>
      <c r="D2175" s="54" t="s">
        <v>1158</v>
      </c>
      <c r="E2175" s="89">
        <f>E2174+E2174*10%</f>
        <v>382.364147</v>
      </c>
    </row>
    <row r="2176" spans="1:5" ht="18" x14ac:dyDescent="0.35">
      <c r="A2176" s="5"/>
      <c r="B2176" s="50" t="s">
        <v>37</v>
      </c>
      <c r="C2176" s="54">
        <v>1</v>
      </c>
      <c r="D2176" s="54">
        <v>85</v>
      </c>
      <c r="E2176" s="85">
        <f>C2176*D2176</f>
        <v>85</v>
      </c>
    </row>
    <row r="2177" spans="1:5" ht="18" x14ac:dyDescent="0.35">
      <c r="A2177" s="5"/>
      <c r="B2177" s="5"/>
      <c r="C2177" s="54"/>
      <c r="D2177" s="54"/>
      <c r="E2177" s="85">
        <f>SUM(E2175:E2176)</f>
        <v>467.364147</v>
      </c>
    </row>
    <row r="2178" spans="1:5" ht="18" x14ac:dyDescent="0.35">
      <c r="D2178" t="s">
        <v>822</v>
      </c>
      <c r="E2178" s="85">
        <v>490</v>
      </c>
    </row>
    <row r="2180" spans="1:5" ht="21" x14ac:dyDescent="0.4">
      <c r="A2180" s="40" t="s">
        <v>1791</v>
      </c>
      <c r="B2180" s="40"/>
      <c r="C2180" s="84"/>
    </row>
    <row r="2181" spans="1:5" ht="18" x14ac:dyDescent="0.35">
      <c r="B2181" s="5"/>
      <c r="C2181" s="7" t="s">
        <v>28</v>
      </c>
      <c r="D2181" s="7" t="s">
        <v>29</v>
      </c>
      <c r="E2181" s="7" t="s">
        <v>30</v>
      </c>
    </row>
    <row r="2182" spans="1:5" ht="18" x14ac:dyDescent="0.35">
      <c r="A2182" s="5" t="s">
        <v>1556</v>
      </c>
      <c r="B2182" s="50" t="s">
        <v>32</v>
      </c>
      <c r="C2182" s="7">
        <v>4.3380000000000001</v>
      </c>
      <c r="D2182" s="7">
        <v>10.34</v>
      </c>
      <c r="E2182" s="85">
        <f t="shared" ref="E2182:E2189" si="144">C2182*D2182</f>
        <v>44.85492</v>
      </c>
    </row>
    <row r="2183" spans="1:5" ht="18" x14ac:dyDescent="0.35">
      <c r="A2183" s="5" t="s">
        <v>819</v>
      </c>
      <c r="B2183" s="50" t="s">
        <v>33</v>
      </c>
      <c r="C2183" s="7">
        <v>42.325000000000003</v>
      </c>
      <c r="D2183" s="7">
        <v>16.170000000000002</v>
      </c>
      <c r="E2183" s="85">
        <f t="shared" si="144"/>
        <v>684.39525000000015</v>
      </c>
    </row>
    <row r="2184" spans="1:5" ht="18" x14ac:dyDescent="0.35">
      <c r="A2184" s="5" t="s">
        <v>1676</v>
      </c>
      <c r="B2184" s="50" t="s">
        <v>33</v>
      </c>
      <c r="C2184" s="7">
        <v>42.744999999999997</v>
      </c>
      <c r="D2184" s="7">
        <v>16.170000000000002</v>
      </c>
      <c r="E2184" s="85">
        <f t="shared" si="144"/>
        <v>691.18664999999999</v>
      </c>
    </row>
    <row r="2185" spans="1:5" ht="18" x14ac:dyDescent="0.35">
      <c r="A2185" s="5" t="s">
        <v>1557</v>
      </c>
      <c r="B2185" s="50" t="s">
        <v>98</v>
      </c>
      <c r="C2185" s="7">
        <v>2</v>
      </c>
      <c r="D2185" s="7">
        <v>3.4</v>
      </c>
      <c r="E2185" s="85">
        <f t="shared" si="144"/>
        <v>6.8</v>
      </c>
    </row>
    <row r="2186" spans="1:5" ht="18" x14ac:dyDescent="0.35">
      <c r="A2186" s="5"/>
      <c r="B2186" s="50" t="s">
        <v>1677</v>
      </c>
      <c r="C2186" s="7">
        <v>2</v>
      </c>
      <c r="D2186" s="7">
        <v>6.29</v>
      </c>
      <c r="E2186" s="85">
        <f t="shared" si="144"/>
        <v>12.58</v>
      </c>
    </row>
    <row r="2187" spans="1:5" ht="18" x14ac:dyDescent="0.35">
      <c r="A2187" s="5"/>
      <c r="B2187" s="50" t="s">
        <v>34</v>
      </c>
      <c r="C2187" s="7">
        <v>2.5</v>
      </c>
      <c r="D2187" s="7">
        <v>14.61</v>
      </c>
      <c r="E2187" s="85">
        <f t="shared" si="144"/>
        <v>36.524999999999999</v>
      </c>
    </row>
    <row r="2188" spans="1:5" ht="18" x14ac:dyDescent="0.35">
      <c r="A2188" s="5"/>
      <c r="B2188" s="50" t="s">
        <v>35</v>
      </c>
      <c r="C2188" s="7">
        <v>4</v>
      </c>
      <c r="D2188" s="7">
        <v>2.91</v>
      </c>
      <c r="E2188" s="85">
        <f t="shared" si="144"/>
        <v>11.64</v>
      </c>
    </row>
    <row r="2189" spans="1:5" ht="18" x14ac:dyDescent="0.35">
      <c r="A2189" s="5"/>
      <c r="B2189" s="50" t="s">
        <v>36</v>
      </c>
      <c r="C2189" s="7">
        <v>4</v>
      </c>
      <c r="D2189" s="7">
        <v>0.61</v>
      </c>
      <c r="E2189" s="85">
        <f t="shared" si="144"/>
        <v>2.44</v>
      </c>
    </row>
    <row r="2190" spans="1:5" ht="18" x14ac:dyDescent="0.35">
      <c r="A2190" s="5"/>
      <c r="B2190" s="5"/>
      <c r="C2190" s="54"/>
      <c r="D2190" s="54"/>
      <c r="E2190" s="89">
        <f>SUM(E2182:E2189)</f>
        <v>1490.4218200000003</v>
      </c>
    </row>
    <row r="2191" spans="1:5" ht="18" x14ac:dyDescent="0.35">
      <c r="A2191" s="5"/>
      <c r="B2191" s="5"/>
      <c r="C2191" s="54"/>
      <c r="D2191" s="54" t="s">
        <v>1129</v>
      </c>
      <c r="E2191" s="89">
        <f>E2190+E2190*10%</f>
        <v>1639.4640020000002</v>
      </c>
    </row>
    <row r="2192" spans="1:5" ht="18" x14ac:dyDescent="0.35">
      <c r="A2192" s="5"/>
      <c r="B2192" s="50" t="s">
        <v>37</v>
      </c>
      <c r="C2192" s="54">
        <v>2</v>
      </c>
      <c r="D2192" s="54">
        <v>85</v>
      </c>
      <c r="E2192" s="85">
        <f>C2192*D2192</f>
        <v>170</v>
      </c>
    </row>
    <row r="2193" spans="1:5" ht="18" x14ac:dyDescent="0.35">
      <c r="A2193" s="5"/>
      <c r="B2193" s="5"/>
      <c r="C2193" s="54"/>
      <c r="D2193" s="54"/>
      <c r="E2193" s="85">
        <f>SUM(E2191:E2192)</f>
        <v>1809.4640020000002</v>
      </c>
    </row>
    <row r="2194" spans="1:5" ht="18" x14ac:dyDescent="0.35">
      <c r="D2194" s="99" t="s">
        <v>1792</v>
      </c>
      <c r="E2194" s="85">
        <v>1899</v>
      </c>
    </row>
    <row r="2196" spans="1:5" ht="21" x14ac:dyDescent="0.4">
      <c r="A2196" s="40" t="s">
        <v>599</v>
      </c>
      <c r="B2196" s="40"/>
      <c r="C2196" s="84"/>
    </row>
    <row r="2197" spans="1:5" ht="18" x14ac:dyDescent="0.35">
      <c r="A2197" s="5" t="s">
        <v>1815</v>
      </c>
      <c r="B2197" s="5"/>
      <c r="C2197" s="7" t="s">
        <v>28</v>
      </c>
      <c r="D2197" s="7" t="s">
        <v>29</v>
      </c>
      <c r="E2197" s="7" t="s">
        <v>30</v>
      </c>
    </row>
    <row r="2198" spans="1:5" ht="18" x14ac:dyDescent="0.35">
      <c r="A2198" s="5" t="s">
        <v>1816</v>
      </c>
      <c r="B2198" s="50" t="s">
        <v>32</v>
      </c>
      <c r="C2198" s="7">
        <v>2.4380000000000002</v>
      </c>
      <c r="D2198" s="7">
        <v>10.34</v>
      </c>
      <c r="E2198" s="85">
        <f t="shared" ref="E2198:E2203" si="145">C2198*D2198</f>
        <v>25.208920000000003</v>
      </c>
    </row>
    <row r="2199" spans="1:5" ht="18" x14ac:dyDescent="0.35">
      <c r="A2199" s="5" t="s">
        <v>759</v>
      </c>
      <c r="B2199" s="50" t="s">
        <v>33</v>
      </c>
      <c r="C2199" s="7">
        <v>2.1629999999999998</v>
      </c>
      <c r="D2199" s="7">
        <v>16.170000000000002</v>
      </c>
      <c r="E2199" s="85">
        <f t="shared" si="145"/>
        <v>34.975709999999999</v>
      </c>
    </row>
    <row r="2200" spans="1:5" ht="18" x14ac:dyDescent="0.35">
      <c r="A2200" s="102" t="s">
        <v>1222</v>
      </c>
      <c r="B2200" s="50" t="s">
        <v>1817</v>
      </c>
      <c r="C2200" s="7">
        <v>2</v>
      </c>
      <c r="D2200" s="7">
        <v>1.1499999999999999</v>
      </c>
      <c r="E2200" s="85">
        <f t="shared" si="145"/>
        <v>2.2999999999999998</v>
      </c>
    </row>
    <row r="2201" spans="1:5" ht="18" x14ac:dyDescent="0.35">
      <c r="A2201" s="5"/>
      <c r="B2201" s="50" t="s">
        <v>34</v>
      </c>
      <c r="C2201" s="7">
        <v>0.22</v>
      </c>
      <c r="D2201" s="7">
        <v>14.61</v>
      </c>
      <c r="E2201" s="85">
        <f t="shared" si="145"/>
        <v>3.2141999999999999</v>
      </c>
    </row>
    <row r="2202" spans="1:5" ht="18" x14ac:dyDescent="0.35">
      <c r="A2202" s="5"/>
      <c r="B2202" s="50" t="s">
        <v>35</v>
      </c>
      <c r="C2202" s="7">
        <v>4</v>
      </c>
      <c r="D2202" s="7">
        <v>2.91</v>
      </c>
      <c r="E2202" s="85">
        <f t="shared" si="145"/>
        <v>11.64</v>
      </c>
    </row>
    <row r="2203" spans="1:5" ht="18" x14ac:dyDescent="0.35">
      <c r="A2203" s="5"/>
      <c r="B2203" s="50" t="s">
        <v>36</v>
      </c>
      <c r="C2203" s="7">
        <v>4</v>
      </c>
      <c r="D2203" s="7">
        <v>0.61</v>
      </c>
      <c r="E2203" s="85">
        <f t="shared" si="145"/>
        <v>2.44</v>
      </c>
    </row>
    <row r="2204" spans="1:5" ht="18" x14ac:dyDescent="0.35">
      <c r="A2204" s="5"/>
      <c r="B2204" s="5"/>
      <c r="C2204" s="54"/>
      <c r="D2204" s="54"/>
      <c r="E2204" s="89">
        <f>SUM(E2198:E2203)</f>
        <v>79.778829999999999</v>
      </c>
    </row>
    <row r="2205" spans="1:5" ht="18" x14ac:dyDescent="0.35">
      <c r="A2205" s="5"/>
      <c r="B2205" s="5"/>
      <c r="C2205" s="54"/>
      <c r="D2205" s="54" t="s">
        <v>1158</v>
      </c>
      <c r="E2205" s="89">
        <f>E2204+E2204*10%</f>
        <v>87.756713000000005</v>
      </c>
    </row>
    <row r="2206" spans="1:5" ht="18" x14ac:dyDescent="0.35">
      <c r="A2206" s="5"/>
      <c r="B2206" s="50" t="s">
        <v>37</v>
      </c>
      <c r="C2206" s="54">
        <v>0.5</v>
      </c>
      <c r="D2206" s="54">
        <v>85</v>
      </c>
      <c r="E2206" s="85">
        <f>C2206*D2206</f>
        <v>42.5</v>
      </c>
    </row>
    <row r="2207" spans="1:5" ht="18" x14ac:dyDescent="0.35">
      <c r="A2207" s="5"/>
      <c r="B2207" s="5"/>
      <c r="C2207" s="54"/>
      <c r="D2207" s="54"/>
      <c r="E2207" s="85">
        <f>SUM(E2205:E2206)</f>
        <v>130.25671299999999</v>
      </c>
    </row>
    <row r="2208" spans="1:5" ht="18" x14ac:dyDescent="0.35">
      <c r="D2208" t="s">
        <v>822</v>
      </c>
      <c r="E2208" s="85">
        <f>E2207+E2207*10%</f>
        <v>143.28238429999999</v>
      </c>
    </row>
    <row r="2210" spans="1:5" ht="21" x14ac:dyDescent="0.4">
      <c r="A2210" s="40" t="s">
        <v>599</v>
      </c>
      <c r="B2210" s="40"/>
      <c r="C2210" s="84"/>
    </row>
    <row r="2211" spans="1:5" ht="18" x14ac:dyDescent="0.35">
      <c r="A2211" s="5" t="s">
        <v>1818</v>
      </c>
      <c r="B2211" s="5"/>
      <c r="C2211" s="7" t="s">
        <v>28</v>
      </c>
      <c r="D2211" s="7" t="s">
        <v>29</v>
      </c>
      <c r="E2211" s="7" t="s">
        <v>30</v>
      </c>
    </row>
    <row r="2212" spans="1:5" ht="18" x14ac:dyDescent="0.35">
      <c r="A2212" s="5" t="s">
        <v>1819</v>
      </c>
      <c r="B2212" s="50" t="s">
        <v>32</v>
      </c>
      <c r="C2212" s="7">
        <v>1.272</v>
      </c>
      <c r="D2212" s="7">
        <v>10.34</v>
      </c>
      <c r="E2212" s="85">
        <f t="shared" ref="E2212:E2217" si="146">C2212*D2212</f>
        <v>13.152480000000001</v>
      </c>
    </row>
    <row r="2213" spans="1:5" ht="18" x14ac:dyDescent="0.35">
      <c r="A2213" s="5" t="s">
        <v>755</v>
      </c>
      <c r="B2213" s="50" t="s">
        <v>33</v>
      </c>
      <c r="C2213" s="7">
        <v>1.806</v>
      </c>
      <c r="D2213" s="7">
        <v>16.170000000000002</v>
      </c>
      <c r="E2213" s="85">
        <f t="shared" si="146"/>
        <v>29.203020000000002</v>
      </c>
    </row>
    <row r="2214" spans="1:5" ht="18" x14ac:dyDescent="0.35">
      <c r="A2214" s="102" t="s">
        <v>1222</v>
      </c>
      <c r="B2214" s="50" t="s">
        <v>43</v>
      </c>
      <c r="C2214" s="7">
        <v>2</v>
      </c>
      <c r="D2214" s="7">
        <v>1.1499999999999999</v>
      </c>
      <c r="E2214" s="85">
        <f t="shared" si="146"/>
        <v>2.2999999999999998</v>
      </c>
    </row>
    <row r="2215" spans="1:5" ht="18" x14ac:dyDescent="0.35">
      <c r="A2215" s="5"/>
      <c r="B2215" s="50" t="s">
        <v>34</v>
      </c>
      <c r="C2215" s="7"/>
      <c r="D2215" s="7">
        <v>14.61</v>
      </c>
      <c r="E2215" s="85">
        <f t="shared" si="146"/>
        <v>0</v>
      </c>
    </row>
    <row r="2216" spans="1:5" ht="18" x14ac:dyDescent="0.35">
      <c r="A2216" s="5"/>
      <c r="B2216" s="50" t="s">
        <v>35</v>
      </c>
      <c r="C2216" s="7">
        <v>4</v>
      </c>
      <c r="D2216" s="7">
        <v>2.91</v>
      </c>
      <c r="E2216" s="85">
        <f t="shared" si="146"/>
        <v>11.64</v>
      </c>
    </row>
    <row r="2217" spans="1:5" ht="18" x14ac:dyDescent="0.35">
      <c r="A2217" s="5"/>
      <c r="B2217" s="50" t="s">
        <v>36</v>
      </c>
      <c r="C2217" s="7">
        <v>4</v>
      </c>
      <c r="D2217" s="7">
        <v>0.61</v>
      </c>
      <c r="E2217" s="85">
        <f t="shared" si="146"/>
        <v>2.44</v>
      </c>
    </row>
    <row r="2218" spans="1:5" ht="18" x14ac:dyDescent="0.35">
      <c r="A2218" s="5"/>
      <c r="B2218" s="5"/>
      <c r="C2218" s="54"/>
      <c r="D2218" s="54"/>
      <c r="E2218" s="89">
        <f>SUM(E2212:E2217)</f>
        <v>58.735500000000002</v>
      </c>
    </row>
    <row r="2219" spans="1:5" ht="18" x14ac:dyDescent="0.35">
      <c r="A2219" s="5"/>
      <c r="B2219" s="5"/>
      <c r="C2219" s="54"/>
      <c r="D2219" s="54" t="s">
        <v>1158</v>
      </c>
      <c r="E2219" s="89">
        <f>E2218+E2218*10%</f>
        <v>64.609049999999996</v>
      </c>
    </row>
    <row r="2220" spans="1:5" ht="18" x14ac:dyDescent="0.35">
      <c r="A2220" s="5"/>
      <c r="B2220" s="50" t="s">
        <v>37</v>
      </c>
      <c r="C2220" s="54">
        <v>0.5</v>
      </c>
      <c r="D2220" s="54">
        <v>85</v>
      </c>
      <c r="E2220" s="85">
        <f>C2220*D2220</f>
        <v>42.5</v>
      </c>
    </row>
    <row r="2221" spans="1:5" ht="18" x14ac:dyDescent="0.35">
      <c r="A2221" s="5"/>
      <c r="B2221" s="5"/>
      <c r="C2221" s="54"/>
      <c r="D2221" s="54"/>
      <c r="E2221" s="85">
        <f>SUM(E2219:E2220)</f>
        <v>107.10905</v>
      </c>
    </row>
    <row r="2222" spans="1:5" ht="18" x14ac:dyDescent="0.35">
      <c r="D2222" t="s">
        <v>822</v>
      </c>
      <c r="E2222" s="85">
        <f>E2221+E2221*10%</f>
        <v>117.81995499999999</v>
      </c>
    </row>
    <row r="2224" spans="1:5" ht="21" x14ac:dyDescent="0.4">
      <c r="A2224" s="40" t="s">
        <v>1820</v>
      </c>
      <c r="B2224" s="40"/>
      <c r="C2224" s="84"/>
    </row>
    <row r="2225" spans="1:5" ht="18" x14ac:dyDescent="0.35">
      <c r="B2225" s="5"/>
      <c r="C2225" s="7" t="s">
        <v>28</v>
      </c>
      <c r="D2225" s="7" t="s">
        <v>29</v>
      </c>
      <c r="E2225" s="7" t="s">
        <v>30</v>
      </c>
    </row>
    <row r="2226" spans="1:5" ht="18" x14ac:dyDescent="0.35">
      <c r="A2226" s="5" t="s">
        <v>1818</v>
      </c>
      <c r="B2226" s="50" t="s">
        <v>32</v>
      </c>
      <c r="C2226" s="7">
        <v>1.272</v>
      </c>
      <c r="D2226" s="7">
        <v>10.34</v>
      </c>
      <c r="E2226" s="85">
        <f t="shared" ref="E2226:E2233" si="147">C2226*D2226</f>
        <v>13.152480000000001</v>
      </c>
    </row>
    <row r="2227" spans="1:5" ht="18" x14ac:dyDescent="0.35">
      <c r="A2227" s="5" t="s">
        <v>1821</v>
      </c>
      <c r="B2227" s="50" t="s">
        <v>33</v>
      </c>
      <c r="C2227" s="7">
        <v>1.806</v>
      </c>
      <c r="D2227" s="7">
        <v>16.170000000000002</v>
      </c>
      <c r="E2227" s="85">
        <f t="shared" si="147"/>
        <v>29.203020000000002</v>
      </c>
    </row>
    <row r="2228" spans="1:5" ht="18" x14ac:dyDescent="0.35">
      <c r="A2228" s="5" t="s">
        <v>1196</v>
      </c>
      <c r="B2228" s="50" t="s">
        <v>33</v>
      </c>
      <c r="C2228" s="7">
        <v>2.2679999999999998</v>
      </c>
      <c r="D2228" s="7">
        <v>16.170000000000002</v>
      </c>
      <c r="E2228" s="85">
        <f t="shared" si="147"/>
        <v>36.673560000000002</v>
      </c>
    </row>
    <row r="2229" spans="1:5" ht="18" x14ac:dyDescent="0.35">
      <c r="A2229" s="5" t="s">
        <v>677</v>
      </c>
      <c r="B2229" s="50" t="s">
        <v>42</v>
      </c>
      <c r="C2229" s="7">
        <v>2</v>
      </c>
      <c r="D2229" s="7">
        <v>1.1499999999999999</v>
      </c>
      <c r="E2229" s="85">
        <f t="shared" si="147"/>
        <v>2.2999999999999998</v>
      </c>
    </row>
    <row r="2230" spans="1:5" ht="18" x14ac:dyDescent="0.35">
      <c r="A2230" s="5"/>
      <c r="B2230" s="50" t="s">
        <v>1722</v>
      </c>
      <c r="C2230" s="7">
        <v>2</v>
      </c>
      <c r="D2230" s="7">
        <v>2.2400000000000002</v>
      </c>
      <c r="E2230" s="85">
        <f t="shared" si="147"/>
        <v>4.4800000000000004</v>
      </c>
    </row>
    <row r="2231" spans="1:5" ht="18" x14ac:dyDescent="0.35">
      <c r="A2231" s="5"/>
      <c r="B2231" s="50" t="s">
        <v>34</v>
      </c>
      <c r="C2231" s="7"/>
      <c r="D2231" s="7">
        <v>14.61</v>
      </c>
      <c r="E2231" s="85">
        <f t="shared" si="147"/>
        <v>0</v>
      </c>
    </row>
    <row r="2232" spans="1:5" ht="18" x14ac:dyDescent="0.35">
      <c r="A2232" s="5"/>
      <c r="B2232" s="50" t="s">
        <v>35</v>
      </c>
      <c r="C2232" s="7">
        <v>4</v>
      </c>
      <c r="D2232" s="7">
        <v>2.91</v>
      </c>
      <c r="E2232" s="85">
        <f t="shared" si="147"/>
        <v>11.64</v>
      </c>
    </row>
    <row r="2233" spans="1:5" ht="18" x14ac:dyDescent="0.35">
      <c r="A2233" s="5"/>
      <c r="B2233" s="50" t="s">
        <v>36</v>
      </c>
      <c r="C2233" s="7">
        <v>4</v>
      </c>
      <c r="D2233" s="7">
        <v>0.61</v>
      </c>
      <c r="E2233" s="85">
        <f t="shared" si="147"/>
        <v>2.44</v>
      </c>
    </row>
    <row r="2234" spans="1:5" ht="18" x14ac:dyDescent="0.35">
      <c r="A2234" s="5"/>
      <c r="B2234" s="5"/>
      <c r="C2234" s="54"/>
      <c r="D2234" s="54"/>
      <c r="E2234" s="89">
        <f>SUM(E2226:E2233)</f>
        <v>99.889060000000015</v>
      </c>
    </row>
    <row r="2235" spans="1:5" ht="18" x14ac:dyDescent="0.35">
      <c r="A2235" s="5"/>
      <c r="B2235" s="5"/>
      <c r="C2235" s="54"/>
      <c r="D2235" s="54" t="s">
        <v>1129</v>
      </c>
      <c r="E2235" s="89">
        <f>E2234+E2234*10%</f>
        <v>109.87796600000001</v>
      </c>
    </row>
    <row r="2236" spans="1:5" ht="18" x14ac:dyDescent="0.35">
      <c r="A2236" s="5"/>
      <c r="B2236" s="50" t="s">
        <v>37</v>
      </c>
      <c r="C2236" s="54">
        <v>0.5</v>
      </c>
      <c r="D2236" s="54">
        <v>85</v>
      </c>
      <c r="E2236" s="85">
        <f>C2236*D2236</f>
        <v>42.5</v>
      </c>
    </row>
    <row r="2237" spans="1:5" ht="18" x14ac:dyDescent="0.35">
      <c r="A2237" s="5"/>
      <c r="B2237" s="5"/>
      <c r="C2237" s="54"/>
      <c r="D2237" s="54"/>
      <c r="E2237" s="85">
        <f>SUM(E2235:E2236)</f>
        <v>152.37796600000001</v>
      </c>
    </row>
    <row r="2238" spans="1:5" ht="18" x14ac:dyDescent="0.35">
      <c r="D2238" s="99" t="s">
        <v>1792</v>
      </c>
      <c r="E2238" s="85">
        <f>E2237+E2237*5%</f>
        <v>159.99686430000003</v>
      </c>
    </row>
    <row r="2240" spans="1:5" ht="21" x14ac:dyDescent="0.4">
      <c r="A2240" s="40" t="s">
        <v>599</v>
      </c>
      <c r="B2240" s="40"/>
      <c r="C2240" s="84"/>
    </row>
    <row r="2241" spans="1:5" ht="18" x14ac:dyDescent="0.35">
      <c r="A2241" s="5" t="s">
        <v>304</v>
      </c>
      <c r="B2241" s="5"/>
      <c r="C2241" s="7" t="s">
        <v>28</v>
      </c>
      <c r="D2241" s="7" t="s">
        <v>29</v>
      </c>
      <c r="E2241" s="7" t="s">
        <v>30</v>
      </c>
    </row>
    <row r="2242" spans="1:5" ht="18" x14ac:dyDescent="0.35">
      <c r="A2242" s="5" t="s">
        <v>1831</v>
      </c>
      <c r="B2242" s="50" t="s">
        <v>32</v>
      </c>
      <c r="C2242" s="7">
        <v>4.4219999999999997</v>
      </c>
      <c r="D2242" s="7">
        <v>10.34</v>
      </c>
      <c r="E2242" s="85">
        <f t="shared" ref="E2242:E2247" si="148">C2242*D2242</f>
        <v>45.723479999999995</v>
      </c>
    </row>
    <row r="2243" spans="1:5" ht="18" x14ac:dyDescent="0.35">
      <c r="A2243" s="5" t="s">
        <v>747</v>
      </c>
      <c r="B2243" s="50" t="s">
        <v>33</v>
      </c>
      <c r="C2243" s="7">
        <v>2.089</v>
      </c>
      <c r="D2243" s="7">
        <v>16.170000000000002</v>
      </c>
      <c r="E2243" s="85">
        <f t="shared" si="148"/>
        <v>33.779130000000002</v>
      </c>
    </row>
    <row r="2244" spans="1:5" ht="18" x14ac:dyDescent="0.35">
      <c r="A2244" s="102" t="s">
        <v>1222</v>
      </c>
      <c r="B2244" s="50" t="s">
        <v>43</v>
      </c>
      <c r="C2244" s="7">
        <v>2</v>
      </c>
      <c r="D2244" s="7">
        <v>1.1499999999999999</v>
      </c>
      <c r="E2244" s="85">
        <f t="shared" si="148"/>
        <v>2.2999999999999998</v>
      </c>
    </row>
    <row r="2245" spans="1:5" ht="18" x14ac:dyDescent="0.35">
      <c r="A2245" s="5"/>
      <c r="B2245" s="50" t="s">
        <v>34</v>
      </c>
      <c r="C2245" s="7"/>
      <c r="D2245" s="7">
        <v>14.61</v>
      </c>
      <c r="E2245" s="85">
        <f t="shared" si="148"/>
        <v>0</v>
      </c>
    </row>
    <row r="2246" spans="1:5" ht="18" x14ac:dyDescent="0.35">
      <c r="A2246" s="5"/>
      <c r="B2246" s="50" t="s">
        <v>35</v>
      </c>
      <c r="C2246" s="7">
        <v>4</v>
      </c>
      <c r="D2246" s="7">
        <v>2.91</v>
      </c>
      <c r="E2246" s="85">
        <f t="shared" si="148"/>
        <v>11.64</v>
      </c>
    </row>
    <row r="2247" spans="1:5" ht="18" x14ac:dyDescent="0.35">
      <c r="A2247" s="5"/>
      <c r="B2247" s="50" t="s">
        <v>36</v>
      </c>
      <c r="C2247" s="7">
        <v>4</v>
      </c>
      <c r="D2247" s="7">
        <v>0.61</v>
      </c>
      <c r="E2247" s="85">
        <f t="shared" si="148"/>
        <v>2.44</v>
      </c>
    </row>
    <row r="2248" spans="1:5" ht="18" x14ac:dyDescent="0.35">
      <c r="A2248" s="5"/>
      <c r="B2248" s="5"/>
      <c r="C2248" s="54"/>
      <c r="D2248" s="54"/>
      <c r="E2248" s="89">
        <f>SUM(E2242:E2247)</f>
        <v>95.88261</v>
      </c>
    </row>
    <row r="2249" spans="1:5" ht="18" x14ac:dyDescent="0.35">
      <c r="A2249" s="5"/>
      <c r="B2249" s="5"/>
      <c r="C2249" s="54"/>
      <c r="D2249" s="54" t="s">
        <v>1158</v>
      </c>
      <c r="E2249" s="89">
        <f>E2248+E2248*10%</f>
        <v>105.470871</v>
      </c>
    </row>
    <row r="2250" spans="1:5" ht="18" x14ac:dyDescent="0.35">
      <c r="A2250" s="5"/>
      <c r="B2250" s="50" t="s">
        <v>37</v>
      </c>
      <c r="C2250" s="54">
        <v>0.5</v>
      </c>
      <c r="D2250" s="54">
        <v>85</v>
      </c>
      <c r="E2250" s="85">
        <f>C2250*D2250</f>
        <v>42.5</v>
      </c>
    </row>
    <row r="2251" spans="1:5" ht="18" x14ac:dyDescent="0.35">
      <c r="A2251" s="5"/>
      <c r="B2251" s="5"/>
      <c r="C2251" s="54"/>
      <c r="D2251" s="54"/>
      <c r="E2251" s="85">
        <f>SUM(E2249:E2250)</f>
        <v>147.97087099999999</v>
      </c>
    </row>
    <row r="2252" spans="1:5" ht="18" x14ac:dyDescent="0.35">
      <c r="D2252" t="s">
        <v>822</v>
      </c>
      <c r="E2252" s="85">
        <f>E2251+E2251*10%</f>
        <v>162.76795809999999</v>
      </c>
    </row>
    <row r="2254" spans="1:5" ht="21" x14ac:dyDescent="0.4">
      <c r="A2254" s="40" t="s">
        <v>1232</v>
      </c>
      <c r="B2254" s="40"/>
      <c r="C2254" s="84"/>
    </row>
    <row r="2255" spans="1:5" ht="18" x14ac:dyDescent="0.35">
      <c r="B2255" s="5"/>
      <c r="C2255" s="7" t="s">
        <v>28</v>
      </c>
      <c r="D2255" s="7" t="s">
        <v>29</v>
      </c>
      <c r="E2255" s="7" t="s">
        <v>30</v>
      </c>
    </row>
    <row r="2256" spans="1:5" ht="18" x14ac:dyDescent="0.35">
      <c r="A2256" s="5" t="s">
        <v>69</v>
      </c>
      <c r="B2256" s="50" t="s">
        <v>32</v>
      </c>
      <c r="C2256" s="7">
        <v>2.133</v>
      </c>
      <c r="D2256" s="7">
        <v>10.34</v>
      </c>
      <c r="E2256" s="85">
        <f t="shared" ref="E2256:E2263" si="149">C2256*D2256</f>
        <v>22.055219999999998</v>
      </c>
    </row>
    <row r="2257" spans="1:5" ht="18" x14ac:dyDescent="0.35">
      <c r="A2257" s="5" t="s">
        <v>791</v>
      </c>
      <c r="B2257" s="50" t="s">
        <v>33</v>
      </c>
      <c r="C2257" s="7">
        <v>4.9770000000000003</v>
      </c>
      <c r="D2257" s="7">
        <v>16.170000000000002</v>
      </c>
      <c r="E2257" s="85">
        <f t="shared" si="149"/>
        <v>80.478090000000009</v>
      </c>
    </row>
    <row r="2258" spans="1:5" ht="18" x14ac:dyDescent="0.35">
      <c r="A2258" s="5" t="s">
        <v>767</v>
      </c>
      <c r="B2258" s="50" t="s">
        <v>33</v>
      </c>
      <c r="C2258" s="7">
        <v>5.88</v>
      </c>
      <c r="D2258" s="7">
        <v>16.170000000000002</v>
      </c>
      <c r="E2258" s="85">
        <f t="shared" si="149"/>
        <v>95.079600000000013</v>
      </c>
    </row>
    <row r="2259" spans="1:5" ht="18" x14ac:dyDescent="0.35">
      <c r="A2259" s="5" t="s">
        <v>616</v>
      </c>
      <c r="B2259" s="50" t="s">
        <v>84</v>
      </c>
      <c r="C2259" s="7">
        <v>2</v>
      </c>
      <c r="D2259" s="7">
        <v>1.6</v>
      </c>
      <c r="E2259" s="85">
        <f t="shared" si="149"/>
        <v>3.2</v>
      </c>
    </row>
    <row r="2260" spans="1:5" ht="18" x14ac:dyDescent="0.35">
      <c r="A2260" s="5"/>
      <c r="B2260" s="50" t="s">
        <v>92</v>
      </c>
      <c r="C2260" s="7">
        <v>2</v>
      </c>
      <c r="D2260" s="7">
        <v>3.62</v>
      </c>
      <c r="E2260" s="85">
        <f t="shared" si="149"/>
        <v>7.24</v>
      </c>
    </row>
    <row r="2261" spans="1:5" ht="18" x14ac:dyDescent="0.35">
      <c r="A2261" s="5"/>
      <c r="B2261" s="50" t="s">
        <v>34</v>
      </c>
      <c r="C2261" s="7">
        <v>0.47</v>
      </c>
      <c r="D2261" s="7">
        <v>14.61</v>
      </c>
      <c r="E2261" s="85">
        <f t="shared" si="149"/>
        <v>6.8666999999999989</v>
      </c>
    </row>
    <row r="2262" spans="1:5" ht="18" x14ac:dyDescent="0.35">
      <c r="A2262" s="5"/>
      <c r="B2262" s="50" t="s">
        <v>35</v>
      </c>
      <c r="C2262" s="7">
        <v>4</v>
      </c>
      <c r="D2262" s="7">
        <v>2.91</v>
      </c>
      <c r="E2262" s="85">
        <f t="shared" si="149"/>
        <v>11.64</v>
      </c>
    </row>
    <row r="2263" spans="1:5" ht="18" x14ac:dyDescent="0.35">
      <c r="A2263" s="5"/>
      <c r="B2263" s="50" t="s">
        <v>36</v>
      </c>
      <c r="C2263" s="7">
        <v>4</v>
      </c>
      <c r="D2263" s="7">
        <v>0.61</v>
      </c>
      <c r="E2263" s="85">
        <f t="shared" si="149"/>
        <v>2.44</v>
      </c>
    </row>
    <row r="2264" spans="1:5" ht="18" x14ac:dyDescent="0.35">
      <c r="A2264" s="5"/>
      <c r="B2264" s="5"/>
      <c r="C2264" s="54"/>
      <c r="D2264" s="54"/>
      <c r="E2264" s="89">
        <f>SUM(E2256:E2263)</f>
        <v>228.99961000000002</v>
      </c>
    </row>
    <row r="2265" spans="1:5" ht="18" x14ac:dyDescent="0.35">
      <c r="A2265" s="5"/>
      <c r="B2265" s="5"/>
      <c r="C2265" s="54"/>
      <c r="D2265" s="54" t="s">
        <v>1129</v>
      </c>
      <c r="E2265" s="89">
        <f>E2264+E2264*10%</f>
        <v>251.89957100000004</v>
      </c>
    </row>
    <row r="2266" spans="1:5" ht="18" x14ac:dyDescent="0.35">
      <c r="A2266" s="5"/>
      <c r="B2266" s="50" t="s">
        <v>37</v>
      </c>
      <c r="C2266" s="54">
        <v>1</v>
      </c>
      <c r="D2266" s="54">
        <v>85</v>
      </c>
      <c r="E2266" s="85">
        <v>85</v>
      </c>
    </row>
    <row r="2267" spans="1:5" ht="18" x14ac:dyDescent="0.35">
      <c r="A2267" s="5"/>
      <c r="B2267" s="5"/>
      <c r="C2267" s="54"/>
      <c r="D2267" s="54"/>
      <c r="E2267" s="85">
        <f>SUM(E2265:E2266)</f>
        <v>336.89957100000004</v>
      </c>
    </row>
    <row r="2268" spans="1:5" ht="18" x14ac:dyDescent="0.35">
      <c r="D2268" s="99" t="s">
        <v>1792</v>
      </c>
      <c r="E2268" s="85">
        <v>350</v>
      </c>
    </row>
    <row r="2270" spans="1:5" ht="21" x14ac:dyDescent="0.4">
      <c r="A2270" s="40" t="s">
        <v>671</v>
      </c>
      <c r="B2270" s="40"/>
      <c r="C2270" s="40"/>
      <c r="D2270" s="12"/>
      <c r="E2270" s="12"/>
    </row>
    <row r="2271" spans="1:5" ht="18" x14ac:dyDescent="0.35">
      <c r="A2271" s="5"/>
      <c r="B2271" s="5"/>
      <c r="C2271" s="7" t="s">
        <v>28</v>
      </c>
      <c r="D2271" s="7" t="s">
        <v>29</v>
      </c>
      <c r="E2271" s="7" t="s">
        <v>30</v>
      </c>
    </row>
    <row r="2272" spans="1:5" ht="18" x14ac:dyDescent="0.35">
      <c r="A2272" s="5" t="s">
        <v>255</v>
      </c>
      <c r="B2272" s="50" t="s">
        <v>32</v>
      </c>
      <c r="C2272" s="7">
        <v>3.1829999999999998</v>
      </c>
      <c r="D2272" s="7">
        <v>10.34</v>
      </c>
      <c r="E2272" s="85">
        <f>C2272*D2272</f>
        <v>32.912219999999998</v>
      </c>
    </row>
    <row r="2273" spans="1:6" ht="18" x14ac:dyDescent="0.35">
      <c r="A2273" s="5" t="s">
        <v>221</v>
      </c>
      <c r="B2273" s="50" t="s">
        <v>33</v>
      </c>
      <c r="C2273" s="7">
        <v>21.241</v>
      </c>
      <c r="D2273" s="7">
        <v>3.89</v>
      </c>
      <c r="E2273" s="85">
        <f>C2273*D2273</f>
        <v>82.627489999999995</v>
      </c>
    </row>
    <row r="2274" spans="1:6" ht="18" x14ac:dyDescent="0.35">
      <c r="A2274" s="5" t="s">
        <v>672</v>
      </c>
      <c r="B2274" s="50" t="s">
        <v>137</v>
      </c>
      <c r="C2274" s="7">
        <v>0.5</v>
      </c>
      <c r="D2274" s="7">
        <v>15.25</v>
      </c>
      <c r="E2274" s="85">
        <f>C2274*D2274</f>
        <v>7.625</v>
      </c>
    </row>
    <row r="2275" spans="1:6" ht="18" x14ac:dyDescent="0.35">
      <c r="A2275" s="5"/>
      <c r="B2275" s="50" t="s">
        <v>35</v>
      </c>
      <c r="C2275" s="7">
        <v>4</v>
      </c>
      <c r="D2275" s="7">
        <v>2.91</v>
      </c>
      <c r="E2275" s="85">
        <f>C2275*D2275</f>
        <v>11.64</v>
      </c>
    </row>
    <row r="2276" spans="1:6" ht="18" x14ac:dyDescent="0.35">
      <c r="A2276" s="5"/>
      <c r="B2276" s="50" t="s">
        <v>36</v>
      </c>
      <c r="C2276" s="7">
        <v>4</v>
      </c>
      <c r="D2276" s="7">
        <v>0.61</v>
      </c>
      <c r="E2276" s="85">
        <f>C2276*D2276</f>
        <v>2.44</v>
      </c>
    </row>
    <row r="2277" spans="1:6" ht="18" x14ac:dyDescent="0.35">
      <c r="A2277" s="5"/>
      <c r="B2277" s="50"/>
      <c r="C2277" s="87"/>
      <c r="D2277" s="88"/>
      <c r="E2277" s="85">
        <f>SUM(E2272:E2276)</f>
        <v>137.24471</v>
      </c>
    </row>
    <row r="2278" spans="1:6" ht="18" x14ac:dyDescent="0.35">
      <c r="A2278" s="5"/>
      <c r="B2278" s="50"/>
      <c r="C2278" s="87"/>
      <c r="D2278" s="88" t="s">
        <v>1085</v>
      </c>
      <c r="E2278" s="85">
        <f>E2277+E2277*10%</f>
        <v>150.96918099999999</v>
      </c>
    </row>
    <row r="2279" spans="1:6" ht="18" x14ac:dyDescent="0.35">
      <c r="A2279" s="5"/>
      <c r="B2279" s="50" t="s">
        <v>37</v>
      </c>
      <c r="C2279" s="54">
        <v>1</v>
      </c>
      <c r="D2279" s="86">
        <v>85</v>
      </c>
      <c r="E2279" s="85">
        <f>C2279*D2279</f>
        <v>85</v>
      </c>
      <c r="F2279">
        <v>65</v>
      </c>
    </row>
    <row r="2280" spans="1:6" ht="18" x14ac:dyDescent="0.35">
      <c r="A2280" s="5"/>
      <c r="B2280" s="5"/>
      <c r="C2280" s="54"/>
      <c r="D2280" s="54"/>
      <c r="E2280" s="85">
        <f>SUM(E2278:E2279)</f>
        <v>235.96918099999999</v>
      </c>
      <c r="F2280">
        <v>216</v>
      </c>
    </row>
    <row r="2282" spans="1:6" ht="18" x14ac:dyDescent="0.35">
      <c r="D2282" t="s">
        <v>1768</v>
      </c>
      <c r="E2282" s="85">
        <v>260</v>
      </c>
      <c r="F2282">
        <v>238</v>
      </c>
    </row>
    <row r="2285" spans="1:6" ht="21" x14ac:dyDescent="0.4">
      <c r="A2285" s="40" t="s">
        <v>599</v>
      </c>
      <c r="B2285" s="40"/>
      <c r="C2285" s="84"/>
    </row>
    <row r="2286" spans="1:6" ht="18" x14ac:dyDescent="0.35">
      <c r="A2286" s="5" t="s">
        <v>1854</v>
      </c>
      <c r="B2286" s="5"/>
      <c r="C2286" s="7" t="s">
        <v>28</v>
      </c>
      <c r="D2286" s="7" t="s">
        <v>29</v>
      </c>
      <c r="E2286" s="7" t="s">
        <v>30</v>
      </c>
    </row>
    <row r="2287" spans="1:6" ht="18" x14ac:dyDescent="0.35">
      <c r="A2287" s="5" t="s">
        <v>63</v>
      </c>
      <c r="B2287" s="50" t="s">
        <v>32</v>
      </c>
      <c r="C2287" s="7">
        <v>0.97799999999999998</v>
      </c>
      <c r="D2287" s="7">
        <v>10.34</v>
      </c>
      <c r="E2287" s="85">
        <f t="shared" ref="E2287:E2292" si="150">C2287*D2287</f>
        <v>10.11252</v>
      </c>
    </row>
    <row r="2288" spans="1:6" ht="18" x14ac:dyDescent="0.35">
      <c r="A2288" s="5" t="s">
        <v>755</v>
      </c>
      <c r="B2288" s="50" t="s">
        <v>33</v>
      </c>
      <c r="C2288" s="7">
        <v>1.512</v>
      </c>
      <c r="D2288" s="7">
        <v>16.170000000000002</v>
      </c>
      <c r="E2288" s="85">
        <f t="shared" si="150"/>
        <v>24.449040000000004</v>
      </c>
    </row>
    <row r="2289" spans="1:5" ht="18" x14ac:dyDescent="0.35">
      <c r="A2289" s="102" t="s">
        <v>1222</v>
      </c>
      <c r="B2289" s="50" t="s">
        <v>96</v>
      </c>
      <c r="C2289" s="7">
        <v>2</v>
      </c>
      <c r="D2289" s="7">
        <v>1.6</v>
      </c>
      <c r="E2289" s="85">
        <f t="shared" si="150"/>
        <v>3.2</v>
      </c>
    </row>
    <row r="2290" spans="1:5" ht="18" x14ac:dyDescent="0.35">
      <c r="A2290" s="5"/>
      <c r="B2290" s="50" t="s">
        <v>34</v>
      </c>
      <c r="C2290" s="7"/>
      <c r="D2290" s="7">
        <v>14.61</v>
      </c>
      <c r="E2290" s="85">
        <f t="shared" si="150"/>
        <v>0</v>
      </c>
    </row>
    <row r="2291" spans="1:5" ht="18" x14ac:dyDescent="0.35">
      <c r="A2291" s="5"/>
      <c r="B2291" s="50" t="s">
        <v>35</v>
      </c>
      <c r="C2291" s="7">
        <v>4</v>
      </c>
      <c r="D2291" s="7">
        <v>2.91</v>
      </c>
      <c r="E2291" s="85">
        <f t="shared" si="150"/>
        <v>11.64</v>
      </c>
    </row>
    <row r="2292" spans="1:5" ht="18" x14ac:dyDescent="0.35">
      <c r="A2292" s="5"/>
      <c r="B2292" s="50" t="s">
        <v>36</v>
      </c>
      <c r="C2292" s="7">
        <v>4</v>
      </c>
      <c r="D2292" s="7">
        <v>0.61</v>
      </c>
      <c r="E2292" s="85">
        <f t="shared" si="150"/>
        <v>2.44</v>
      </c>
    </row>
    <row r="2293" spans="1:5" ht="18" x14ac:dyDescent="0.35">
      <c r="A2293" s="5"/>
      <c r="B2293" s="5"/>
      <c r="C2293" s="54"/>
      <c r="D2293" s="54"/>
      <c r="E2293" s="89">
        <f>SUM(E2287:E2292)</f>
        <v>51.841560000000001</v>
      </c>
    </row>
    <row r="2294" spans="1:5" ht="18" x14ac:dyDescent="0.35">
      <c r="A2294" s="5"/>
      <c r="B2294" s="5"/>
      <c r="C2294" s="54"/>
      <c r="D2294" s="54" t="s">
        <v>1158</v>
      </c>
      <c r="E2294" s="89">
        <f>E2293+E2293*10%</f>
        <v>57.025716000000003</v>
      </c>
    </row>
    <row r="2295" spans="1:5" ht="18" x14ac:dyDescent="0.35">
      <c r="A2295" s="5"/>
      <c r="B2295" s="50" t="s">
        <v>37</v>
      </c>
      <c r="C2295" s="54">
        <v>0.5</v>
      </c>
      <c r="D2295" s="54">
        <v>85</v>
      </c>
      <c r="E2295" s="85">
        <f>C2295*D2295</f>
        <v>42.5</v>
      </c>
    </row>
    <row r="2296" spans="1:5" ht="18" x14ac:dyDescent="0.35">
      <c r="A2296" s="5"/>
      <c r="B2296" s="5"/>
      <c r="C2296" s="54"/>
      <c r="D2296" s="54"/>
      <c r="E2296" s="85">
        <f>SUM(E2294:E2295)</f>
        <v>99.525716000000003</v>
      </c>
    </row>
    <row r="2297" spans="1:5" ht="18" x14ac:dyDescent="0.35">
      <c r="D2297" t="s">
        <v>822</v>
      </c>
      <c r="E2297" s="85">
        <f>E2296+E2296*10%</f>
        <v>109.4782876</v>
      </c>
    </row>
    <row r="2299" spans="1:5" ht="21" x14ac:dyDescent="0.4">
      <c r="A2299" s="40" t="s">
        <v>599</v>
      </c>
      <c r="B2299" s="40"/>
      <c r="C2299" s="84"/>
    </row>
    <row r="2300" spans="1:5" ht="18" x14ac:dyDescent="0.35">
      <c r="A2300" s="5" t="s">
        <v>1894</v>
      </c>
      <c r="B2300" s="5"/>
      <c r="C2300" s="7" t="s">
        <v>28</v>
      </c>
      <c r="D2300" s="7" t="s">
        <v>29</v>
      </c>
      <c r="E2300" s="7" t="s">
        <v>30</v>
      </c>
    </row>
    <row r="2301" spans="1:5" ht="18" x14ac:dyDescent="0.35">
      <c r="A2301" s="5" t="s">
        <v>63</v>
      </c>
      <c r="B2301" s="50" t="s">
        <v>32</v>
      </c>
      <c r="C2301" s="7">
        <v>1.377</v>
      </c>
      <c r="D2301" s="7">
        <v>10.34</v>
      </c>
      <c r="E2301" s="85">
        <f t="shared" ref="E2301:E2306" si="151">C2301*D2301</f>
        <v>14.23818</v>
      </c>
    </row>
    <row r="2302" spans="1:5" ht="18" x14ac:dyDescent="0.35">
      <c r="A2302" s="5" t="s">
        <v>759</v>
      </c>
      <c r="B2302" s="50" t="s">
        <v>33</v>
      </c>
      <c r="C2302" s="7">
        <v>2.8980000000000001</v>
      </c>
      <c r="D2302" s="7">
        <v>16.170000000000002</v>
      </c>
      <c r="E2302" s="85">
        <f t="shared" si="151"/>
        <v>46.86066000000001</v>
      </c>
    </row>
    <row r="2303" spans="1:5" ht="18" x14ac:dyDescent="0.35">
      <c r="A2303" s="102" t="s">
        <v>1222</v>
      </c>
      <c r="B2303" s="50" t="s">
        <v>1359</v>
      </c>
      <c r="C2303" s="7">
        <v>2</v>
      </c>
      <c r="D2303" s="7">
        <v>1.6</v>
      </c>
      <c r="E2303" s="85">
        <f t="shared" si="151"/>
        <v>3.2</v>
      </c>
    </row>
    <row r="2304" spans="1:5" ht="18" x14ac:dyDescent="0.35">
      <c r="A2304" s="5"/>
      <c r="B2304" s="50" t="s">
        <v>34</v>
      </c>
      <c r="C2304" s="7"/>
      <c r="D2304" s="7">
        <v>14.61</v>
      </c>
      <c r="E2304" s="85">
        <f t="shared" si="151"/>
        <v>0</v>
      </c>
    </row>
    <row r="2305" spans="1:5" ht="18" x14ac:dyDescent="0.35">
      <c r="A2305" s="5"/>
      <c r="B2305" s="50" t="s">
        <v>35</v>
      </c>
      <c r="C2305" s="7">
        <v>4</v>
      </c>
      <c r="D2305" s="7">
        <v>2.91</v>
      </c>
      <c r="E2305" s="85">
        <f t="shared" si="151"/>
        <v>11.64</v>
      </c>
    </row>
    <row r="2306" spans="1:5" ht="18" x14ac:dyDescent="0.35">
      <c r="A2306" s="5"/>
      <c r="B2306" s="50" t="s">
        <v>36</v>
      </c>
      <c r="C2306" s="7">
        <v>4</v>
      </c>
      <c r="D2306" s="7">
        <v>0.61</v>
      </c>
      <c r="E2306" s="85">
        <f t="shared" si="151"/>
        <v>2.44</v>
      </c>
    </row>
    <row r="2307" spans="1:5" ht="18" x14ac:dyDescent="0.35">
      <c r="A2307" s="5"/>
      <c r="B2307" s="5"/>
      <c r="C2307" s="54"/>
      <c r="D2307" s="54"/>
      <c r="E2307" s="89">
        <f>SUM(E2301:E2306)</f>
        <v>78.378840000000011</v>
      </c>
    </row>
    <row r="2308" spans="1:5" ht="18" x14ac:dyDescent="0.35">
      <c r="A2308" s="5"/>
      <c r="B2308" s="5"/>
      <c r="C2308" s="54"/>
      <c r="D2308" s="54" t="s">
        <v>1158</v>
      </c>
      <c r="E2308" s="89">
        <f>E2307+E2307*10%</f>
        <v>86.216724000000013</v>
      </c>
    </row>
    <row r="2309" spans="1:5" ht="18" x14ac:dyDescent="0.35">
      <c r="A2309" s="5"/>
      <c r="B2309" s="50" t="s">
        <v>37</v>
      </c>
      <c r="C2309" s="54">
        <v>0.5</v>
      </c>
      <c r="D2309" s="54">
        <v>85</v>
      </c>
      <c r="E2309" s="85">
        <f>C2309*D2309</f>
        <v>42.5</v>
      </c>
    </row>
    <row r="2310" spans="1:5" ht="18" x14ac:dyDescent="0.35">
      <c r="A2310" s="5"/>
      <c r="B2310" s="5"/>
      <c r="C2310" s="54"/>
      <c r="D2310" s="54"/>
      <c r="E2310" s="85">
        <f>SUM(E2308:E2309)</f>
        <v>128.716724</v>
      </c>
    </row>
    <row r="2311" spans="1:5" ht="18" x14ac:dyDescent="0.35">
      <c r="D2311" t="s">
        <v>822</v>
      </c>
      <c r="E2311" s="85">
        <f>E2310+E2310*10%</f>
        <v>141.58839639999999</v>
      </c>
    </row>
    <row r="2313" spans="1:5" ht="21" x14ac:dyDescent="0.4">
      <c r="A2313" s="40" t="s">
        <v>1896</v>
      </c>
      <c r="B2313" s="40"/>
      <c r="C2313" s="84"/>
    </row>
    <row r="2314" spans="1:5" ht="18" x14ac:dyDescent="0.35">
      <c r="B2314" s="5"/>
      <c r="C2314" s="7" t="s">
        <v>28</v>
      </c>
      <c r="D2314" s="7" t="s">
        <v>29</v>
      </c>
      <c r="E2314" s="7" t="s">
        <v>30</v>
      </c>
    </row>
    <row r="2315" spans="1:5" ht="18" x14ac:dyDescent="0.35">
      <c r="A2315" s="5" t="s">
        <v>110</v>
      </c>
      <c r="B2315" s="50" t="s">
        <v>32</v>
      </c>
      <c r="C2315" s="7">
        <v>3.2879999999999998</v>
      </c>
      <c r="D2315" s="7">
        <v>10.34</v>
      </c>
      <c r="E2315" s="85">
        <f t="shared" ref="E2315:E2322" si="152">C2315*D2315</f>
        <v>33.997920000000001</v>
      </c>
    </row>
    <row r="2316" spans="1:5" ht="18" x14ac:dyDescent="0.35">
      <c r="A2316" s="5" t="s">
        <v>1356</v>
      </c>
      <c r="B2316" s="50" t="s">
        <v>33</v>
      </c>
      <c r="C2316" s="7">
        <v>17.492999999999999</v>
      </c>
      <c r="D2316" s="7">
        <v>16.170000000000002</v>
      </c>
      <c r="E2316" s="85">
        <f t="shared" si="152"/>
        <v>282.86180999999999</v>
      </c>
    </row>
    <row r="2317" spans="1:5" ht="18" x14ac:dyDescent="0.35">
      <c r="A2317" s="5" t="s">
        <v>1897</v>
      </c>
      <c r="B2317" s="50" t="s">
        <v>33</v>
      </c>
      <c r="C2317" s="7">
        <v>18.27</v>
      </c>
      <c r="D2317" s="7">
        <v>16.170000000000002</v>
      </c>
      <c r="E2317" s="85">
        <f t="shared" si="152"/>
        <v>295.42590000000001</v>
      </c>
    </row>
    <row r="2318" spans="1:5" ht="18" x14ac:dyDescent="0.35">
      <c r="A2318" s="5" t="s">
        <v>616</v>
      </c>
      <c r="B2318" s="50" t="s">
        <v>86</v>
      </c>
      <c r="C2318" s="7">
        <v>2</v>
      </c>
      <c r="D2318" s="7">
        <v>1.7</v>
      </c>
      <c r="E2318" s="85">
        <f t="shared" si="152"/>
        <v>3.4</v>
      </c>
    </row>
    <row r="2319" spans="1:5" ht="18" x14ac:dyDescent="0.35">
      <c r="A2319" s="5"/>
      <c r="B2319" s="50" t="s">
        <v>101</v>
      </c>
      <c r="C2319" s="7">
        <v>2</v>
      </c>
      <c r="D2319" s="7">
        <v>5.96</v>
      </c>
      <c r="E2319" s="85">
        <f t="shared" si="152"/>
        <v>11.92</v>
      </c>
    </row>
    <row r="2320" spans="1:5" ht="18" x14ac:dyDescent="0.35">
      <c r="A2320" s="5"/>
      <c r="B2320" s="50" t="s">
        <v>34</v>
      </c>
      <c r="C2320" s="7">
        <v>1.58</v>
      </c>
      <c r="D2320" s="7">
        <v>14.61</v>
      </c>
      <c r="E2320" s="85">
        <f t="shared" si="152"/>
        <v>23.0838</v>
      </c>
    </row>
    <row r="2321" spans="1:5" ht="18" x14ac:dyDescent="0.35">
      <c r="A2321" s="5"/>
      <c r="B2321" s="50" t="s">
        <v>35</v>
      </c>
      <c r="C2321" s="7">
        <v>4</v>
      </c>
      <c r="D2321" s="7">
        <v>2.91</v>
      </c>
      <c r="E2321" s="85">
        <f t="shared" si="152"/>
        <v>11.64</v>
      </c>
    </row>
    <row r="2322" spans="1:5" ht="18" x14ac:dyDescent="0.35">
      <c r="A2322" s="5"/>
      <c r="B2322" s="50" t="s">
        <v>36</v>
      </c>
      <c r="C2322" s="7">
        <v>4</v>
      </c>
      <c r="D2322" s="7">
        <v>0.61</v>
      </c>
      <c r="E2322" s="85">
        <f t="shared" si="152"/>
        <v>2.44</v>
      </c>
    </row>
    <row r="2323" spans="1:5" ht="18" x14ac:dyDescent="0.35">
      <c r="A2323" s="5"/>
      <c r="B2323" s="5"/>
      <c r="C2323" s="54"/>
      <c r="D2323" s="54"/>
      <c r="E2323" s="89">
        <f>SUM(E2315:E2322)</f>
        <v>664.76943000000006</v>
      </c>
    </row>
    <row r="2324" spans="1:5" ht="18" x14ac:dyDescent="0.35">
      <c r="A2324" s="5"/>
      <c r="B2324" s="5"/>
      <c r="C2324" s="54"/>
      <c r="D2324" s="54" t="s">
        <v>1129</v>
      </c>
      <c r="E2324" s="89">
        <f>E2323+E2323*10%</f>
        <v>731.24637300000006</v>
      </c>
    </row>
    <row r="2325" spans="1:5" ht="18" x14ac:dyDescent="0.35">
      <c r="A2325" s="5"/>
      <c r="B2325" s="50" t="s">
        <v>37</v>
      </c>
      <c r="C2325" s="54">
        <v>1</v>
      </c>
      <c r="D2325" s="54">
        <v>85</v>
      </c>
      <c r="E2325" s="85">
        <v>85</v>
      </c>
    </row>
    <row r="2326" spans="1:5" ht="18" x14ac:dyDescent="0.35">
      <c r="A2326" s="5"/>
      <c r="B2326" s="5"/>
      <c r="C2326" s="54"/>
      <c r="D2326" s="54"/>
      <c r="E2326" s="85">
        <f>SUM(E2324:E2325)</f>
        <v>816.24637300000006</v>
      </c>
    </row>
    <row r="2327" spans="1:5" ht="18" x14ac:dyDescent="0.35">
      <c r="D2327" s="99"/>
      <c r="E2327" s="85"/>
    </row>
    <row r="2329" spans="1:5" ht="21" x14ac:dyDescent="0.4">
      <c r="A2329" s="40" t="s">
        <v>1257</v>
      </c>
      <c r="B2329" s="40"/>
      <c r="C2329" s="84"/>
    </row>
    <row r="2330" spans="1:5" ht="18" x14ac:dyDescent="0.35">
      <c r="B2330" s="5"/>
      <c r="C2330" s="7" t="s">
        <v>28</v>
      </c>
      <c r="D2330" s="7" t="s">
        <v>29</v>
      </c>
      <c r="E2330" s="7" t="s">
        <v>30</v>
      </c>
    </row>
    <row r="2331" spans="1:5" ht="18" x14ac:dyDescent="0.35">
      <c r="A2331" s="5" t="s">
        <v>104</v>
      </c>
      <c r="B2331" s="50" t="s">
        <v>32</v>
      </c>
      <c r="C2331" s="7">
        <v>1.8180000000000001</v>
      </c>
      <c r="D2331" s="7">
        <v>10.34</v>
      </c>
      <c r="E2331" s="85">
        <f t="shared" ref="E2331:E2338" si="153">C2331*D2331</f>
        <v>18.798120000000001</v>
      </c>
    </row>
    <row r="2332" spans="1:5" ht="18" x14ac:dyDescent="0.35">
      <c r="A2332" s="5" t="s">
        <v>1356</v>
      </c>
      <c r="B2332" s="50" t="s">
        <v>33</v>
      </c>
      <c r="C2332" s="7">
        <v>7.2030000000000003</v>
      </c>
      <c r="D2332" s="7">
        <v>16.170000000000002</v>
      </c>
      <c r="E2332" s="85">
        <f t="shared" si="153"/>
        <v>116.47251000000001</v>
      </c>
    </row>
    <row r="2333" spans="1:5" ht="18" x14ac:dyDescent="0.35">
      <c r="A2333" s="5" t="s">
        <v>1196</v>
      </c>
      <c r="B2333" s="50" t="s">
        <v>33</v>
      </c>
      <c r="C2333" s="7">
        <v>7.3049999999999997</v>
      </c>
      <c r="D2333" s="7">
        <v>16.170000000000002</v>
      </c>
      <c r="E2333" s="85">
        <f t="shared" si="153"/>
        <v>118.12185000000001</v>
      </c>
    </row>
    <row r="2334" spans="1:5" ht="18" x14ac:dyDescent="0.35">
      <c r="A2334" s="5" t="s">
        <v>616</v>
      </c>
      <c r="B2334" s="50" t="s">
        <v>113</v>
      </c>
      <c r="C2334" s="7">
        <v>2</v>
      </c>
      <c r="D2334" s="7">
        <v>2.2400000000000002</v>
      </c>
      <c r="E2334" s="85">
        <f t="shared" si="153"/>
        <v>4.4800000000000004</v>
      </c>
    </row>
    <row r="2335" spans="1:5" ht="18" x14ac:dyDescent="0.35">
      <c r="A2335" s="5"/>
      <c r="B2335" s="50" t="s">
        <v>86</v>
      </c>
      <c r="C2335" s="7">
        <v>2</v>
      </c>
      <c r="D2335" s="7">
        <v>1.7</v>
      </c>
      <c r="E2335" s="85">
        <f t="shared" si="153"/>
        <v>3.4</v>
      </c>
    </row>
    <row r="2336" spans="1:5" ht="18" x14ac:dyDescent="0.35">
      <c r="A2336" s="5"/>
      <c r="B2336" s="50" t="s">
        <v>34</v>
      </c>
      <c r="C2336" s="7"/>
      <c r="D2336" s="7">
        <v>14.61</v>
      </c>
      <c r="E2336" s="85">
        <f t="shared" si="153"/>
        <v>0</v>
      </c>
    </row>
    <row r="2337" spans="1:5" ht="18" x14ac:dyDescent="0.35">
      <c r="A2337" s="5"/>
      <c r="B2337" s="50" t="s">
        <v>35</v>
      </c>
      <c r="C2337" s="7">
        <v>4</v>
      </c>
      <c r="D2337" s="7">
        <v>2.91</v>
      </c>
      <c r="E2337" s="85">
        <f t="shared" si="153"/>
        <v>11.64</v>
      </c>
    </row>
    <row r="2338" spans="1:5" ht="18" x14ac:dyDescent="0.35">
      <c r="A2338" s="5"/>
      <c r="B2338" s="50" t="s">
        <v>36</v>
      </c>
      <c r="C2338" s="7">
        <v>4</v>
      </c>
      <c r="D2338" s="7">
        <v>0.61</v>
      </c>
      <c r="E2338" s="85">
        <f t="shared" si="153"/>
        <v>2.44</v>
      </c>
    </row>
    <row r="2339" spans="1:5" ht="18" x14ac:dyDescent="0.35">
      <c r="A2339" s="5"/>
      <c r="B2339" s="5"/>
      <c r="C2339" s="54"/>
      <c r="D2339" s="54"/>
      <c r="E2339" s="89">
        <f>SUM(E2331:E2338)</f>
        <v>275.35248000000001</v>
      </c>
    </row>
    <row r="2340" spans="1:5" ht="18" x14ac:dyDescent="0.35">
      <c r="A2340" s="5"/>
      <c r="B2340" s="5"/>
      <c r="C2340" s="54"/>
      <c r="D2340" s="54" t="s">
        <v>1129</v>
      </c>
      <c r="E2340" s="89">
        <f>E2339+E2339*10%</f>
        <v>302.88772800000004</v>
      </c>
    </row>
    <row r="2341" spans="1:5" ht="18" x14ac:dyDescent="0.35">
      <c r="A2341" s="5"/>
      <c r="B2341" s="50" t="s">
        <v>37</v>
      </c>
      <c r="C2341" s="54">
        <v>0.5</v>
      </c>
      <c r="D2341" s="54">
        <v>85</v>
      </c>
      <c r="E2341" s="85">
        <f>C2341*D2341</f>
        <v>42.5</v>
      </c>
    </row>
    <row r="2342" spans="1:5" ht="18" x14ac:dyDescent="0.35">
      <c r="A2342" s="5"/>
      <c r="B2342" s="5"/>
      <c r="C2342" s="54"/>
      <c r="D2342" s="54"/>
      <c r="E2342" s="85">
        <f>SUM(E2340:E2341)</f>
        <v>345.38772800000004</v>
      </c>
    </row>
    <row r="2344" spans="1:5" ht="21" x14ac:dyDescent="0.4">
      <c r="A2344" s="40" t="s">
        <v>599</v>
      </c>
      <c r="B2344" s="40"/>
      <c r="C2344" s="84"/>
    </row>
    <row r="2345" spans="1:5" ht="18" x14ac:dyDescent="0.35">
      <c r="A2345" s="5" t="s">
        <v>421</v>
      </c>
      <c r="B2345" s="5"/>
      <c r="C2345" s="7" t="s">
        <v>28</v>
      </c>
      <c r="D2345" s="7" t="s">
        <v>29</v>
      </c>
      <c r="E2345" s="7" t="s">
        <v>30</v>
      </c>
    </row>
    <row r="2346" spans="1:5" ht="18" x14ac:dyDescent="0.35">
      <c r="A2346" s="5" t="s">
        <v>310</v>
      </c>
      <c r="B2346" s="50" t="s">
        <v>32</v>
      </c>
      <c r="C2346" s="7">
        <v>4.34</v>
      </c>
      <c r="D2346" s="7">
        <v>10.34</v>
      </c>
      <c r="E2346" s="85">
        <f t="shared" ref="E2346:E2351" si="154">C2346*D2346</f>
        <v>44.875599999999999</v>
      </c>
    </row>
    <row r="2347" spans="1:5" ht="18" x14ac:dyDescent="0.35">
      <c r="A2347" s="5" t="s">
        <v>583</v>
      </c>
      <c r="B2347" s="50" t="s">
        <v>33</v>
      </c>
      <c r="C2347" s="7">
        <v>51.975000000000001</v>
      </c>
      <c r="D2347" s="7">
        <v>16.170000000000002</v>
      </c>
      <c r="E2347" s="85">
        <f t="shared" si="154"/>
        <v>840.4357500000001</v>
      </c>
    </row>
    <row r="2348" spans="1:5" ht="18" x14ac:dyDescent="0.35">
      <c r="A2348" s="102" t="s">
        <v>1222</v>
      </c>
      <c r="B2348" s="50" t="s">
        <v>88</v>
      </c>
      <c r="C2348" s="7">
        <v>4</v>
      </c>
      <c r="D2348" s="7">
        <v>2.2400000000000002</v>
      </c>
      <c r="E2348" s="85">
        <f t="shared" si="154"/>
        <v>8.9600000000000009</v>
      </c>
    </row>
    <row r="2349" spans="1:5" ht="18" x14ac:dyDescent="0.35">
      <c r="A2349" s="5"/>
      <c r="B2349" s="50" t="s">
        <v>34</v>
      </c>
      <c r="C2349" s="7">
        <v>3</v>
      </c>
      <c r="D2349" s="7">
        <v>14.61</v>
      </c>
      <c r="E2349" s="85">
        <f t="shared" si="154"/>
        <v>43.83</v>
      </c>
    </row>
    <row r="2350" spans="1:5" ht="18" x14ac:dyDescent="0.35">
      <c r="A2350" s="5"/>
      <c r="B2350" s="50" t="s">
        <v>35</v>
      </c>
      <c r="C2350" s="7">
        <v>4</v>
      </c>
      <c r="D2350" s="7">
        <v>2.91</v>
      </c>
      <c r="E2350" s="85">
        <f t="shared" si="154"/>
        <v>11.64</v>
      </c>
    </row>
    <row r="2351" spans="1:5" ht="18" x14ac:dyDescent="0.35">
      <c r="A2351" s="5"/>
      <c r="B2351" s="50" t="s">
        <v>36</v>
      </c>
      <c r="C2351" s="7">
        <v>4</v>
      </c>
      <c r="D2351" s="7">
        <v>0.61</v>
      </c>
      <c r="E2351" s="85">
        <f t="shared" si="154"/>
        <v>2.44</v>
      </c>
    </row>
    <row r="2352" spans="1:5" ht="18" x14ac:dyDescent="0.35">
      <c r="A2352" s="5"/>
      <c r="B2352" s="5"/>
      <c r="C2352" s="54"/>
      <c r="D2352" s="54"/>
      <c r="E2352" s="89">
        <f>SUM(E2346:E2351)</f>
        <v>952.18135000000018</v>
      </c>
    </row>
    <row r="2353" spans="1:5" ht="18" x14ac:dyDescent="0.35">
      <c r="A2353" s="5"/>
      <c r="B2353" s="5"/>
      <c r="C2353" s="54"/>
      <c r="D2353" s="54" t="s">
        <v>1158</v>
      </c>
      <c r="E2353" s="89">
        <f>E2352+E2352*10%</f>
        <v>1047.3994850000001</v>
      </c>
    </row>
    <row r="2354" spans="1:5" ht="18" x14ac:dyDescent="0.35">
      <c r="A2354" s="5"/>
      <c r="B2354" s="50" t="s">
        <v>37</v>
      </c>
      <c r="C2354" s="54">
        <v>1.5</v>
      </c>
      <c r="D2354" s="54">
        <v>85</v>
      </c>
      <c r="E2354" s="85">
        <f>C2354*D2354</f>
        <v>127.5</v>
      </c>
    </row>
    <row r="2355" spans="1:5" ht="18" x14ac:dyDescent="0.35">
      <c r="A2355" s="5"/>
      <c r="B2355" s="5"/>
      <c r="C2355" s="54"/>
      <c r="D2355" s="54"/>
      <c r="E2355" s="85">
        <f>SUM(E2353:E2354)</f>
        <v>1174.8994850000001</v>
      </c>
    </row>
    <row r="2356" spans="1:5" ht="18" x14ac:dyDescent="0.35">
      <c r="D2356" t="s">
        <v>822</v>
      </c>
      <c r="E2356" s="85">
        <f>E2355+E2355*10%</f>
        <v>1292.3894335000002</v>
      </c>
    </row>
    <row r="2359" spans="1:5" ht="21" x14ac:dyDescent="0.4">
      <c r="A2359" s="40" t="s">
        <v>599</v>
      </c>
      <c r="B2359" s="40"/>
      <c r="C2359" s="84"/>
    </row>
    <row r="2360" spans="1:5" ht="18" x14ac:dyDescent="0.35">
      <c r="A2360" s="5" t="s">
        <v>1898</v>
      </c>
      <c r="B2360" s="5"/>
      <c r="C2360" s="7" t="s">
        <v>28</v>
      </c>
      <c r="D2360" s="7" t="s">
        <v>29</v>
      </c>
      <c r="E2360" s="7" t="s">
        <v>30</v>
      </c>
    </row>
    <row r="2361" spans="1:5" ht="18" x14ac:dyDescent="0.35">
      <c r="A2361" s="5" t="s">
        <v>261</v>
      </c>
      <c r="B2361" s="50" t="s">
        <v>32</v>
      </c>
      <c r="C2361" s="7">
        <v>1.514</v>
      </c>
      <c r="D2361" s="7">
        <v>10.34</v>
      </c>
      <c r="E2361" s="85">
        <f t="shared" ref="E2361:E2366" si="155">C2361*D2361</f>
        <v>15.65476</v>
      </c>
    </row>
    <row r="2362" spans="1:5" ht="18" x14ac:dyDescent="0.35">
      <c r="A2362" s="5" t="s">
        <v>952</v>
      </c>
      <c r="B2362" s="50" t="s">
        <v>33</v>
      </c>
      <c r="C2362" s="7">
        <v>1.8580000000000001</v>
      </c>
      <c r="D2362" s="7">
        <v>16.170000000000002</v>
      </c>
      <c r="E2362" s="85">
        <f t="shared" si="155"/>
        <v>30.043860000000006</v>
      </c>
    </row>
    <row r="2363" spans="1:5" ht="18" x14ac:dyDescent="0.35">
      <c r="A2363" s="102" t="s">
        <v>1222</v>
      </c>
      <c r="B2363" s="50" t="s">
        <v>1817</v>
      </c>
      <c r="C2363" s="7">
        <v>2</v>
      </c>
      <c r="D2363" s="7">
        <v>1.1499999999999999</v>
      </c>
      <c r="E2363" s="85">
        <f t="shared" si="155"/>
        <v>2.2999999999999998</v>
      </c>
    </row>
    <row r="2364" spans="1:5" ht="18" x14ac:dyDescent="0.35">
      <c r="A2364" s="5"/>
      <c r="B2364" s="50" t="s">
        <v>34</v>
      </c>
      <c r="C2364" s="7">
        <v>0.06</v>
      </c>
      <c r="D2364" s="7">
        <v>14.61</v>
      </c>
      <c r="E2364" s="85">
        <f t="shared" si="155"/>
        <v>0.87659999999999993</v>
      </c>
    </row>
    <row r="2365" spans="1:5" ht="18" x14ac:dyDescent="0.35">
      <c r="A2365" s="5"/>
      <c r="B2365" s="50" t="s">
        <v>35</v>
      </c>
      <c r="C2365" s="7">
        <v>4</v>
      </c>
      <c r="D2365" s="7">
        <v>2.91</v>
      </c>
      <c r="E2365" s="85">
        <f t="shared" si="155"/>
        <v>11.64</v>
      </c>
    </row>
    <row r="2366" spans="1:5" ht="18" x14ac:dyDescent="0.35">
      <c r="A2366" s="5"/>
      <c r="B2366" s="50" t="s">
        <v>36</v>
      </c>
      <c r="C2366" s="7">
        <v>4</v>
      </c>
      <c r="D2366" s="7">
        <v>0.61</v>
      </c>
      <c r="E2366" s="85">
        <f t="shared" si="155"/>
        <v>2.44</v>
      </c>
    </row>
    <row r="2367" spans="1:5" ht="18" x14ac:dyDescent="0.35">
      <c r="A2367" s="5"/>
      <c r="B2367" s="5"/>
      <c r="C2367" s="54"/>
      <c r="D2367" s="54"/>
      <c r="E2367" s="89">
        <f>SUM(E2361:E2366)</f>
        <v>62.955220000000004</v>
      </c>
    </row>
    <row r="2368" spans="1:5" ht="18" x14ac:dyDescent="0.35">
      <c r="A2368" s="5"/>
      <c r="B2368" s="5"/>
      <c r="C2368" s="54"/>
      <c r="D2368" s="54" t="s">
        <v>1158</v>
      </c>
      <c r="E2368" s="89">
        <f>E2367+E2367*10%</f>
        <v>69.250742000000002</v>
      </c>
    </row>
    <row r="2369" spans="1:5" ht="18" x14ac:dyDescent="0.35">
      <c r="A2369" s="5"/>
      <c r="B2369" s="50" t="s">
        <v>37</v>
      </c>
      <c r="C2369" s="54">
        <v>0.5</v>
      </c>
      <c r="D2369" s="54">
        <v>85</v>
      </c>
      <c r="E2369" s="85">
        <f>C2369*D2369</f>
        <v>42.5</v>
      </c>
    </row>
    <row r="2370" spans="1:5" ht="18" x14ac:dyDescent="0.35">
      <c r="A2370" s="5"/>
      <c r="B2370" s="5"/>
      <c r="C2370" s="54"/>
      <c r="D2370" s="54"/>
      <c r="E2370" s="85">
        <f>SUM(E2368:E2369)</f>
        <v>111.750742</v>
      </c>
    </row>
    <row r="2371" spans="1:5" ht="18" x14ac:dyDescent="0.35">
      <c r="D2371" t="s">
        <v>822</v>
      </c>
      <c r="E2371" s="85">
        <f>E2370+E2370*10%</f>
        <v>122.9258162</v>
      </c>
    </row>
    <row r="2373" spans="1:5" ht="21" x14ac:dyDescent="0.4">
      <c r="A2373" s="40" t="s">
        <v>1904</v>
      </c>
      <c r="B2373" s="40"/>
      <c r="C2373" s="84"/>
    </row>
    <row r="2374" spans="1:5" ht="18" x14ac:dyDescent="0.35">
      <c r="B2374" s="5"/>
      <c r="C2374" s="7" t="s">
        <v>28</v>
      </c>
      <c r="D2374" s="7" t="s">
        <v>29</v>
      </c>
      <c r="E2374" s="7" t="s">
        <v>30</v>
      </c>
    </row>
    <row r="2375" spans="1:5" ht="18" x14ac:dyDescent="0.35">
      <c r="A2375" s="5" t="s">
        <v>344</v>
      </c>
      <c r="B2375" s="50" t="s">
        <v>32</v>
      </c>
      <c r="C2375" s="7">
        <v>3.7080000000000002</v>
      </c>
      <c r="D2375" s="7">
        <v>10.34</v>
      </c>
      <c r="E2375" s="85">
        <f t="shared" ref="E2375:E2382" si="156">C2375*D2375</f>
        <v>38.340720000000005</v>
      </c>
    </row>
    <row r="2376" spans="1:5" ht="18" x14ac:dyDescent="0.35">
      <c r="A2376" s="5" t="s">
        <v>767</v>
      </c>
      <c r="B2376" s="50" t="s">
        <v>33</v>
      </c>
      <c r="C2376" s="7">
        <v>37.380000000000003</v>
      </c>
      <c r="D2376" s="7">
        <v>16.170000000000002</v>
      </c>
      <c r="E2376" s="85">
        <f t="shared" si="156"/>
        <v>604.43460000000016</v>
      </c>
    </row>
    <row r="2377" spans="1:5" ht="18" x14ac:dyDescent="0.35">
      <c r="A2377" s="5" t="s">
        <v>1905</v>
      </c>
      <c r="B2377" s="50" t="s">
        <v>33</v>
      </c>
      <c r="C2377" s="7">
        <v>37.326999999999998</v>
      </c>
      <c r="D2377" s="7">
        <v>16.170000000000002</v>
      </c>
      <c r="E2377" s="85">
        <f t="shared" si="156"/>
        <v>603.57758999999999</v>
      </c>
    </row>
    <row r="2378" spans="1:5" ht="18" x14ac:dyDescent="0.35">
      <c r="A2378" s="5" t="s">
        <v>1906</v>
      </c>
      <c r="B2378" s="50" t="s">
        <v>115</v>
      </c>
      <c r="C2378" s="7">
        <v>2</v>
      </c>
      <c r="D2378" s="7">
        <v>3.62</v>
      </c>
      <c r="E2378" s="85">
        <f t="shared" si="156"/>
        <v>7.24</v>
      </c>
    </row>
    <row r="2379" spans="1:5" ht="18" x14ac:dyDescent="0.35">
      <c r="A2379" s="5"/>
      <c r="B2379" s="50" t="s">
        <v>92</v>
      </c>
      <c r="C2379" s="7">
        <v>2</v>
      </c>
      <c r="D2379" s="7">
        <v>4.05</v>
      </c>
      <c r="E2379" s="85">
        <f t="shared" si="156"/>
        <v>8.1</v>
      </c>
    </row>
    <row r="2380" spans="1:5" ht="18" x14ac:dyDescent="0.35">
      <c r="A2380" s="5"/>
      <c r="B2380" s="50" t="s">
        <v>34</v>
      </c>
      <c r="C2380" s="7">
        <v>1.6</v>
      </c>
      <c r="D2380" s="7">
        <v>14.61</v>
      </c>
      <c r="E2380" s="85">
        <f t="shared" si="156"/>
        <v>23.376000000000001</v>
      </c>
    </row>
    <row r="2381" spans="1:5" ht="18" x14ac:dyDescent="0.35">
      <c r="A2381" s="5"/>
      <c r="B2381" s="50" t="s">
        <v>35</v>
      </c>
      <c r="C2381" s="7">
        <v>4</v>
      </c>
      <c r="D2381" s="7">
        <v>2.91</v>
      </c>
      <c r="E2381" s="85">
        <f t="shared" si="156"/>
        <v>11.64</v>
      </c>
    </row>
    <row r="2382" spans="1:5" ht="18" x14ac:dyDescent="0.35">
      <c r="A2382" s="5"/>
      <c r="B2382" s="50" t="s">
        <v>36</v>
      </c>
      <c r="C2382" s="7">
        <v>4</v>
      </c>
      <c r="D2382" s="7">
        <v>0.61</v>
      </c>
      <c r="E2382" s="85">
        <f t="shared" si="156"/>
        <v>2.44</v>
      </c>
    </row>
    <row r="2383" spans="1:5" ht="18" x14ac:dyDescent="0.35">
      <c r="A2383" s="5"/>
      <c r="B2383" s="5"/>
      <c r="C2383" s="54"/>
      <c r="D2383" s="54"/>
      <c r="E2383" s="89">
        <f>SUM(E2375:E2382)</f>
        <v>1299.1489100000001</v>
      </c>
    </row>
    <row r="2384" spans="1:5" ht="18" x14ac:dyDescent="0.35">
      <c r="A2384" s="5"/>
      <c r="B2384" s="5"/>
      <c r="C2384" s="54"/>
      <c r="D2384" s="54" t="s">
        <v>1129</v>
      </c>
      <c r="E2384" s="89">
        <f>E2383+E2383*10%</f>
        <v>1429.0638010000002</v>
      </c>
    </row>
    <row r="2385" spans="1:5" ht="18" x14ac:dyDescent="0.35">
      <c r="A2385" s="5"/>
      <c r="B2385" s="50" t="s">
        <v>37</v>
      </c>
      <c r="C2385" s="54">
        <v>2</v>
      </c>
      <c r="D2385" s="54">
        <v>85</v>
      </c>
      <c r="E2385" s="85">
        <f>C2385*D2385</f>
        <v>170</v>
      </c>
    </row>
    <row r="2386" spans="1:5" ht="18" x14ac:dyDescent="0.35">
      <c r="A2386" s="5"/>
      <c r="B2386" s="5"/>
      <c r="C2386" s="54"/>
      <c r="D2386" s="54"/>
      <c r="E2386" s="85">
        <f>SUM(E2384:E2385)</f>
        <v>1599.0638010000002</v>
      </c>
    </row>
    <row r="2389" spans="1:5" ht="21" x14ac:dyDescent="0.4">
      <c r="A2389" s="40" t="s">
        <v>1232</v>
      </c>
      <c r="B2389" s="40"/>
      <c r="C2389" s="84"/>
    </row>
    <row r="2390" spans="1:5" ht="18" x14ac:dyDescent="0.35">
      <c r="B2390" s="5"/>
      <c r="C2390" s="7" t="s">
        <v>28</v>
      </c>
      <c r="D2390" s="7" t="s">
        <v>29</v>
      </c>
      <c r="E2390" s="7" t="s">
        <v>30</v>
      </c>
    </row>
    <row r="2391" spans="1:5" ht="18" x14ac:dyDescent="0.35">
      <c r="A2391" s="5" t="s">
        <v>69</v>
      </c>
      <c r="B2391" s="50" t="s">
        <v>32</v>
      </c>
      <c r="C2391" s="7">
        <v>2.133</v>
      </c>
      <c r="D2391" s="7">
        <v>10.34</v>
      </c>
      <c r="E2391" s="85">
        <f t="shared" ref="E2391:E2398" si="157">C2391*D2391</f>
        <v>22.055219999999998</v>
      </c>
    </row>
    <row r="2392" spans="1:5" ht="18" x14ac:dyDescent="0.35">
      <c r="A2392" s="5" t="s">
        <v>791</v>
      </c>
      <c r="B2392" s="50" t="s">
        <v>33</v>
      </c>
      <c r="C2392" s="7">
        <v>4.9770000000000003</v>
      </c>
      <c r="D2392" s="7">
        <v>16.170000000000002</v>
      </c>
      <c r="E2392" s="85">
        <f t="shared" si="157"/>
        <v>80.478090000000009</v>
      </c>
    </row>
    <row r="2393" spans="1:5" ht="18" x14ac:dyDescent="0.35">
      <c r="A2393" s="5" t="s">
        <v>767</v>
      </c>
      <c r="B2393" s="50" t="s">
        <v>33</v>
      </c>
      <c r="C2393" s="7">
        <v>5.88</v>
      </c>
      <c r="D2393" s="7">
        <v>16.170000000000002</v>
      </c>
      <c r="E2393" s="85">
        <f t="shared" si="157"/>
        <v>95.079600000000013</v>
      </c>
    </row>
    <row r="2394" spans="1:5" ht="18" x14ac:dyDescent="0.35">
      <c r="A2394" s="5" t="s">
        <v>616</v>
      </c>
      <c r="B2394" s="50" t="s">
        <v>84</v>
      </c>
      <c r="C2394" s="7">
        <v>2</v>
      </c>
      <c r="D2394" s="7">
        <v>1.6</v>
      </c>
      <c r="E2394" s="85">
        <f t="shared" si="157"/>
        <v>3.2</v>
      </c>
    </row>
    <row r="2395" spans="1:5" ht="18" x14ac:dyDescent="0.35">
      <c r="A2395" s="5"/>
      <c r="B2395" s="50" t="s">
        <v>92</v>
      </c>
      <c r="C2395" s="7">
        <v>2</v>
      </c>
      <c r="D2395" s="7">
        <v>3.62</v>
      </c>
      <c r="E2395" s="85">
        <f t="shared" si="157"/>
        <v>7.24</v>
      </c>
    </row>
    <row r="2396" spans="1:5" ht="18" x14ac:dyDescent="0.35">
      <c r="A2396" s="5"/>
      <c r="B2396" s="50" t="s">
        <v>34</v>
      </c>
      <c r="C2396" s="7">
        <v>0.15</v>
      </c>
      <c r="D2396" s="7">
        <v>14.61</v>
      </c>
      <c r="E2396" s="85">
        <f t="shared" si="157"/>
        <v>2.1915</v>
      </c>
    </row>
    <row r="2397" spans="1:5" ht="18" x14ac:dyDescent="0.35">
      <c r="A2397" s="5"/>
      <c r="B2397" s="50" t="s">
        <v>35</v>
      </c>
      <c r="C2397" s="7">
        <v>4</v>
      </c>
      <c r="D2397" s="7">
        <v>2.91</v>
      </c>
      <c r="E2397" s="85">
        <f t="shared" si="157"/>
        <v>11.64</v>
      </c>
    </row>
    <row r="2398" spans="1:5" ht="18" x14ac:dyDescent="0.35">
      <c r="A2398" s="5"/>
      <c r="B2398" s="50" t="s">
        <v>36</v>
      </c>
      <c r="C2398" s="7">
        <v>4</v>
      </c>
      <c r="D2398" s="7">
        <v>0.61</v>
      </c>
      <c r="E2398" s="85">
        <f t="shared" si="157"/>
        <v>2.44</v>
      </c>
    </row>
    <row r="2399" spans="1:5" ht="18" x14ac:dyDescent="0.35">
      <c r="A2399" s="5"/>
      <c r="B2399" s="5"/>
      <c r="C2399" s="54"/>
      <c r="D2399" s="54"/>
      <c r="E2399" s="89">
        <f>SUM(E2391:E2398)</f>
        <v>224.32441</v>
      </c>
    </row>
    <row r="2400" spans="1:5" ht="18" x14ac:dyDescent="0.35">
      <c r="A2400" s="5"/>
      <c r="B2400" s="5"/>
      <c r="C2400" s="54"/>
      <c r="D2400" s="54" t="s">
        <v>1129</v>
      </c>
      <c r="E2400" s="89">
        <f>E2399+E2399*10%</f>
        <v>246.75685100000001</v>
      </c>
    </row>
    <row r="2401" spans="1:5" ht="18" x14ac:dyDescent="0.35">
      <c r="A2401" s="5"/>
      <c r="B2401" s="50" t="s">
        <v>37</v>
      </c>
      <c r="C2401" s="54">
        <v>1</v>
      </c>
      <c r="D2401" s="54">
        <v>85</v>
      </c>
      <c r="E2401" s="85">
        <f>C2401*D2401</f>
        <v>85</v>
      </c>
    </row>
    <row r="2402" spans="1:5" ht="18" x14ac:dyDescent="0.35">
      <c r="A2402" s="5"/>
      <c r="B2402" s="5"/>
      <c r="C2402" s="54"/>
      <c r="D2402" s="54"/>
      <c r="E2402" s="85">
        <f>SUM(E2400:E2401)</f>
        <v>331.75685099999998</v>
      </c>
    </row>
    <row r="2404" spans="1:5" ht="21" x14ac:dyDescent="0.4">
      <c r="A2404" s="40" t="s">
        <v>599</v>
      </c>
      <c r="B2404" s="40"/>
      <c r="C2404" s="84"/>
    </row>
    <row r="2405" spans="1:5" ht="18" x14ac:dyDescent="0.35">
      <c r="A2405" s="5" t="s">
        <v>1913</v>
      </c>
      <c r="B2405" s="5"/>
      <c r="C2405" s="7" t="s">
        <v>28</v>
      </c>
      <c r="D2405" s="7" t="s">
        <v>29</v>
      </c>
      <c r="E2405" s="7" t="s">
        <v>30</v>
      </c>
    </row>
    <row r="2406" spans="1:5" ht="18" x14ac:dyDescent="0.35">
      <c r="A2406" s="5" t="s">
        <v>545</v>
      </c>
      <c r="B2406" s="50" t="s">
        <v>32</v>
      </c>
      <c r="C2406" s="7">
        <v>3.2250000000000001</v>
      </c>
      <c r="D2406" s="7">
        <v>10.34</v>
      </c>
      <c r="E2406" s="85">
        <f t="shared" ref="E2406:E2411" si="158">C2406*D2406</f>
        <v>33.346499999999999</v>
      </c>
    </row>
    <row r="2407" spans="1:5" ht="18" x14ac:dyDescent="0.35">
      <c r="A2407" s="5" t="s">
        <v>1914</v>
      </c>
      <c r="B2407" s="50" t="s">
        <v>33</v>
      </c>
      <c r="C2407" s="7">
        <v>13.975</v>
      </c>
      <c r="D2407" s="7">
        <v>16.170000000000002</v>
      </c>
      <c r="E2407" s="85">
        <f t="shared" si="158"/>
        <v>225.97575000000001</v>
      </c>
    </row>
    <row r="2408" spans="1:5" ht="18" x14ac:dyDescent="0.35">
      <c r="A2408" s="102" t="s">
        <v>1222</v>
      </c>
      <c r="B2408" s="50" t="s">
        <v>485</v>
      </c>
      <c r="C2408" s="7">
        <v>2</v>
      </c>
      <c r="D2408" s="7">
        <v>1.08</v>
      </c>
      <c r="E2408" s="85">
        <f t="shared" si="158"/>
        <v>2.16</v>
      </c>
    </row>
    <row r="2409" spans="1:5" ht="18" x14ac:dyDescent="0.35">
      <c r="A2409" s="5"/>
      <c r="B2409" s="50" t="s">
        <v>34</v>
      </c>
      <c r="C2409" s="7">
        <v>0.79</v>
      </c>
      <c r="D2409" s="7">
        <v>14.61</v>
      </c>
      <c r="E2409" s="85">
        <f t="shared" si="158"/>
        <v>11.5419</v>
      </c>
    </row>
    <row r="2410" spans="1:5" ht="18" x14ac:dyDescent="0.35">
      <c r="A2410" s="5"/>
      <c r="B2410" s="50" t="s">
        <v>35</v>
      </c>
      <c r="C2410" s="7">
        <v>4</v>
      </c>
      <c r="D2410" s="7">
        <v>2.91</v>
      </c>
      <c r="E2410" s="85">
        <f t="shared" si="158"/>
        <v>11.64</v>
      </c>
    </row>
    <row r="2411" spans="1:5" ht="18" x14ac:dyDescent="0.35">
      <c r="A2411" s="5"/>
      <c r="B2411" s="50" t="s">
        <v>36</v>
      </c>
      <c r="C2411" s="7">
        <v>4</v>
      </c>
      <c r="D2411" s="7">
        <v>0.61</v>
      </c>
      <c r="E2411" s="85">
        <f t="shared" si="158"/>
        <v>2.44</v>
      </c>
    </row>
    <row r="2412" spans="1:5" ht="18" x14ac:dyDescent="0.35">
      <c r="A2412" s="5"/>
      <c r="B2412" s="5"/>
      <c r="C2412" s="54"/>
      <c r="D2412" s="54"/>
      <c r="E2412" s="89">
        <f>SUM(E2406:E2411)</f>
        <v>287.10415</v>
      </c>
    </row>
    <row r="2413" spans="1:5" ht="18" x14ac:dyDescent="0.35">
      <c r="A2413" s="5"/>
      <c r="B2413" s="5"/>
      <c r="C2413" s="54"/>
      <c r="D2413" s="54" t="s">
        <v>1158</v>
      </c>
      <c r="E2413" s="89">
        <f>E2412+E2412*10%</f>
        <v>315.81456500000002</v>
      </c>
    </row>
    <row r="2414" spans="1:5" ht="18" x14ac:dyDescent="0.35">
      <c r="A2414" s="5"/>
      <c r="B2414" s="50" t="s">
        <v>37</v>
      </c>
      <c r="C2414" s="54">
        <v>1</v>
      </c>
      <c r="D2414" s="54">
        <v>85</v>
      </c>
      <c r="E2414" s="85">
        <f>C2414*D2414</f>
        <v>85</v>
      </c>
    </row>
    <row r="2415" spans="1:5" ht="18" x14ac:dyDescent="0.35">
      <c r="A2415" s="5"/>
      <c r="B2415" s="5"/>
      <c r="C2415" s="54"/>
      <c r="D2415" s="54"/>
      <c r="E2415" s="85">
        <f>SUM(E2413:E2414)</f>
        <v>400.81456500000002</v>
      </c>
    </row>
    <row r="2417" spans="1:5" ht="21" x14ac:dyDescent="0.4">
      <c r="A2417" s="40" t="s">
        <v>1915</v>
      </c>
      <c r="B2417" s="40"/>
      <c r="C2417" s="84"/>
    </row>
    <row r="2418" spans="1:5" ht="18" x14ac:dyDescent="0.35">
      <c r="B2418" s="5"/>
      <c r="C2418" s="7" t="s">
        <v>28</v>
      </c>
      <c r="D2418" s="7" t="s">
        <v>29</v>
      </c>
      <c r="E2418" s="7" t="s">
        <v>30</v>
      </c>
    </row>
    <row r="2419" spans="1:5" ht="18" x14ac:dyDescent="0.35">
      <c r="A2419" s="5" t="s">
        <v>1913</v>
      </c>
      <c r="B2419" s="50" t="s">
        <v>32</v>
      </c>
      <c r="C2419" s="7">
        <v>3.2250000000000001</v>
      </c>
      <c r="D2419" s="7">
        <v>10.34</v>
      </c>
      <c r="E2419" s="85">
        <f t="shared" ref="E2419:E2426" si="159">C2419*D2419</f>
        <v>33.346499999999999</v>
      </c>
    </row>
    <row r="2420" spans="1:5" ht="18" x14ac:dyDescent="0.35">
      <c r="A2420" s="5" t="s">
        <v>1497</v>
      </c>
      <c r="B2420" s="50" t="s">
        <v>33</v>
      </c>
      <c r="C2420" s="7">
        <v>13.975</v>
      </c>
      <c r="D2420" s="7">
        <v>16.170000000000002</v>
      </c>
      <c r="E2420" s="85">
        <f t="shared" si="159"/>
        <v>225.97575000000001</v>
      </c>
    </row>
    <row r="2421" spans="1:5" ht="18" x14ac:dyDescent="0.35">
      <c r="A2421" s="5" t="s">
        <v>1897</v>
      </c>
      <c r="B2421" s="50" t="s">
        <v>33</v>
      </c>
      <c r="C2421" s="7">
        <v>15.12</v>
      </c>
      <c r="D2421" s="7">
        <v>16.170000000000002</v>
      </c>
      <c r="E2421" s="85">
        <f t="shared" si="159"/>
        <v>244.49040000000002</v>
      </c>
    </row>
    <row r="2422" spans="1:5" ht="18" x14ac:dyDescent="0.35">
      <c r="A2422" s="5" t="s">
        <v>1151</v>
      </c>
      <c r="B2422" s="50" t="s">
        <v>974</v>
      </c>
      <c r="C2422" s="7">
        <v>2</v>
      </c>
      <c r="D2422" s="7">
        <v>1.08</v>
      </c>
      <c r="E2422" s="85">
        <f t="shared" si="159"/>
        <v>2.16</v>
      </c>
    </row>
    <row r="2423" spans="1:5" ht="18" x14ac:dyDescent="0.35">
      <c r="A2423" s="5"/>
      <c r="B2423" s="50" t="s">
        <v>1916</v>
      </c>
      <c r="C2423" s="7">
        <v>2</v>
      </c>
      <c r="D2423" s="7">
        <v>5.96</v>
      </c>
      <c r="E2423" s="85">
        <f t="shared" si="159"/>
        <v>11.92</v>
      </c>
    </row>
    <row r="2424" spans="1:5" ht="18" x14ac:dyDescent="0.35">
      <c r="A2424" s="5"/>
      <c r="B2424" s="50" t="s">
        <v>34</v>
      </c>
      <c r="C2424" s="7">
        <v>0.79</v>
      </c>
      <c r="D2424" s="7">
        <v>14.61</v>
      </c>
      <c r="E2424" s="85">
        <f t="shared" si="159"/>
        <v>11.5419</v>
      </c>
    </row>
    <row r="2425" spans="1:5" ht="18" x14ac:dyDescent="0.35">
      <c r="A2425" s="5"/>
      <c r="B2425" s="50" t="s">
        <v>35</v>
      </c>
      <c r="C2425" s="7">
        <v>4</v>
      </c>
      <c r="D2425" s="7">
        <v>2.91</v>
      </c>
      <c r="E2425" s="85">
        <f t="shared" si="159"/>
        <v>11.64</v>
      </c>
    </row>
    <row r="2426" spans="1:5" ht="18" x14ac:dyDescent="0.35">
      <c r="A2426" s="5"/>
      <c r="B2426" s="50" t="s">
        <v>36</v>
      </c>
      <c r="C2426" s="7">
        <v>4</v>
      </c>
      <c r="D2426" s="7">
        <v>0.61</v>
      </c>
      <c r="E2426" s="85">
        <f t="shared" si="159"/>
        <v>2.44</v>
      </c>
    </row>
    <row r="2427" spans="1:5" ht="18" x14ac:dyDescent="0.35">
      <c r="A2427" s="5"/>
      <c r="B2427" s="5"/>
      <c r="C2427" s="54"/>
      <c r="D2427" s="54"/>
      <c r="E2427" s="89">
        <f>SUM(E2419:E2426)</f>
        <v>543.5145500000001</v>
      </c>
    </row>
    <row r="2428" spans="1:5" ht="18" x14ac:dyDescent="0.35">
      <c r="A2428" s="5"/>
      <c r="B2428" s="5"/>
      <c r="C2428" s="54"/>
      <c r="D2428" s="54" t="s">
        <v>1129</v>
      </c>
      <c r="E2428" s="89">
        <f>E2427+E2427*10%</f>
        <v>597.86600500000009</v>
      </c>
    </row>
    <row r="2429" spans="1:5" ht="18" x14ac:dyDescent="0.35">
      <c r="A2429" s="5"/>
      <c r="B2429" s="50" t="s">
        <v>37</v>
      </c>
      <c r="C2429" s="54">
        <v>1.5</v>
      </c>
      <c r="D2429" s="54">
        <v>85</v>
      </c>
      <c r="E2429" s="85">
        <f>C2429*D2429</f>
        <v>127.5</v>
      </c>
    </row>
    <row r="2430" spans="1:5" ht="18" x14ac:dyDescent="0.35">
      <c r="A2430" s="5"/>
      <c r="B2430" s="5"/>
      <c r="C2430" s="54"/>
      <c r="D2430" s="54"/>
      <c r="E2430" s="85">
        <f>SUM(E2428:E2429)</f>
        <v>725.36600500000009</v>
      </c>
    </row>
    <row r="2432" spans="1:5" ht="21" x14ac:dyDescent="0.4">
      <c r="A2432" s="40" t="s">
        <v>1025</v>
      </c>
      <c r="B2432" s="40"/>
      <c r="C2432" s="40"/>
      <c r="D2432" s="12"/>
      <c r="E2432" s="12"/>
    </row>
    <row r="2433" spans="1:5" ht="18" x14ac:dyDescent="0.35">
      <c r="A2433" s="5"/>
      <c r="B2433" s="5"/>
      <c r="C2433" s="7" t="s">
        <v>28</v>
      </c>
      <c r="D2433" s="7" t="s">
        <v>29</v>
      </c>
      <c r="E2433" s="7" t="s">
        <v>30</v>
      </c>
    </row>
    <row r="2434" spans="1:5" ht="18" x14ac:dyDescent="0.35">
      <c r="A2434" s="5" t="s">
        <v>45</v>
      </c>
      <c r="B2434" s="50" t="s">
        <v>32</v>
      </c>
      <c r="C2434" s="7">
        <v>1.8180000000000001</v>
      </c>
      <c r="D2434" s="7">
        <v>10.34</v>
      </c>
      <c r="E2434" s="85">
        <f>C2434*D2434</f>
        <v>18.798120000000001</v>
      </c>
    </row>
    <row r="2435" spans="1:5" ht="18" x14ac:dyDescent="0.35">
      <c r="A2435" s="5" t="s">
        <v>791</v>
      </c>
      <c r="B2435" s="50" t="s">
        <v>33</v>
      </c>
      <c r="C2435" s="7">
        <v>4.3470000000000004</v>
      </c>
      <c r="D2435" s="7">
        <v>3.89</v>
      </c>
      <c r="E2435" s="85">
        <f>C2435*D2435</f>
        <v>16.909830000000003</v>
      </c>
    </row>
    <row r="2436" spans="1:5" ht="18" x14ac:dyDescent="0.35">
      <c r="A2436" s="5" t="s">
        <v>705</v>
      </c>
      <c r="B2436" s="50" t="s">
        <v>137</v>
      </c>
      <c r="C2436" s="7">
        <v>0.2</v>
      </c>
      <c r="D2436" s="7">
        <v>15.25</v>
      </c>
      <c r="E2436" s="85">
        <f>C2436*D2436</f>
        <v>3.0500000000000003</v>
      </c>
    </row>
    <row r="2437" spans="1:5" ht="18" x14ac:dyDescent="0.35">
      <c r="A2437" s="5"/>
      <c r="B2437" s="50" t="s">
        <v>35</v>
      </c>
      <c r="C2437" s="7">
        <v>4</v>
      </c>
      <c r="D2437" s="7">
        <v>2.91</v>
      </c>
      <c r="E2437" s="85">
        <f>C2437*D2437</f>
        <v>11.64</v>
      </c>
    </row>
    <row r="2438" spans="1:5" ht="18" x14ac:dyDescent="0.35">
      <c r="A2438" s="5"/>
      <c r="B2438" s="50" t="s">
        <v>36</v>
      </c>
      <c r="C2438" s="7">
        <v>4</v>
      </c>
      <c r="D2438" s="7">
        <v>0.61</v>
      </c>
      <c r="E2438" s="85">
        <f>C2438*D2438</f>
        <v>2.44</v>
      </c>
    </row>
    <row r="2439" spans="1:5" ht="18" x14ac:dyDescent="0.35">
      <c r="A2439" s="5"/>
      <c r="B2439" s="50"/>
      <c r="C2439" s="87"/>
      <c r="D2439" s="88"/>
      <c r="E2439" s="85">
        <f>SUM(E2434:E2438)</f>
        <v>52.837949999999999</v>
      </c>
    </row>
    <row r="2440" spans="1:5" ht="18" x14ac:dyDescent="0.35">
      <c r="A2440" s="5"/>
      <c r="B2440" s="50"/>
      <c r="C2440" s="87"/>
      <c r="D2440" s="88" t="s">
        <v>1085</v>
      </c>
      <c r="E2440" s="85">
        <f>E2439+E2439*10%</f>
        <v>58.121744999999997</v>
      </c>
    </row>
    <row r="2441" spans="1:5" ht="18" x14ac:dyDescent="0.35">
      <c r="A2441" s="5"/>
      <c r="B2441" s="50" t="s">
        <v>37</v>
      </c>
      <c r="C2441" s="54">
        <v>0.5</v>
      </c>
      <c r="D2441" s="86">
        <v>85</v>
      </c>
      <c r="E2441" s="85">
        <f>C2441*D2441</f>
        <v>42.5</v>
      </c>
    </row>
    <row r="2442" spans="1:5" ht="18" x14ac:dyDescent="0.35">
      <c r="A2442" s="5"/>
      <c r="B2442" s="5"/>
      <c r="C2442" s="54"/>
      <c r="D2442" s="54"/>
      <c r="E2442" s="85">
        <f>SUM(E2440:E2441)</f>
        <v>100.621745</v>
      </c>
    </row>
    <row r="2445" spans="1:5" ht="21" x14ac:dyDescent="0.4">
      <c r="A2445" s="40" t="s">
        <v>1917</v>
      </c>
      <c r="B2445" s="40"/>
      <c r="C2445" s="40"/>
      <c r="D2445" s="12"/>
      <c r="E2445" s="12"/>
    </row>
    <row r="2446" spans="1:5" ht="18" x14ac:dyDescent="0.35">
      <c r="A2446" s="5"/>
      <c r="B2446" s="5"/>
      <c r="C2446" s="7" t="s">
        <v>28</v>
      </c>
      <c r="D2446" s="7" t="s">
        <v>29</v>
      </c>
      <c r="E2446" s="7" t="s">
        <v>30</v>
      </c>
    </row>
    <row r="2447" spans="1:5" ht="18" x14ac:dyDescent="0.35">
      <c r="A2447" s="5" t="s">
        <v>1918</v>
      </c>
      <c r="B2447" s="50" t="s">
        <v>32</v>
      </c>
      <c r="C2447" s="7">
        <v>1.86</v>
      </c>
      <c r="D2447" s="7">
        <v>10.34</v>
      </c>
      <c r="E2447" s="85">
        <f>C2447*D2447</f>
        <v>19.232400000000002</v>
      </c>
    </row>
    <row r="2448" spans="1:5" ht="18" x14ac:dyDescent="0.35">
      <c r="A2448" s="5" t="s">
        <v>791</v>
      </c>
      <c r="B2448" s="50" t="s">
        <v>33</v>
      </c>
      <c r="C2448" s="7">
        <v>4.4729999999999999</v>
      </c>
      <c r="D2448" s="7">
        <v>3.89</v>
      </c>
      <c r="E2448" s="85">
        <f>C2448*D2448</f>
        <v>17.39997</v>
      </c>
    </row>
    <row r="2449" spans="1:5" ht="18" x14ac:dyDescent="0.35">
      <c r="A2449" s="5" t="s">
        <v>705</v>
      </c>
      <c r="B2449" s="50" t="s">
        <v>137</v>
      </c>
      <c r="C2449" s="7">
        <v>0.2</v>
      </c>
      <c r="D2449" s="7">
        <v>15.25</v>
      </c>
      <c r="E2449" s="85">
        <f>C2449*D2449</f>
        <v>3.0500000000000003</v>
      </c>
    </row>
    <row r="2450" spans="1:5" ht="18" x14ac:dyDescent="0.35">
      <c r="A2450" s="5"/>
      <c r="B2450" s="50" t="s">
        <v>35</v>
      </c>
      <c r="C2450" s="7">
        <v>4</v>
      </c>
      <c r="D2450" s="7">
        <v>2.91</v>
      </c>
      <c r="E2450" s="85">
        <f>C2450*D2450</f>
        <v>11.64</v>
      </c>
    </row>
    <row r="2451" spans="1:5" ht="18" x14ac:dyDescent="0.35">
      <c r="A2451" s="5"/>
      <c r="B2451" s="50" t="s">
        <v>36</v>
      </c>
      <c r="C2451" s="7">
        <v>4</v>
      </c>
      <c r="D2451" s="7">
        <v>0.61</v>
      </c>
      <c r="E2451" s="85">
        <f>C2451*D2451</f>
        <v>2.44</v>
      </c>
    </row>
    <row r="2452" spans="1:5" ht="18" x14ac:dyDescent="0.35">
      <c r="A2452" s="5"/>
      <c r="B2452" s="50"/>
      <c r="C2452" s="87"/>
      <c r="D2452" s="88"/>
      <c r="E2452" s="85">
        <f>SUM(E2447:E2451)</f>
        <v>53.762369999999997</v>
      </c>
    </row>
    <row r="2453" spans="1:5" ht="18" x14ac:dyDescent="0.35">
      <c r="A2453" s="5"/>
      <c r="B2453" s="50"/>
      <c r="C2453" s="87"/>
      <c r="D2453" s="88" t="s">
        <v>1085</v>
      </c>
      <c r="E2453" s="85">
        <f>E2452+E2452*10%</f>
        <v>59.138606999999993</v>
      </c>
    </row>
    <row r="2454" spans="1:5" ht="18" x14ac:dyDescent="0.35">
      <c r="A2454" s="5"/>
      <c r="B2454" s="50" t="s">
        <v>37</v>
      </c>
      <c r="C2454" s="54">
        <v>0.5</v>
      </c>
      <c r="D2454" s="86">
        <v>85</v>
      </c>
      <c r="E2454" s="85">
        <f>C2454*D2454</f>
        <v>42.5</v>
      </c>
    </row>
    <row r="2455" spans="1:5" ht="18" x14ac:dyDescent="0.35">
      <c r="A2455" s="5"/>
      <c r="B2455" s="5"/>
      <c r="C2455" s="54"/>
      <c r="D2455" s="54"/>
      <c r="E2455" s="85">
        <f>SUM(E2453:E2454)</f>
        <v>101.63860699999999</v>
      </c>
    </row>
    <row r="2457" spans="1:5" ht="21" x14ac:dyDescent="0.4">
      <c r="A2457" s="40" t="s">
        <v>1919</v>
      </c>
      <c r="B2457" s="40"/>
      <c r="C2457" s="84"/>
    </row>
    <row r="2458" spans="1:5" ht="18" x14ac:dyDescent="0.35">
      <c r="A2458" s="5" t="s">
        <v>421</v>
      </c>
      <c r="B2458" s="5"/>
      <c r="C2458" s="7" t="s">
        <v>28</v>
      </c>
      <c r="D2458" s="7" t="s">
        <v>29</v>
      </c>
      <c r="E2458" s="7" t="s">
        <v>30</v>
      </c>
    </row>
    <row r="2459" spans="1:5" ht="18" x14ac:dyDescent="0.35">
      <c r="A2459" s="5" t="s">
        <v>310</v>
      </c>
      <c r="B2459" s="50" t="s">
        <v>32</v>
      </c>
      <c r="C2459" s="7">
        <v>4.3380000000000001</v>
      </c>
      <c r="D2459" s="7">
        <v>10.34</v>
      </c>
      <c r="E2459" s="85">
        <f t="shared" ref="E2459:E2464" si="160">C2459*D2459</f>
        <v>44.85492</v>
      </c>
    </row>
    <row r="2460" spans="1:5" ht="18" x14ac:dyDescent="0.35">
      <c r="A2460" s="5" t="s">
        <v>583</v>
      </c>
      <c r="B2460" s="50" t="s">
        <v>33</v>
      </c>
      <c r="C2460" s="7">
        <v>51.975000000000001</v>
      </c>
      <c r="D2460" s="7">
        <v>16.170000000000002</v>
      </c>
      <c r="E2460" s="85">
        <f t="shared" si="160"/>
        <v>840.4357500000001</v>
      </c>
    </row>
    <row r="2461" spans="1:5" ht="18" x14ac:dyDescent="0.35">
      <c r="A2461" s="102" t="s">
        <v>1222</v>
      </c>
      <c r="B2461" s="50" t="s">
        <v>94</v>
      </c>
      <c r="C2461" s="7">
        <v>2</v>
      </c>
      <c r="D2461" s="7">
        <v>4.4800000000000004</v>
      </c>
      <c r="E2461" s="85">
        <f t="shared" si="160"/>
        <v>8.9600000000000009</v>
      </c>
    </row>
    <row r="2462" spans="1:5" ht="18" x14ac:dyDescent="0.35">
      <c r="A2462" s="5"/>
      <c r="B2462" s="50" t="s">
        <v>34</v>
      </c>
      <c r="C2462" s="7">
        <v>1.1000000000000001</v>
      </c>
      <c r="D2462" s="7">
        <v>14.61</v>
      </c>
      <c r="E2462" s="85">
        <f t="shared" si="160"/>
        <v>16.071000000000002</v>
      </c>
    </row>
    <row r="2463" spans="1:5" ht="18" x14ac:dyDescent="0.35">
      <c r="A2463" s="5"/>
      <c r="B2463" s="50" t="s">
        <v>35</v>
      </c>
      <c r="C2463" s="7">
        <v>4</v>
      </c>
      <c r="D2463" s="7">
        <v>2.91</v>
      </c>
      <c r="E2463" s="85">
        <f t="shared" si="160"/>
        <v>11.64</v>
      </c>
    </row>
    <row r="2464" spans="1:5" ht="18" x14ac:dyDescent="0.35">
      <c r="A2464" s="5"/>
      <c r="B2464" s="50" t="s">
        <v>36</v>
      </c>
      <c r="C2464" s="7">
        <v>4</v>
      </c>
      <c r="D2464" s="7">
        <v>0.61</v>
      </c>
      <c r="E2464" s="85">
        <f t="shared" si="160"/>
        <v>2.44</v>
      </c>
    </row>
    <row r="2465" spans="1:5" ht="18" x14ac:dyDescent="0.35">
      <c r="A2465" s="5"/>
      <c r="B2465" s="5"/>
      <c r="C2465" s="54"/>
      <c r="D2465" s="54"/>
      <c r="E2465" s="89">
        <f>SUM(E2459:E2464)</f>
        <v>924.40167000000019</v>
      </c>
    </row>
    <row r="2466" spans="1:5" ht="18" x14ac:dyDescent="0.35">
      <c r="A2466" s="5"/>
      <c r="B2466" s="5"/>
      <c r="C2466" s="54"/>
      <c r="D2466" s="54" t="s">
        <v>1158</v>
      </c>
      <c r="E2466" s="89">
        <f>E2465+E2465*10%</f>
        <v>1016.8418370000002</v>
      </c>
    </row>
    <row r="2467" spans="1:5" ht="18" x14ac:dyDescent="0.35">
      <c r="A2467" s="5"/>
      <c r="B2467" s="50" t="s">
        <v>37</v>
      </c>
      <c r="C2467" s="54">
        <v>1</v>
      </c>
      <c r="D2467" s="54">
        <v>85</v>
      </c>
      <c r="E2467" s="85">
        <f>C2467*D2467</f>
        <v>85</v>
      </c>
    </row>
    <row r="2468" spans="1:5" ht="18" x14ac:dyDescent="0.35">
      <c r="A2468" s="5"/>
      <c r="B2468" s="5"/>
      <c r="C2468" s="54"/>
      <c r="D2468" s="54"/>
      <c r="E2468" s="85">
        <f>SUM(E2466:E2467)</f>
        <v>1101.8418370000002</v>
      </c>
    </row>
    <row r="2470" spans="1:5" ht="21" x14ac:dyDescent="0.4">
      <c r="A2470" s="40" t="s">
        <v>599</v>
      </c>
      <c r="B2470" s="40"/>
      <c r="C2470" s="84"/>
    </row>
    <row r="2471" spans="1:5" ht="18" x14ac:dyDescent="0.35">
      <c r="A2471" s="5" t="s">
        <v>1948</v>
      </c>
      <c r="B2471" s="5"/>
      <c r="C2471" s="7" t="s">
        <v>28</v>
      </c>
      <c r="D2471" s="7" t="s">
        <v>29</v>
      </c>
      <c r="E2471" s="7" t="s">
        <v>30</v>
      </c>
    </row>
    <row r="2472" spans="1:5" ht="18" x14ac:dyDescent="0.35">
      <c r="A2472" s="5" t="s">
        <v>52</v>
      </c>
      <c r="B2472" s="50" t="s">
        <v>32</v>
      </c>
      <c r="C2472" s="7">
        <v>1.661</v>
      </c>
      <c r="D2472" s="7">
        <v>10.34</v>
      </c>
      <c r="E2472" s="85">
        <f t="shared" ref="E2472:E2477" si="161">C2472*D2472</f>
        <v>17.17474</v>
      </c>
    </row>
    <row r="2473" spans="1:5" ht="18" x14ac:dyDescent="0.35">
      <c r="A2473" s="5" t="s">
        <v>746</v>
      </c>
      <c r="B2473" s="50" t="s">
        <v>33</v>
      </c>
      <c r="C2473" s="7">
        <v>5.008</v>
      </c>
      <c r="D2473" s="7">
        <v>16.170000000000002</v>
      </c>
      <c r="E2473" s="85">
        <f t="shared" si="161"/>
        <v>80.979360000000014</v>
      </c>
    </row>
    <row r="2474" spans="1:5" ht="18" x14ac:dyDescent="0.35">
      <c r="A2474" s="102" t="s">
        <v>1222</v>
      </c>
      <c r="B2474" s="50" t="s">
        <v>1949</v>
      </c>
      <c r="C2474" s="7">
        <v>2</v>
      </c>
      <c r="D2474" s="7">
        <v>1.48</v>
      </c>
      <c r="E2474" s="85">
        <f t="shared" si="161"/>
        <v>2.96</v>
      </c>
    </row>
    <row r="2475" spans="1:5" ht="18" x14ac:dyDescent="0.35">
      <c r="A2475" s="5"/>
      <c r="B2475" s="50" t="s">
        <v>34</v>
      </c>
      <c r="C2475" s="7"/>
      <c r="D2475" s="7">
        <v>14.61</v>
      </c>
      <c r="E2475" s="85">
        <f t="shared" si="161"/>
        <v>0</v>
      </c>
    </row>
    <row r="2476" spans="1:5" ht="18" x14ac:dyDescent="0.35">
      <c r="A2476" s="5"/>
      <c r="B2476" s="50" t="s">
        <v>35</v>
      </c>
      <c r="C2476" s="7">
        <v>4</v>
      </c>
      <c r="D2476" s="7">
        <v>2.91</v>
      </c>
      <c r="E2476" s="85">
        <f t="shared" si="161"/>
        <v>11.64</v>
      </c>
    </row>
    <row r="2477" spans="1:5" ht="18" x14ac:dyDescent="0.35">
      <c r="A2477" s="5"/>
      <c r="B2477" s="50" t="s">
        <v>36</v>
      </c>
      <c r="C2477" s="7">
        <v>4</v>
      </c>
      <c r="D2477" s="7">
        <v>0.61</v>
      </c>
      <c r="E2477" s="85">
        <f t="shared" si="161"/>
        <v>2.44</v>
      </c>
    </row>
    <row r="2478" spans="1:5" ht="18" x14ac:dyDescent="0.35">
      <c r="A2478" s="5"/>
      <c r="B2478" s="5"/>
      <c r="C2478" s="54"/>
      <c r="D2478" s="54"/>
      <c r="E2478" s="89">
        <f>SUM(E2472:E2477)</f>
        <v>115.19410000000001</v>
      </c>
    </row>
    <row r="2479" spans="1:5" ht="18" x14ac:dyDescent="0.35">
      <c r="A2479" s="5"/>
      <c r="B2479" s="5"/>
      <c r="C2479" s="54"/>
      <c r="D2479" s="54" t="s">
        <v>1158</v>
      </c>
      <c r="E2479" s="89">
        <f>E2478+E2478*10%</f>
        <v>126.71351000000001</v>
      </c>
    </row>
    <row r="2480" spans="1:5" ht="18" x14ac:dyDescent="0.35">
      <c r="A2480" s="5"/>
      <c r="B2480" s="50" t="s">
        <v>37</v>
      </c>
      <c r="C2480" s="54">
        <v>0.5</v>
      </c>
      <c r="D2480" s="54">
        <v>85</v>
      </c>
      <c r="E2480" s="85">
        <f>C2480*D2480</f>
        <v>42.5</v>
      </c>
    </row>
    <row r="2481" spans="1:5" ht="18" x14ac:dyDescent="0.35">
      <c r="A2481" s="5"/>
      <c r="B2481" s="5"/>
      <c r="C2481" s="54"/>
      <c r="D2481" s="54"/>
      <c r="E2481" s="85">
        <f>SUM(E2479:E2480)</f>
        <v>169.21351000000001</v>
      </c>
    </row>
    <row r="2482" spans="1:5" ht="18" x14ac:dyDescent="0.35">
      <c r="D2482" t="s">
        <v>822</v>
      </c>
      <c r="E2482" s="85">
        <f>E2481+E2481*10%</f>
        <v>186.134861</v>
      </c>
    </row>
    <row r="2484" spans="1:5" ht="21" x14ac:dyDescent="0.4">
      <c r="A2484" s="40" t="s">
        <v>599</v>
      </c>
      <c r="B2484" s="40"/>
      <c r="C2484" s="84"/>
    </row>
    <row r="2485" spans="1:5" ht="18" x14ac:dyDescent="0.35">
      <c r="A2485" s="5" t="s">
        <v>1950</v>
      </c>
      <c r="B2485" s="5"/>
      <c r="C2485" s="7" t="s">
        <v>28</v>
      </c>
      <c r="D2485" s="7" t="s">
        <v>29</v>
      </c>
      <c r="E2485" s="7" t="s">
        <v>30</v>
      </c>
    </row>
    <row r="2486" spans="1:5" ht="18" x14ac:dyDescent="0.35">
      <c r="A2486" s="5" t="s">
        <v>212</v>
      </c>
      <c r="B2486" s="50" t="s">
        <v>32</v>
      </c>
      <c r="C2486" s="7">
        <v>1.42</v>
      </c>
      <c r="D2486" s="7">
        <v>10.34</v>
      </c>
      <c r="E2486" s="85">
        <f t="shared" ref="E2486:E2491" si="162">C2486*D2486</f>
        <v>14.682799999999999</v>
      </c>
    </row>
    <row r="2487" spans="1:5" ht="18" x14ac:dyDescent="0.35">
      <c r="A2487" s="5" t="s">
        <v>821</v>
      </c>
      <c r="B2487" s="50" t="s">
        <v>33</v>
      </c>
      <c r="C2487" s="7">
        <v>3.8849999999999998</v>
      </c>
      <c r="D2487" s="7">
        <v>10</v>
      </c>
      <c r="E2487" s="85">
        <f t="shared" si="162"/>
        <v>38.849999999999994</v>
      </c>
    </row>
    <row r="2488" spans="1:5" ht="18" x14ac:dyDescent="0.35">
      <c r="A2488" s="102" t="s">
        <v>1222</v>
      </c>
      <c r="B2488" s="50" t="s">
        <v>1613</v>
      </c>
      <c r="C2488" s="7">
        <v>2</v>
      </c>
      <c r="D2488" s="7">
        <v>1.48</v>
      </c>
      <c r="E2488" s="85">
        <f t="shared" si="162"/>
        <v>2.96</v>
      </c>
    </row>
    <row r="2489" spans="1:5" ht="18" x14ac:dyDescent="0.35">
      <c r="A2489" s="5"/>
      <c r="B2489" s="50" t="s">
        <v>34</v>
      </c>
      <c r="C2489" s="7"/>
      <c r="D2489" s="7">
        <v>14.61</v>
      </c>
      <c r="E2489" s="85">
        <f t="shared" si="162"/>
        <v>0</v>
      </c>
    </row>
    <row r="2490" spans="1:5" ht="18" x14ac:dyDescent="0.35">
      <c r="A2490" s="5"/>
      <c r="B2490" s="50" t="s">
        <v>35</v>
      </c>
      <c r="C2490" s="7">
        <v>4</v>
      </c>
      <c r="D2490" s="7">
        <v>2.91</v>
      </c>
      <c r="E2490" s="85">
        <f t="shared" si="162"/>
        <v>11.64</v>
      </c>
    </row>
    <row r="2491" spans="1:5" ht="18" x14ac:dyDescent="0.35">
      <c r="A2491" s="5"/>
      <c r="B2491" s="50" t="s">
        <v>36</v>
      </c>
      <c r="C2491" s="7">
        <v>4</v>
      </c>
      <c r="D2491" s="7">
        <v>0.61</v>
      </c>
      <c r="E2491" s="85">
        <f t="shared" si="162"/>
        <v>2.44</v>
      </c>
    </row>
    <row r="2492" spans="1:5" ht="18" x14ac:dyDescent="0.35">
      <c r="A2492" s="5"/>
      <c r="B2492" s="5"/>
      <c r="C2492" s="54"/>
      <c r="D2492" s="54"/>
      <c r="E2492" s="89">
        <f>SUM(E2486:E2491)</f>
        <v>70.572800000000001</v>
      </c>
    </row>
    <row r="2493" spans="1:5" ht="18" x14ac:dyDescent="0.35">
      <c r="A2493" s="5"/>
      <c r="B2493" s="5"/>
      <c r="C2493" s="54"/>
      <c r="D2493" s="54" t="s">
        <v>1158</v>
      </c>
      <c r="E2493" s="89">
        <f>E2492+E2492*10%</f>
        <v>77.630080000000007</v>
      </c>
    </row>
    <row r="2494" spans="1:5" ht="18" x14ac:dyDescent="0.35">
      <c r="A2494" s="5"/>
      <c r="B2494" s="50" t="s">
        <v>37</v>
      </c>
      <c r="C2494" s="54">
        <v>0.5</v>
      </c>
      <c r="D2494" s="54">
        <v>85</v>
      </c>
      <c r="E2494" s="85">
        <f>C2494*D2494</f>
        <v>42.5</v>
      </c>
    </row>
    <row r="2495" spans="1:5" ht="18" x14ac:dyDescent="0.35">
      <c r="A2495" s="5"/>
      <c r="B2495" s="5"/>
      <c r="C2495" s="54"/>
      <c r="D2495" s="54"/>
      <c r="E2495" s="85">
        <f>SUM(E2493:E2494)</f>
        <v>120.13008000000001</v>
      </c>
    </row>
    <row r="2496" spans="1:5" ht="18" x14ac:dyDescent="0.35">
      <c r="D2496" t="s">
        <v>822</v>
      </c>
      <c r="E2496" s="85">
        <f>E2495+E2495*10%</f>
        <v>132.14308800000001</v>
      </c>
    </row>
    <row r="2498" spans="1:5" ht="21" x14ac:dyDescent="0.4">
      <c r="A2498" s="40" t="s">
        <v>599</v>
      </c>
      <c r="B2498" s="40"/>
      <c r="C2498" s="84"/>
    </row>
    <row r="2499" spans="1:5" ht="18" x14ac:dyDescent="0.35">
      <c r="A2499" s="5" t="s">
        <v>748</v>
      </c>
      <c r="B2499" s="5"/>
      <c r="C2499" s="7" t="s">
        <v>28</v>
      </c>
      <c r="D2499" s="7" t="s">
        <v>29</v>
      </c>
      <c r="E2499" s="7" t="s">
        <v>30</v>
      </c>
    </row>
    <row r="2500" spans="1:5" ht="18" x14ac:dyDescent="0.35">
      <c r="A2500" s="5" t="s">
        <v>212</v>
      </c>
      <c r="B2500" s="50" t="s">
        <v>32</v>
      </c>
      <c r="C2500" s="7">
        <v>1.42</v>
      </c>
      <c r="D2500" s="7">
        <v>10.34</v>
      </c>
      <c r="E2500" s="85">
        <f t="shared" ref="E2500:E2505" si="163">C2500*D2500</f>
        <v>14.682799999999999</v>
      </c>
    </row>
    <row r="2501" spans="1:5" ht="18" x14ac:dyDescent="0.35">
      <c r="A2501" s="5" t="s">
        <v>821</v>
      </c>
      <c r="B2501" s="50" t="s">
        <v>33</v>
      </c>
      <c r="C2501" s="7">
        <v>3.8849999999999998</v>
      </c>
      <c r="D2501" s="7">
        <v>10</v>
      </c>
      <c r="E2501" s="85">
        <f t="shared" si="163"/>
        <v>38.849999999999994</v>
      </c>
    </row>
    <row r="2502" spans="1:5" ht="18" x14ac:dyDescent="0.35">
      <c r="A2502" s="102" t="s">
        <v>1222</v>
      </c>
      <c r="B2502" s="50" t="s">
        <v>1613</v>
      </c>
      <c r="C2502" s="7">
        <v>2</v>
      </c>
      <c r="D2502" s="7">
        <v>1.48</v>
      </c>
      <c r="E2502" s="85">
        <f t="shared" si="163"/>
        <v>2.96</v>
      </c>
    </row>
    <row r="2503" spans="1:5" ht="18" x14ac:dyDescent="0.35">
      <c r="A2503" s="5"/>
      <c r="B2503" s="50" t="s">
        <v>34</v>
      </c>
      <c r="C2503" s="7"/>
      <c r="D2503" s="7">
        <v>14.61</v>
      </c>
      <c r="E2503" s="85">
        <f t="shared" si="163"/>
        <v>0</v>
      </c>
    </row>
    <row r="2504" spans="1:5" ht="18" x14ac:dyDescent="0.35">
      <c r="A2504" s="5"/>
      <c r="B2504" s="50" t="s">
        <v>35</v>
      </c>
      <c r="C2504" s="7">
        <v>4</v>
      </c>
      <c r="D2504" s="7">
        <v>2.91</v>
      </c>
      <c r="E2504" s="85">
        <f t="shared" si="163"/>
        <v>11.64</v>
      </c>
    </row>
    <row r="2505" spans="1:5" ht="18" x14ac:dyDescent="0.35">
      <c r="A2505" s="5"/>
      <c r="B2505" s="50" t="s">
        <v>36</v>
      </c>
      <c r="C2505" s="7">
        <v>4</v>
      </c>
      <c r="D2505" s="7">
        <v>0.61</v>
      </c>
      <c r="E2505" s="85">
        <f t="shared" si="163"/>
        <v>2.44</v>
      </c>
    </row>
    <row r="2506" spans="1:5" ht="18" x14ac:dyDescent="0.35">
      <c r="A2506" s="5"/>
      <c r="B2506" s="5"/>
      <c r="C2506" s="54"/>
      <c r="D2506" s="54"/>
      <c r="E2506" s="89">
        <f>SUM(E2500:E2505)</f>
        <v>70.572800000000001</v>
      </c>
    </row>
    <row r="2507" spans="1:5" ht="18" x14ac:dyDescent="0.35">
      <c r="A2507" s="5"/>
      <c r="B2507" s="5"/>
      <c r="C2507" s="54"/>
      <c r="D2507" s="54" t="s">
        <v>1158</v>
      </c>
      <c r="E2507" s="89">
        <f>E2506+E2506*10%</f>
        <v>77.630080000000007</v>
      </c>
    </row>
    <row r="2508" spans="1:5" ht="18" x14ac:dyDescent="0.35">
      <c r="A2508" s="5"/>
      <c r="B2508" s="50" t="s">
        <v>37</v>
      </c>
      <c r="C2508" s="54">
        <v>0.5</v>
      </c>
      <c r="D2508" s="54">
        <v>85</v>
      </c>
      <c r="E2508" s="85">
        <f>C2508*D2508</f>
        <v>42.5</v>
      </c>
    </row>
    <row r="2509" spans="1:5" ht="18" x14ac:dyDescent="0.35">
      <c r="A2509" s="5"/>
      <c r="B2509" s="5"/>
      <c r="C2509" s="54"/>
      <c r="D2509" s="54"/>
      <c r="E2509" s="85">
        <f>SUM(E2507:E2508)</f>
        <v>120.13008000000001</v>
      </c>
    </row>
    <row r="2510" spans="1:5" ht="18" x14ac:dyDescent="0.35">
      <c r="D2510" t="s">
        <v>822</v>
      </c>
      <c r="E2510" s="85">
        <f>E2509+E2509*10%</f>
        <v>132.14308800000001</v>
      </c>
    </row>
    <row r="2513" spans="1:5" ht="21" x14ac:dyDescent="0.4">
      <c r="A2513" s="40" t="s">
        <v>599</v>
      </c>
      <c r="B2513" s="40"/>
      <c r="C2513" s="84"/>
    </row>
    <row r="2514" spans="1:5" ht="18" x14ac:dyDescent="0.35">
      <c r="A2514" s="5" t="s">
        <v>1955</v>
      </c>
      <c r="B2514" s="5"/>
      <c r="C2514" s="7" t="s">
        <v>28</v>
      </c>
      <c r="D2514" s="7" t="s">
        <v>29</v>
      </c>
      <c r="E2514" s="7" t="s">
        <v>30</v>
      </c>
    </row>
    <row r="2515" spans="1:5" ht="18" x14ac:dyDescent="0.35">
      <c r="A2515" s="5"/>
      <c r="B2515" s="50" t="s">
        <v>32</v>
      </c>
      <c r="C2515" s="7">
        <v>1.167</v>
      </c>
      <c r="D2515" s="7">
        <v>10.34</v>
      </c>
      <c r="E2515" s="85">
        <f t="shared" ref="E2515:E2520" si="164">C2515*D2515</f>
        <v>12.06678</v>
      </c>
    </row>
    <row r="2516" spans="1:5" ht="18" x14ac:dyDescent="0.35">
      <c r="A2516" s="5" t="s">
        <v>821</v>
      </c>
      <c r="B2516" s="50" t="s">
        <v>33</v>
      </c>
      <c r="C2516" s="7"/>
      <c r="D2516" s="7">
        <v>10</v>
      </c>
      <c r="E2516" s="85">
        <f t="shared" si="164"/>
        <v>0</v>
      </c>
    </row>
    <row r="2517" spans="1:5" ht="18" x14ac:dyDescent="0.35">
      <c r="A2517" s="102"/>
      <c r="B2517" s="50" t="s">
        <v>1613</v>
      </c>
      <c r="C2517" s="7">
        <v>2</v>
      </c>
      <c r="D2517" s="7">
        <v>1.48</v>
      </c>
      <c r="E2517" s="85">
        <f t="shared" si="164"/>
        <v>2.96</v>
      </c>
    </row>
    <row r="2518" spans="1:5" ht="18" x14ac:dyDescent="0.35">
      <c r="A2518" s="5"/>
      <c r="B2518" s="50" t="s">
        <v>34</v>
      </c>
      <c r="C2518" s="7"/>
      <c r="D2518" s="7">
        <v>14.61</v>
      </c>
      <c r="E2518" s="85">
        <f t="shared" si="164"/>
        <v>0</v>
      </c>
    </row>
    <row r="2519" spans="1:5" ht="18" x14ac:dyDescent="0.35">
      <c r="A2519" s="5"/>
      <c r="B2519" s="50" t="s">
        <v>35</v>
      </c>
      <c r="C2519" s="7">
        <v>4</v>
      </c>
      <c r="D2519" s="7">
        <v>2.91</v>
      </c>
      <c r="E2519" s="85">
        <f t="shared" si="164"/>
        <v>11.64</v>
      </c>
    </row>
    <row r="2520" spans="1:5" ht="18" x14ac:dyDescent="0.35">
      <c r="A2520" s="5"/>
      <c r="B2520" s="50" t="s">
        <v>36</v>
      </c>
      <c r="C2520" s="7">
        <v>4</v>
      </c>
      <c r="D2520" s="7">
        <v>0.61</v>
      </c>
      <c r="E2520" s="85">
        <f t="shared" si="164"/>
        <v>2.44</v>
      </c>
    </row>
    <row r="2521" spans="1:5" ht="18" x14ac:dyDescent="0.35">
      <c r="A2521" s="5"/>
      <c r="B2521" s="5"/>
      <c r="C2521" s="54"/>
      <c r="D2521" s="54"/>
      <c r="E2521" s="89">
        <f>SUM(E2515:E2520)</f>
        <v>29.106780000000001</v>
      </c>
    </row>
    <row r="2522" spans="1:5" ht="18" x14ac:dyDescent="0.35">
      <c r="A2522" s="5"/>
      <c r="B2522" s="5"/>
      <c r="C2522" s="54"/>
      <c r="D2522" s="54"/>
      <c r="E2522" s="89"/>
    </row>
    <row r="2523" spans="1:5" ht="18" x14ac:dyDescent="0.35">
      <c r="A2523" s="5"/>
      <c r="B2523" s="50" t="s">
        <v>37</v>
      </c>
      <c r="C2523" s="54">
        <v>0.2</v>
      </c>
      <c r="D2523" s="54">
        <v>85</v>
      </c>
      <c r="E2523" s="85">
        <f>C2523*D2523</f>
        <v>17</v>
      </c>
    </row>
    <row r="2524" spans="1:5" ht="18" x14ac:dyDescent="0.35">
      <c r="A2524" s="5"/>
      <c r="B2524" s="5"/>
      <c r="C2524" s="54"/>
      <c r="D2524" s="54"/>
      <c r="E2524" s="85">
        <f>SUM(E2521:E2523)</f>
        <v>46.106780000000001</v>
      </c>
    </row>
    <row r="2525" spans="1:5" ht="18" x14ac:dyDescent="0.35">
      <c r="D2525" t="s">
        <v>822</v>
      </c>
      <c r="E2525" s="85">
        <f>E2524+E2524*10%</f>
        <v>50.717458000000001</v>
      </c>
    </row>
    <row r="2527" spans="1:5" ht="21" x14ac:dyDescent="0.4">
      <c r="A2527" s="40" t="s">
        <v>732</v>
      </c>
      <c r="B2527" s="40"/>
      <c r="C2527" s="40"/>
      <c r="D2527" s="12"/>
      <c r="E2527" s="12"/>
    </row>
    <row r="2528" spans="1:5" ht="18" x14ac:dyDescent="0.35">
      <c r="A2528" s="5"/>
      <c r="B2528" s="5"/>
      <c r="C2528" s="7" t="s">
        <v>28</v>
      </c>
      <c r="D2528" s="7" t="s">
        <v>29</v>
      </c>
      <c r="E2528" s="7" t="s">
        <v>30</v>
      </c>
    </row>
    <row r="2529" spans="1:5" ht="18" x14ac:dyDescent="0.35">
      <c r="A2529" s="5" t="s">
        <v>352</v>
      </c>
      <c r="B2529" s="50" t="s">
        <v>32</v>
      </c>
      <c r="C2529" s="7">
        <v>1.86</v>
      </c>
      <c r="D2529" s="7">
        <v>10.34</v>
      </c>
      <c r="E2529" s="85">
        <f>C2529*D2529</f>
        <v>19.232400000000002</v>
      </c>
    </row>
    <row r="2530" spans="1:5" ht="18" x14ac:dyDescent="0.35">
      <c r="A2530" s="5" t="s">
        <v>791</v>
      </c>
      <c r="B2530" s="50" t="s">
        <v>33</v>
      </c>
      <c r="C2530" s="7">
        <v>4.4729999999999999</v>
      </c>
      <c r="D2530" s="7">
        <v>3.89</v>
      </c>
      <c r="E2530" s="85">
        <f>C2530*D2530</f>
        <v>17.39997</v>
      </c>
    </row>
    <row r="2531" spans="1:5" ht="18" x14ac:dyDescent="0.35">
      <c r="A2531" s="5" t="s">
        <v>705</v>
      </c>
      <c r="B2531" s="50" t="s">
        <v>137</v>
      </c>
      <c r="C2531" s="7">
        <v>0.2</v>
      </c>
      <c r="D2531" s="7">
        <v>15.25</v>
      </c>
      <c r="E2531" s="85">
        <f>C2531*D2531</f>
        <v>3.0500000000000003</v>
      </c>
    </row>
    <row r="2532" spans="1:5" ht="18" x14ac:dyDescent="0.35">
      <c r="A2532" s="5"/>
      <c r="B2532" s="50" t="s">
        <v>35</v>
      </c>
      <c r="C2532" s="7">
        <v>4</v>
      </c>
      <c r="D2532" s="7">
        <v>2.91</v>
      </c>
      <c r="E2532" s="85">
        <f>C2532*D2532</f>
        <v>11.64</v>
      </c>
    </row>
    <row r="2533" spans="1:5" ht="18" x14ac:dyDescent="0.35">
      <c r="A2533" s="5"/>
      <c r="B2533" s="50" t="s">
        <v>36</v>
      </c>
      <c r="C2533" s="7">
        <v>4</v>
      </c>
      <c r="D2533" s="7">
        <v>0.61</v>
      </c>
      <c r="E2533" s="85">
        <f>C2533*D2533</f>
        <v>2.44</v>
      </c>
    </row>
    <row r="2534" spans="1:5" ht="18" x14ac:dyDescent="0.35">
      <c r="A2534" s="5"/>
      <c r="B2534" s="50"/>
      <c r="C2534" s="87"/>
      <c r="D2534" s="88"/>
      <c r="E2534" s="85">
        <f>SUM(E2529:E2533)</f>
        <v>53.762369999999997</v>
      </c>
    </row>
    <row r="2535" spans="1:5" ht="18" x14ac:dyDescent="0.35">
      <c r="A2535" s="5"/>
      <c r="B2535" s="50"/>
      <c r="C2535" s="87"/>
      <c r="D2535" s="88" t="s">
        <v>1085</v>
      </c>
      <c r="E2535" s="85">
        <f>E2534+E2534*10%</f>
        <v>59.138606999999993</v>
      </c>
    </row>
    <row r="2536" spans="1:5" ht="18" x14ac:dyDescent="0.35">
      <c r="A2536" s="5"/>
      <c r="B2536" s="50" t="s">
        <v>37</v>
      </c>
      <c r="C2536" s="54">
        <v>0.5</v>
      </c>
      <c r="D2536" s="86">
        <v>85</v>
      </c>
      <c r="E2536" s="85">
        <f>C2536*D2536</f>
        <v>42.5</v>
      </c>
    </row>
    <row r="2537" spans="1:5" ht="18" x14ac:dyDescent="0.35">
      <c r="A2537" s="5"/>
      <c r="B2537" s="5"/>
      <c r="C2537" s="54"/>
      <c r="D2537" s="54"/>
      <c r="E2537" s="85">
        <f>SUM(E2535:E2536)</f>
        <v>101.63860699999999</v>
      </c>
    </row>
    <row r="2539" spans="1:5" ht="21" x14ac:dyDescent="0.4">
      <c r="A2539" s="40" t="s">
        <v>599</v>
      </c>
      <c r="B2539" s="40"/>
      <c r="C2539" s="84"/>
    </row>
    <row r="2540" spans="1:5" ht="18" x14ac:dyDescent="0.35">
      <c r="A2540" s="5" t="s">
        <v>1964</v>
      </c>
      <c r="B2540" s="5"/>
      <c r="C2540" s="7" t="s">
        <v>28</v>
      </c>
      <c r="D2540" s="7" t="s">
        <v>29</v>
      </c>
      <c r="E2540" s="7" t="s">
        <v>30</v>
      </c>
    </row>
    <row r="2541" spans="1:5" ht="18" x14ac:dyDescent="0.35">
      <c r="A2541" s="5" t="s">
        <v>63</v>
      </c>
      <c r="B2541" s="50" t="s">
        <v>32</v>
      </c>
      <c r="C2541" s="7">
        <v>1.6919999999999999</v>
      </c>
      <c r="D2541" s="7">
        <v>10.34</v>
      </c>
      <c r="E2541" s="85">
        <f t="shared" ref="E2541:E2546" si="165">C2541*D2541</f>
        <v>17.495279999999998</v>
      </c>
    </row>
    <row r="2542" spans="1:5" ht="18" x14ac:dyDescent="0.35">
      <c r="A2542" s="5" t="s">
        <v>821</v>
      </c>
      <c r="B2542" s="50" t="s">
        <v>33</v>
      </c>
      <c r="C2542" s="7">
        <v>3.7170000000000001</v>
      </c>
      <c r="D2542" s="7">
        <v>16.170000000000002</v>
      </c>
      <c r="E2542" s="85">
        <f t="shared" si="165"/>
        <v>60.103890000000007</v>
      </c>
    </row>
    <row r="2543" spans="1:5" ht="18" x14ac:dyDescent="0.35">
      <c r="A2543" s="102" t="s">
        <v>1222</v>
      </c>
      <c r="B2543" s="50" t="s">
        <v>1965</v>
      </c>
      <c r="C2543" s="7">
        <v>2</v>
      </c>
      <c r="D2543" s="7">
        <v>1.1499999999999999</v>
      </c>
      <c r="E2543" s="85">
        <f t="shared" si="165"/>
        <v>2.2999999999999998</v>
      </c>
    </row>
    <row r="2544" spans="1:5" ht="18" x14ac:dyDescent="0.35">
      <c r="A2544" s="5"/>
      <c r="B2544" s="50" t="s">
        <v>34</v>
      </c>
      <c r="C2544" s="7">
        <v>0.15</v>
      </c>
      <c r="D2544" s="7">
        <v>14.61</v>
      </c>
      <c r="E2544" s="85">
        <f t="shared" si="165"/>
        <v>2.1915</v>
      </c>
    </row>
    <row r="2545" spans="1:5" ht="18" x14ac:dyDescent="0.35">
      <c r="A2545" s="5"/>
      <c r="B2545" s="50" t="s">
        <v>35</v>
      </c>
      <c r="C2545" s="7">
        <v>4</v>
      </c>
      <c r="D2545" s="7">
        <v>2.91</v>
      </c>
      <c r="E2545" s="85">
        <f t="shared" si="165"/>
        <v>11.64</v>
      </c>
    </row>
    <row r="2546" spans="1:5" ht="18" x14ac:dyDescent="0.35">
      <c r="A2546" s="5"/>
      <c r="B2546" s="50" t="s">
        <v>36</v>
      </c>
      <c r="C2546" s="7">
        <v>4</v>
      </c>
      <c r="D2546" s="7">
        <v>0.61</v>
      </c>
      <c r="E2546" s="85">
        <f t="shared" si="165"/>
        <v>2.44</v>
      </c>
    </row>
    <row r="2547" spans="1:5" ht="18" x14ac:dyDescent="0.35">
      <c r="A2547" s="5"/>
      <c r="B2547" s="5"/>
      <c r="C2547" s="54"/>
      <c r="D2547" s="54"/>
      <c r="E2547" s="89">
        <f>SUM(E2541:E2546)</f>
        <v>96.170670000000001</v>
      </c>
    </row>
    <row r="2548" spans="1:5" ht="18" x14ac:dyDescent="0.35">
      <c r="A2548" s="5"/>
      <c r="B2548" s="5"/>
      <c r="C2548" s="54"/>
      <c r="D2548" s="54" t="s">
        <v>1158</v>
      </c>
      <c r="E2548" s="89">
        <f>E2547+E2547*10%</f>
        <v>105.78773700000001</v>
      </c>
    </row>
    <row r="2549" spans="1:5" ht="18" x14ac:dyDescent="0.35">
      <c r="A2549" s="5"/>
      <c r="B2549" s="50" t="s">
        <v>37</v>
      </c>
      <c r="C2549" s="54">
        <v>0.5</v>
      </c>
      <c r="D2549" s="54">
        <v>85</v>
      </c>
      <c r="E2549" s="85">
        <f>C2549*D2549</f>
        <v>42.5</v>
      </c>
    </row>
    <row r="2550" spans="1:5" ht="18" x14ac:dyDescent="0.35">
      <c r="A2550" s="5"/>
      <c r="B2550" s="5"/>
      <c r="C2550" s="54"/>
      <c r="D2550" s="54"/>
      <c r="E2550" s="85">
        <f>SUM(E2548:E2549)</f>
        <v>148.28773699999999</v>
      </c>
    </row>
    <row r="2551" spans="1:5" ht="18" x14ac:dyDescent="0.35">
      <c r="D2551" t="s">
        <v>822</v>
      </c>
      <c r="E2551" s="85">
        <f>E2550+E2550*10%</f>
        <v>163.11651069999999</v>
      </c>
    </row>
    <row r="2553" spans="1:5" ht="21" x14ac:dyDescent="0.4">
      <c r="A2553" s="40" t="s">
        <v>599</v>
      </c>
      <c r="B2553" s="40"/>
      <c r="C2553" s="84"/>
    </row>
    <row r="2554" spans="1:5" ht="18" x14ac:dyDescent="0.35">
      <c r="A2554" s="5" t="s">
        <v>1970</v>
      </c>
      <c r="B2554" s="5"/>
      <c r="C2554" s="7" t="s">
        <v>28</v>
      </c>
      <c r="D2554" s="7" t="s">
        <v>29</v>
      </c>
      <c r="E2554" s="7" t="s">
        <v>30</v>
      </c>
    </row>
    <row r="2555" spans="1:5" ht="18" x14ac:dyDescent="0.35">
      <c r="A2555" s="5"/>
      <c r="B2555" s="50" t="s">
        <v>32</v>
      </c>
      <c r="C2555" s="7">
        <v>1.167</v>
      </c>
      <c r="D2555" s="7">
        <v>10.34</v>
      </c>
      <c r="E2555" s="85">
        <f t="shared" ref="E2555:E2560" si="166">C2555*D2555</f>
        <v>12.06678</v>
      </c>
    </row>
    <row r="2556" spans="1:5" ht="18" x14ac:dyDescent="0.35">
      <c r="A2556" s="5" t="s">
        <v>821</v>
      </c>
      <c r="B2556" s="50" t="s">
        <v>33</v>
      </c>
      <c r="C2556" s="7"/>
      <c r="D2556" s="7">
        <v>10</v>
      </c>
      <c r="E2556" s="85">
        <f t="shared" si="166"/>
        <v>0</v>
      </c>
    </row>
    <row r="2557" spans="1:5" ht="18" x14ac:dyDescent="0.35">
      <c r="A2557" s="102" t="s">
        <v>1222</v>
      </c>
      <c r="B2557" s="50" t="s">
        <v>760</v>
      </c>
      <c r="C2557" s="7">
        <v>2</v>
      </c>
      <c r="D2557" s="7">
        <v>1.1499999999999999</v>
      </c>
      <c r="E2557" s="85">
        <f t="shared" si="166"/>
        <v>2.2999999999999998</v>
      </c>
    </row>
    <row r="2558" spans="1:5" ht="18" x14ac:dyDescent="0.35">
      <c r="A2558" s="5"/>
      <c r="B2558" s="50" t="s">
        <v>34</v>
      </c>
      <c r="C2558" s="7"/>
      <c r="D2558" s="7">
        <v>14.61</v>
      </c>
      <c r="E2558" s="85">
        <f t="shared" si="166"/>
        <v>0</v>
      </c>
    </row>
    <row r="2559" spans="1:5" ht="18" x14ac:dyDescent="0.35">
      <c r="A2559" s="5"/>
      <c r="B2559" s="50" t="s">
        <v>35</v>
      </c>
      <c r="C2559" s="7">
        <v>4</v>
      </c>
      <c r="D2559" s="7">
        <v>2.91</v>
      </c>
      <c r="E2559" s="85">
        <f t="shared" si="166"/>
        <v>11.64</v>
      </c>
    </row>
    <row r="2560" spans="1:5" ht="18" x14ac:dyDescent="0.35">
      <c r="A2560" s="5"/>
      <c r="B2560" s="50" t="s">
        <v>36</v>
      </c>
      <c r="C2560" s="7">
        <v>4</v>
      </c>
      <c r="D2560" s="7">
        <v>0.61</v>
      </c>
      <c r="E2560" s="85">
        <f t="shared" si="166"/>
        <v>2.44</v>
      </c>
    </row>
    <row r="2561" spans="1:5" ht="18" x14ac:dyDescent="0.35">
      <c r="A2561" s="5"/>
      <c r="B2561" s="5"/>
      <c r="C2561" s="54"/>
      <c r="D2561" s="54"/>
      <c r="E2561" s="89">
        <f>SUM(E2555:E2560)</f>
        <v>28.44678</v>
      </c>
    </row>
    <row r="2562" spans="1:5" ht="18" x14ac:dyDescent="0.35">
      <c r="A2562" s="5"/>
      <c r="B2562" s="5"/>
      <c r="C2562" s="54"/>
      <c r="D2562" s="54" t="s">
        <v>1158</v>
      </c>
      <c r="E2562" s="89">
        <f>E2561+E2561*10%</f>
        <v>31.291457999999999</v>
      </c>
    </row>
    <row r="2563" spans="1:5" ht="18" x14ac:dyDescent="0.35">
      <c r="A2563" s="5"/>
      <c r="B2563" s="50" t="s">
        <v>37</v>
      </c>
      <c r="C2563" s="54">
        <v>0.2</v>
      </c>
      <c r="D2563" s="54">
        <v>85</v>
      </c>
      <c r="E2563" s="85">
        <f>C2563*D2563</f>
        <v>17</v>
      </c>
    </row>
    <row r="2564" spans="1:5" ht="18" x14ac:dyDescent="0.35">
      <c r="A2564" s="5"/>
      <c r="B2564" s="5"/>
      <c r="C2564" s="54"/>
      <c r="D2564" s="54"/>
      <c r="E2564" s="85">
        <f>SUM(E2562:E2563)</f>
        <v>48.291457999999999</v>
      </c>
    </row>
    <row r="2565" spans="1:5" ht="18" x14ac:dyDescent="0.35">
      <c r="D2565" t="s">
        <v>822</v>
      </c>
      <c r="E2565" s="85">
        <f>E2564+E2564*10%</f>
        <v>53.120603799999998</v>
      </c>
    </row>
    <row r="2567" spans="1:5" ht="21" x14ac:dyDescent="0.4">
      <c r="A2567" s="40" t="s">
        <v>599</v>
      </c>
      <c r="B2567" s="40"/>
      <c r="C2567" s="84"/>
    </row>
    <row r="2568" spans="1:5" ht="18" x14ac:dyDescent="0.35">
      <c r="A2568" s="5" t="s">
        <v>513</v>
      </c>
      <c r="B2568" s="5"/>
      <c r="C2568" s="7" t="s">
        <v>28</v>
      </c>
      <c r="D2568" s="7" t="s">
        <v>29</v>
      </c>
      <c r="E2568" s="7" t="s">
        <v>30</v>
      </c>
    </row>
    <row r="2569" spans="1:5" ht="18" x14ac:dyDescent="0.35">
      <c r="A2569" s="5" t="s">
        <v>1629</v>
      </c>
      <c r="B2569" s="50" t="s">
        <v>32</v>
      </c>
      <c r="C2569" s="7">
        <v>4.4429999999999996</v>
      </c>
      <c r="D2569" s="7">
        <v>10.34</v>
      </c>
      <c r="E2569" s="85">
        <f t="shared" ref="E2569:E2574" si="167">C2569*D2569</f>
        <v>45.940619999999996</v>
      </c>
    </row>
    <row r="2570" spans="1:5" ht="18" x14ac:dyDescent="0.35">
      <c r="A2570" s="5" t="s">
        <v>821</v>
      </c>
      <c r="B2570" s="50" t="s">
        <v>33</v>
      </c>
      <c r="C2570" s="7">
        <v>4.1790000000000003</v>
      </c>
      <c r="D2570" s="7">
        <v>10</v>
      </c>
      <c r="E2570" s="85">
        <f t="shared" si="167"/>
        <v>41.790000000000006</v>
      </c>
    </row>
    <row r="2571" spans="1:5" ht="18" x14ac:dyDescent="0.35">
      <c r="A2571" s="102" t="s">
        <v>1222</v>
      </c>
      <c r="B2571" s="50" t="s">
        <v>507</v>
      </c>
      <c r="C2571" s="7">
        <v>2</v>
      </c>
      <c r="D2571" s="7">
        <v>1.1499999999999999</v>
      </c>
      <c r="E2571" s="85">
        <f t="shared" si="167"/>
        <v>2.2999999999999998</v>
      </c>
    </row>
    <row r="2572" spans="1:5" ht="18" x14ac:dyDescent="0.35">
      <c r="A2572" s="5"/>
      <c r="B2572" s="50" t="s">
        <v>34</v>
      </c>
      <c r="C2572" s="7">
        <v>0.26300000000000001</v>
      </c>
      <c r="D2572" s="7">
        <v>14.61</v>
      </c>
      <c r="E2572" s="85">
        <f t="shared" si="167"/>
        <v>3.8424300000000002</v>
      </c>
    </row>
    <row r="2573" spans="1:5" ht="18" x14ac:dyDescent="0.35">
      <c r="A2573" s="5"/>
      <c r="B2573" s="50" t="s">
        <v>35</v>
      </c>
      <c r="C2573" s="7">
        <v>4</v>
      </c>
      <c r="D2573" s="7">
        <v>2.91</v>
      </c>
      <c r="E2573" s="85">
        <f t="shared" si="167"/>
        <v>11.64</v>
      </c>
    </row>
    <row r="2574" spans="1:5" ht="18" x14ac:dyDescent="0.35">
      <c r="A2574" s="5"/>
      <c r="B2574" s="50" t="s">
        <v>36</v>
      </c>
      <c r="C2574" s="7">
        <v>4</v>
      </c>
      <c r="D2574" s="7">
        <v>0.61</v>
      </c>
      <c r="E2574" s="85">
        <f t="shared" si="167"/>
        <v>2.44</v>
      </c>
    </row>
    <row r="2575" spans="1:5" ht="18" x14ac:dyDescent="0.35">
      <c r="A2575" s="5"/>
      <c r="B2575" s="5"/>
      <c r="C2575" s="54"/>
      <c r="D2575" s="54"/>
      <c r="E2575" s="89">
        <f>SUM(E2569:E2574)</f>
        <v>107.95305</v>
      </c>
    </row>
    <row r="2576" spans="1:5" ht="18" x14ac:dyDescent="0.35">
      <c r="A2576" s="5"/>
      <c r="B2576" s="5"/>
      <c r="C2576" s="54"/>
      <c r="D2576" s="54" t="s">
        <v>1158</v>
      </c>
      <c r="E2576" s="89">
        <f>E2575+E2575*10%</f>
        <v>118.748355</v>
      </c>
    </row>
    <row r="2577" spans="1:5" ht="18" x14ac:dyDescent="0.35">
      <c r="A2577" s="5"/>
      <c r="B2577" s="50" t="s">
        <v>37</v>
      </c>
      <c r="C2577" s="54">
        <v>0.4</v>
      </c>
      <c r="D2577" s="54">
        <v>85</v>
      </c>
      <c r="E2577" s="85">
        <f>C2577*D2577</f>
        <v>34</v>
      </c>
    </row>
    <row r="2578" spans="1:5" ht="18" x14ac:dyDescent="0.35">
      <c r="A2578" s="5"/>
      <c r="B2578" s="5"/>
      <c r="C2578" s="54"/>
      <c r="D2578" s="54"/>
      <c r="E2578" s="85">
        <f>SUM(E2576:E2577)</f>
        <v>152.748355</v>
      </c>
    </row>
    <row r="2579" spans="1:5" ht="18" x14ac:dyDescent="0.35">
      <c r="D2579" t="s">
        <v>822</v>
      </c>
      <c r="E2579" s="85">
        <f>E2578+E2578*5%</f>
        <v>160.38577275</v>
      </c>
    </row>
    <row r="2582" spans="1:5" ht="21" x14ac:dyDescent="0.4">
      <c r="A2582" s="40" t="s">
        <v>599</v>
      </c>
      <c r="B2582" s="40"/>
      <c r="C2582" s="84"/>
    </row>
    <row r="2583" spans="1:5" ht="18" x14ac:dyDescent="0.35">
      <c r="A2583" s="5" t="s">
        <v>1970</v>
      </c>
      <c r="B2583" s="5"/>
      <c r="C2583" s="7" t="s">
        <v>28</v>
      </c>
      <c r="D2583" s="7" t="s">
        <v>29</v>
      </c>
      <c r="E2583" s="7" t="s">
        <v>30</v>
      </c>
    </row>
    <row r="2584" spans="1:5" ht="18" x14ac:dyDescent="0.35">
      <c r="A2584" s="5" t="s">
        <v>337</v>
      </c>
      <c r="B2584" s="50" t="s">
        <v>32</v>
      </c>
      <c r="C2584" s="7">
        <v>1.167</v>
      </c>
      <c r="D2584" s="7">
        <v>10.34</v>
      </c>
      <c r="E2584" s="85">
        <f t="shared" ref="E2584:E2589" si="168">C2584*D2584</f>
        <v>12.06678</v>
      </c>
    </row>
    <row r="2585" spans="1:5" ht="18" x14ac:dyDescent="0.35">
      <c r="A2585" s="5" t="s">
        <v>821</v>
      </c>
      <c r="B2585" s="50" t="s">
        <v>33</v>
      </c>
      <c r="C2585" s="7">
        <v>0.46200000000000002</v>
      </c>
      <c r="D2585" s="7">
        <v>10</v>
      </c>
      <c r="E2585" s="85">
        <f t="shared" si="168"/>
        <v>4.62</v>
      </c>
    </row>
    <row r="2586" spans="1:5" ht="18" x14ac:dyDescent="0.35">
      <c r="A2586" s="102" t="s">
        <v>1222</v>
      </c>
      <c r="B2586" s="50" t="s">
        <v>760</v>
      </c>
      <c r="C2586" s="7">
        <v>2</v>
      </c>
      <c r="D2586" s="7">
        <v>1.1499999999999999</v>
      </c>
      <c r="E2586" s="85">
        <f t="shared" si="168"/>
        <v>2.2999999999999998</v>
      </c>
    </row>
    <row r="2587" spans="1:5" ht="18" x14ac:dyDescent="0.35">
      <c r="A2587" s="5"/>
      <c r="B2587" s="50" t="s">
        <v>34</v>
      </c>
      <c r="C2587" s="7"/>
      <c r="D2587" s="7">
        <v>14.61</v>
      </c>
      <c r="E2587" s="85">
        <f t="shared" si="168"/>
        <v>0</v>
      </c>
    </row>
    <row r="2588" spans="1:5" ht="18" x14ac:dyDescent="0.35">
      <c r="A2588" s="5"/>
      <c r="B2588" s="50" t="s">
        <v>35</v>
      </c>
      <c r="C2588" s="7">
        <v>4</v>
      </c>
      <c r="D2588" s="7">
        <v>2.91</v>
      </c>
      <c r="E2588" s="85">
        <f t="shared" si="168"/>
        <v>11.64</v>
      </c>
    </row>
    <row r="2589" spans="1:5" ht="18" x14ac:dyDescent="0.35">
      <c r="A2589" s="5"/>
      <c r="B2589" s="50" t="s">
        <v>36</v>
      </c>
      <c r="C2589" s="7">
        <v>4</v>
      </c>
      <c r="D2589" s="7">
        <v>0.61</v>
      </c>
      <c r="E2589" s="85">
        <f t="shared" si="168"/>
        <v>2.44</v>
      </c>
    </row>
    <row r="2590" spans="1:5" ht="18" x14ac:dyDescent="0.35">
      <c r="A2590" s="5"/>
      <c r="B2590" s="5"/>
      <c r="C2590" s="54"/>
      <c r="D2590" s="54"/>
      <c r="E2590" s="89">
        <f>SUM(E2584:E2589)</f>
        <v>33.066780000000001</v>
      </c>
    </row>
    <row r="2591" spans="1:5" ht="18" x14ac:dyDescent="0.35">
      <c r="A2591" s="5"/>
      <c r="B2591" s="5"/>
      <c r="C2591" s="54"/>
      <c r="D2591" s="54" t="s">
        <v>1158</v>
      </c>
      <c r="E2591" s="89">
        <f>E2590+E2590*10%</f>
        <v>36.373457999999999</v>
      </c>
    </row>
    <row r="2592" spans="1:5" ht="18" x14ac:dyDescent="0.35">
      <c r="A2592" s="5"/>
      <c r="B2592" s="50" t="s">
        <v>37</v>
      </c>
      <c r="C2592" s="54">
        <v>0.2</v>
      </c>
      <c r="D2592" s="54">
        <v>85</v>
      </c>
      <c r="E2592" s="85">
        <f>C2592*D2592</f>
        <v>17</v>
      </c>
    </row>
    <row r="2593" spans="1:5" ht="18" x14ac:dyDescent="0.35">
      <c r="A2593" s="5"/>
      <c r="B2593" s="5"/>
      <c r="C2593" s="54"/>
      <c r="D2593" s="54"/>
      <c r="E2593" s="85">
        <f>SUM(E2591:E2592)</f>
        <v>53.373457999999999</v>
      </c>
    </row>
    <row r="2594" spans="1:5" ht="18" x14ac:dyDescent="0.35">
      <c r="D2594" t="s">
        <v>822</v>
      </c>
      <c r="E2594" s="85">
        <f>E2593+E2593*10%</f>
        <v>58.710803800000001</v>
      </c>
    </row>
    <row r="2597" spans="1:5" ht="21" x14ac:dyDescent="0.4">
      <c r="A2597" s="40" t="s">
        <v>599</v>
      </c>
      <c r="B2597" s="40"/>
      <c r="C2597" s="84"/>
    </row>
    <row r="2598" spans="1:5" ht="18" x14ac:dyDescent="0.35">
      <c r="A2598" s="5" t="s">
        <v>1975</v>
      </c>
      <c r="B2598" s="5"/>
      <c r="C2598" s="7" t="s">
        <v>28</v>
      </c>
      <c r="D2598" s="7" t="s">
        <v>29</v>
      </c>
      <c r="E2598" s="7" t="s">
        <v>30</v>
      </c>
    </row>
    <row r="2599" spans="1:5" ht="18" x14ac:dyDescent="0.35">
      <c r="A2599" s="5" t="s">
        <v>337</v>
      </c>
      <c r="B2599" s="50" t="s">
        <v>32</v>
      </c>
      <c r="C2599" s="7">
        <v>1.0409999999999999</v>
      </c>
      <c r="D2599" s="7">
        <v>10.34</v>
      </c>
      <c r="E2599" s="85">
        <f t="shared" ref="E2599:E2604" si="169">C2599*D2599</f>
        <v>10.76394</v>
      </c>
    </row>
    <row r="2600" spans="1:5" ht="18" x14ac:dyDescent="0.35">
      <c r="A2600" s="5" t="s">
        <v>821</v>
      </c>
      <c r="B2600" s="50" t="s">
        <v>33</v>
      </c>
      <c r="C2600" s="7">
        <v>0.39900000000000002</v>
      </c>
      <c r="D2600" s="7">
        <v>10</v>
      </c>
      <c r="E2600" s="85">
        <f t="shared" si="169"/>
        <v>3.99</v>
      </c>
    </row>
    <row r="2601" spans="1:5" ht="18" x14ac:dyDescent="0.35">
      <c r="A2601" s="102" t="s">
        <v>1222</v>
      </c>
      <c r="B2601" s="50" t="s">
        <v>760</v>
      </c>
      <c r="C2601" s="7">
        <v>2</v>
      </c>
      <c r="D2601" s="7">
        <v>1.1499999999999999</v>
      </c>
      <c r="E2601" s="85">
        <f t="shared" si="169"/>
        <v>2.2999999999999998</v>
      </c>
    </row>
    <row r="2602" spans="1:5" ht="18" x14ac:dyDescent="0.35">
      <c r="A2602" s="5"/>
      <c r="B2602" s="50" t="s">
        <v>34</v>
      </c>
      <c r="C2602" s="7"/>
      <c r="D2602" s="7">
        <v>14.61</v>
      </c>
      <c r="E2602" s="85">
        <f t="shared" si="169"/>
        <v>0</v>
      </c>
    </row>
    <row r="2603" spans="1:5" ht="18" x14ac:dyDescent="0.35">
      <c r="A2603" s="5"/>
      <c r="B2603" s="50" t="s">
        <v>35</v>
      </c>
      <c r="C2603" s="7">
        <v>4</v>
      </c>
      <c r="D2603" s="7">
        <v>2.91</v>
      </c>
      <c r="E2603" s="85">
        <f t="shared" si="169"/>
        <v>11.64</v>
      </c>
    </row>
    <row r="2604" spans="1:5" ht="18" x14ac:dyDescent="0.35">
      <c r="A2604" s="5"/>
      <c r="B2604" s="50" t="s">
        <v>36</v>
      </c>
      <c r="C2604" s="7">
        <v>4</v>
      </c>
      <c r="D2604" s="7">
        <v>0.61</v>
      </c>
      <c r="E2604" s="85">
        <f t="shared" si="169"/>
        <v>2.44</v>
      </c>
    </row>
    <row r="2605" spans="1:5" ht="18" x14ac:dyDescent="0.35">
      <c r="A2605" s="5"/>
      <c r="B2605" s="5"/>
      <c r="C2605" s="54"/>
      <c r="D2605" s="54"/>
      <c r="E2605" s="89">
        <f>SUM(E2599:E2604)</f>
        <v>31.133940000000003</v>
      </c>
    </row>
    <row r="2606" spans="1:5" ht="18" x14ac:dyDescent="0.35">
      <c r="A2606" s="5"/>
      <c r="B2606" s="5"/>
      <c r="C2606" s="54"/>
      <c r="D2606" s="54" t="s">
        <v>1158</v>
      </c>
      <c r="E2606" s="89">
        <f>E2605+E2605*10%</f>
        <v>34.247334000000002</v>
      </c>
    </row>
    <row r="2607" spans="1:5" ht="18" x14ac:dyDescent="0.35">
      <c r="A2607" s="5"/>
      <c r="B2607" s="50" t="s">
        <v>37</v>
      </c>
      <c r="C2607" s="54">
        <v>0.2</v>
      </c>
      <c r="D2607" s="54">
        <v>85</v>
      </c>
      <c r="E2607" s="85">
        <f>C2607*D2607</f>
        <v>17</v>
      </c>
    </row>
    <row r="2608" spans="1:5" ht="18" x14ac:dyDescent="0.35">
      <c r="A2608" s="5"/>
      <c r="B2608" s="5"/>
      <c r="C2608" s="54"/>
      <c r="D2608" s="54"/>
      <c r="E2608" s="85">
        <f>SUM(E2606:E2607)</f>
        <v>51.247334000000002</v>
      </c>
    </row>
    <row r="2609" spans="1:5" ht="18" x14ac:dyDescent="0.35">
      <c r="D2609" t="s">
        <v>822</v>
      </c>
      <c r="E2609" s="85">
        <f>E2608+E2608*10%</f>
        <v>56.372067400000006</v>
      </c>
    </row>
    <row r="2612" spans="1:5" ht="21" x14ac:dyDescent="0.4">
      <c r="A2612" s="40" t="s">
        <v>599</v>
      </c>
      <c r="B2612" s="40"/>
      <c r="C2612" s="84"/>
    </row>
    <row r="2613" spans="1:5" ht="18" x14ac:dyDescent="0.35">
      <c r="A2613" s="5" t="s">
        <v>1976</v>
      </c>
      <c r="B2613" s="5"/>
      <c r="C2613" s="7" t="s">
        <v>28</v>
      </c>
      <c r="D2613" s="7" t="s">
        <v>29</v>
      </c>
      <c r="E2613" s="7" t="s">
        <v>30</v>
      </c>
    </row>
    <row r="2614" spans="1:5" ht="18" x14ac:dyDescent="0.35">
      <c r="A2614" s="5" t="s">
        <v>337</v>
      </c>
      <c r="B2614" s="50" t="s">
        <v>32</v>
      </c>
      <c r="C2614" s="7">
        <v>0.97799999999999998</v>
      </c>
      <c r="D2614" s="7">
        <v>10.34</v>
      </c>
      <c r="E2614" s="85">
        <f t="shared" ref="E2614:E2619" si="170">C2614*D2614</f>
        <v>10.11252</v>
      </c>
    </row>
    <row r="2615" spans="1:5" ht="18" x14ac:dyDescent="0.35">
      <c r="A2615" s="5" t="s">
        <v>821</v>
      </c>
      <c r="B2615" s="50" t="s">
        <v>33</v>
      </c>
      <c r="C2615" s="7">
        <v>0.36699999999999999</v>
      </c>
      <c r="D2615" s="7">
        <v>10</v>
      </c>
      <c r="E2615" s="85">
        <f t="shared" si="170"/>
        <v>3.67</v>
      </c>
    </row>
    <row r="2616" spans="1:5" ht="18" x14ac:dyDescent="0.35">
      <c r="A2616" s="102" t="s">
        <v>1222</v>
      </c>
      <c r="B2616" s="50" t="s">
        <v>760</v>
      </c>
      <c r="C2616" s="7">
        <v>2</v>
      </c>
      <c r="D2616" s="7">
        <v>1.1499999999999999</v>
      </c>
      <c r="E2616" s="85">
        <f t="shared" si="170"/>
        <v>2.2999999999999998</v>
      </c>
    </row>
    <row r="2617" spans="1:5" ht="18" x14ac:dyDescent="0.35">
      <c r="A2617" s="5"/>
      <c r="B2617" s="50" t="s">
        <v>34</v>
      </c>
      <c r="C2617" s="7"/>
      <c r="D2617" s="7">
        <v>14.61</v>
      </c>
      <c r="E2617" s="85">
        <f t="shared" si="170"/>
        <v>0</v>
      </c>
    </row>
    <row r="2618" spans="1:5" ht="18" x14ac:dyDescent="0.35">
      <c r="A2618" s="5"/>
      <c r="B2618" s="50" t="s">
        <v>35</v>
      </c>
      <c r="C2618" s="7">
        <v>4</v>
      </c>
      <c r="D2618" s="7">
        <v>2.91</v>
      </c>
      <c r="E2618" s="85">
        <f t="shared" si="170"/>
        <v>11.64</v>
      </c>
    </row>
    <row r="2619" spans="1:5" ht="18" x14ac:dyDescent="0.35">
      <c r="A2619" s="5"/>
      <c r="B2619" s="50" t="s">
        <v>36</v>
      </c>
      <c r="C2619" s="7">
        <v>4</v>
      </c>
      <c r="D2619" s="7">
        <v>0.61</v>
      </c>
      <c r="E2619" s="85">
        <f t="shared" si="170"/>
        <v>2.44</v>
      </c>
    </row>
    <row r="2620" spans="1:5" ht="18" x14ac:dyDescent="0.35">
      <c r="A2620" s="5"/>
      <c r="B2620" s="5"/>
      <c r="C2620" s="54"/>
      <c r="D2620" s="54"/>
      <c r="E2620" s="89">
        <f>SUM(E2614:E2619)</f>
        <v>30.162520000000001</v>
      </c>
    </row>
    <row r="2621" spans="1:5" ht="18" x14ac:dyDescent="0.35">
      <c r="A2621" s="5"/>
      <c r="B2621" s="5"/>
      <c r="C2621" s="54"/>
      <c r="D2621" s="54" t="s">
        <v>1158</v>
      </c>
      <c r="E2621" s="89">
        <f>E2620+E2620*10%</f>
        <v>33.178772000000002</v>
      </c>
    </row>
    <row r="2622" spans="1:5" ht="18" x14ac:dyDescent="0.35">
      <c r="A2622" s="5"/>
      <c r="B2622" s="50" t="s">
        <v>37</v>
      </c>
      <c r="C2622" s="54">
        <v>0.2</v>
      </c>
      <c r="D2622" s="54">
        <v>85</v>
      </c>
      <c r="E2622" s="85">
        <f>C2622*D2622</f>
        <v>17</v>
      </c>
    </row>
    <row r="2623" spans="1:5" ht="18" x14ac:dyDescent="0.35">
      <c r="A2623" s="5"/>
      <c r="B2623" s="5"/>
      <c r="C2623" s="54"/>
      <c r="D2623" s="54"/>
      <c r="E2623" s="85">
        <f>SUM(E2621:E2622)</f>
        <v>50.178772000000002</v>
      </c>
    </row>
    <row r="2624" spans="1:5" ht="18" x14ac:dyDescent="0.35">
      <c r="D2624" t="s">
        <v>822</v>
      </c>
      <c r="E2624" s="85">
        <f>E2623+E2623*10%</f>
        <v>55.196649200000003</v>
      </c>
    </row>
    <row r="2626" spans="1:5" ht="21" x14ac:dyDescent="0.4">
      <c r="A2626" s="40" t="s">
        <v>1232</v>
      </c>
      <c r="B2626" s="40"/>
      <c r="C2626" s="84"/>
    </row>
    <row r="2627" spans="1:5" ht="18" x14ac:dyDescent="0.35">
      <c r="B2627" s="5"/>
      <c r="C2627" s="7" t="s">
        <v>28</v>
      </c>
      <c r="D2627" s="7" t="s">
        <v>29</v>
      </c>
      <c r="E2627" s="7" t="s">
        <v>30</v>
      </c>
    </row>
    <row r="2628" spans="1:5" ht="18" x14ac:dyDescent="0.35">
      <c r="A2628" s="5" t="s">
        <v>65</v>
      </c>
      <c r="B2628" s="50" t="s">
        <v>32</v>
      </c>
      <c r="C2628" s="7">
        <v>1.2929999999999999</v>
      </c>
      <c r="D2628" s="7">
        <v>10.34</v>
      </c>
      <c r="E2628" s="85">
        <f t="shared" ref="E2628:E2635" si="171">C2628*D2628</f>
        <v>13.369619999999999</v>
      </c>
    </row>
    <row r="2629" spans="1:5" ht="18" x14ac:dyDescent="0.35">
      <c r="A2629" s="5" t="s">
        <v>791</v>
      </c>
      <c r="B2629" s="50" t="s">
        <v>33</v>
      </c>
      <c r="C2629" s="7">
        <v>2.4569999999999999</v>
      </c>
      <c r="D2629" s="7">
        <v>10</v>
      </c>
      <c r="E2629" s="85">
        <f t="shared" si="171"/>
        <v>24.57</v>
      </c>
    </row>
    <row r="2630" spans="1:5" ht="18" x14ac:dyDescent="0.35">
      <c r="A2630" s="5" t="s">
        <v>824</v>
      </c>
      <c r="B2630" s="50" t="s">
        <v>33</v>
      </c>
      <c r="C2630" s="7">
        <v>2.7930000000000001</v>
      </c>
      <c r="D2630" s="7">
        <v>10</v>
      </c>
      <c r="E2630" s="85">
        <f t="shared" si="171"/>
        <v>27.93</v>
      </c>
    </row>
    <row r="2631" spans="1:5" ht="18" x14ac:dyDescent="0.35">
      <c r="A2631" s="5" t="s">
        <v>696</v>
      </c>
      <c r="B2631" s="50" t="s">
        <v>84</v>
      </c>
      <c r="C2631" s="7">
        <v>2</v>
      </c>
      <c r="D2631" s="7">
        <v>1.6</v>
      </c>
      <c r="E2631" s="85">
        <f t="shared" si="171"/>
        <v>3.2</v>
      </c>
    </row>
    <row r="2632" spans="1:5" ht="18" x14ac:dyDescent="0.35">
      <c r="A2632" s="5"/>
      <c r="B2632" s="50" t="s">
        <v>87</v>
      </c>
      <c r="C2632" s="7">
        <v>2</v>
      </c>
      <c r="D2632" s="7">
        <v>1.81</v>
      </c>
      <c r="E2632" s="85">
        <f t="shared" si="171"/>
        <v>3.62</v>
      </c>
    </row>
    <row r="2633" spans="1:5" ht="18" x14ac:dyDescent="0.35">
      <c r="A2633" s="5"/>
      <c r="B2633" s="50" t="s">
        <v>34</v>
      </c>
      <c r="C2633" s="7"/>
      <c r="D2633" s="7">
        <v>14.61</v>
      </c>
      <c r="E2633" s="85">
        <f t="shared" si="171"/>
        <v>0</v>
      </c>
    </row>
    <row r="2634" spans="1:5" ht="18" x14ac:dyDescent="0.35">
      <c r="A2634" s="5"/>
      <c r="B2634" s="50" t="s">
        <v>35</v>
      </c>
      <c r="C2634" s="7">
        <v>4</v>
      </c>
      <c r="D2634" s="7">
        <v>2.91</v>
      </c>
      <c r="E2634" s="85">
        <f t="shared" si="171"/>
        <v>11.64</v>
      </c>
    </row>
    <row r="2635" spans="1:5" ht="18" x14ac:dyDescent="0.35">
      <c r="A2635" s="5"/>
      <c r="B2635" s="50" t="s">
        <v>36</v>
      </c>
      <c r="C2635" s="7">
        <v>4</v>
      </c>
      <c r="D2635" s="7">
        <v>0.61</v>
      </c>
      <c r="E2635" s="85">
        <f t="shared" si="171"/>
        <v>2.44</v>
      </c>
    </row>
    <row r="2636" spans="1:5" ht="18" x14ac:dyDescent="0.35">
      <c r="A2636" s="5"/>
      <c r="B2636" s="5"/>
      <c r="C2636" s="54"/>
      <c r="D2636" s="54"/>
      <c r="E2636" s="89">
        <f>SUM(E2628:E2635)</f>
        <v>86.769620000000003</v>
      </c>
    </row>
    <row r="2637" spans="1:5" ht="18" x14ac:dyDescent="0.35">
      <c r="A2637" s="5"/>
      <c r="B2637" s="5"/>
      <c r="C2637" s="54"/>
      <c r="D2637" s="54" t="s">
        <v>1129</v>
      </c>
      <c r="E2637" s="89">
        <f>E2636+E2636*10%</f>
        <v>95.446582000000006</v>
      </c>
    </row>
    <row r="2638" spans="1:5" ht="18" x14ac:dyDescent="0.35">
      <c r="A2638" s="5"/>
      <c r="B2638" s="50" t="s">
        <v>37</v>
      </c>
      <c r="C2638" s="54">
        <v>0.5</v>
      </c>
      <c r="D2638" s="54">
        <v>85</v>
      </c>
      <c r="E2638" s="85">
        <f>C2638*D2638</f>
        <v>42.5</v>
      </c>
    </row>
    <row r="2639" spans="1:5" ht="18" x14ac:dyDescent="0.35">
      <c r="A2639" s="5"/>
      <c r="B2639" s="5"/>
      <c r="C2639" s="54"/>
      <c r="D2639" s="54"/>
      <c r="E2639" s="85">
        <f>SUM(E2637:E2638)</f>
        <v>137.94658200000001</v>
      </c>
    </row>
    <row r="2641" spans="1:5" ht="21" x14ac:dyDescent="0.4">
      <c r="A2641" s="40" t="s">
        <v>2000</v>
      </c>
      <c r="B2641" s="40"/>
      <c r="C2641" s="40"/>
      <c r="D2641" s="12"/>
      <c r="E2641" s="12"/>
    </row>
    <row r="2642" spans="1:5" ht="18" x14ac:dyDescent="0.35">
      <c r="A2642" s="5"/>
      <c r="B2642" s="5"/>
      <c r="C2642" s="7" t="s">
        <v>28</v>
      </c>
      <c r="D2642" s="7" t="s">
        <v>29</v>
      </c>
      <c r="E2642" s="7" t="s">
        <v>30</v>
      </c>
    </row>
    <row r="2643" spans="1:5" ht="18" x14ac:dyDescent="0.35">
      <c r="A2643" s="5" t="s">
        <v>170</v>
      </c>
      <c r="B2643" s="50" t="s">
        <v>32</v>
      </c>
      <c r="C2643" s="7">
        <v>1.2929999999999999</v>
      </c>
      <c r="D2643" s="7">
        <v>10.34</v>
      </c>
      <c r="E2643" s="85">
        <f>C2643*D2643</f>
        <v>13.369619999999999</v>
      </c>
    </row>
    <row r="2644" spans="1:5" ht="18" x14ac:dyDescent="0.35">
      <c r="A2644" s="5" t="s">
        <v>909</v>
      </c>
      <c r="B2644" s="50" t="s">
        <v>33</v>
      </c>
      <c r="C2644" s="7">
        <v>1.0289999999999999</v>
      </c>
      <c r="D2644" s="7">
        <v>3.89</v>
      </c>
      <c r="E2644" s="85">
        <f>C2644*D2644</f>
        <v>4.0028100000000002</v>
      </c>
    </row>
    <row r="2645" spans="1:5" ht="18" x14ac:dyDescent="0.35">
      <c r="A2645" s="5" t="s">
        <v>834</v>
      </c>
      <c r="B2645" s="50" t="s">
        <v>137</v>
      </c>
      <c r="C2645" s="7">
        <v>0.1</v>
      </c>
      <c r="D2645" s="7">
        <v>15.25</v>
      </c>
      <c r="E2645" s="85">
        <f>C2645*D2645</f>
        <v>1.5250000000000001</v>
      </c>
    </row>
    <row r="2646" spans="1:5" ht="18" x14ac:dyDescent="0.35">
      <c r="A2646" s="5"/>
      <c r="B2646" s="50" t="s">
        <v>35</v>
      </c>
      <c r="C2646" s="7">
        <v>4</v>
      </c>
      <c r="D2646" s="7">
        <v>2.91</v>
      </c>
      <c r="E2646" s="85">
        <f>C2646*D2646</f>
        <v>11.64</v>
      </c>
    </row>
    <row r="2647" spans="1:5" ht="18" x14ac:dyDescent="0.35">
      <c r="A2647" s="5"/>
      <c r="B2647" s="50" t="s">
        <v>36</v>
      </c>
      <c r="C2647" s="7">
        <v>4</v>
      </c>
      <c r="D2647" s="7">
        <v>0.61</v>
      </c>
      <c r="E2647" s="85">
        <f>C2647*D2647</f>
        <v>2.44</v>
      </c>
    </row>
    <row r="2648" spans="1:5" ht="18" x14ac:dyDescent="0.35">
      <c r="A2648" s="5"/>
      <c r="B2648" s="50"/>
      <c r="C2648" s="87"/>
      <c r="D2648" s="88"/>
      <c r="E2648" s="85">
        <f>SUM(E2643:E2647)</f>
        <v>32.977429999999998</v>
      </c>
    </row>
    <row r="2649" spans="1:5" ht="18" x14ac:dyDescent="0.35">
      <c r="A2649" s="5"/>
      <c r="B2649" s="50"/>
      <c r="C2649" s="87"/>
      <c r="D2649" s="88" t="s">
        <v>1085</v>
      </c>
      <c r="E2649" s="85">
        <f>E2648+E2648*10%</f>
        <v>36.275172999999995</v>
      </c>
    </row>
    <row r="2650" spans="1:5" ht="18" x14ac:dyDescent="0.35">
      <c r="A2650" s="5"/>
      <c r="B2650" s="50" t="s">
        <v>37</v>
      </c>
      <c r="C2650" s="54">
        <v>0.2</v>
      </c>
      <c r="D2650" s="86">
        <v>85</v>
      </c>
      <c r="E2650" s="85">
        <f>C2650*D2650</f>
        <v>17</v>
      </c>
    </row>
    <row r="2651" spans="1:5" ht="18" x14ac:dyDescent="0.35">
      <c r="A2651" s="5"/>
      <c r="B2651" s="5"/>
      <c r="C2651" s="54"/>
      <c r="D2651" s="54"/>
      <c r="E2651" s="85">
        <f>SUM(E2649:E2650)</f>
        <v>53.275172999999995</v>
      </c>
    </row>
    <row r="2654" spans="1:5" ht="21" x14ac:dyDescent="0.4">
      <c r="A2654" s="40" t="s">
        <v>2001</v>
      </c>
      <c r="B2654" s="40"/>
      <c r="C2654" s="40"/>
      <c r="D2654" s="12"/>
      <c r="E2654" s="12"/>
    </row>
    <row r="2655" spans="1:5" ht="18" x14ac:dyDescent="0.35">
      <c r="A2655" s="5"/>
      <c r="B2655" s="5"/>
      <c r="C2655" s="7" t="s">
        <v>28</v>
      </c>
      <c r="D2655" s="7" t="s">
        <v>29</v>
      </c>
      <c r="E2655" s="7" t="s">
        <v>30</v>
      </c>
    </row>
    <row r="2656" spans="1:5" ht="18" x14ac:dyDescent="0.35">
      <c r="A2656" s="5" t="s">
        <v>170</v>
      </c>
      <c r="B2656" s="50" t="s">
        <v>32</v>
      </c>
      <c r="C2656" s="7">
        <v>1.2929999999999999</v>
      </c>
      <c r="D2656" s="7">
        <v>10.34</v>
      </c>
      <c r="E2656" s="85">
        <f>C2656*D2656</f>
        <v>13.369619999999999</v>
      </c>
    </row>
    <row r="2657" spans="1:5" ht="18" x14ac:dyDescent="0.35">
      <c r="A2657" s="5" t="s">
        <v>909</v>
      </c>
      <c r="B2657" s="50" t="s">
        <v>33</v>
      </c>
      <c r="C2657" s="7">
        <v>1.0289999999999999</v>
      </c>
      <c r="D2657" s="7">
        <v>3.89</v>
      </c>
      <c r="E2657" s="85">
        <f>C2657*D2657</f>
        <v>4.0028100000000002</v>
      </c>
    </row>
    <row r="2658" spans="1:5" ht="18" x14ac:dyDescent="0.35">
      <c r="A2658" s="5" t="s">
        <v>834</v>
      </c>
      <c r="B2658" s="50" t="s">
        <v>137</v>
      </c>
      <c r="C2658" s="7">
        <v>0.1</v>
      </c>
      <c r="D2658" s="7">
        <v>15.25</v>
      </c>
      <c r="E2658" s="85">
        <f>C2658*D2658</f>
        <v>1.5250000000000001</v>
      </c>
    </row>
    <row r="2659" spans="1:5" ht="18" x14ac:dyDescent="0.35">
      <c r="A2659" s="5"/>
      <c r="B2659" s="50" t="s">
        <v>35</v>
      </c>
      <c r="C2659" s="7">
        <v>4</v>
      </c>
      <c r="D2659" s="7">
        <v>2.91</v>
      </c>
      <c r="E2659" s="85">
        <f>C2659*D2659</f>
        <v>11.64</v>
      </c>
    </row>
    <row r="2660" spans="1:5" ht="18" x14ac:dyDescent="0.35">
      <c r="A2660" s="5"/>
      <c r="B2660" s="50" t="s">
        <v>36</v>
      </c>
      <c r="C2660" s="7">
        <v>4</v>
      </c>
      <c r="D2660" s="7">
        <v>0.61</v>
      </c>
      <c r="E2660" s="85">
        <f>C2660*D2660</f>
        <v>2.44</v>
      </c>
    </row>
    <row r="2661" spans="1:5" ht="18" x14ac:dyDescent="0.35">
      <c r="A2661" s="5"/>
      <c r="B2661" s="50"/>
      <c r="C2661" s="87"/>
      <c r="D2661" s="88"/>
      <c r="E2661" s="85">
        <f>SUM(E2656:E2660)</f>
        <v>32.977429999999998</v>
      </c>
    </row>
    <row r="2662" spans="1:5" ht="18" x14ac:dyDescent="0.35">
      <c r="A2662" s="5"/>
      <c r="B2662" s="50"/>
      <c r="C2662" s="87"/>
      <c r="D2662" s="88" t="s">
        <v>1085</v>
      </c>
      <c r="E2662" s="85">
        <f>E2661+E2661*10%</f>
        <v>36.275172999999995</v>
      </c>
    </row>
    <row r="2663" spans="1:5" ht="18" x14ac:dyDescent="0.35">
      <c r="A2663" s="5"/>
      <c r="B2663" s="50" t="s">
        <v>37</v>
      </c>
      <c r="C2663" s="54">
        <v>0.2</v>
      </c>
      <c r="D2663" s="86">
        <v>85</v>
      </c>
      <c r="E2663" s="85">
        <f>C2663*D2663</f>
        <v>17</v>
      </c>
    </row>
    <row r="2664" spans="1:5" ht="18" x14ac:dyDescent="0.35">
      <c r="A2664" s="5"/>
      <c r="B2664" s="5"/>
      <c r="C2664" s="54"/>
      <c r="D2664" s="54"/>
      <c r="E2664" s="85">
        <f>SUM(E2662:E2663)</f>
        <v>53.275172999999995</v>
      </c>
    </row>
    <row r="2666" spans="1:5" ht="21" x14ac:dyDescent="0.4">
      <c r="A2666" s="40" t="s">
        <v>599</v>
      </c>
      <c r="B2666" s="40"/>
      <c r="C2666" s="84"/>
    </row>
    <row r="2667" spans="1:5" ht="18" x14ac:dyDescent="0.35">
      <c r="A2667" s="5" t="s">
        <v>1001</v>
      </c>
      <c r="B2667" s="5"/>
      <c r="C2667" s="7" t="s">
        <v>28</v>
      </c>
      <c r="D2667" s="7" t="s">
        <v>29</v>
      </c>
      <c r="E2667" s="7" t="s">
        <v>30</v>
      </c>
    </row>
    <row r="2668" spans="1:5" ht="18" x14ac:dyDescent="0.35">
      <c r="A2668" s="5" t="s">
        <v>337</v>
      </c>
      <c r="B2668" s="50" t="s">
        <v>32</v>
      </c>
      <c r="C2668" s="7">
        <v>2.952</v>
      </c>
      <c r="D2668" s="7">
        <v>10.34</v>
      </c>
      <c r="E2668" s="85">
        <f t="shared" ref="E2668:E2673" si="172">C2668*D2668</f>
        <v>30.523679999999999</v>
      </c>
    </row>
    <row r="2669" spans="1:5" ht="18" x14ac:dyDescent="0.35">
      <c r="A2669" s="5" t="s">
        <v>799</v>
      </c>
      <c r="B2669" s="50" t="s">
        <v>33</v>
      </c>
      <c r="C2669" s="7">
        <v>1.3540000000000001</v>
      </c>
      <c r="D2669" s="7">
        <v>10</v>
      </c>
      <c r="E2669" s="85">
        <f t="shared" si="172"/>
        <v>13.540000000000001</v>
      </c>
    </row>
    <row r="2670" spans="1:5" ht="18" x14ac:dyDescent="0.35">
      <c r="A2670" s="102" t="s">
        <v>1222</v>
      </c>
      <c r="B2670" s="50" t="s">
        <v>760</v>
      </c>
      <c r="C2670" s="7">
        <v>2</v>
      </c>
      <c r="D2670" s="7">
        <v>1.1499999999999999</v>
      </c>
      <c r="E2670" s="85">
        <f t="shared" si="172"/>
        <v>2.2999999999999998</v>
      </c>
    </row>
    <row r="2671" spans="1:5" ht="18" x14ac:dyDescent="0.35">
      <c r="A2671" s="5"/>
      <c r="B2671" s="50" t="s">
        <v>34</v>
      </c>
      <c r="C2671" s="7">
        <v>0.126</v>
      </c>
      <c r="D2671" s="7">
        <v>14.61</v>
      </c>
      <c r="E2671" s="85">
        <f t="shared" si="172"/>
        <v>1.8408599999999999</v>
      </c>
    </row>
    <row r="2672" spans="1:5" ht="18" x14ac:dyDescent="0.35">
      <c r="A2672" s="5"/>
      <c r="B2672" s="50" t="s">
        <v>35</v>
      </c>
      <c r="C2672" s="7">
        <v>4</v>
      </c>
      <c r="D2672" s="7">
        <v>2.91</v>
      </c>
      <c r="E2672" s="85">
        <f t="shared" si="172"/>
        <v>11.64</v>
      </c>
    </row>
    <row r="2673" spans="1:5" ht="18" x14ac:dyDescent="0.35">
      <c r="A2673" s="5"/>
      <c r="B2673" s="50" t="s">
        <v>36</v>
      </c>
      <c r="C2673" s="7">
        <v>4</v>
      </c>
      <c r="D2673" s="7">
        <v>0.61</v>
      </c>
      <c r="E2673" s="85">
        <f t="shared" si="172"/>
        <v>2.44</v>
      </c>
    </row>
    <row r="2674" spans="1:5" ht="18" x14ac:dyDescent="0.35">
      <c r="A2674" s="5"/>
      <c r="B2674" s="5"/>
      <c r="C2674" s="54"/>
      <c r="D2674" s="54"/>
      <c r="E2674" s="89">
        <f>SUM(E2668:E2673)</f>
        <v>62.284539999999993</v>
      </c>
    </row>
    <row r="2675" spans="1:5" ht="18" x14ac:dyDescent="0.35">
      <c r="A2675" s="5"/>
      <c r="B2675" s="5"/>
      <c r="C2675" s="54"/>
      <c r="D2675" s="54" t="s">
        <v>1158</v>
      </c>
      <c r="E2675" s="89">
        <f>E2674+E2674*10%</f>
        <v>68.512993999999992</v>
      </c>
    </row>
    <row r="2676" spans="1:5" ht="18" x14ac:dyDescent="0.35">
      <c r="A2676" s="5"/>
      <c r="B2676" s="50" t="s">
        <v>37</v>
      </c>
      <c r="C2676" s="54">
        <v>0.2</v>
      </c>
      <c r="D2676" s="54">
        <v>85</v>
      </c>
      <c r="E2676" s="85">
        <f>C2676*D2676</f>
        <v>17</v>
      </c>
    </row>
    <row r="2677" spans="1:5" ht="18" x14ac:dyDescent="0.35">
      <c r="A2677" s="5"/>
      <c r="B2677" s="5"/>
      <c r="C2677" s="54"/>
      <c r="D2677" s="54"/>
      <c r="E2677" s="85">
        <f>SUM(E2675:E2676)</f>
        <v>85.512993999999992</v>
      </c>
    </row>
    <row r="2678" spans="1:5" ht="18" x14ac:dyDescent="0.35">
      <c r="D2678" t="s">
        <v>822</v>
      </c>
      <c r="E2678" s="85">
        <f>E2677+E2677*10%</f>
        <v>94.064293399999997</v>
      </c>
    </row>
    <row r="2680" spans="1:5" ht="21" x14ac:dyDescent="0.4">
      <c r="A2680" s="40" t="s">
        <v>599</v>
      </c>
      <c r="B2680" s="40"/>
      <c r="C2680" s="84"/>
    </row>
    <row r="2681" spans="1:5" ht="18" x14ac:dyDescent="0.35">
      <c r="A2681" s="5" t="s">
        <v>2003</v>
      </c>
      <c r="B2681" s="5"/>
      <c r="C2681" s="7" t="s">
        <v>28</v>
      </c>
      <c r="D2681" s="7" t="s">
        <v>29</v>
      </c>
      <c r="E2681" s="7" t="s">
        <v>30</v>
      </c>
    </row>
    <row r="2682" spans="1:5" ht="18" x14ac:dyDescent="0.35">
      <c r="A2682" s="5" t="s">
        <v>2004</v>
      </c>
      <c r="B2682" s="50" t="s">
        <v>32</v>
      </c>
      <c r="C2682" s="7">
        <v>1.839</v>
      </c>
      <c r="D2682" s="7">
        <v>10.34</v>
      </c>
      <c r="E2682" s="85">
        <f t="shared" ref="E2682:E2687" si="173">C2682*D2682</f>
        <v>19.015259999999998</v>
      </c>
    </row>
    <row r="2683" spans="1:5" ht="18" x14ac:dyDescent="0.35">
      <c r="A2683" s="5" t="s">
        <v>747</v>
      </c>
      <c r="B2683" s="50" t="s">
        <v>33</v>
      </c>
      <c r="C2683" s="7">
        <v>3.57</v>
      </c>
      <c r="D2683" s="7">
        <v>10</v>
      </c>
      <c r="E2683" s="85">
        <f t="shared" si="173"/>
        <v>35.699999999999996</v>
      </c>
    </row>
    <row r="2684" spans="1:5" ht="18" x14ac:dyDescent="0.35">
      <c r="A2684" s="102" t="s">
        <v>1222</v>
      </c>
      <c r="B2684" s="50" t="s">
        <v>760</v>
      </c>
      <c r="C2684" s="7">
        <v>2</v>
      </c>
      <c r="D2684" s="7">
        <v>1.1499999999999999</v>
      </c>
      <c r="E2684" s="85">
        <f t="shared" si="173"/>
        <v>2.2999999999999998</v>
      </c>
    </row>
    <row r="2685" spans="1:5" ht="18" x14ac:dyDescent="0.35">
      <c r="A2685" s="5"/>
      <c r="B2685" s="50" t="s">
        <v>34</v>
      </c>
      <c r="C2685" s="7"/>
      <c r="D2685" s="7">
        <v>14.61</v>
      </c>
      <c r="E2685" s="85">
        <f t="shared" si="173"/>
        <v>0</v>
      </c>
    </row>
    <row r="2686" spans="1:5" ht="18" x14ac:dyDescent="0.35">
      <c r="A2686" s="5"/>
      <c r="B2686" s="50" t="s">
        <v>35</v>
      </c>
      <c r="C2686" s="7">
        <v>4</v>
      </c>
      <c r="D2686" s="7">
        <v>2.91</v>
      </c>
      <c r="E2686" s="85">
        <f t="shared" si="173"/>
        <v>11.64</v>
      </c>
    </row>
    <row r="2687" spans="1:5" ht="18" x14ac:dyDescent="0.35">
      <c r="A2687" s="5"/>
      <c r="B2687" s="50" t="s">
        <v>36</v>
      </c>
      <c r="C2687" s="7">
        <v>4</v>
      </c>
      <c r="D2687" s="7">
        <v>0.61</v>
      </c>
      <c r="E2687" s="85">
        <f t="shared" si="173"/>
        <v>2.44</v>
      </c>
    </row>
    <row r="2688" spans="1:5" ht="18" x14ac:dyDescent="0.35">
      <c r="A2688" s="5"/>
      <c r="B2688" s="5"/>
      <c r="C2688" s="54"/>
      <c r="D2688" s="54"/>
      <c r="E2688" s="89">
        <f>SUM(E2682:E2687)</f>
        <v>71.095259999999996</v>
      </c>
    </row>
    <row r="2689" spans="1:5" ht="18" x14ac:dyDescent="0.35">
      <c r="A2689" s="5"/>
      <c r="B2689" s="5"/>
      <c r="C2689" s="54"/>
      <c r="D2689" s="54" t="s">
        <v>1158</v>
      </c>
      <c r="E2689" s="89">
        <f>E2688+E2688*10%</f>
        <v>78.204785999999999</v>
      </c>
    </row>
    <row r="2690" spans="1:5" ht="18" x14ac:dyDescent="0.35">
      <c r="A2690" s="5"/>
      <c r="B2690" s="50" t="s">
        <v>37</v>
      </c>
      <c r="C2690" s="54">
        <v>0.5</v>
      </c>
      <c r="D2690" s="54">
        <v>85</v>
      </c>
      <c r="E2690" s="85">
        <f>C2690*D2690</f>
        <v>42.5</v>
      </c>
    </row>
    <row r="2691" spans="1:5" ht="18" x14ac:dyDescent="0.35">
      <c r="A2691" s="5"/>
      <c r="B2691" s="5"/>
      <c r="C2691" s="54"/>
      <c r="D2691" s="54"/>
      <c r="E2691" s="85">
        <f>SUM(E2689:E2690)</f>
        <v>120.704786</v>
      </c>
    </row>
    <row r="2692" spans="1:5" ht="18" x14ac:dyDescent="0.35">
      <c r="D2692" t="s">
        <v>822</v>
      </c>
      <c r="E2692" s="85">
        <f>E2691+E2691*10%</f>
        <v>132.77526460000001</v>
      </c>
    </row>
    <row r="2694" spans="1:5" ht="21" x14ac:dyDescent="0.4">
      <c r="A2694" s="40" t="s">
        <v>599</v>
      </c>
      <c r="B2694" s="40"/>
      <c r="C2694" s="84"/>
    </row>
    <row r="2695" spans="1:5" ht="18" x14ac:dyDescent="0.35">
      <c r="A2695" s="5" t="s">
        <v>2024</v>
      </c>
      <c r="B2695" s="5"/>
      <c r="C2695" s="7" t="s">
        <v>28</v>
      </c>
      <c r="D2695" s="7" t="s">
        <v>29</v>
      </c>
      <c r="E2695" s="7" t="s">
        <v>30</v>
      </c>
    </row>
    <row r="2696" spans="1:5" ht="18" x14ac:dyDescent="0.35">
      <c r="A2696" s="5" t="s">
        <v>699</v>
      </c>
      <c r="B2696" s="50" t="s">
        <v>32</v>
      </c>
      <c r="C2696" s="7">
        <v>2.9940000000000002</v>
      </c>
      <c r="D2696" s="7">
        <v>10.34</v>
      </c>
      <c r="E2696" s="85">
        <f t="shared" ref="E2696:E2701" si="174">C2696*D2696</f>
        <v>30.957960000000003</v>
      </c>
    </row>
    <row r="2697" spans="1:5" ht="18" x14ac:dyDescent="0.35">
      <c r="A2697" s="5" t="s">
        <v>2025</v>
      </c>
      <c r="B2697" s="50" t="s">
        <v>33</v>
      </c>
      <c r="C2697" s="7">
        <v>21.567</v>
      </c>
      <c r="D2697" s="7">
        <v>10</v>
      </c>
      <c r="E2697" s="85">
        <f t="shared" si="174"/>
        <v>215.67000000000002</v>
      </c>
    </row>
    <row r="2698" spans="1:5" ht="18" x14ac:dyDescent="0.35">
      <c r="A2698" s="102" t="s">
        <v>1222</v>
      </c>
      <c r="B2698" s="50" t="s">
        <v>303</v>
      </c>
      <c r="C2698" s="7">
        <v>2</v>
      </c>
      <c r="D2698" s="7">
        <v>2.2400000000000002</v>
      </c>
      <c r="E2698" s="85">
        <f t="shared" si="174"/>
        <v>4.4800000000000004</v>
      </c>
    </row>
    <row r="2699" spans="1:5" ht="18" x14ac:dyDescent="0.35">
      <c r="A2699" s="5"/>
      <c r="B2699" s="50" t="s">
        <v>34</v>
      </c>
      <c r="C2699" s="7">
        <v>0.61599999999999999</v>
      </c>
      <c r="D2699" s="7">
        <v>14.61</v>
      </c>
      <c r="E2699" s="85">
        <f t="shared" si="174"/>
        <v>8.9997600000000002</v>
      </c>
    </row>
    <row r="2700" spans="1:5" ht="18" x14ac:dyDescent="0.35">
      <c r="A2700" s="5"/>
      <c r="B2700" s="50" t="s">
        <v>35</v>
      </c>
      <c r="C2700" s="7">
        <v>4</v>
      </c>
      <c r="D2700" s="7">
        <v>2.91</v>
      </c>
      <c r="E2700" s="85">
        <f t="shared" si="174"/>
        <v>11.64</v>
      </c>
    </row>
    <row r="2701" spans="1:5" ht="18" x14ac:dyDescent="0.35">
      <c r="A2701" s="5"/>
      <c r="B2701" s="50" t="s">
        <v>36</v>
      </c>
      <c r="C2701" s="7">
        <v>4</v>
      </c>
      <c r="D2701" s="7">
        <v>0.61</v>
      </c>
      <c r="E2701" s="85">
        <f t="shared" si="174"/>
        <v>2.44</v>
      </c>
    </row>
    <row r="2702" spans="1:5" ht="18" x14ac:dyDescent="0.35">
      <c r="A2702" s="5"/>
      <c r="B2702" s="5"/>
      <c r="C2702" s="54"/>
      <c r="D2702" s="54"/>
      <c r="E2702" s="89">
        <f>SUM(E2696:E2701)</f>
        <v>274.18772000000001</v>
      </c>
    </row>
    <row r="2703" spans="1:5" ht="18" x14ac:dyDescent="0.35">
      <c r="A2703" s="5"/>
      <c r="B2703" s="5"/>
      <c r="C2703" s="54"/>
      <c r="D2703" s="54" t="s">
        <v>1158</v>
      </c>
      <c r="E2703" s="89">
        <f>E2702+E2702*10%</f>
        <v>301.606492</v>
      </c>
    </row>
    <row r="2704" spans="1:5" ht="18" x14ac:dyDescent="0.35">
      <c r="A2704" s="5"/>
      <c r="B2704" s="50" t="s">
        <v>37</v>
      </c>
      <c r="C2704" s="54">
        <v>0.5</v>
      </c>
      <c r="D2704" s="54">
        <v>85</v>
      </c>
      <c r="E2704" s="85">
        <f>C2704*D2704</f>
        <v>42.5</v>
      </c>
    </row>
    <row r="2705" spans="1:5" ht="18" x14ac:dyDescent="0.35">
      <c r="A2705" s="5"/>
      <c r="B2705" s="5"/>
      <c r="C2705" s="54"/>
      <c r="D2705" s="54"/>
      <c r="E2705" s="85">
        <f>SUM(E2703:E2704)</f>
        <v>344.106492</v>
      </c>
    </row>
    <row r="2706" spans="1:5" ht="18" x14ac:dyDescent="0.35">
      <c r="D2706" t="s">
        <v>822</v>
      </c>
      <c r="E2706" s="85">
        <f>E2705+E2705*10%</f>
        <v>378.51714120000003</v>
      </c>
    </row>
    <row r="2708" spans="1:5" ht="21" x14ac:dyDescent="0.4">
      <c r="A2708" s="40" t="s">
        <v>599</v>
      </c>
      <c r="B2708" s="40"/>
      <c r="C2708" s="84"/>
    </row>
    <row r="2709" spans="1:5" ht="18" x14ac:dyDescent="0.35">
      <c r="A2709" s="5" t="s">
        <v>2026</v>
      </c>
      <c r="B2709" s="5"/>
      <c r="C2709" s="7" t="s">
        <v>28</v>
      </c>
      <c r="D2709" s="7" t="s">
        <v>29</v>
      </c>
      <c r="E2709" s="7" t="s">
        <v>30</v>
      </c>
    </row>
    <row r="2710" spans="1:5" ht="18" x14ac:dyDescent="0.35">
      <c r="A2710" s="5" t="s">
        <v>178</v>
      </c>
      <c r="B2710" s="50" t="s">
        <v>32</v>
      </c>
      <c r="C2710" s="7">
        <v>1.0620000000000001</v>
      </c>
      <c r="D2710" s="7">
        <v>10.34</v>
      </c>
      <c r="E2710" s="85">
        <f t="shared" ref="E2710:E2715" si="175">C2710*D2710</f>
        <v>10.98108</v>
      </c>
    </row>
    <row r="2711" spans="1:5" ht="18" x14ac:dyDescent="0.35">
      <c r="A2711" s="5" t="s">
        <v>1010</v>
      </c>
      <c r="B2711" s="50" t="s">
        <v>33</v>
      </c>
      <c r="C2711" s="7">
        <v>2.3620000000000001</v>
      </c>
      <c r="D2711" s="7">
        <v>10</v>
      </c>
      <c r="E2711" s="85">
        <f t="shared" si="175"/>
        <v>23.62</v>
      </c>
    </row>
    <row r="2712" spans="1:5" ht="18" x14ac:dyDescent="0.35">
      <c r="A2712" s="102" t="s">
        <v>1222</v>
      </c>
      <c r="B2712" s="50" t="s">
        <v>1536</v>
      </c>
      <c r="C2712" s="7">
        <v>2</v>
      </c>
      <c r="D2712" s="7">
        <v>1.48</v>
      </c>
      <c r="E2712" s="85">
        <f t="shared" si="175"/>
        <v>2.96</v>
      </c>
    </row>
    <row r="2713" spans="1:5" ht="18" x14ac:dyDescent="0.35">
      <c r="A2713" s="5"/>
      <c r="B2713" s="50" t="s">
        <v>34</v>
      </c>
      <c r="C2713" s="7">
        <v>0.61599999999999999</v>
      </c>
      <c r="D2713" s="7">
        <v>14.61</v>
      </c>
      <c r="E2713" s="85">
        <f t="shared" si="175"/>
        <v>8.9997600000000002</v>
      </c>
    </row>
    <row r="2714" spans="1:5" ht="18" x14ac:dyDescent="0.35">
      <c r="A2714" s="5"/>
      <c r="B2714" s="50" t="s">
        <v>35</v>
      </c>
      <c r="C2714" s="7">
        <v>4</v>
      </c>
      <c r="D2714" s="7">
        <v>2.91</v>
      </c>
      <c r="E2714" s="85">
        <f t="shared" si="175"/>
        <v>11.64</v>
      </c>
    </row>
    <row r="2715" spans="1:5" ht="18" x14ac:dyDescent="0.35">
      <c r="A2715" s="5"/>
      <c r="B2715" s="50" t="s">
        <v>36</v>
      </c>
      <c r="C2715" s="7">
        <v>4</v>
      </c>
      <c r="D2715" s="7">
        <v>0.61</v>
      </c>
      <c r="E2715" s="85">
        <f t="shared" si="175"/>
        <v>2.44</v>
      </c>
    </row>
    <row r="2716" spans="1:5" ht="18" x14ac:dyDescent="0.35">
      <c r="A2716" s="5"/>
      <c r="B2716" s="5"/>
      <c r="C2716" s="54"/>
      <c r="D2716" s="54"/>
      <c r="E2716" s="89">
        <f>SUM(E2710:E2715)</f>
        <v>60.640840000000004</v>
      </c>
    </row>
    <row r="2717" spans="1:5" ht="18" x14ac:dyDescent="0.35">
      <c r="A2717" s="5"/>
      <c r="B2717" s="5"/>
      <c r="C2717" s="54"/>
      <c r="D2717" s="54" t="s">
        <v>1158</v>
      </c>
      <c r="E2717" s="89">
        <f>E2716+E2716*10%</f>
        <v>66.704924000000005</v>
      </c>
    </row>
    <row r="2718" spans="1:5" ht="18" x14ac:dyDescent="0.35">
      <c r="A2718" s="5"/>
      <c r="B2718" s="50" t="s">
        <v>37</v>
      </c>
      <c r="C2718" s="54">
        <v>0.5</v>
      </c>
      <c r="D2718" s="54">
        <v>85</v>
      </c>
      <c r="E2718" s="85">
        <f>C2718*D2718</f>
        <v>42.5</v>
      </c>
    </row>
    <row r="2719" spans="1:5" ht="18" x14ac:dyDescent="0.35">
      <c r="A2719" s="5"/>
      <c r="B2719" s="5"/>
      <c r="C2719" s="54"/>
      <c r="D2719" s="54"/>
      <c r="E2719" s="85">
        <f>SUM(E2717:E2718)</f>
        <v>109.20492400000001</v>
      </c>
    </row>
    <row r="2720" spans="1:5" ht="18" x14ac:dyDescent="0.35">
      <c r="D2720" t="s">
        <v>822</v>
      </c>
      <c r="E2720" s="85">
        <f>E2719+E2719*10%</f>
        <v>120.12541640000001</v>
      </c>
    </row>
    <row r="2722" spans="1:5" ht="21" x14ac:dyDescent="0.4">
      <c r="A2722" s="40" t="s">
        <v>599</v>
      </c>
      <c r="B2722" s="40"/>
      <c r="C2722" s="84"/>
    </row>
    <row r="2723" spans="1:5" ht="18" x14ac:dyDescent="0.35">
      <c r="A2723" s="5" t="s">
        <v>2027</v>
      </c>
      <c r="B2723" s="5"/>
      <c r="C2723" s="7" t="s">
        <v>28</v>
      </c>
      <c r="D2723" s="7" t="s">
        <v>29</v>
      </c>
      <c r="E2723" s="7" t="s">
        <v>30</v>
      </c>
    </row>
    <row r="2724" spans="1:5" ht="18" x14ac:dyDescent="0.35">
      <c r="A2724" s="5" t="s">
        <v>171</v>
      </c>
      <c r="B2724" s="50" t="s">
        <v>32</v>
      </c>
      <c r="C2724" s="7">
        <v>2.9940000000000002</v>
      </c>
      <c r="D2724" s="7">
        <v>10.34</v>
      </c>
      <c r="E2724" s="85">
        <f t="shared" ref="E2724:E2729" si="176">C2724*D2724</f>
        <v>30.957960000000003</v>
      </c>
    </row>
    <row r="2725" spans="1:5" ht="18" x14ac:dyDescent="0.35">
      <c r="A2725" s="5" t="s">
        <v>2025</v>
      </c>
      <c r="B2725" s="50" t="s">
        <v>33</v>
      </c>
      <c r="C2725" s="7">
        <v>1.659</v>
      </c>
      <c r="D2725" s="7">
        <v>10</v>
      </c>
      <c r="E2725" s="85">
        <f t="shared" si="176"/>
        <v>16.59</v>
      </c>
    </row>
    <row r="2726" spans="1:5" ht="18" x14ac:dyDescent="0.35">
      <c r="A2726" s="102" t="s">
        <v>1222</v>
      </c>
      <c r="B2726" s="50" t="s">
        <v>303</v>
      </c>
      <c r="C2726" s="7">
        <v>2</v>
      </c>
      <c r="D2726" s="7">
        <v>2.2400000000000002</v>
      </c>
      <c r="E2726" s="85">
        <f t="shared" si="176"/>
        <v>4.4800000000000004</v>
      </c>
    </row>
    <row r="2727" spans="1:5" ht="18" x14ac:dyDescent="0.35">
      <c r="A2727" s="5"/>
      <c r="B2727" s="50" t="s">
        <v>34</v>
      </c>
      <c r="C2727" s="7">
        <v>0.61599999999999999</v>
      </c>
      <c r="D2727" s="7">
        <v>14.61</v>
      </c>
      <c r="E2727" s="85">
        <f t="shared" si="176"/>
        <v>8.9997600000000002</v>
      </c>
    </row>
    <row r="2728" spans="1:5" ht="18" x14ac:dyDescent="0.35">
      <c r="A2728" s="5"/>
      <c r="B2728" s="50" t="s">
        <v>35</v>
      </c>
      <c r="C2728" s="7">
        <v>4</v>
      </c>
      <c r="D2728" s="7">
        <v>2.91</v>
      </c>
      <c r="E2728" s="85">
        <f t="shared" si="176"/>
        <v>11.64</v>
      </c>
    </row>
    <row r="2729" spans="1:5" ht="18" x14ac:dyDescent="0.35">
      <c r="A2729" s="5"/>
      <c r="B2729" s="50" t="s">
        <v>36</v>
      </c>
      <c r="C2729" s="7">
        <v>4</v>
      </c>
      <c r="D2729" s="7">
        <v>0.61</v>
      </c>
      <c r="E2729" s="85">
        <f t="shared" si="176"/>
        <v>2.44</v>
      </c>
    </row>
    <row r="2730" spans="1:5" ht="18" x14ac:dyDescent="0.35">
      <c r="A2730" s="5"/>
      <c r="B2730" s="5"/>
      <c r="C2730" s="54"/>
      <c r="D2730" s="54"/>
      <c r="E2730" s="89">
        <f>SUM(E2724:E2729)</f>
        <v>75.10772</v>
      </c>
    </row>
    <row r="2731" spans="1:5" ht="18" x14ac:dyDescent="0.35">
      <c r="A2731" s="5"/>
      <c r="B2731" s="5"/>
      <c r="C2731" s="54"/>
      <c r="D2731" s="54" t="s">
        <v>1158</v>
      </c>
      <c r="E2731" s="89">
        <f>E2730+E2730*10%</f>
        <v>82.618492000000003</v>
      </c>
    </row>
    <row r="2732" spans="1:5" ht="18" x14ac:dyDescent="0.35">
      <c r="A2732" s="5"/>
      <c r="B2732" s="50" t="s">
        <v>37</v>
      </c>
      <c r="C2732" s="54">
        <v>0.5</v>
      </c>
      <c r="D2732" s="54">
        <v>85</v>
      </c>
      <c r="E2732" s="85">
        <f>C2732*D2732</f>
        <v>42.5</v>
      </c>
    </row>
    <row r="2733" spans="1:5" ht="18" x14ac:dyDescent="0.35">
      <c r="A2733" s="5"/>
      <c r="B2733" s="5"/>
      <c r="C2733" s="54"/>
      <c r="D2733" s="54"/>
      <c r="E2733" s="85">
        <f>SUM(E2731:E2732)</f>
        <v>125.118492</v>
      </c>
    </row>
    <row r="2734" spans="1:5" ht="18" x14ac:dyDescent="0.35">
      <c r="D2734" t="s">
        <v>822</v>
      </c>
      <c r="E2734" s="85">
        <f>E2733+E2733*10%</f>
        <v>137.6303412</v>
      </c>
    </row>
    <row r="2736" spans="1:5" ht="21" x14ac:dyDescent="0.4">
      <c r="A2736" s="40" t="s">
        <v>599</v>
      </c>
      <c r="B2736" s="40"/>
      <c r="C2736" s="84"/>
    </row>
    <row r="2737" spans="1:5" ht="18" x14ac:dyDescent="0.35">
      <c r="A2737" s="5" t="s">
        <v>2034</v>
      </c>
      <c r="B2737" s="5"/>
      <c r="C2737" s="7" t="s">
        <v>28</v>
      </c>
      <c r="D2737" s="7" t="s">
        <v>29</v>
      </c>
      <c r="E2737" s="7" t="s">
        <v>30</v>
      </c>
    </row>
    <row r="2738" spans="1:5" ht="18" x14ac:dyDescent="0.35">
      <c r="A2738" s="5" t="s">
        <v>804</v>
      </c>
      <c r="B2738" s="50" t="s">
        <v>32</v>
      </c>
      <c r="C2738" s="7">
        <v>3.2679999999999998</v>
      </c>
      <c r="D2738" s="7">
        <v>10.34</v>
      </c>
      <c r="E2738" s="85">
        <f t="shared" ref="E2738:E2743" si="177">C2738*D2738</f>
        <v>33.791119999999999</v>
      </c>
    </row>
    <row r="2739" spans="1:5" ht="18" x14ac:dyDescent="0.35">
      <c r="A2739" s="5" t="s">
        <v>2035</v>
      </c>
      <c r="B2739" s="50" t="s">
        <v>33</v>
      </c>
      <c r="C2739" s="7">
        <v>29.573</v>
      </c>
      <c r="D2739" s="7">
        <v>10</v>
      </c>
      <c r="E2739" s="85">
        <f t="shared" si="177"/>
        <v>295.73</v>
      </c>
    </row>
    <row r="2740" spans="1:5" ht="18" x14ac:dyDescent="0.35">
      <c r="A2740" s="102" t="s">
        <v>1222</v>
      </c>
      <c r="B2740" s="50" t="s">
        <v>2036</v>
      </c>
      <c r="C2740" s="7">
        <v>2</v>
      </c>
      <c r="D2740" s="7">
        <v>4.05</v>
      </c>
      <c r="E2740" s="85">
        <f t="shared" si="177"/>
        <v>8.1</v>
      </c>
    </row>
    <row r="2741" spans="1:5" ht="18" x14ac:dyDescent="0.35">
      <c r="A2741" s="5"/>
      <c r="B2741" s="50" t="s">
        <v>34</v>
      </c>
      <c r="C2741" s="7">
        <v>0.86599999999999999</v>
      </c>
      <c r="D2741" s="7">
        <v>14.61</v>
      </c>
      <c r="E2741" s="85">
        <f t="shared" si="177"/>
        <v>12.65226</v>
      </c>
    </row>
    <row r="2742" spans="1:5" ht="18" x14ac:dyDescent="0.35">
      <c r="A2742" s="5"/>
      <c r="B2742" s="50" t="s">
        <v>35</v>
      </c>
      <c r="C2742" s="7">
        <v>4</v>
      </c>
      <c r="D2742" s="7">
        <v>2.91</v>
      </c>
      <c r="E2742" s="85">
        <f t="shared" si="177"/>
        <v>11.64</v>
      </c>
    </row>
    <row r="2743" spans="1:5" ht="18" x14ac:dyDescent="0.35">
      <c r="A2743" s="5"/>
      <c r="B2743" s="50" t="s">
        <v>36</v>
      </c>
      <c r="C2743" s="7">
        <v>4</v>
      </c>
      <c r="D2743" s="7">
        <v>0.61</v>
      </c>
      <c r="E2743" s="85">
        <f t="shared" si="177"/>
        <v>2.44</v>
      </c>
    </row>
    <row r="2744" spans="1:5" ht="18" x14ac:dyDescent="0.35">
      <c r="A2744" s="5"/>
      <c r="B2744" s="5"/>
      <c r="C2744" s="54"/>
      <c r="D2744" s="54"/>
      <c r="E2744" s="89">
        <f>SUM(E2738:E2743)</f>
        <v>364.35338000000002</v>
      </c>
    </row>
    <row r="2745" spans="1:5" ht="18" x14ac:dyDescent="0.35">
      <c r="A2745" s="5"/>
      <c r="B2745" s="5"/>
      <c r="C2745" s="54"/>
      <c r="D2745" s="54" t="s">
        <v>1158</v>
      </c>
      <c r="E2745" s="89">
        <f>E2744+E2744*10%</f>
        <v>400.78871800000002</v>
      </c>
    </row>
    <row r="2746" spans="1:5" ht="18" x14ac:dyDescent="0.35">
      <c r="A2746" s="5"/>
      <c r="B2746" s="50" t="s">
        <v>37</v>
      </c>
      <c r="C2746" s="54">
        <v>1</v>
      </c>
      <c r="D2746" s="54">
        <v>85</v>
      </c>
      <c r="E2746" s="85">
        <f>C2746*D2746</f>
        <v>85</v>
      </c>
    </row>
    <row r="2747" spans="1:5" ht="18" x14ac:dyDescent="0.35">
      <c r="A2747" s="5"/>
      <c r="B2747" s="5"/>
      <c r="C2747" s="54"/>
      <c r="D2747" s="54"/>
      <c r="E2747" s="85">
        <f>SUM(E2745:E2746)</f>
        <v>485.78871800000002</v>
      </c>
    </row>
    <row r="2748" spans="1:5" ht="18" x14ac:dyDescent="0.35">
      <c r="E2748" s="85"/>
    </row>
    <row r="2750" spans="1:5" ht="21" x14ac:dyDescent="0.4">
      <c r="A2750" s="40" t="s">
        <v>599</v>
      </c>
      <c r="B2750" s="40"/>
      <c r="C2750" s="84"/>
    </row>
    <row r="2751" spans="1:5" ht="18" x14ac:dyDescent="0.35">
      <c r="A2751" s="5" t="s">
        <v>116</v>
      </c>
      <c r="B2751" s="5"/>
      <c r="C2751" s="7" t="s">
        <v>28</v>
      </c>
      <c r="D2751" s="7" t="s">
        <v>29</v>
      </c>
      <c r="E2751" s="7" t="s">
        <v>30</v>
      </c>
    </row>
    <row r="2752" spans="1:5" ht="18" x14ac:dyDescent="0.35">
      <c r="A2752" s="5" t="s">
        <v>54</v>
      </c>
      <c r="B2752" s="50" t="s">
        <v>32</v>
      </c>
      <c r="C2752" s="7">
        <v>1.82</v>
      </c>
      <c r="D2752" s="7">
        <v>10.34</v>
      </c>
      <c r="E2752" s="85">
        <f t="shared" ref="E2752:E2757" si="178">C2752*D2752</f>
        <v>18.8188</v>
      </c>
    </row>
    <row r="2753" spans="1:5" ht="18" x14ac:dyDescent="0.35">
      <c r="A2753" s="5" t="s">
        <v>2035</v>
      </c>
      <c r="B2753" s="50" t="s">
        <v>33</v>
      </c>
      <c r="C2753" s="7">
        <v>7.78</v>
      </c>
      <c r="D2753" s="7">
        <v>10</v>
      </c>
      <c r="E2753" s="85">
        <f t="shared" si="178"/>
        <v>77.8</v>
      </c>
    </row>
    <row r="2754" spans="1:5" ht="18" x14ac:dyDescent="0.35">
      <c r="A2754" s="102" t="s">
        <v>1222</v>
      </c>
      <c r="B2754" s="50" t="s">
        <v>128</v>
      </c>
      <c r="C2754" s="7">
        <v>2</v>
      </c>
      <c r="D2754" s="7">
        <v>1.8</v>
      </c>
      <c r="E2754" s="85">
        <f t="shared" si="178"/>
        <v>3.6</v>
      </c>
    </row>
    <row r="2755" spans="1:5" ht="18" x14ac:dyDescent="0.35">
      <c r="A2755" s="5"/>
      <c r="B2755" s="50" t="s">
        <v>34</v>
      </c>
      <c r="C2755" s="7">
        <v>0.42</v>
      </c>
      <c r="D2755" s="7">
        <v>14.61</v>
      </c>
      <c r="E2755" s="85">
        <f t="shared" si="178"/>
        <v>6.1361999999999997</v>
      </c>
    </row>
    <row r="2756" spans="1:5" ht="18" x14ac:dyDescent="0.35">
      <c r="A2756" s="5"/>
      <c r="B2756" s="50" t="s">
        <v>35</v>
      </c>
      <c r="C2756" s="7">
        <v>4</v>
      </c>
      <c r="D2756" s="7">
        <v>2.91</v>
      </c>
      <c r="E2756" s="85">
        <f t="shared" si="178"/>
        <v>11.64</v>
      </c>
    </row>
    <row r="2757" spans="1:5" ht="18" x14ac:dyDescent="0.35">
      <c r="A2757" s="5"/>
      <c r="B2757" s="50" t="s">
        <v>36</v>
      </c>
      <c r="C2757" s="7">
        <v>4</v>
      </c>
      <c r="D2757" s="7">
        <v>0.61</v>
      </c>
      <c r="E2757" s="85">
        <f t="shared" si="178"/>
        <v>2.44</v>
      </c>
    </row>
    <row r="2758" spans="1:5" ht="18" x14ac:dyDescent="0.35">
      <c r="A2758" s="5"/>
      <c r="B2758" s="5"/>
      <c r="C2758" s="54"/>
      <c r="D2758" s="54"/>
      <c r="E2758" s="89">
        <f>SUM(E2752:E2757)</f>
        <v>120.43499999999999</v>
      </c>
    </row>
    <row r="2759" spans="1:5" ht="18" x14ac:dyDescent="0.35">
      <c r="A2759" s="5"/>
      <c r="B2759" s="5"/>
      <c r="C2759" s="54"/>
      <c r="D2759" s="54" t="s">
        <v>1158</v>
      </c>
      <c r="E2759" s="89">
        <f>E2758+E2758*10%</f>
        <v>132.4785</v>
      </c>
    </row>
    <row r="2760" spans="1:5" ht="18" x14ac:dyDescent="0.35">
      <c r="A2760" s="5"/>
      <c r="B2760" s="50" t="s">
        <v>37</v>
      </c>
      <c r="C2760" s="54">
        <v>0.5</v>
      </c>
      <c r="D2760" s="54">
        <v>85</v>
      </c>
      <c r="E2760" s="85">
        <f>C2760*D2760</f>
        <v>42.5</v>
      </c>
    </row>
    <row r="2761" spans="1:5" ht="18" x14ac:dyDescent="0.35">
      <c r="A2761" s="5"/>
      <c r="B2761" s="5"/>
      <c r="C2761" s="54"/>
      <c r="D2761" s="54"/>
      <c r="E2761" s="85">
        <f>SUM(E2759:E2760)</f>
        <v>174.9785</v>
      </c>
    </row>
    <row r="2764" spans="1:5" ht="21" x14ac:dyDescent="0.4">
      <c r="A2764" s="40" t="s">
        <v>599</v>
      </c>
      <c r="B2764" s="40"/>
      <c r="C2764" s="84"/>
    </row>
    <row r="2765" spans="1:5" ht="18" x14ac:dyDescent="0.35">
      <c r="A2765" s="5" t="s">
        <v>2049</v>
      </c>
      <c r="B2765" s="5"/>
      <c r="C2765" s="7" t="s">
        <v>28</v>
      </c>
      <c r="D2765" s="7" t="s">
        <v>29</v>
      </c>
      <c r="E2765" s="7" t="s">
        <v>30</v>
      </c>
    </row>
    <row r="2766" spans="1:5" ht="18" x14ac:dyDescent="0.35">
      <c r="A2766" s="5" t="s">
        <v>214</v>
      </c>
      <c r="B2766" s="50" t="s">
        <v>32</v>
      </c>
      <c r="C2766" s="7">
        <v>0.78600000000000003</v>
      </c>
      <c r="D2766" s="7">
        <v>10.34</v>
      </c>
      <c r="E2766" s="85">
        <f t="shared" ref="E2766:E2771" si="179">C2766*D2766</f>
        <v>8.1272400000000005</v>
      </c>
    </row>
    <row r="2767" spans="1:5" ht="18" x14ac:dyDescent="0.35">
      <c r="A2767" s="5" t="s">
        <v>2050</v>
      </c>
      <c r="B2767" s="50" t="s">
        <v>33</v>
      </c>
      <c r="C2767" s="7">
        <v>1.9850000000000001</v>
      </c>
      <c r="D2767" s="7">
        <v>10</v>
      </c>
      <c r="E2767" s="85">
        <f t="shared" si="179"/>
        <v>19.850000000000001</v>
      </c>
    </row>
    <row r="2768" spans="1:5" ht="18" x14ac:dyDescent="0.35">
      <c r="A2768" s="102" t="s">
        <v>1222</v>
      </c>
      <c r="B2768" s="50" t="s">
        <v>969</v>
      </c>
      <c r="C2768" s="7">
        <v>2</v>
      </c>
      <c r="D2768" s="7">
        <v>1.1499999999999999</v>
      </c>
      <c r="E2768" s="85">
        <f t="shared" si="179"/>
        <v>2.2999999999999998</v>
      </c>
    </row>
    <row r="2769" spans="1:5" ht="18" x14ac:dyDescent="0.35">
      <c r="A2769" s="5"/>
      <c r="B2769" s="50" t="s">
        <v>34</v>
      </c>
      <c r="C2769" s="7">
        <v>8.4000000000000005E-2</v>
      </c>
      <c r="D2769" s="7">
        <v>14.61</v>
      </c>
      <c r="E2769" s="85">
        <f t="shared" si="179"/>
        <v>1.2272400000000001</v>
      </c>
    </row>
    <row r="2770" spans="1:5" ht="18" x14ac:dyDescent="0.35">
      <c r="A2770" s="5"/>
      <c r="B2770" s="50" t="s">
        <v>35</v>
      </c>
      <c r="C2770" s="7">
        <v>4</v>
      </c>
      <c r="D2770" s="7">
        <v>2.91</v>
      </c>
      <c r="E2770" s="85">
        <f t="shared" si="179"/>
        <v>11.64</v>
      </c>
    </row>
    <row r="2771" spans="1:5" ht="18" x14ac:dyDescent="0.35">
      <c r="A2771" s="5"/>
      <c r="B2771" s="50" t="s">
        <v>36</v>
      </c>
      <c r="C2771" s="7">
        <v>4</v>
      </c>
      <c r="D2771" s="7">
        <v>0.61</v>
      </c>
      <c r="E2771" s="85">
        <f t="shared" si="179"/>
        <v>2.44</v>
      </c>
    </row>
    <row r="2772" spans="1:5" ht="18" x14ac:dyDescent="0.35">
      <c r="A2772" s="5"/>
      <c r="B2772" s="5"/>
      <c r="C2772" s="54"/>
      <c r="D2772" s="54"/>
      <c r="E2772" s="89">
        <f>SUM(E2766:E2771)</f>
        <v>45.584479999999999</v>
      </c>
    </row>
    <row r="2773" spans="1:5" ht="18" x14ac:dyDescent="0.35">
      <c r="A2773" s="5"/>
      <c r="B2773" s="5"/>
      <c r="C2773" s="54"/>
      <c r="D2773" s="54" t="s">
        <v>1158</v>
      </c>
      <c r="E2773" s="89">
        <f>E2772+E2772*10%</f>
        <v>50.142927999999998</v>
      </c>
    </row>
    <row r="2774" spans="1:5" ht="18" x14ac:dyDescent="0.35">
      <c r="A2774" s="5"/>
      <c r="B2774" s="50" t="s">
        <v>37</v>
      </c>
      <c r="C2774" s="54">
        <v>0.5</v>
      </c>
      <c r="D2774" s="54">
        <v>85</v>
      </c>
      <c r="E2774" s="85">
        <f>C2774*D2774</f>
        <v>42.5</v>
      </c>
    </row>
    <row r="2775" spans="1:5" ht="18" x14ac:dyDescent="0.35">
      <c r="A2775" s="5"/>
      <c r="B2775" s="5"/>
      <c r="C2775" s="54"/>
      <c r="D2775" s="54"/>
      <c r="E2775" s="85">
        <f>SUM(E2773:E2774)</f>
        <v>92.642927999999998</v>
      </c>
    </row>
    <row r="2779" spans="1:5" ht="21" x14ac:dyDescent="0.4">
      <c r="A2779" s="40" t="s">
        <v>599</v>
      </c>
      <c r="B2779" s="40"/>
      <c r="C2779" s="84"/>
    </row>
    <row r="2780" spans="1:5" ht="18" x14ac:dyDescent="0.35">
      <c r="A2780" s="5" t="s">
        <v>158</v>
      </c>
      <c r="B2780" s="5"/>
      <c r="C2780" s="7" t="s">
        <v>28</v>
      </c>
      <c r="D2780" s="7" t="s">
        <v>29</v>
      </c>
      <c r="E2780" s="7" t="s">
        <v>30</v>
      </c>
    </row>
    <row r="2781" spans="1:5" ht="18" x14ac:dyDescent="0.35">
      <c r="A2781" s="5" t="s">
        <v>219</v>
      </c>
      <c r="B2781" s="50" t="s">
        <v>32</v>
      </c>
      <c r="C2781" s="7">
        <v>1.0620000000000001</v>
      </c>
      <c r="D2781" s="7">
        <v>10.34</v>
      </c>
      <c r="E2781" s="85">
        <f t="shared" ref="E2781:E2786" si="180">C2781*D2781</f>
        <v>10.98108</v>
      </c>
    </row>
    <row r="2782" spans="1:5" ht="18" x14ac:dyDescent="0.35">
      <c r="A2782" s="5" t="s">
        <v>2196</v>
      </c>
      <c r="B2782" s="50" t="s">
        <v>33</v>
      </c>
      <c r="C2782" s="7">
        <v>0.40899999999999997</v>
      </c>
      <c r="D2782" s="7">
        <v>10</v>
      </c>
      <c r="E2782" s="85">
        <f t="shared" si="180"/>
        <v>4.09</v>
      </c>
    </row>
    <row r="2783" spans="1:5" ht="18" x14ac:dyDescent="0.35">
      <c r="A2783" s="102" t="s">
        <v>1222</v>
      </c>
      <c r="B2783" s="50" t="s">
        <v>760</v>
      </c>
      <c r="C2783" s="7">
        <v>2</v>
      </c>
      <c r="D2783" s="7">
        <v>1.1499999999999999</v>
      </c>
      <c r="E2783" s="85">
        <f t="shared" si="180"/>
        <v>2.2999999999999998</v>
      </c>
    </row>
    <row r="2784" spans="1:5" ht="18" x14ac:dyDescent="0.35">
      <c r="A2784" s="5"/>
      <c r="B2784" s="50" t="s">
        <v>34</v>
      </c>
      <c r="C2784" s="7"/>
      <c r="D2784" s="7">
        <v>14.61</v>
      </c>
      <c r="E2784" s="85">
        <f t="shared" si="180"/>
        <v>0</v>
      </c>
    </row>
    <row r="2785" spans="1:5" ht="18" x14ac:dyDescent="0.35">
      <c r="A2785" s="5"/>
      <c r="B2785" s="50" t="s">
        <v>35</v>
      </c>
      <c r="C2785" s="7">
        <v>4</v>
      </c>
      <c r="D2785" s="7">
        <v>2.91</v>
      </c>
      <c r="E2785" s="85">
        <f t="shared" si="180"/>
        <v>11.64</v>
      </c>
    </row>
    <row r="2786" spans="1:5" ht="18" x14ac:dyDescent="0.35">
      <c r="A2786" s="5"/>
      <c r="B2786" s="50" t="s">
        <v>36</v>
      </c>
      <c r="C2786" s="7">
        <v>4</v>
      </c>
      <c r="D2786" s="7">
        <v>0.61</v>
      </c>
      <c r="E2786" s="85">
        <f t="shared" si="180"/>
        <v>2.44</v>
      </c>
    </row>
    <row r="2787" spans="1:5" ht="18" x14ac:dyDescent="0.35">
      <c r="A2787" s="5"/>
      <c r="B2787" s="5"/>
      <c r="C2787" s="54"/>
      <c r="D2787" s="54"/>
      <c r="E2787" s="89">
        <f>SUM(E2781:E2786)</f>
        <v>31.451080000000001</v>
      </c>
    </row>
    <row r="2788" spans="1:5" ht="18" x14ac:dyDescent="0.35">
      <c r="A2788" s="5"/>
      <c r="B2788" s="5"/>
      <c r="C2788" s="54"/>
      <c r="D2788" s="54" t="s">
        <v>1158</v>
      </c>
      <c r="E2788" s="89">
        <f>E2787+E2787*10%</f>
        <v>34.596187999999998</v>
      </c>
    </row>
    <row r="2789" spans="1:5" ht="18" x14ac:dyDescent="0.35">
      <c r="A2789" s="5"/>
      <c r="B2789" s="50" t="s">
        <v>37</v>
      </c>
      <c r="C2789" s="54">
        <v>0.2</v>
      </c>
      <c r="D2789" s="54">
        <v>85</v>
      </c>
      <c r="E2789" s="85">
        <f>C2789*D2789</f>
        <v>17</v>
      </c>
    </row>
    <row r="2790" spans="1:5" ht="18" x14ac:dyDescent="0.35">
      <c r="A2790" s="5"/>
      <c r="B2790" s="5"/>
      <c r="C2790" s="54"/>
      <c r="D2790" s="54"/>
      <c r="E2790" s="85">
        <f>SUM(E2788:E2789)</f>
        <v>51.596187999999998</v>
      </c>
    </row>
    <row r="2792" spans="1:5" ht="21" x14ac:dyDescent="0.4">
      <c r="A2792" s="40" t="s">
        <v>599</v>
      </c>
      <c r="B2792" s="40"/>
      <c r="C2792" s="84"/>
    </row>
    <row r="2793" spans="1:5" ht="18" x14ac:dyDescent="0.35">
      <c r="A2793" s="5" t="s">
        <v>204</v>
      </c>
      <c r="B2793" s="5"/>
      <c r="C2793" s="7" t="s">
        <v>28</v>
      </c>
      <c r="D2793" s="7" t="s">
        <v>29</v>
      </c>
      <c r="E2793" s="7" t="s">
        <v>30</v>
      </c>
    </row>
    <row r="2794" spans="1:5" ht="18" x14ac:dyDescent="0.35">
      <c r="A2794" s="5" t="s">
        <v>214</v>
      </c>
      <c r="B2794" s="50" t="s">
        <v>32</v>
      </c>
      <c r="C2794" s="7">
        <v>1.976</v>
      </c>
      <c r="D2794" s="7">
        <v>10.34</v>
      </c>
      <c r="E2794" s="85">
        <f t="shared" ref="E2794:E2799" si="181">C2794*D2794</f>
        <v>20.431840000000001</v>
      </c>
    </row>
    <row r="2795" spans="1:5" ht="18" x14ac:dyDescent="0.35">
      <c r="A2795" s="5" t="s">
        <v>2050</v>
      </c>
      <c r="B2795" s="50" t="s">
        <v>33</v>
      </c>
      <c r="C2795" s="7">
        <v>2.488</v>
      </c>
      <c r="D2795" s="7">
        <v>10</v>
      </c>
      <c r="E2795" s="85">
        <f t="shared" si="181"/>
        <v>24.88</v>
      </c>
    </row>
    <row r="2796" spans="1:5" ht="18" x14ac:dyDescent="0.35">
      <c r="A2796" s="102" t="s">
        <v>1222</v>
      </c>
      <c r="B2796" s="50" t="s">
        <v>2073</v>
      </c>
      <c r="C2796" s="7">
        <v>2</v>
      </c>
      <c r="D2796" s="7">
        <v>1.1499999999999999</v>
      </c>
      <c r="E2796" s="85">
        <f t="shared" si="181"/>
        <v>2.2999999999999998</v>
      </c>
    </row>
    <row r="2797" spans="1:5" ht="18" x14ac:dyDescent="0.35">
      <c r="A2797" s="5"/>
      <c r="B2797" s="50" t="s">
        <v>34</v>
      </c>
      <c r="C2797" s="7">
        <v>7.8E-2</v>
      </c>
      <c r="D2797" s="7">
        <v>14.61</v>
      </c>
      <c r="E2797" s="85">
        <f t="shared" si="181"/>
        <v>1.13958</v>
      </c>
    </row>
    <row r="2798" spans="1:5" ht="18" x14ac:dyDescent="0.35">
      <c r="A2798" s="5"/>
      <c r="B2798" s="50" t="s">
        <v>35</v>
      </c>
      <c r="C2798" s="7">
        <v>4</v>
      </c>
      <c r="D2798" s="7">
        <v>2.91</v>
      </c>
      <c r="E2798" s="85">
        <f t="shared" si="181"/>
        <v>11.64</v>
      </c>
    </row>
    <row r="2799" spans="1:5" ht="18" x14ac:dyDescent="0.35">
      <c r="A2799" s="5"/>
      <c r="B2799" s="50" t="s">
        <v>36</v>
      </c>
      <c r="C2799" s="7">
        <v>4</v>
      </c>
      <c r="D2799" s="7">
        <v>0.61</v>
      </c>
      <c r="E2799" s="85">
        <f t="shared" si="181"/>
        <v>2.44</v>
      </c>
    </row>
    <row r="2800" spans="1:5" ht="18" x14ac:dyDescent="0.35">
      <c r="A2800" s="5"/>
      <c r="B2800" s="5"/>
      <c r="C2800" s="54"/>
      <c r="D2800" s="54"/>
      <c r="E2800" s="89">
        <f>SUM(E2794:E2799)</f>
        <v>62.831420000000001</v>
      </c>
    </row>
    <row r="2801" spans="1:5" ht="18" x14ac:dyDescent="0.35">
      <c r="A2801" s="5"/>
      <c r="B2801" s="5"/>
      <c r="C2801" s="54"/>
      <c r="D2801" s="54" t="s">
        <v>1158</v>
      </c>
      <c r="E2801" s="89">
        <f>E2800+E2800*10%</f>
        <v>69.114562000000006</v>
      </c>
    </row>
    <row r="2802" spans="1:5" ht="18" x14ac:dyDescent="0.35">
      <c r="A2802" s="5"/>
      <c r="B2802" s="50" t="s">
        <v>37</v>
      </c>
      <c r="C2802" s="54">
        <v>0.5</v>
      </c>
      <c r="D2802" s="54">
        <v>85</v>
      </c>
      <c r="E2802" s="85">
        <f>C2802*D2802</f>
        <v>42.5</v>
      </c>
    </row>
    <row r="2803" spans="1:5" ht="18" x14ac:dyDescent="0.35">
      <c r="A2803" s="5"/>
      <c r="B2803" s="5"/>
      <c r="C2803" s="54"/>
      <c r="D2803" s="54"/>
      <c r="E2803" s="85">
        <f>SUM(E2801:E2802)</f>
        <v>111.61456200000001</v>
      </c>
    </row>
    <row r="2805" spans="1:5" ht="21" x14ac:dyDescent="0.4">
      <c r="A2805" s="40" t="s">
        <v>599</v>
      </c>
      <c r="B2805" s="40"/>
      <c r="C2805" s="84"/>
    </row>
    <row r="2806" spans="1:5" ht="18" x14ac:dyDescent="0.35">
      <c r="A2806" s="5" t="s">
        <v>2097</v>
      </c>
      <c r="B2806" s="5"/>
      <c r="C2806" s="7" t="s">
        <v>28</v>
      </c>
      <c r="D2806" s="7" t="s">
        <v>29</v>
      </c>
      <c r="E2806" s="7" t="s">
        <v>30</v>
      </c>
    </row>
    <row r="2807" spans="1:5" ht="18" x14ac:dyDescent="0.35">
      <c r="A2807" s="5" t="s">
        <v>238</v>
      </c>
      <c r="B2807" s="50" t="s">
        <v>32</v>
      </c>
      <c r="C2807" s="7">
        <v>1.494</v>
      </c>
      <c r="D2807" s="7">
        <v>10.34</v>
      </c>
      <c r="E2807" s="85">
        <f t="shared" ref="E2807:E2812" si="182">C2807*D2807</f>
        <v>15.44796</v>
      </c>
    </row>
    <row r="2808" spans="1:5" ht="18" x14ac:dyDescent="0.35">
      <c r="A2808" s="5" t="s">
        <v>2050</v>
      </c>
      <c r="B2808" s="50" t="s">
        <v>33</v>
      </c>
      <c r="C2808" s="7">
        <v>2.2469999999999999</v>
      </c>
      <c r="D2808" s="7">
        <v>10</v>
      </c>
      <c r="E2808" s="85">
        <f t="shared" si="182"/>
        <v>22.47</v>
      </c>
    </row>
    <row r="2809" spans="1:5" ht="18" x14ac:dyDescent="0.35">
      <c r="A2809" s="102" t="s">
        <v>1222</v>
      </c>
      <c r="B2809" s="50" t="s">
        <v>43</v>
      </c>
      <c r="C2809" s="7">
        <v>2</v>
      </c>
      <c r="D2809" s="7">
        <v>1.1499999999999999</v>
      </c>
      <c r="E2809" s="85">
        <f t="shared" si="182"/>
        <v>2.2999999999999998</v>
      </c>
    </row>
    <row r="2810" spans="1:5" ht="18" x14ac:dyDescent="0.35">
      <c r="A2810" s="5"/>
      <c r="B2810" s="50" t="s">
        <v>34</v>
      </c>
      <c r="C2810" s="7"/>
      <c r="D2810" s="7">
        <v>14.61</v>
      </c>
      <c r="E2810" s="85">
        <f t="shared" si="182"/>
        <v>0</v>
      </c>
    </row>
    <row r="2811" spans="1:5" ht="18" x14ac:dyDescent="0.35">
      <c r="A2811" s="5"/>
      <c r="B2811" s="50" t="s">
        <v>35</v>
      </c>
      <c r="C2811" s="7">
        <v>4</v>
      </c>
      <c r="D2811" s="7">
        <v>2.91</v>
      </c>
      <c r="E2811" s="85">
        <f t="shared" si="182"/>
        <v>11.64</v>
      </c>
    </row>
    <row r="2812" spans="1:5" ht="18" x14ac:dyDescent="0.35">
      <c r="A2812" s="5"/>
      <c r="B2812" s="50" t="s">
        <v>36</v>
      </c>
      <c r="C2812" s="7">
        <v>4</v>
      </c>
      <c r="D2812" s="7">
        <v>0.61</v>
      </c>
      <c r="E2812" s="85">
        <f t="shared" si="182"/>
        <v>2.44</v>
      </c>
    </row>
    <row r="2813" spans="1:5" ht="18" x14ac:dyDescent="0.35">
      <c r="A2813" s="5"/>
      <c r="B2813" s="5"/>
      <c r="C2813" s="54"/>
      <c r="D2813" s="54"/>
      <c r="E2813" s="89">
        <f>SUM(E2807:E2812)</f>
        <v>54.297959999999996</v>
      </c>
    </row>
    <row r="2814" spans="1:5" ht="18" x14ac:dyDescent="0.35">
      <c r="A2814" s="5"/>
      <c r="B2814" s="5"/>
      <c r="C2814" s="54"/>
      <c r="D2814" s="54" t="s">
        <v>1158</v>
      </c>
      <c r="E2814" s="89">
        <f>E2813+E2813*10%</f>
        <v>59.727755999999999</v>
      </c>
    </row>
    <row r="2815" spans="1:5" ht="18" x14ac:dyDescent="0.35">
      <c r="A2815" s="5"/>
      <c r="B2815" s="50" t="s">
        <v>37</v>
      </c>
      <c r="C2815" s="54">
        <v>0.2</v>
      </c>
      <c r="D2815" s="54">
        <v>85</v>
      </c>
      <c r="E2815" s="85">
        <f>C2815*D2815</f>
        <v>17</v>
      </c>
    </row>
    <row r="2816" spans="1:5" ht="18" x14ac:dyDescent="0.35">
      <c r="A2816" s="5"/>
      <c r="B2816" s="5"/>
      <c r="C2816" s="54"/>
      <c r="D2816" s="54"/>
      <c r="E2816" s="85">
        <f>SUM(E2814:E2815)</f>
        <v>76.727755999999999</v>
      </c>
    </row>
    <row r="2818" spans="1:5" ht="21" x14ac:dyDescent="0.4">
      <c r="A2818" s="40" t="s">
        <v>2098</v>
      </c>
      <c r="B2818" s="40"/>
      <c r="C2818" s="84"/>
    </row>
    <row r="2819" spans="1:5" ht="18" x14ac:dyDescent="0.35">
      <c r="B2819" s="5"/>
      <c r="C2819" s="7" t="s">
        <v>28</v>
      </c>
      <c r="D2819" s="7" t="s">
        <v>29</v>
      </c>
      <c r="E2819" s="7" t="s">
        <v>30</v>
      </c>
    </row>
    <row r="2820" spans="1:5" ht="18" x14ac:dyDescent="0.35">
      <c r="A2820" s="5" t="s">
        <v>2097</v>
      </c>
      <c r="B2820" s="50" t="s">
        <v>32</v>
      </c>
      <c r="C2820" s="7">
        <v>1.494</v>
      </c>
      <c r="D2820" s="7">
        <v>10.34</v>
      </c>
      <c r="E2820" s="85">
        <f t="shared" ref="E2820:E2827" si="183">C2820*D2820</f>
        <v>15.44796</v>
      </c>
    </row>
    <row r="2821" spans="1:5" ht="18" x14ac:dyDescent="0.35">
      <c r="A2821" s="5" t="s">
        <v>238</v>
      </c>
      <c r="B2821" s="50" t="s">
        <v>33</v>
      </c>
      <c r="C2821" s="7">
        <v>2.2469999999999999</v>
      </c>
      <c r="D2821" s="7">
        <v>10</v>
      </c>
      <c r="E2821" s="85">
        <f t="shared" si="183"/>
        <v>22.47</v>
      </c>
    </row>
    <row r="2822" spans="1:5" ht="18" x14ac:dyDescent="0.35">
      <c r="A2822" s="5" t="s">
        <v>2099</v>
      </c>
      <c r="B2822" s="50" t="s">
        <v>33</v>
      </c>
      <c r="C2822" s="7">
        <v>2.4569999999999999</v>
      </c>
      <c r="D2822" s="7">
        <v>10</v>
      </c>
      <c r="E2822" s="85">
        <f t="shared" si="183"/>
        <v>24.57</v>
      </c>
    </row>
    <row r="2823" spans="1:5" ht="18" x14ac:dyDescent="0.35">
      <c r="A2823" s="5" t="s">
        <v>696</v>
      </c>
      <c r="B2823" s="50" t="s">
        <v>42</v>
      </c>
      <c r="C2823" s="7">
        <v>2</v>
      </c>
      <c r="D2823" s="7">
        <v>1.1499999999999999</v>
      </c>
      <c r="E2823" s="85">
        <f t="shared" si="183"/>
        <v>2.2999999999999998</v>
      </c>
    </row>
    <row r="2824" spans="1:5" ht="18" x14ac:dyDescent="0.35">
      <c r="A2824" s="5"/>
      <c r="B2824" s="50" t="s">
        <v>113</v>
      </c>
      <c r="C2824" s="7">
        <v>2</v>
      </c>
      <c r="D2824" s="7">
        <v>2.2400000000000002</v>
      </c>
      <c r="E2824" s="85">
        <f t="shared" si="183"/>
        <v>4.4800000000000004</v>
      </c>
    </row>
    <row r="2825" spans="1:5" ht="18" x14ac:dyDescent="0.35">
      <c r="A2825" s="5"/>
      <c r="B2825" s="50" t="s">
        <v>34</v>
      </c>
      <c r="C2825" s="7"/>
      <c r="D2825" s="7">
        <v>14.61</v>
      </c>
      <c r="E2825" s="85">
        <f t="shared" si="183"/>
        <v>0</v>
      </c>
    </row>
    <row r="2826" spans="1:5" ht="18" x14ac:dyDescent="0.35">
      <c r="A2826" s="5"/>
      <c r="B2826" s="50" t="s">
        <v>35</v>
      </c>
      <c r="C2826" s="7">
        <v>4</v>
      </c>
      <c r="D2826" s="7">
        <v>2.91</v>
      </c>
      <c r="E2826" s="85">
        <f t="shared" si="183"/>
        <v>11.64</v>
      </c>
    </row>
    <row r="2827" spans="1:5" ht="18" x14ac:dyDescent="0.35">
      <c r="A2827" s="5"/>
      <c r="B2827" s="50" t="s">
        <v>36</v>
      </c>
      <c r="C2827" s="7">
        <v>4</v>
      </c>
      <c r="D2827" s="7">
        <v>0.61</v>
      </c>
      <c r="E2827" s="85">
        <f t="shared" si="183"/>
        <v>2.44</v>
      </c>
    </row>
    <row r="2828" spans="1:5" ht="18" x14ac:dyDescent="0.35">
      <c r="A2828" s="5"/>
      <c r="B2828" s="5"/>
      <c r="C2828" s="54"/>
      <c r="D2828" s="54"/>
      <c r="E2828" s="89">
        <f>SUM(E2820:E2827)</f>
        <v>83.34796</v>
      </c>
    </row>
    <row r="2829" spans="1:5" ht="18" x14ac:dyDescent="0.35">
      <c r="A2829" s="5"/>
      <c r="B2829" s="5"/>
      <c r="C2829" s="54"/>
      <c r="D2829" s="54" t="s">
        <v>1129</v>
      </c>
      <c r="E2829" s="89">
        <f>E2828+E2828*10%</f>
        <v>91.682755999999998</v>
      </c>
    </row>
    <row r="2830" spans="1:5" ht="18" x14ac:dyDescent="0.35">
      <c r="A2830" s="5"/>
      <c r="B2830" s="50" t="s">
        <v>37</v>
      </c>
      <c r="C2830" s="54">
        <v>0.5</v>
      </c>
      <c r="D2830" s="54">
        <v>85</v>
      </c>
      <c r="E2830" s="85">
        <f>C2830*D2830</f>
        <v>42.5</v>
      </c>
    </row>
    <row r="2831" spans="1:5" ht="18" x14ac:dyDescent="0.35">
      <c r="A2831" s="5"/>
      <c r="B2831" s="5"/>
      <c r="C2831" s="54"/>
      <c r="D2831" s="54"/>
      <c r="E2831" s="85">
        <f>SUM(E2829:E2830)</f>
        <v>134.18275599999998</v>
      </c>
    </row>
    <row r="2833" spans="1:5" ht="21" x14ac:dyDescent="0.4">
      <c r="A2833" s="40" t="s">
        <v>2106</v>
      </c>
      <c r="B2833" s="40"/>
      <c r="C2833" s="84"/>
    </row>
    <row r="2834" spans="1:5" ht="18" x14ac:dyDescent="0.35">
      <c r="B2834" s="5"/>
      <c r="C2834" s="7" t="s">
        <v>28</v>
      </c>
      <c r="D2834" s="7" t="s">
        <v>29</v>
      </c>
      <c r="E2834" s="7" t="s">
        <v>30</v>
      </c>
    </row>
    <row r="2835" spans="1:5" ht="18" x14ac:dyDescent="0.35">
      <c r="A2835" s="5" t="s">
        <v>2107</v>
      </c>
      <c r="B2835" s="50" t="s">
        <v>32</v>
      </c>
      <c r="C2835" s="7">
        <v>2.0489999999999999</v>
      </c>
      <c r="D2835" s="7">
        <v>10.34</v>
      </c>
      <c r="E2835" s="85">
        <f t="shared" ref="E2835:E2842" si="184">C2835*D2835</f>
        <v>21.18666</v>
      </c>
    </row>
    <row r="2836" spans="1:5" ht="18" x14ac:dyDescent="0.35">
      <c r="A2836" s="5" t="s">
        <v>143</v>
      </c>
      <c r="B2836" s="50" t="s">
        <v>33</v>
      </c>
      <c r="C2836" s="7">
        <v>4.7249999999999996</v>
      </c>
      <c r="D2836" s="7">
        <v>10</v>
      </c>
      <c r="E2836" s="85">
        <f t="shared" si="184"/>
        <v>47.25</v>
      </c>
    </row>
    <row r="2837" spans="1:5" ht="18" x14ac:dyDescent="0.35">
      <c r="A2837" s="5" t="s">
        <v>1381</v>
      </c>
      <c r="B2837" s="50" t="s">
        <v>33</v>
      </c>
      <c r="C2837" s="7">
        <v>5.5860000000000003</v>
      </c>
      <c r="D2837" s="7">
        <v>10</v>
      </c>
      <c r="E2837" s="85">
        <f t="shared" si="184"/>
        <v>55.86</v>
      </c>
    </row>
    <row r="2838" spans="1:5" ht="18" x14ac:dyDescent="0.35">
      <c r="A2838" s="5" t="s">
        <v>848</v>
      </c>
      <c r="B2838" s="50" t="s">
        <v>84</v>
      </c>
      <c r="C2838" s="7">
        <v>2</v>
      </c>
      <c r="D2838" s="7">
        <v>1.1499999999999999</v>
      </c>
      <c r="E2838" s="85">
        <f t="shared" si="184"/>
        <v>2.2999999999999998</v>
      </c>
    </row>
    <row r="2839" spans="1:5" ht="18" x14ac:dyDescent="0.35">
      <c r="A2839" s="5"/>
      <c r="B2839" s="50" t="s">
        <v>2108</v>
      </c>
      <c r="C2839" s="7">
        <v>2</v>
      </c>
      <c r="D2839" s="7">
        <v>3.94</v>
      </c>
      <c r="E2839" s="85">
        <f t="shared" si="184"/>
        <v>7.88</v>
      </c>
    </row>
    <row r="2840" spans="1:5" ht="18" x14ac:dyDescent="0.35">
      <c r="A2840" s="5"/>
      <c r="B2840" s="50" t="s">
        <v>34</v>
      </c>
      <c r="C2840" s="7">
        <v>0.157</v>
      </c>
      <c r="D2840" s="7">
        <v>14.61</v>
      </c>
      <c r="E2840" s="85">
        <f t="shared" si="184"/>
        <v>2.2937699999999999</v>
      </c>
    </row>
    <row r="2841" spans="1:5" ht="18" x14ac:dyDescent="0.35">
      <c r="A2841" s="5"/>
      <c r="B2841" s="50" t="s">
        <v>35</v>
      </c>
      <c r="C2841" s="7">
        <v>4</v>
      </c>
      <c r="D2841" s="7">
        <v>2.91</v>
      </c>
      <c r="E2841" s="85">
        <f t="shared" si="184"/>
        <v>11.64</v>
      </c>
    </row>
    <row r="2842" spans="1:5" ht="18" x14ac:dyDescent="0.35">
      <c r="A2842" s="5"/>
      <c r="B2842" s="50" t="s">
        <v>36</v>
      </c>
      <c r="C2842" s="7">
        <v>4</v>
      </c>
      <c r="D2842" s="7">
        <v>0.61</v>
      </c>
      <c r="E2842" s="85">
        <f t="shared" si="184"/>
        <v>2.44</v>
      </c>
    </row>
    <row r="2843" spans="1:5" ht="18" x14ac:dyDescent="0.35">
      <c r="A2843" s="5"/>
      <c r="B2843" s="5"/>
      <c r="C2843" s="54"/>
      <c r="D2843" s="54"/>
      <c r="E2843" s="89">
        <f>SUM(E2835:E2842)</f>
        <v>150.85043000000002</v>
      </c>
    </row>
    <row r="2844" spans="1:5" ht="18" x14ac:dyDescent="0.35">
      <c r="A2844" s="5"/>
      <c r="B2844" s="5"/>
      <c r="C2844" s="54"/>
      <c r="D2844" s="54" t="s">
        <v>1129</v>
      </c>
      <c r="E2844" s="89">
        <f>E2843+E2843*10%</f>
        <v>165.93547300000003</v>
      </c>
    </row>
    <row r="2845" spans="1:5" ht="18" x14ac:dyDescent="0.35">
      <c r="A2845" s="5"/>
      <c r="B2845" s="50" t="s">
        <v>37</v>
      </c>
      <c r="C2845" s="54">
        <v>0.6</v>
      </c>
      <c r="D2845" s="54">
        <v>85</v>
      </c>
      <c r="E2845" s="85">
        <f>C2845*D2845</f>
        <v>51</v>
      </c>
    </row>
    <row r="2846" spans="1:5" ht="18" x14ac:dyDescent="0.35">
      <c r="A2846" s="5"/>
      <c r="B2846" s="5"/>
      <c r="C2846" s="54"/>
      <c r="D2846" s="54"/>
      <c r="E2846" s="85">
        <f>SUM(E2844:E2845)</f>
        <v>216.93547300000003</v>
      </c>
    </row>
    <row r="2849" spans="1:5" ht="21" x14ac:dyDescent="0.4">
      <c r="A2849" s="40" t="s">
        <v>599</v>
      </c>
      <c r="B2849" s="40"/>
      <c r="C2849" s="84"/>
    </row>
    <row r="2850" spans="1:5" ht="18" x14ac:dyDescent="0.35">
      <c r="A2850" s="5" t="s">
        <v>2113</v>
      </c>
      <c r="B2850" s="5"/>
      <c r="C2850" s="7" t="s">
        <v>28</v>
      </c>
      <c r="D2850" s="7" t="s">
        <v>29</v>
      </c>
      <c r="E2850" s="7" t="s">
        <v>30</v>
      </c>
    </row>
    <row r="2851" spans="1:5" ht="18" x14ac:dyDescent="0.35">
      <c r="A2851" s="5" t="s">
        <v>171</v>
      </c>
      <c r="B2851" s="50" t="s">
        <v>32</v>
      </c>
      <c r="C2851" s="7">
        <v>1.86</v>
      </c>
      <c r="D2851" s="7">
        <v>10.34</v>
      </c>
      <c r="E2851" s="85">
        <f t="shared" ref="E2851:E2856" si="185">C2851*D2851</f>
        <v>19.232400000000002</v>
      </c>
    </row>
    <row r="2852" spans="1:5" ht="18" x14ac:dyDescent="0.35">
      <c r="A2852" s="5" t="s">
        <v>2050</v>
      </c>
      <c r="B2852" s="50" t="s">
        <v>33</v>
      </c>
      <c r="C2852" s="7">
        <v>1.575</v>
      </c>
      <c r="D2852" s="7">
        <v>10</v>
      </c>
      <c r="E2852" s="85">
        <f t="shared" si="185"/>
        <v>15.75</v>
      </c>
    </row>
    <row r="2853" spans="1:5" ht="18" x14ac:dyDescent="0.35">
      <c r="A2853" s="102" t="s">
        <v>1222</v>
      </c>
      <c r="B2853" s="50" t="s">
        <v>646</v>
      </c>
      <c r="C2853" s="7">
        <v>2</v>
      </c>
      <c r="D2853" s="7">
        <v>1.1499999999999999</v>
      </c>
      <c r="E2853" s="85">
        <f t="shared" si="185"/>
        <v>2.2999999999999998</v>
      </c>
    </row>
    <row r="2854" spans="1:5" ht="18" x14ac:dyDescent="0.35">
      <c r="A2854" s="5"/>
      <c r="B2854" s="50" t="s">
        <v>34</v>
      </c>
      <c r="C2854" s="7">
        <v>6.3E-2</v>
      </c>
      <c r="D2854" s="7">
        <v>14.61</v>
      </c>
      <c r="E2854" s="85">
        <f t="shared" si="185"/>
        <v>0.92042999999999997</v>
      </c>
    </row>
    <row r="2855" spans="1:5" ht="18" x14ac:dyDescent="0.35">
      <c r="A2855" s="5"/>
      <c r="B2855" s="50" t="s">
        <v>35</v>
      </c>
      <c r="C2855" s="7">
        <v>4</v>
      </c>
      <c r="D2855" s="7">
        <v>2.91</v>
      </c>
      <c r="E2855" s="85">
        <f t="shared" si="185"/>
        <v>11.64</v>
      </c>
    </row>
    <row r="2856" spans="1:5" ht="18" x14ac:dyDescent="0.35">
      <c r="A2856" s="5"/>
      <c r="B2856" s="50" t="s">
        <v>36</v>
      </c>
      <c r="C2856" s="7">
        <v>4</v>
      </c>
      <c r="D2856" s="7">
        <v>0.61</v>
      </c>
      <c r="E2856" s="85">
        <f t="shared" si="185"/>
        <v>2.44</v>
      </c>
    </row>
    <row r="2857" spans="1:5" ht="18" x14ac:dyDescent="0.35">
      <c r="A2857" s="5"/>
      <c r="B2857" s="5"/>
      <c r="C2857" s="54"/>
      <c r="D2857" s="54"/>
      <c r="E2857" s="89">
        <f>SUM(E2851:E2856)</f>
        <v>52.282829999999997</v>
      </c>
    </row>
    <row r="2858" spans="1:5" ht="18" x14ac:dyDescent="0.35">
      <c r="A2858" s="5"/>
      <c r="B2858" s="5"/>
      <c r="C2858" s="54"/>
      <c r="D2858" s="54" t="s">
        <v>1158</v>
      </c>
      <c r="E2858" s="89">
        <f>E2857+E2857*10%</f>
        <v>57.511112999999995</v>
      </c>
    </row>
    <row r="2859" spans="1:5" ht="18" x14ac:dyDescent="0.35">
      <c r="A2859" s="5"/>
      <c r="B2859" s="50" t="s">
        <v>37</v>
      </c>
      <c r="C2859" s="54">
        <v>0.4</v>
      </c>
      <c r="D2859" s="54">
        <v>85</v>
      </c>
      <c r="E2859" s="85">
        <f>C2859*D2859</f>
        <v>34</v>
      </c>
    </row>
    <row r="2860" spans="1:5" ht="18" x14ac:dyDescent="0.35">
      <c r="A2860" s="5"/>
      <c r="B2860" s="5"/>
      <c r="C2860" s="54"/>
      <c r="D2860" s="54"/>
      <c r="E2860" s="85">
        <f>SUM(E2858:E2859)</f>
        <v>91.511112999999995</v>
      </c>
    </row>
    <row r="2862" spans="1:5" ht="21" x14ac:dyDescent="0.4">
      <c r="A2862" s="40" t="s">
        <v>599</v>
      </c>
      <c r="B2862" s="40"/>
      <c r="C2862" s="84"/>
    </row>
    <row r="2863" spans="1:5" ht="18" x14ac:dyDescent="0.35">
      <c r="A2863" s="5" t="s">
        <v>2114</v>
      </c>
      <c r="B2863" s="5"/>
      <c r="C2863" s="7" t="s">
        <v>28</v>
      </c>
      <c r="D2863" s="7" t="s">
        <v>29</v>
      </c>
      <c r="E2863" s="7" t="s">
        <v>30</v>
      </c>
    </row>
    <row r="2864" spans="1:5" ht="18" x14ac:dyDescent="0.35">
      <c r="A2864" s="5" t="s">
        <v>171</v>
      </c>
      <c r="B2864" s="50" t="s">
        <v>32</v>
      </c>
      <c r="C2864" s="7">
        <v>2.7210000000000001</v>
      </c>
      <c r="D2864" s="7">
        <v>10.34</v>
      </c>
      <c r="E2864" s="85">
        <f t="shared" ref="E2864:E2869" si="186">C2864*D2864</f>
        <v>28.13514</v>
      </c>
    </row>
    <row r="2865" spans="1:5" ht="18" x14ac:dyDescent="0.35">
      <c r="A2865" s="5" t="s">
        <v>2115</v>
      </c>
      <c r="B2865" s="50" t="s">
        <v>33</v>
      </c>
      <c r="C2865" s="7">
        <v>2.4359999999999999</v>
      </c>
      <c r="D2865" s="7">
        <v>10</v>
      </c>
      <c r="E2865" s="85">
        <f t="shared" si="186"/>
        <v>24.36</v>
      </c>
    </row>
    <row r="2866" spans="1:5" ht="18" x14ac:dyDescent="0.35">
      <c r="A2866" s="102" t="s">
        <v>1222</v>
      </c>
      <c r="B2866" s="50" t="s">
        <v>646</v>
      </c>
      <c r="C2866" s="7">
        <v>2</v>
      </c>
      <c r="D2866" s="7">
        <v>1.1499999999999999</v>
      </c>
      <c r="E2866" s="85">
        <f t="shared" si="186"/>
        <v>2.2999999999999998</v>
      </c>
    </row>
    <row r="2867" spans="1:5" ht="18" x14ac:dyDescent="0.35">
      <c r="A2867" s="5"/>
      <c r="B2867" s="50" t="s">
        <v>34</v>
      </c>
      <c r="C2867" s="7">
        <v>0.126</v>
      </c>
      <c r="D2867" s="7">
        <v>14.61</v>
      </c>
      <c r="E2867" s="85">
        <f t="shared" si="186"/>
        <v>1.8408599999999999</v>
      </c>
    </row>
    <row r="2868" spans="1:5" ht="18" x14ac:dyDescent="0.35">
      <c r="A2868" s="5"/>
      <c r="B2868" s="50" t="s">
        <v>35</v>
      </c>
      <c r="C2868" s="7">
        <v>4</v>
      </c>
      <c r="D2868" s="7">
        <v>2.91</v>
      </c>
      <c r="E2868" s="85">
        <f t="shared" si="186"/>
        <v>11.64</v>
      </c>
    </row>
    <row r="2869" spans="1:5" ht="18" x14ac:dyDescent="0.35">
      <c r="A2869" s="5"/>
      <c r="B2869" s="50" t="s">
        <v>36</v>
      </c>
      <c r="C2869" s="7">
        <v>4</v>
      </c>
      <c r="D2869" s="7">
        <v>0.61</v>
      </c>
      <c r="E2869" s="85">
        <f t="shared" si="186"/>
        <v>2.44</v>
      </c>
    </row>
    <row r="2870" spans="1:5" ht="18" x14ac:dyDescent="0.35">
      <c r="A2870" s="5"/>
      <c r="B2870" s="5"/>
      <c r="C2870" s="54"/>
      <c r="D2870" s="54"/>
      <c r="E2870" s="89">
        <f>SUM(E2864:E2869)</f>
        <v>70.715999999999994</v>
      </c>
    </row>
    <row r="2871" spans="1:5" ht="18" x14ac:dyDescent="0.35">
      <c r="A2871" s="5"/>
      <c r="B2871" s="5"/>
      <c r="C2871" s="54"/>
      <c r="D2871" s="54" t="s">
        <v>1158</v>
      </c>
      <c r="E2871" s="89">
        <f>E2870+E2870*10%</f>
        <v>77.787599999999998</v>
      </c>
    </row>
    <row r="2872" spans="1:5" ht="18" x14ac:dyDescent="0.35">
      <c r="A2872" s="5"/>
      <c r="B2872" s="50" t="s">
        <v>37</v>
      </c>
      <c r="C2872" s="54">
        <v>0.5</v>
      </c>
      <c r="D2872" s="54">
        <v>85</v>
      </c>
      <c r="E2872" s="85">
        <f>C2872*D2872</f>
        <v>42.5</v>
      </c>
    </row>
    <row r="2873" spans="1:5" ht="18" x14ac:dyDescent="0.35">
      <c r="A2873" s="5"/>
      <c r="B2873" s="5"/>
      <c r="C2873" s="54"/>
      <c r="D2873" s="54"/>
      <c r="E2873" s="85">
        <f>SUM(E2871:E2872)</f>
        <v>120.2876</v>
      </c>
    </row>
    <row r="2875" spans="1:5" ht="21" x14ac:dyDescent="0.4">
      <c r="A2875" s="40" t="s">
        <v>599</v>
      </c>
      <c r="B2875" s="40"/>
      <c r="C2875" s="84"/>
    </row>
    <row r="2876" spans="1:5" ht="18" x14ac:dyDescent="0.35">
      <c r="A2876" s="5" t="s">
        <v>2121</v>
      </c>
      <c r="B2876" s="5"/>
      <c r="C2876" s="7" t="s">
        <v>28</v>
      </c>
      <c r="D2876" s="7" t="s">
        <v>29</v>
      </c>
      <c r="E2876" s="7" t="s">
        <v>30</v>
      </c>
    </row>
    <row r="2877" spans="1:5" ht="18" x14ac:dyDescent="0.35">
      <c r="A2877" s="5" t="s">
        <v>171</v>
      </c>
      <c r="B2877" s="50" t="s">
        <v>32</v>
      </c>
      <c r="C2877" s="7">
        <v>1.629</v>
      </c>
      <c r="D2877" s="7">
        <v>10.34</v>
      </c>
      <c r="E2877" s="85">
        <f t="shared" ref="E2877:E2882" si="187">C2877*D2877</f>
        <v>16.843859999999999</v>
      </c>
    </row>
    <row r="2878" spans="1:5" ht="18" x14ac:dyDescent="0.35">
      <c r="A2878" s="5" t="s">
        <v>2122</v>
      </c>
      <c r="B2878" s="50" t="s">
        <v>33</v>
      </c>
      <c r="C2878" s="7">
        <v>1.3440000000000001</v>
      </c>
      <c r="D2878" s="7">
        <v>10</v>
      </c>
      <c r="E2878" s="85">
        <f t="shared" si="187"/>
        <v>13.440000000000001</v>
      </c>
    </row>
    <row r="2879" spans="1:5" ht="18" x14ac:dyDescent="0.35">
      <c r="A2879" s="102" t="s">
        <v>1222</v>
      </c>
      <c r="B2879" s="50" t="s">
        <v>646</v>
      </c>
      <c r="C2879" s="7">
        <v>2</v>
      </c>
      <c r="D2879" s="7">
        <v>1.1499999999999999</v>
      </c>
      <c r="E2879" s="85">
        <f t="shared" si="187"/>
        <v>2.2999999999999998</v>
      </c>
    </row>
    <row r="2880" spans="1:5" ht="18" x14ac:dyDescent="0.35">
      <c r="A2880" s="5"/>
      <c r="B2880" s="50" t="s">
        <v>34</v>
      </c>
      <c r="C2880" s="7">
        <v>6.3E-2</v>
      </c>
      <c r="D2880" s="7">
        <v>14.61</v>
      </c>
      <c r="E2880" s="85">
        <f t="shared" si="187"/>
        <v>0.92042999999999997</v>
      </c>
    </row>
    <row r="2881" spans="1:5" ht="18" x14ac:dyDescent="0.35">
      <c r="A2881" s="5"/>
      <c r="B2881" s="50" t="s">
        <v>35</v>
      </c>
      <c r="C2881" s="7">
        <v>4</v>
      </c>
      <c r="D2881" s="7">
        <v>2.91</v>
      </c>
      <c r="E2881" s="85">
        <f t="shared" si="187"/>
        <v>11.64</v>
      </c>
    </row>
    <row r="2882" spans="1:5" ht="18" x14ac:dyDescent="0.35">
      <c r="A2882" s="5"/>
      <c r="B2882" s="50" t="s">
        <v>36</v>
      </c>
      <c r="C2882" s="7">
        <v>4</v>
      </c>
      <c r="D2882" s="7">
        <v>0.61</v>
      </c>
      <c r="E2882" s="85">
        <f t="shared" si="187"/>
        <v>2.44</v>
      </c>
    </row>
    <row r="2883" spans="1:5" ht="18" x14ac:dyDescent="0.35">
      <c r="A2883" s="5"/>
      <c r="B2883" s="5"/>
      <c r="C2883" s="54"/>
      <c r="D2883" s="54"/>
      <c r="E2883" s="89">
        <f>SUM(E2877:E2882)</f>
        <v>47.584290000000003</v>
      </c>
    </row>
    <row r="2884" spans="1:5" ht="18" x14ac:dyDescent="0.35">
      <c r="A2884" s="5"/>
      <c r="B2884" s="5"/>
      <c r="C2884" s="54"/>
      <c r="D2884" s="54" t="s">
        <v>1158</v>
      </c>
      <c r="E2884" s="89">
        <f>E2883+E2883*10%</f>
        <v>52.342719000000002</v>
      </c>
    </row>
    <row r="2885" spans="1:5" ht="18" x14ac:dyDescent="0.35">
      <c r="A2885" s="5"/>
      <c r="B2885" s="50" t="s">
        <v>37</v>
      </c>
      <c r="C2885" s="54">
        <v>0.2</v>
      </c>
      <c r="D2885" s="54">
        <v>85</v>
      </c>
      <c r="E2885" s="85">
        <v>42.5</v>
      </c>
    </row>
    <row r="2886" spans="1:5" ht="18" x14ac:dyDescent="0.35">
      <c r="A2886" s="5"/>
      <c r="B2886" s="5"/>
      <c r="C2886" s="54"/>
      <c r="D2886" s="54"/>
      <c r="E2886" s="85">
        <f>SUM(E2884:E2885)</f>
        <v>94.842719000000002</v>
      </c>
    </row>
    <row r="2888" spans="1:5" ht="21" x14ac:dyDescent="0.4">
      <c r="A2888" s="40" t="s">
        <v>1919</v>
      </c>
      <c r="B2888" s="40"/>
      <c r="C2888" s="84"/>
    </row>
    <row r="2889" spans="1:5" ht="18" x14ac:dyDescent="0.35">
      <c r="A2889" s="5" t="s">
        <v>2126</v>
      </c>
      <c r="B2889" s="5"/>
      <c r="C2889" s="7" t="s">
        <v>28</v>
      </c>
      <c r="D2889" s="7" t="s">
        <v>29</v>
      </c>
      <c r="E2889" s="7" t="s">
        <v>30</v>
      </c>
    </row>
    <row r="2890" spans="1:5" ht="18" x14ac:dyDescent="0.35">
      <c r="A2890" s="5" t="s">
        <v>1633</v>
      </c>
      <c r="B2890" s="50" t="s">
        <v>32</v>
      </c>
      <c r="C2890" s="7">
        <v>2.0920000000000001</v>
      </c>
      <c r="D2890" s="7">
        <v>10.34</v>
      </c>
      <c r="E2890" s="85">
        <f t="shared" ref="E2890:E2895" si="188">C2890*D2890</f>
        <v>21.63128</v>
      </c>
    </row>
    <row r="2891" spans="1:5" ht="18" x14ac:dyDescent="0.35">
      <c r="A2891" s="5" t="s">
        <v>2122</v>
      </c>
      <c r="B2891" s="50" t="s">
        <v>33</v>
      </c>
      <c r="C2891" s="7">
        <v>9.7439999999999998</v>
      </c>
      <c r="D2891" s="7">
        <v>10</v>
      </c>
      <c r="E2891" s="85">
        <f t="shared" si="188"/>
        <v>97.44</v>
      </c>
    </row>
    <row r="2892" spans="1:5" ht="18" x14ac:dyDescent="0.35">
      <c r="A2892" s="102" t="s">
        <v>1222</v>
      </c>
      <c r="B2892" s="50" t="s">
        <v>2127</v>
      </c>
      <c r="C2892" s="7">
        <v>2</v>
      </c>
      <c r="D2892" s="7">
        <v>1.81</v>
      </c>
      <c r="E2892" s="85">
        <f t="shared" si="188"/>
        <v>3.62</v>
      </c>
    </row>
    <row r="2893" spans="1:5" ht="18" x14ac:dyDescent="0.35">
      <c r="A2893" s="5"/>
      <c r="B2893" s="50" t="s">
        <v>34</v>
      </c>
      <c r="C2893" s="7">
        <v>0.34</v>
      </c>
      <c r="D2893" s="7">
        <v>14.61</v>
      </c>
      <c r="E2893" s="85">
        <f t="shared" si="188"/>
        <v>4.9674000000000005</v>
      </c>
    </row>
    <row r="2894" spans="1:5" ht="18" x14ac:dyDescent="0.35">
      <c r="A2894" s="5"/>
      <c r="B2894" s="50" t="s">
        <v>35</v>
      </c>
      <c r="C2894" s="7">
        <v>4</v>
      </c>
      <c r="D2894" s="7">
        <v>2.91</v>
      </c>
      <c r="E2894" s="85">
        <f t="shared" si="188"/>
        <v>11.64</v>
      </c>
    </row>
    <row r="2895" spans="1:5" ht="18" x14ac:dyDescent="0.35">
      <c r="A2895" s="5"/>
      <c r="B2895" s="50" t="s">
        <v>36</v>
      </c>
      <c r="C2895" s="7">
        <v>4</v>
      </c>
      <c r="D2895" s="7">
        <v>0.61</v>
      </c>
      <c r="E2895" s="85">
        <f t="shared" si="188"/>
        <v>2.44</v>
      </c>
    </row>
    <row r="2896" spans="1:5" ht="18" x14ac:dyDescent="0.35">
      <c r="A2896" s="5"/>
      <c r="B2896" s="5"/>
      <c r="C2896" s="54"/>
      <c r="D2896" s="54"/>
      <c r="E2896" s="89">
        <f>SUM(E2890:E2895)</f>
        <v>141.73867999999999</v>
      </c>
    </row>
    <row r="2897" spans="1:5" ht="18" x14ac:dyDescent="0.35">
      <c r="A2897" s="5"/>
      <c r="B2897" s="5"/>
      <c r="C2897" s="54"/>
      <c r="D2897" s="54" t="s">
        <v>1158</v>
      </c>
      <c r="E2897" s="89">
        <f>E2896+E2896*10%</f>
        <v>155.91254799999999</v>
      </c>
    </row>
    <row r="2898" spans="1:5" ht="18" x14ac:dyDescent="0.35">
      <c r="A2898" s="5"/>
      <c r="B2898" s="50" t="s">
        <v>37</v>
      </c>
      <c r="C2898" s="54">
        <v>0.5</v>
      </c>
      <c r="D2898" s="54">
        <v>85</v>
      </c>
      <c r="E2898" s="85">
        <f>C2898*D2898</f>
        <v>42.5</v>
      </c>
    </row>
    <row r="2899" spans="1:5" ht="18" x14ac:dyDescent="0.35">
      <c r="A2899" s="5"/>
      <c r="B2899" s="5"/>
      <c r="C2899" s="54"/>
      <c r="D2899" s="54"/>
      <c r="E2899" s="85">
        <f>SUM(E2897:E2898)</f>
        <v>198.41254799999999</v>
      </c>
    </row>
    <row r="2901" spans="1:5" ht="21" x14ac:dyDescent="0.4">
      <c r="A2901" s="40" t="s">
        <v>2142</v>
      </c>
      <c r="B2901" s="40"/>
      <c r="C2901" s="84"/>
    </row>
    <row r="2902" spans="1:5" ht="18" x14ac:dyDescent="0.35">
      <c r="B2902" s="5"/>
      <c r="C2902" s="7" t="s">
        <v>28</v>
      </c>
      <c r="D2902" s="7" t="s">
        <v>29</v>
      </c>
      <c r="E2902" s="7" t="s">
        <v>30</v>
      </c>
    </row>
    <row r="2903" spans="1:5" ht="18" x14ac:dyDescent="0.35">
      <c r="A2903" s="5" t="s">
        <v>424</v>
      </c>
      <c r="B2903" s="50" t="s">
        <v>32</v>
      </c>
      <c r="C2903" s="7">
        <v>2.2389999999999999</v>
      </c>
      <c r="D2903" s="7">
        <v>10.34</v>
      </c>
      <c r="E2903" s="85">
        <f t="shared" ref="E2903:E2910" si="189">C2903*D2903</f>
        <v>23.151259999999997</v>
      </c>
    </row>
    <row r="2904" spans="1:5" ht="18" x14ac:dyDescent="0.35">
      <c r="A2904" s="5" t="s">
        <v>55</v>
      </c>
      <c r="B2904" s="50" t="s">
        <v>33</v>
      </c>
      <c r="C2904" s="7">
        <v>12.348000000000001</v>
      </c>
      <c r="D2904" s="7">
        <v>10</v>
      </c>
      <c r="E2904" s="85">
        <f t="shared" si="189"/>
        <v>123.48</v>
      </c>
    </row>
    <row r="2905" spans="1:5" ht="18" x14ac:dyDescent="0.35">
      <c r="A2905" s="5" t="s">
        <v>55</v>
      </c>
      <c r="B2905" s="50" t="s">
        <v>33</v>
      </c>
      <c r="C2905" s="7">
        <v>12.348000000000001</v>
      </c>
      <c r="D2905" s="7">
        <v>10</v>
      </c>
      <c r="E2905" s="85">
        <f t="shared" si="189"/>
        <v>123.48</v>
      </c>
    </row>
    <row r="2906" spans="1:5" ht="18" x14ac:dyDescent="0.35">
      <c r="A2906" s="5" t="s">
        <v>848</v>
      </c>
      <c r="B2906" s="50" t="s">
        <v>113</v>
      </c>
      <c r="C2906" s="7">
        <v>2</v>
      </c>
      <c r="D2906" s="7">
        <v>2.2400000000000002</v>
      </c>
      <c r="E2906" s="85">
        <f t="shared" si="189"/>
        <v>4.4800000000000004</v>
      </c>
    </row>
    <row r="2907" spans="1:5" ht="18" x14ac:dyDescent="0.35">
      <c r="A2907" s="5"/>
      <c r="B2907" s="50" t="s">
        <v>113</v>
      </c>
      <c r="C2907" s="7">
        <v>2</v>
      </c>
      <c r="D2907" s="7">
        <v>2.2400000000000002</v>
      </c>
      <c r="E2907" s="85">
        <f t="shared" si="189"/>
        <v>4.4800000000000004</v>
      </c>
    </row>
    <row r="2908" spans="1:5" ht="18" x14ac:dyDescent="0.35">
      <c r="A2908" s="5"/>
      <c r="B2908" s="50" t="s">
        <v>34</v>
      </c>
      <c r="C2908" s="7">
        <v>0.52</v>
      </c>
      <c r="D2908" s="7">
        <v>14.61</v>
      </c>
      <c r="E2908" s="85">
        <f t="shared" si="189"/>
        <v>7.5972</v>
      </c>
    </row>
    <row r="2909" spans="1:5" ht="18" x14ac:dyDescent="0.35">
      <c r="A2909" s="5"/>
      <c r="B2909" s="50" t="s">
        <v>35</v>
      </c>
      <c r="C2909" s="7">
        <v>4</v>
      </c>
      <c r="D2909" s="7">
        <v>2.91</v>
      </c>
      <c r="E2909" s="85">
        <f t="shared" si="189"/>
        <v>11.64</v>
      </c>
    </row>
    <row r="2910" spans="1:5" ht="18" x14ac:dyDescent="0.35">
      <c r="A2910" s="5"/>
      <c r="B2910" s="50" t="s">
        <v>36</v>
      </c>
      <c r="C2910" s="7">
        <v>4</v>
      </c>
      <c r="D2910" s="7">
        <v>0.61</v>
      </c>
      <c r="E2910" s="85">
        <f t="shared" si="189"/>
        <v>2.44</v>
      </c>
    </row>
    <row r="2911" spans="1:5" ht="18" x14ac:dyDescent="0.35">
      <c r="A2911" s="5"/>
      <c r="B2911" s="5"/>
      <c r="C2911" s="54"/>
      <c r="D2911" s="54"/>
      <c r="E2911" s="89">
        <f>SUM(E2903:E2910)</f>
        <v>300.74846000000002</v>
      </c>
    </row>
    <row r="2912" spans="1:5" ht="18" x14ac:dyDescent="0.35">
      <c r="A2912" s="5"/>
      <c r="B2912" s="5"/>
      <c r="C2912" s="54"/>
      <c r="D2912" s="54" t="s">
        <v>1129</v>
      </c>
      <c r="E2912" s="89">
        <f>E2911+E2911*10%</f>
        <v>330.823306</v>
      </c>
    </row>
    <row r="2913" spans="1:5" ht="18" x14ac:dyDescent="0.35">
      <c r="A2913" s="5"/>
      <c r="B2913" s="50" t="s">
        <v>37</v>
      </c>
      <c r="C2913" s="54">
        <v>1</v>
      </c>
      <c r="D2913" s="54">
        <v>85</v>
      </c>
      <c r="E2913" s="85">
        <f>C2913*D2913</f>
        <v>85</v>
      </c>
    </row>
    <row r="2914" spans="1:5" ht="18" x14ac:dyDescent="0.35">
      <c r="A2914" s="5"/>
      <c r="B2914" s="5"/>
      <c r="C2914" s="54"/>
      <c r="D2914" s="54"/>
      <c r="E2914" s="85">
        <f>SUM(E2912:E2913)</f>
        <v>415.823306</v>
      </c>
    </row>
    <row r="2916" spans="1:5" ht="21" x14ac:dyDescent="0.4">
      <c r="A2916" s="40" t="s">
        <v>2149</v>
      </c>
      <c r="B2916" s="40"/>
      <c r="C2916" s="84"/>
    </row>
    <row r="2917" spans="1:5" ht="18" x14ac:dyDescent="0.35">
      <c r="B2917" s="5"/>
      <c r="C2917" s="7" t="s">
        <v>28</v>
      </c>
      <c r="D2917" s="7" t="s">
        <v>29</v>
      </c>
      <c r="E2917" s="7" t="s">
        <v>30</v>
      </c>
    </row>
    <row r="2918" spans="1:5" ht="18" x14ac:dyDescent="0.35">
      <c r="A2918" s="5" t="s">
        <v>2150</v>
      </c>
      <c r="B2918" s="50" t="s">
        <v>32</v>
      </c>
      <c r="C2918" s="7">
        <v>4.968</v>
      </c>
      <c r="D2918" s="7">
        <v>10.34</v>
      </c>
      <c r="E2918" s="85">
        <f t="shared" ref="E2918:E2925" si="190">C2918*D2918</f>
        <v>51.369120000000002</v>
      </c>
    </row>
    <row r="2919" spans="1:5" ht="18" x14ac:dyDescent="0.35">
      <c r="A2919" s="5" t="s">
        <v>2151</v>
      </c>
      <c r="B2919" s="50" t="s">
        <v>33</v>
      </c>
      <c r="C2919" s="7">
        <v>59.451000000000001</v>
      </c>
      <c r="D2919" s="7">
        <v>10</v>
      </c>
      <c r="E2919" s="85">
        <f t="shared" si="190"/>
        <v>594.51</v>
      </c>
    </row>
    <row r="2920" spans="1:5" ht="18" x14ac:dyDescent="0.35">
      <c r="A2920" s="5" t="s">
        <v>1447</v>
      </c>
      <c r="B2920" s="50" t="s">
        <v>33</v>
      </c>
      <c r="C2920" s="7">
        <v>59.723999999999997</v>
      </c>
      <c r="D2920" s="7">
        <v>10</v>
      </c>
      <c r="E2920" s="85">
        <f t="shared" si="190"/>
        <v>597.24</v>
      </c>
    </row>
    <row r="2921" spans="1:5" ht="18" x14ac:dyDescent="0.35">
      <c r="A2921" s="5" t="s">
        <v>848</v>
      </c>
      <c r="B2921" s="50" t="s">
        <v>92</v>
      </c>
      <c r="C2921" s="7">
        <v>2</v>
      </c>
      <c r="D2921" s="7">
        <v>3.62</v>
      </c>
      <c r="E2921" s="85">
        <f t="shared" si="190"/>
        <v>7.24</v>
      </c>
    </row>
    <row r="2922" spans="1:5" ht="18" x14ac:dyDescent="0.35">
      <c r="A2922" s="5"/>
      <c r="B2922" s="50" t="s">
        <v>290</v>
      </c>
      <c r="C2922" s="7">
        <v>2</v>
      </c>
      <c r="D2922" s="7">
        <v>6.72</v>
      </c>
      <c r="E2922" s="85">
        <f t="shared" si="190"/>
        <v>13.44</v>
      </c>
    </row>
    <row r="2923" spans="1:5" ht="18" x14ac:dyDescent="0.35">
      <c r="A2923" s="5"/>
      <c r="B2923" s="50" t="s">
        <v>34</v>
      </c>
      <c r="C2923" s="7">
        <v>2.52</v>
      </c>
      <c r="D2923" s="7">
        <v>14.61</v>
      </c>
      <c r="E2923" s="85">
        <f t="shared" si="190"/>
        <v>36.8172</v>
      </c>
    </row>
    <row r="2924" spans="1:5" ht="18" x14ac:dyDescent="0.35">
      <c r="A2924" s="5"/>
      <c r="B2924" s="50" t="s">
        <v>35</v>
      </c>
      <c r="C2924" s="7">
        <v>8</v>
      </c>
      <c r="D2924" s="7">
        <v>2.91</v>
      </c>
      <c r="E2924" s="85">
        <f t="shared" si="190"/>
        <v>23.28</v>
      </c>
    </row>
    <row r="2925" spans="1:5" ht="18" x14ac:dyDescent="0.35">
      <c r="A2925" s="5"/>
      <c r="B2925" s="50" t="s">
        <v>36</v>
      </c>
      <c r="C2925" s="7">
        <v>4</v>
      </c>
      <c r="D2925" s="7">
        <v>0.61</v>
      </c>
      <c r="E2925" s="85">
        <f t="shared" si="190"/>
        <v>2.44</v>
      </c>
    </row>
    <row r="2926" spans="1:5" ht="18" x14ac:dyDescent="0.35">
      <c r="A2926" s="5"/>
      <c r="B2926" s="5"/>
      <c r="C2926" s="54"/>
      <c r="D2926" s="54"/>
      <c r="E2926" s="89">
        <f>SUM(E2918:E2925)</f>
        <v>1326.3363199999999</v>
      </c>
    </row>
    <row r="2927" spans="1:5" ht="18" x14ac:dyDescent="0.35">
      <c r="A2927" s="5"/>
      <c r="B2927" s="5"/>
      <c r="C2927" s="54"/>
      <c r="D2927" s="54" t="s">
        <v>1129</v>
      </c>
      <c r="E2927" s="89">
        <f>E2926+E2926*10%</f>
        <v>1458.9699519999999</v>
      </c>
    </row>
    <row r="2928" spans="1:5" ht="18" x14ac:dyDescent="0.35">
      <c r="A2928" s="5"/>
      <c r="B2928" s="50" t="s">
        <v>37</v>
      </c>
      <c r="C2928" s="54">
        <v>2</v>
      </c>
      <c r="D2928" s="54">
        <v>85</v>
      </c>
      <c r="E2928" s="85">
        <f>C2928*D2928</f>
        <v>170</v>
      </c>
    </row>
    <row r="2929" spans="1:5" ht="18" x14ac:dyDescent="0.35">
      <c r="A2929" s="5"/>
      <c r="B2929" s="5"/>
      <c r="C2929" s="54"/>
      <c r="D2929" s="54"/>
      <c r="E2929" s="85">
        <f>SUM(E2927:E2928)</f>
        <v>1628.9699519999999</v>
      </c>
    </row>
    <row r="2931" spans="1:5" ht="21" x14ac:dyDescent="0.4">
      <c r="A2931" s="40" t="s">
        <v>1078</v>
      </c>
      <c r="B2931" s="40"/>
      <c r="C2931" s="84"/>
    </row>
    <row r="2932" spans="1:5" ht="18" x14ac:dyDescent="0.35">
      <c r="B2932" s="5"/>
      <c r="C2932" s="7" t="s">
        <v>28</v>
      </c>
      <c r="D2932" s="7" t="s">
        <v>29</v>
      </c>
      <c r="E2932" s="7" t="s">
        <v>30</v>
      </c>
    </row>
    <row r="2933" spans="1:5" ht="18" x14ac:dyDescent="0.35">
      <c r="A2933" s="5" t="s">
        <v>41</v>
      </c>
      <c r="B2933" s="50" t="s">
        <v>32</v>
      </c>
      <c r="C2933" s="7">
        <v>1.3979999999999999</v>
      </c>
      <c r="D2933" s="7">
        <v>10.34</v>
      </c>
      <c r="E2933" s="85">
        <f t="shared" ref="E2933:E2940" si="191">C2933*D2933</f>
        <v>14.455319999999999</v>
      </c>
    </row>
    <row r="2934" spans="1:5" ht="18" x14ac:dyDescent="0.35">
      <c r="A2934" s="5" t="s">
        <v>829</v>
      </c>
      <c r="B2934" s="50" t="s">
        <v>33</v>
      </c>
      <c r="C2934" s="7">
        <v>2.0579999999999998</v>
      </c>
      <c r="D2934" s="7">
        <v>10</v>
      </c>
      <c r="E2934" s="85">
        <f t="shared" si="191"/>
        <v>20.58</v>
      </c>
    </row>
    <row r="2935" spans="1:5" ht="18" x14ac:dyDescent="0.35">
      <c r="A2935" s="5" t="s">
        <v>55</v>
      </c>
      <c r="B2935" s="50" t="s">
        <v>33</v>
      </c>
      <c r="C2935" s="7">
        <v>2.2679999999999998</v>
      </c>
      <c r="D2935" s="7">
        <v>10</v>
      </c>
      <c r="E2935" s="85">
        <f t="shared" si="191"/>
        <v>22.68</v>
      </c>
    </row>
    <row r="2936" spans="1:5" ht="18" x14ac:dyDescent="0.35">
      <c r="A2936" s="5" t="s">
        <v>848</v>
      </c>
      <c r="B2936" s="50" t="s">
        <v>42</v>
      </c>
      <c r="C2936" s="7">
        <v>2</v>
      </c>
      <c r="D2936" s="7">
        <v>1.1499999999999999</v>
      </c>
      <c r="E2936" s="85">
        <f t="shared" si="191"/>
        <v>2.2999999999999998</v>
      </c>
    </row>
    <row r="2937" spans="1:5" ht="18" x14ac:dyDescent="0.35">
      <c r="A2937" s="5"/>
      <c r="B2937" s="50" t="s">
        <v>113</v>
      </c>
      <c r="C2937" s="7">
        <v>2</v>
      </c>
      <c r="D2937" s="7">
        <v>2.2400000000000002</v>
      </c>
      <c r="E2937" s="85">
        <f t="shared" si="191"/>
        <v>4.4800000000000004</v>
      </c>
    </row>
    <row r="2938" spans="1:5" ht="18" x14ac:dyDescent="0.35">
      <c r="A2938" s="5"/>
      <c r="B2938" s="50" t="s">
        <v>34</v>
      </c>
      <c r="C2938" s="7"/>
      <c r="D2938" s="7">
        <v>14.61</v>
      </c>
      <c r="E2938" s="85">
        <f t="shared" si="191"/>
        <v>0</v>
      </c>
    </row>
    <row r="2939" spans="1:5" ht="18" x14ac:dyDescent="0.35">
      <c r="A2939" s="5"/>
      <c r="B2939" s="50" t="s">
        <v>35</v>
      </c>
      <c r="C2939" s="7">
        <v>4</v>
      </c>
      <c r="D2939" s="7">
        <v>2.91</v>
      </c>
      <c r="E2939" s="85">
        <f t="shared" si="191"/>
        <v>11.64</v>
      </c>
    </row>
    <row r="2940" spans="1:5" ht="18" x14ac:dyDescent="0.35">
      <c r="A2940" s="5"/>
      <c r="B2940" s="50" t="s">
        <v>36</v>
      </c>
      <c r="C2940" s="7">
        <v>4</v>
      </c>
      <c r="D2940" s="7">
        <v>0.61</v>
      </c>
      <c r="E2940" s="85">
        <f t="shared" si="191"/>
        <v>2.44</v>
      </c>
    </row>
    <row r="2941" spans="1:5" ht="18" x14ac:dyDescent="0.35">
      <c r="A2941" s="5"/>
      <c r="B2941" s="5"/>
      <c r="C2941" s="54"/>
      <c r="D2941" s="54"/>
      <c r="E2941" s="89">
        <f>SUM(E2933:E2940)</f>
        <v>78.575319999999991</v>
      </c>
    </row>
    <row r="2942" spans="1:5" ht="18" x14ac:dyDescent="0.35">
      <c r="A2942" s="5"/>
      <c r="B2942" s="5"/>
      <c r="C2942" s="54"/>
      <c r="D2942" s="54" t="s">
        <v>1129</v>
      </c>
      <c r="E2942" s="89">
        <f>E2941+E2941*10%</f>
        <v>86.432851999999997</v>
      </c>
    </row>
    <row r="2943" spans="1:5" ht="18" x14ac:dyDescent="0.35">
      <c r="A2943" s="5"/>
      <c r="B2943" s="50" t="s">
        <v>37</v>
      </c>
      <c r="C2943" s="54">
        <v>0.5</v>
      </c>
      <c r="D2943" s="54">
        <v>85</v>
      </c>
      <c r="E2943" s="85">
        <f>C2943*D2943</f>
        <v>42.5</v>
      </c>
    </row>
    <row r="2944" spans="1:5" ht="18" x14ac:dyDescent="0.35">
      <c r="A2944" s="5"/>
      <c r="B2944" s="5"/>
      <c r="C2944" s="54"/>
      <c r="D2944" s="54"/>
      <c r="E2944" s="85">
        <f>SUM(E2942:E2943)</f>
        <v>128.932852</v>
      </c>
    </row>
    <row r="2946" spans="1:5" ht="21" x14ac:dyDescent="0.4">
      <c r="A2946" s="40" t="s">
        <v>1078</v>
      </c>
      <c r="B2946" s="40"/>
      <c r="C2946" s="84"/>
    </row>
    <row r="2947" spans="1:5" ht="18" x14ac:dyDescent="0.35">
      <c r="B2947" s="5"/>
      <c r="C2947" s="7" t="s">
        <v>28</v>
      </c>
      <c r="D2947" s="7" t="s">
        <v>29</v>
      </c>
      <c r="E2947" s="7" t="s">
        <v>30</v>
      </c>
    </row>
    <row r="2948" spans="1:5" ht="18" x14ac:dyDescent="0.35">
      <c r="A2948" s="5" t="s">
        <v>40</v>
      </c>
      <c r="B2948" s="50" t="s">
        <v>32</v>
      </c>
      <c r="C2948" s="7">
        <v>1.1879999999999999</v>
      </c>
      <c r="D2948" s="7">
        <v>10.34</v>
      </c>
      <c r="E2948" s="85">
        <f t="shared" ref="E2948:E2955" si="192">C2948*D2948</f>
        <v>12.283919999999998</v>
      </c>
    </row>
    <row r="2949" spans="1:5" ht="18" x14ac:dyDescent="0.35">
      <c r="A2949" s="5" t="s">
        <v>829</v>
      </c>
      <c r="B2949" s="50" t="s">
        <v>33</v>
      </c>
      <c r="C2949" s="7">
        <v>1.6379999999999999</v>
      </c>
      <c r="D2949" s="7">
        <v>10</v>
      </c>
      <c r="E2949" s="85">
        <f t="shared" si="192"/>
        <v>16.38</v>
      </c>
    </row>
    <row r="2950" spans="1:5" ht="18" x14ac:dyDescent="0.35">
      <c r="A2950" s="5" t="s">
        <v>54</v>
      </c>
      <c r="B2950" s="50" t="s">
        <v>33</v>
      </c>
      <c r="C2950" s="7">
        <v>1.7949999999999999</v>
      </c>
      <c r="D2950" s="7">
        <v>10</v>
      </c>
      <c r="E2950" s="85">
        <f t="shared" si="192"/>
        <v>17.95</v>
      </c>
    </row>
    <row r="2951" spans="1:5" ht="18" x14ac:dyDescent="0.35">
      <c r="A2951" s="5" t="s">
        <v>848</v>
      </c>
      <c r="B2951" s="50" t="s">
        <v>42</v>
      </c>
      <c r="C2951" s="7">
        <v>2</v>
      </c>
      <c r="D2951" s="7">
        <v>1.1499999999999999</v>
      </c>
      <c r="E2951" s="85">
        <f t="shared" si="192"/>
        <v>2.2999999999999998</v>
      </c>
    </row>
    <row r="2952" spans="1:5" ht="18" x14ac:dyDescent="0.35">
      <c r="A2952" s="5"/>
      <c r="B2952" s="50" t="s">
        <v>113</v>
      </c>
      <c r="C2952" s="7">
        <v>2</v>
      </c>
      <c r="D2952" s="7">
        <v>2.2400000000000002</v>
      </c>
      <c r="E2952" s="85">
        <f t="shared" si="192"/>
        <v>4.4800000000000004</v>
      </c>
    </row>
    <row r="2953" spans="1:5" ht="18" x14ac:dyDescent="0.35">
      <c r="A2953" s="5"/>
      <c r="B2953" s="50" t="s">
        <v>34</v>
      </c>
      <c r="C2953" s="7"/>
      <c r="D2953" s="7">
        <v>14.61</v>
      </c>
      <c r="E2953" s="85">
        <f t="shared" si="192"/>
        <v>0</v>
      </c>
    </row>
    <row r="2954" spans="1:5" ht="18" x14ac:dyDescent="0.35">
      <c r="A2954" s="5"/>
      <c r="B2954" s="50" t="s">
        <v>35</v>
      </c>
      <c r="C2954" s="7">
        <v>4</v>
      </c>
      <c r="D2954" s="7">
        <v>2.91</v>
      </c>
      <c r="E2954" s="85">
        <f t="shared" si="192"/>
        <v>11.64</v>
      </c>
    </row>
    <row r="2955" spans="1:5" ht="18" x14ac:dyDescent="0.35">
      <c r="A2955" s="5"/>
      <c r="B2955" s="50" t="s">
        <v>36</v>
      </c>
      <c r="C2955" s="7">
        <v>4</v>
      </c>
      <c r="D2955" s="7">
        <v>0.61</v>
      </c>
      <c r="E2955" s="85">
        <f t="shared" si="192"/>
        <v>2.44</v>
      </c>
    </row>
    <row r="2956" spans="1:5" ht="18" x14ac:dyDescent="0.35">
      <c r="A2956" s="5"/>
      <c r="B2956" s="5"/>
      <c r="C2956" s="54"/>
      <c r="D2956" s="54"/>
      <c r="E2956" s="89">
        <f>SUM(E2948:E2955)</f>
        <v>67.473919999999993</v>
      </c>
    </row>
    <row r="2957" spans="1:5" ht="18" x14ac:dyDescent="0.35">
      <c r="A2957" s="5"/>
      <c r="B2957" s="5"/>
      <c r="C2957" s="54"/>
      <c r="D2957" s="54" t="s">
        <v>1129</v>
      </c>
      <c r="E2957" s="89">
        <f>E2956+E2956*10%</f>
        <v>74.221311999999998</v>
      </c>
    </row>
    <row r="2958" spans="1:5" ht="18" x14ac:dyDescent="0.35">
      <c r="A2958" s="5"/>
      <c r="B2958" s="50" t="s">
        <v>37</v>
      </c>
      <c r="C2958" s="54">
        <v>0.5</v>
      </c>
      <c r="D2958" s="54">
        <v>85</v>
      </c>
      <c r="E2958" s="85">
        <f>C2958*D2958</f>
        <v>42.5</v>
      </c>
    </row>
    <row r="2959" spans="1:5" ht="18" x14ac:dyDescent="0.35">
      <c r="A2959" s="5"/>
      <c r="B2959" s="5"/>
      <c r="C2959" s="54"/>
      <c r="D2959" s="54"/>
      <c r="E2959" s="85">
        <f>SUM(E2957:E2958)</f>
        <v>116.721312</v>
      </c>
    </row>
    <row r="2961" spans="1:5" ht="21" x14ac:dyDescent="0.4">
      <c r="A2961" s="40" t="s">
        <v>1919</v>
      </c>
      <c r="B2961" s="40"/>
      <c r="C2961" s="84"/>
    </row>
    <row r="2962" spans="1:5" ht="18" x14ac:dyDescent="0.35">
      <c r="A2962" s="5" t="s">
        <v>2158</v>
      </c>
      <c r="B2962" s="5"/>
      <c r="C2962" s="7" t="s">
        <v>28</v>
      </c>
      <c r="D2962" s="7" t="s">
        <v>29</v>
      </c>
      <c r="E2962" s="7" t="s">
        <v>30</v>
      </c>
    </row>
    <row r="2963" spans="1:5" ht="18" x14ac:dyDescent="0.35">
      <c r="A2963" s="5" t="s">
        <v>217</v>
      </c>
      <c r="B2963" s="50" t="s">
        <v>32</v>
      </c>
      <c r="C2963" s="7">
        <v>2.5110000000000001</v>
      </c>
      <c r="D2963" s="7">
        <v>10.34</v>
      </c>
      <c r="E2963" s="85">
        <f t="shared" ref="E2963:E2968" si="193">C2963*D2963</f>
        <v>25.963740000000001</v>
      </c>
    </row>
    <row r="2964" spans="1:5" ht="18" x14ac:dyDescent="0.35">
      <c r="A2964" s="5" t="s">
        <v>2159</v>
      </c>
      <c r="B2964" s="50" t="s">
        <v>33</v>
      </c>
      <c r="C2964" s="7">
        <v>11.025</v>
      </c>
      <c r="D2964" s="7">
        <v>10</v>
      </c>
      <c r="E2964" s="85">
        <f t="shared" si="193"/>
        <v>110.25</v>
      </c>
    </row>
    <row r="2965" spans="1:5" ht="18" x14ac:dyDescent="0.35">
      <c r="A2965" s="102" t="s">
        <v>1222</v>
      </c>
      <c r="B2965" s="50" t="s">
        <v>1669</v>
      </c>
      <c r="C2965" s="7">
        <v>2</v>
      </c>
      <c r="D2965" s="7">
        <v>1.81</v>
      </c>
      <c r="E2965" s="85">
        <f t="shared" si="193"/>
        <v>3.62</v>
      </c>
    </row>
    <row r="2966" spans="1:5" ht="18" x14ac:dyDescent="0.35">
      <c r="A2966" s="5"/>
      <c r="B2966" s="50" t="s">
        <v>34</v>
      </c>
      <c r="C2966" s="7">
        <v>0.34</v>
      </c>
      <c r="D2966" s="7">
        <v>14.61</v>
      </c>
      <c r="E2966" s="85">
        <f t="shared" si="193"/>
        <v>4.9674000000000005</v>
      </c>
    </row>
    <row r="2967" spans="1:5" ht="18" x14ac:dyDescent="0.35">
      <c r="A2967" s="5"/>
      <c r="B2967" s="50" t="s">
        <v>35</v>
      </c>
      <c r="C2967" s="7">
        <v>4</v>
      </c>
      <c r="D2967" s="7">
        <v>2.91</v>
      </c>
      <c r="E2967" s="85">
        <f t="shared" si="193"/>
        <v>11.64</v>
      </c>
    </row>
    <row r="2968" spans="1:5" ht="18" x14ac:dyDescent="0.35">
      <c r="A2968" s="5"/>
      <c r="B2968" s="50" t="s">
        <v>36</v>
      </c>
      <c r="C2968" s="7">
        <v>4</v>
      </c>
      <c r="D2968" s="7">
        <v>0.61</v>
      </c>
      <c r="E2968" s="85">
        <f t="shared" si="193"/>
        <v>2.44</v>
      </c>
    </row>
    <row r="2969" spans="1:5" ht="18" x14ac:dyDescent="0.35">
      <c r="A2969" s="5"/>
      <c r="B2969" s="5"/>
      <c r="C2969" s="54"/>
      <c r="D2969" s="54"/>
      <c r="E2969" s="89">
        <f>SUM(E2963:E2968)</f>
        <v>158.88114000000002</v>
      </c>
    </row>
    <row r="2970" spans="1:5" ht="18" x14ac:dyDescent="0.35">
      <c r="A2970" s="5"/>
      <c r="B2970" s="5"/>
      <c r="C2970" s="54"/>
      <c r="D2970" s="54" t="s">
        <v>1158</v>
      </c>
      <c r="E2970" s="89">
        <f>E2969+E2969*10%</f>
        <v>174.76925400000002</v>
      </c>
    </row>
    <row r="2971" spans="1:5" ht="18" x14ac:dyDescent="0.35">
      <c r="A2971" s="5"/>
      <c r="B2971" s="50" t="s">
        <v>37</v>
      </c>
      <c r="C2971" s="54">
        <v>0.5</v>
      </c>
      <c r="D2971" s="54">
        <v>85</v>
      </c>
      <c r="E2971" s="85">
        <f>C2971*D2971</f>
        <v>42.5</v>
      </c>
    </row>
    <row r="2972" spans="1:5" ht="18" x14ac:dyDescent="0.35">
      <c r="A2972" s="5"/>
      <c r="B2972" s="5"/>
      <c r="C2972" s="54"/>
      <c r="D2972" s="54"/>
      <c r="E2972" s="85">
        <f>SUM(E2970:E2971)</f>
        <v>217.26925400000002</v>
      </c>
    </row>
    <row r="2975" spans="1:5" ht="21" x14ac:dyDescent="0.4">
      <c r="A2975" s="40" t="s">
        <v>1919</v>
      </c>
      <c r="B2975" s="40"/>
      <c r="C2975" s="84"/>
    </row>
    <row r="2976" spans="1:5" ht="18" x14ac:dyDescent="0.35">
      <c r="A2976" s="5" t="s">
        <v>2183</v>
      </c>
      <c r="B2976" s="5"/>
      <c r="C2976" s="7" t="s">
        <v>28</v>
      </c>
      <c r="D2976" s="7" t="s">
        <v>29</v>
      </c>
      <c r="E2976" s="7" t="s">
        <v>30</v>
      </c>
    </row>
    <row r="2977" spans="1:5" ht="18" x14ac:dyDescent="0.35">
      <c r="A2977" s="5" t="s">
        <v>415</v>
      </c>
      <c r="B2977" s="50" t="s">
        <v>32</v>
      </c>
      <c r="C2977" s="7">
        <v>4.149</v>
      </c>
      <c r="D2977" s="7">
        <v>11.37</v>
      </c>
      <c r="E2977" s="85">
        <f t="shared" ref="E2977:E2982" si="194">C2977*D2977</f>
        <v>47.174129999999998</v>
      </c>
    </row>
    <row r="2978" spans="1:5" ht="18" x14ac:dyDescent="0.35">
      <c r="A2978" s="5" t="s">
        <v>2184</v>
      </c>
      <c r="B2978" s="50" t="s">
        <v>33</v>
      </c>
      <c r="C2978" s="7">
        <v>42.482999999999997</v>
      </c>
      <c r="D2978" s="7">
        <v>10</v>
      </c>
      <c r="E2978" s="85">
        <f t="shared" si="194"/>
        <v>424.83</v>
      </c>
    </row>
    <row r="2979" spans="1:5" ht="18" x14ac:dyDescent="0.35">
      <c r="A2979" s="102" t="s">
        <v>1222</v>
      </c>
      <c r="B2979" s="50" t="s">
        <v>878</v>
      </c>
      <c r="C2979" s="7">
        <v>2</v>
      </c>
      <c r="D2979" s="7">
        <v>4.54</v>
      </c>
      <c r="E2979" s="85">
        <f t="shared" si="194"/>
        <v>9.08</v>
      </c>
    </row>
    <row r="2980" spans="1:5" ht="18" x14ac:dyDescent="0.35">
      <c r="A2980" s="5"/>
      <c r="B2980" s="50" t="s">
        <v>34</v>
      </c>
      <c r="C2980" s="7">
        <v>2.9820000000000002</v>
      </c>
      <c r="D2980" s="7">
        <v>14.61</v>
      </c>
      <c r="E2980" s="85">
        <f t="shared" si="194"/>
        <v>43.567019999999999</v>
      </c>
    </row>
    <row r="2981" spans="1:5" ht="18" x14ac:dyDescent="0.35">
      <c r="A2981" s="5"/>
      <c r="B2981" s="50" t="s">
        <v>35</v>
      </c>
      <c r="C2981" s="7">
        <v>4</v>
      </c>
      <c r="D2981" s="7">
        <v>2.91</v>
      </c>
      <c r="E2981" s="85">
        <f t="shared" si="194"/>
        <v>11.64</v>
      </c>
    </row>
    <row r="2982" spans="1:5" ht="18" x14ac:dyDescent="0.35">
      <c r="A2982" s="5"/>
      <c r="B2982" s="50" t="s">
        <v>36</v>
      </c>
      <c r="C2982" s="7">
        <v>4</v>
      </c>
      <c r="D2982" s="7">
        <v>0.61</v>
      </c>
      <c r="E2982" s="85">
        <f t="shared" si="194"/>
        <v>2.44</v>
      </c>
    </row>
    <row r="2983" spans="1:5" ht="18" x14ac:dyDescent="0.35">
      <c r="A2983" s="5"/>
      <c r="B2983" s="5"/>
      <c r="C2983" s="54"/>
      <c r="D2983" s="54"/>
      <c r="E2983" s="89">
        <f>SUM(E2977:E2982)</f>
        <v>538.73114999999996</v>
      </c>
    </row>
    <row r="2984" spans="1:5" ht="18" x14ac:dyDescent="0.35">
      <c r="A2984" s="5"/>
      <c r="B2984" s="5"/>
      <c r="C2984" s="54"/>
      <c r="D2984" s="54" t="s">
        <v>1158</v>
      </c>
      <c r="E2984" s="89">
        <f>E2983+E2983*10%</f>
        <v>592.60426499999994</v>
      </c>
    </row>
    <row r="2985" spans="1:5" ht="18" x14ac:dyDescent="0.35">
      <c r="A2985" s="5"/>
      <c r="B2985" s="50" t="s">
        <v>37</v>
      </c>
      <c r="C2985" s="54">
        <v>1.5</v>
      </c>
      <c r="D2985" s="54">
        <v>85</v>
      </c>
      <c r="E2985" s="85">
        <f>C2985*D2985</f>
        <v>127.5</v>
      </c>
    </row>
    <row r="2986" spans="1:5" ht="18" x14ac:dyDescent="0.35">
      <c r="A2986" s="5"/>
      <c r="B2986" s="5"/>
      <c r="C2986" s="54"/>
      <c r="D2986" s="54"/>
      <c r="E2986" s="85">
        <f>SUM(E2984:E2985)</f>
        <v>720.10426499999994</v>
      </c>
    </row>
    <row r="2988" spans="1:5" ht="21" x14ac:dyDescent="0.4">
      <c r="A2988" s="40" t="s">
        <v>1919</v>
      </c>
      <c r="B2988" s="40"/>
      <c r="C2988" s="84"/>
    </row>
    <row r="2989" spans="1:5" ht="18" x14ac:dyDescent="0.35">
      <c r="A2989" s="5" t="s">
        <v>174</v>
      </c>
      <c r="B2989" s="5"/>
      <c r="C2989" s="7" t="s">
        <v>28</v>
      </c>
      <c r="D2989" s="7" t="s">
        <v>29</v>
      </c>
      <c r="E2989" s="7" t="s">
        <v>30</v>
      </c>
    </row>
    <row r="2990" spans="1:5" ht="18" x14ac:dyDescent="0.35">
      <c r="A2990" s="5" t="s">
        <v>238</v>
      </c>
      <c r="B2990" s="50" t="s">
        <v>32</v>
      </c>
      <c r="C2990" s="7">
        <v>1.377</v>
      </c>
      <c r="D2990" s="7">
        <v>10.34</v>
      </c>
      <c r="E2990" s="85">
        <f t="shared" ref="E2990:E2995" si="195">C2990*D2990</f>
        <v>14.23818</v>
      </c>
    </row>
    <row r="2991" spans="1:5" ht="18" x14ac:dyDescent="0.35">
      <c r="A2991" s="5" t="s">
        <v>2205</v>
      </c>
      <c r="B2991" s="50" t="s">
        <v>33</v>
      </c>
      <c r="C2991" s="7">
        <v>2.0579999999999998</v>
      </c>
      <c r="D2991" s="7">
        <v>10</v>
      </c>
      <c r="E2991" s="85">
        <f t="shared" si="195"/>
        <v>20.58</v>
      </c>
    </row>
    <row r="2992" spans="1:5" ht="18" x14ac:dyDescent="0.35">
      <c r="A2992" s="102" t="s">
        <v>1222</v>
      </c>
      <c r="B2992" s="50" t="s">
        <v>2206</v>
      </c>
      <c r="C2992" s="7">
        <v>2</v>
      </c>
      <c r="D2992" s="7">
        <v>1.1499999999999999</v>
      </c>
      <c r="E2992" s="85">
        <f t="shared" si="195"/>
        <v>2.2999999999999998</v>
      </c>
    </row>
    <row r="2993" spans="1:5" ht="18" x14ac:dyDescent="0.35">
      <c r="A2993" s="5"/>
      <c r="B2993" s="50" t="s">
        <v>34</v>
      </c>
      <c r="C2993" s="7"/>
      <c r="D2993" s="7">
        <v>14.61</v>
      </c>
      <c r="E2993" s="85">
        <f t="shared" si="195"/>
        <v>0</v>
      </c>
    </row>
    <row r="2994" spans="1:5" ht="18" x14ac:dyDescent="0.35">
      <c r="A2994" s="5"/>
      <c r="B2994" s="50" t="s">
        <v>35</v>
      </c>
      <c r="C2994" s="7">
        <v>4</v>
      </c>
      <c r="D2994" s="7">
        <v>2.91</v>
      </c>
      <c r="E2994" s="85">
        <f t="shared" si="195"/>
        <v>11.64</v>
      </c>
    </row>
    <row r="2995" spans="1:5" ht="18" x14ac:dyDescent="0.35">
      <c r="A2995" s="5"/>
      <c r="B2995" s="50" t="s">
        <v>36</v>
      </c>
      <c r="C2995" s="7">
        <v>4</v>
      </c>
      <c r="D2995" s="7">
        <v>0.61</v>
      </c>
      <c r="E2995" s="85">
        <f t="shared" si="195"/>
        <v>2.44</v>
      </c>
    </row>
    <row r="2996" spans="1:5" ht="18" x14ac:dyDescent="0.35">
      <c r="A2996" s="5"/>
      <c r="B2996" s="5"/>
      <c r="C2996" s="54"/>
      <c r="D2996" s="54"/>
      <c r="E2996" s="89">
        <f>SUM(E2990:E2995)</f>
        <v>51.198179999999994</v>
      </c>
    </row>
    <row r="2997" spans="1:5" ht="18" x14ac:dyDescent="0.35">
      <c r="A2997" s="5"/>
      <c r="B2997" s="5"/>
      <c r="C2997" s="54"/>
      <c r="D2997" s="54" t="s">
        <v>1158</v>
      </c>
      <c r="E2997" s="89">
        <f>E2996+E2996*10%</f>
        <v>56.317997999999996</v>
      </c>
    </row>
    <row r="2998" spans="1:5" ht="18" x14ac:dyDescent="0.35">
      <c r="A2998" s="5"/>
      <c r="B2998" s="50" t="s">
        <v>37</v>
      </c>
      <c r="C2998" s="54">
        <v>0.2</v>
      </c>
      <c r="D2998" s="54">
        <v>85</v>
      </c>
      <c r="E2998" s="85">
        <f>C2998*D2998</f>
        <v>17</v>
      </c>
    </row>
    <row r="2999" spans="1:5" ht="18" x14ac:dyDescent="0.35">
      <c r="A2999" s="5"/>
      <c r="B2999" s="5"/>
      <c r="C2999" s="54"/>
      <c r="D2999" s="54"/>
      <c r="E2999" s="85">
        <f>SUM(E2997:E2998)</f>
        <v>73.317997999999989</v>
      </c>
    </row>
    <row r="3001" spans="1:5" ht="21" x14ac:dyDescent="0.4">
      <c r="A3001" s="40" t="s">
        <v>1919</v>
      </c>
      <c r="B3001" s="40"/>
      <c r="C3001" s="84"/>
    </row>
    <row r="3002" spans="1:5" ht="18" x14ac:dyDescent="0.35">
      <c r="A3002" s="5" t="s">
        <v>2217</v>
      </c>
      <c r="B3002" s="5"/>
      <c r="C3002" s="7" t="s">
        <v>28</v>
      </c>
      <c r="D3002" s="7" t="s">
        <v>29</v>
      </c>
      <c r="E3002" s="7" t="s">
        <v>30</v>
      </c>
    </row>
    <row r="3003" spans="1:5" ht="18" x14ac:dyDescent="0.35">
      <c r="A3003" s="5" t="s">
        <v>214</v>
      </c>
      <c r="B3003" s="50" t="s">
        <v>32</v>
      </c>
      <c r="C3003" s="7">
        <v>1.335</v>
      </c>
      <c r="D3003" s="7">
        <v>10.34</v>
      </c>
      <c r="E3003" s="85">
        <f t="shared" ref="E3003:E3008" si="196">C3003*D3003</f>
        <v>13.803899999999999</v>
      </c>
    </row>
    <row r="3004" spans="1:5" ht="18" x14ac:dyDescent="0.35">
      <c r="A3004" s="5" t="s">
        <v>2205</v>
      </c>
      <c r="B3004" s="50" t="s">
        <v>33</v>
      </c>
      <c r="C3004" s="7">
        <v>1.5429999999999999</v>
      </c>
      <c r="D3004" s="7">
        <v>10</v>
      </c>
      <c r="E3004" s="85">
        <f t="shared" si="196"/>
        <v>15.43</v>
      </c>
    </row>
    <row r="3005" spans="1:5" ht="18" x14ac:dyDescent="0.35">
      <c r="A3005" s="102" t="s">
        <v>1222</v>
      </c>
      <c r="B3005" s="50" t="s">
        <v>2206</v>
      </c>
      <c r="C3005" s="7">
        <v>2</v>
      </c>
      <c r="D3005" s="7">
        <v>1.1499999999999999</v>
      </c>
      <c r="E3005" s="85">
        <f t="shared" si="196"/>
        <v>2.2999999999999998</v>
      </c>
    </row>
    <row r="3006" spans="1:5" ht="18" x14ac:dyDescent="0.35">
      <c r="A3006" s="5"/>
      <c r="B3006" s="50" t="s">
        <v>34</v>
      </c>
      <c r="C3006" s="7"/>
      <c r="D3006" s="7">
        <v>14.61</v>
      </c>
      <c r="E3006" s="85">
        <f t="shared" si="196"/>
        <v>0</v>
      </c>
    </row>
    <row r="3007" spans="1:5" ht="18" x14ac:dyDescent="0.35">
      <c r="A3007" s="5"/>
      <c r="B3007" s="50" t="s">
        <v>35</v>
      </c>
      <c r="C3007" s="7">
        <v>4</v>
      </c>
      <c r="D3007" s="7">
        <v>2.91</v>
      </c>
      <c r="E3007" s="85">
        <f t="shared" si="196"/>
        <v>11.64</v>
      </c>
    </row>
    <row r="3008" spans="1:5" ht="18" x14ac:dyDescent="0.35">
      <c r="A3008" s="5"/>
      <c r="B3008" s="50" t="s">
        <v>36</v>
      </c>
      <c r="C3008" s="7">
        <v>4</v>
      </c>
      <c r="D3008" s="7">
        <v>0.61</v>
      </c>
      <c r="E3008" s="85">
        <f t="shared" si="196"/>
        <v>2.44</v>
      </c>
    </row>
    <row r="3009" spans="1:5" ht="18" x14ac:dyDescent="0.35">
      <c r="A3009" s="5"/>
      <c r="B3009" s="5"/>
      <c r="C3009" s="54"/>
      <c r="D3009" s="54"/>
      <c r="E3009" s="89">
        <f>SUM(E3003:E3008)</f>
        <v>45.613900000000001</v>
      </c>
    </row>
    <row r="3010" spans="1:5" ht="18" x14ac:dyDescent="0.35">
      <c r="A3010" s="5"/>
      <c r="B3010" s="5"/>
      <c r="C3010" s="54"/>
      <c r="D3010" s="54" t="s">
        <v>1158</v>
      </c>
      <c r="E3010" s="89">
        <f>E3009+E3009*10%</f>
        <v>50.175290000000004</v>
      </c>
    </row>
    <row r="3011" spans="1:5" ht="18" x14ac:dyDescent="0.35">
      <c r="A3011" s="5"/>
      <c r="B3011" s="50" t="s">
        <v>37</v>
      </c>
      <c r="C3011" s="54">
        <v>0.2</v>
      </c>
      <c r="D3011" s="54">
        <v>85</v>
      </c>
      <c r="E3011" s="85">
        <f>C3011*D3011</f>
        <v>17</v>
      </c>
    </row>
    <row r="3012" spans="1:5" ht="18" x14ac:dyDescent="0.35">
      <c r="A3012" s="5"/>
      <c r="B3012" s="5"/>
      <c r="C3012" s="54"/>
      <c r="D3012" s="54"/>
      <c r="E3012" s="85">
        <f>SUM(E3010:E3011)</f>
        <v>67.175290000000004</v>
      </c>
    </row>
    <row r="3014" spans="1:5" ht="21" x14ac:dyDescent="0.4">
      <c r="A3014" s="40" t="s">
        <v>1919</v>
      </c>
      <c r="B3014" s="40"/>
      <c r="C3014" s="84"/>
    </row>
    <row r="3015" spans="1:5" ht="18" x14ac:dyDescent="0.35">
      <c r="A3015" s="5" t="s">
        <v>2218</v>
      </c>
      <c r="B3015" s="5"/>
      <c r="C3015" s="7" t="s">
        <v>28</v>
      </c>
      <c r="D3015" s="7" t="s">
        <v>29</v>
      </c>
      <c r="E3015" s="7" t="s">
        <v>30</v>
      </c>
    </row>
    <row r="3016" spans="1:5" ht="18" x14ac:dyDescent="0.35">
      <c r="A3016" s="5" t="s">
        <v>214</v>
      </c>
      <c r="B3016" s="50" t="s">
        <v>32</v>
      </c>
      <c r="C3016" s="7">
        <v>1.9650000000000001</v>
      </c>
      <c r="D3016" s="7">
        <v>10.34</v>
      </c>
      <c r="E3016" s="85">
        <f t="shared" ref="E3016:E3021" si="197">C3016*D3016</f>
        <v>20.318100000000001</v>
      </c>
    </row>
    <row r="3017" spans="1:5" ht="18" x14ac:dyDescent="0.35">
      <c r="A3017" s="5" t="s">
        <v>2205</v>
      </c>
      <c r="B3017" s="50" t="s">
        <v>33</v>
      </c>
      <c r="C3017" s="7">
        <v>2.488</v>
      </c>
      <c r="D3017" s="7">
        <v>10</v>
      </c>
      <c r="E3017" s="85">
        <f t="shared" si="197"/>
        <v>24.88</v>
      </c>
    </row>
    <row r="3018" spans="1:5" ht="18" x14ac:dyDescent="0.35">
      <c r="A3018" s="102" t="s">
        <v>1222</v>
      </c>
      <c r="B3018" s="50" t="s">
        <v>2206</v>
      </c>
      <c r="C3018" s="7">
        <v>2</v>
      </c>
      <c r="D3018" s="7">
        <v>1.1499999999999999</v>
      </c>
      <c r="E3018" s="85">
        <f t="shared" si="197"/>
        <v>2.2999999999999998</v>
      </c>
    </row>
    <row r="3019" spans="1:5" ht="18" x14ac:dyDescent="0.35">
      <c r="A3019" s="5"/>
      <c r="B3019" s="50" t="s">
        <v>34</v>
      </c>
      <c r="C3019" s="7"/>
      <c r="D3019" s="7">
        <v>14.61</v>
      </c>
      <c r="E3019" s="85">
        <f t="shared" si="197"/>
        <v>0</v>
      </c>
    </row>
    <row r="3020" spans="1:5" ht="18" x14ac:dyDescent="0.35">
      <c r="A3020" s="5"/>
      <c r="B3020" s="50" t="s">
        <v>35</v>
      </c>
      <c r="C3020" s="7">
        <v>4</v>
      </c>
      <c r="D3020" s="7">
        <v>2.91</v>
      </c>
      <c r="E3020" s="85">
        <f t="shared" si="197"/>
        <v>11.64</v>
      </c>
    </row>
    <row r="3021" spans="1:5" ht="18" x14ac:dyDescent="0.35">
      <c r="A3021" s="5"/>
      <c r="B3021" s="50" t="s">
        <v>36</v>
      </c>
      <c r="C3021" s="7">
        <v>4</v>
      </c>
      <c r="D3021" s="7">
        <v>0.61</v>
      </c>
      <c r="E3021" s="85">
        <f t="shared" si="197"/>
        <v>2.44</v>
      </c>
    </row>
    <row r="3022" spans="1:5" ht="18" x14ac:dyDescent="0.35">
      <c r="A3022" s="5"/>
      <c r="B3022" s="5"/>
      <c r="C3022" s="54"/>
      <c r="D3022" s="54"/>
      <c r="E3022" s="89">
        <f>SUM(E3016:E3021)</f>
        <v>61.578099999999992</v>
      </c>
    </row>
    <row r="3023" spans="1:5" ht="18" x14ac:dyDescent="0.35">
      <c r="A3023" s="5"/>
      <c r="B3023" s="5"/>
      <c r="C3023" s="54"/>
      <c r="D3023" s="54" t="s">
        <v>1158</v>
      </c>
      <c r="E3023" s="89">
        <f>E3022+E3022*10%</f>
        <v>67.73590999999999</v>
      </c>
    </row>
    <row r="3024" spans="1:5" ht="18" x14ac:dyDescent="0.35">
      <c r="A3024" s="5"/>
      <c r="B3024" s="50" t="s">
        <v>37</v>
      </c>
      <c r="C3024" s="54">
        <v>0.2</v>
      </c>
      <c r="D3024" s="54">
        <v>85</v>
      </c>
      <c r="E3024" s="85">
        <f>C3024*D3024</f>
        <v>17</v>
      </c>
    </row>
    <row r="3025" spans="1:5" ht="18" x14ac:dyDescent="0.35">
      <c r="A3025" s="5"/>
      <c r="B3025" s="5"/>
      <c r="C3025" s="54"/>
      <c r="D3025" s="54"/>
      <c r="E3025" s="85">
        <f>SUM(E3023:E3024)</f>
        <v>84.73590999999999</v>
      </c>
    </row>
    <row r="3027" spans="1:5" ht="21" x14ac:dyDescent="0.4">
      <c r="A3027" s="40" t="s">
        <v>1919</v>
      </c>
      <c r="B3027" s="40"/>
      <c r="C3027" s="84"/>
    </row>
    <row r="3028" spans="1:5" ht="18" x14ac:dyDescent="0.35">
      <c r="A3028" s="5" t="s">
        <v>569</v>
      </c>
      <c r="B3028" s="5"/>
      <c r="C3028" s="7" t="s">
        <v>28</v>
      </c>
      <c r="D3028" s="7" t="s">
        <v>29</v>
      </c>
      <c r="E3028" s="7" t="s">
        <v>30</v>
      </c>
    </row>
    <row r="3029" spans="1:5" ht="18" x14ac:dyDescent="0.35">
      <c r="A3029" s="5" t="s">
        <v>54</v>
      </c>
      <c r="B3029" s="50" t="s">
        <v>32</v>
      </c>
      <c r="C3029" s="7">
        <v>4.125</v>
      </c>
      <c r="D3029" s="7">
        <v>10.34</v>
      </c>
      <c r="E3029" s="85">
        <f t="shared" ref="E3029:E3034" si="198">C3029*D3029</f>
        <v>42.652499999999996</v>
      </c>
    </row>
    <row r="3030" spans="1:5" ht="18" x14ac:dyDescent="0.35">
      <c r="A3030" s="5" t="s">
        <v>971</v>
      </c>
      <c r="B3030" s="50" t="s">
        <v>33</v>
      </c>
      <c r="C3030" s="7">
        <v>29.725000000000001</v>
      </c>
      <c r="D3030" s="7">
        <v>10</v>
      </c>
      <c r="E3030" s="85">
        <f t="shared" si="198"/>
        <v>297.25</v>
      </c>
    </row>
    <row r="3031" spans="1:5" ht="18" x14ac:dyDescent="0.35">
      <c r="A3031" s="102" t="s">
        <v>1222</v>
      </c>
      <c r="B3031" s="50" t="s">
        <v>87</v>
      </c>
      <c r="C3031" s="7">
        <v>2</v>
      </c>
      <c r="D3031" s="7">
        <v>1.81</v>
      </c>
      <c r="E3031" s="85">
        <f t="shared" si="198"/>
        <v>3.62</v>
      </c>
    </row>
    <row r="3032" spans="1:5" ht="18" x14ac:dyDescent="0.35">
      <c r="A3032" s="5"/>
      <c r="B3032" s="50" t="s">
        <v>34</v>
      </c>
      <c r="C3032" s="7">
        <v>2.1</v>
      </c>
      <c r="D3032" s="7">
        <v>14.61</v>
      </c>
      <c r="E3032" s="85">
        <f t="shared" si="198"/>
        <v>30.681000000000001</v>
      </c>
    </row>
    <row r="3033" spans="1:5" ht="18" x14ac:dyDescent="0.35">
      <c r="A3033" s="5"/>
      <c r="B3033" s="50" t="s">
        <v>35</v>
      </c>
      <c r="C3033" s="7">
        <v>4</v>
      </c>
      <c r="D3033" s="7">
        <v>2.91</v>
      </c>
      <c r="E3033" s="85">
        <f t="shared" si="198"/>
        <v>11.64</v>
      </c>
    </row>
    <row r="3034" spans="1:5" ht="18" x14ac:dyDescent="0.35">
      <c r="A3034" s="5"/>
      <c r="B3034" s="50" t="s">
        <v>36</v>
      </c>
      <c r="C3034" s="7">
        <v>4</v>
      </c>
      <c r="D3034" s="7">
        <v>0.61</v>
      </c>
      <c r="E3034" s="85">
        <f t="shared" si="198"/>
        <v>2.44</v>
      </c>
    </row>
    <row r="3035" spans="1:5" ht="18" x14ac:dyDescent="0.35">
      <c r="A3035" s="5"/>
      <c r="B3035" s="5"/>
      <c r="C3035" s="54"/>
      <c r="D3035" s="54"/>
      <c r="E3035" s="89">
        <f>SUM(E3029:E3034)</f>
        <v>388.28349999999995</v>
      </c>
    </row>
    <row r="3036" spans="1:5" ht="18" x14ac:dyDescent="0.35">
      <c r="A3036" s="5"/>
      <c r="B3036" s="5"/>
      <c r="C3036" s="54"/>
      <c r="D3036" s="54" t="s">
        <v>1158</v>
      </c>
      <c r="E3036" s="89">
        <f>E3035+E3035*10%</f>
        <v>427.11184999999995</v>
      </c>
    </row>
    <row r="3037" spans="1:5" ht="18" x14ac:dyDescent="0.35">
      <c r="A3037" s="5"/>
      <c r="B3037" s="50" t="s">
        <v>37</v>
      </c>
      <c r="C3037" s="54">
        <v>1.5</v>
      </c>
      <c r="D3037" s="54">
        <v>85</v>
      </c>
      <c r="E3037" s="85">
        <f>C3037*D3037</f>
        <v>127.5</v>
      </c>
    </row>
    <row r="3038" spans="1:5" ht="18" x14ac:dyDescent="0.35">
      <c r="A3038" s="5"/>
      <c r="B3038" s="5"/>
      <c r="C3038" s="54"/>
      <c r="D3038" s="54"/>
      <c r="E3038" s="85">
        <f>SUM(E3036:E3037)</f>
        <v>554.61185</v>
      </c>
    </row>
    <row r="3040" spans="1:5" ht="21" x14ac:dyDescent="0.4">
      <c r="A3040" s="40" t="s">
        <v>2247</v>
      </c>
      <c r="B3040" s="40"/>
      <c r="C3040" s="40"/>
      <c r="D3040" s="12"/>
      <c r="E3040" s="12"/>
    </row>
    <row r="3041" spans="1:5" ht="18" x14ac:dyDescent="0.35">
      <c r="A3041" s="5"/>
      <c r="B3041" s="5"/>
      <c r="C3041" s="7" t="s">
        <v>28</v>
      </c>
      <c r="D3041" s="7" t="s">
        <v>29</v>
      </c>
      <c r="E3041" s="7" t="s">
        <v>30</v>
      </c>
    </row>
    <row r="3042" spans="1:5" ht="18" x14ac:dyDescent="0.35">
      <c r="A3042" s="5" t="s">
        <v>407</v>
      </c>
      <c r="B3042" s="50" t="s">
        <v>32</v>
      </c>
      <c r="C3042" s="7">
        <v>1.7130000000000001</v>
      </c>
      <c r="D3042" s="7">
        <v>10.34</v>
      </c>
      <c r="E3042" s="85">
        <f>C3042*D3042</f>
        <v>17.712420000000002</v>
      </c>
    </row>
    <row r="3043" spans="1:5" ht="18" x14ac:dyDescent="0.35">
      <c r="A3043" s="5" t="s">
        <v>2245</v>
      </c>
      <c r="B3043" s="50" t="s">
        <v>33</v>
      </c>
      <c r="C3043" s="7">
        <v>9.4179999999999993</v>
      </c>
      <c r="D3043" s="7">
        <v>3.89</v>
      </c>
      <c r="E3043" s="85">
        <f>C3043*D3043</f>
        <v>36.636019999999995</v>
      </c>
    </row>
    <row r="3044" spans="1:5" ht="18" x14ac:dyDescent="0.35">
      <c r="A3044" s="5" t="s">
        <v>1073</v>
      </c>
      <c r="B3044" s="50" t="s">
        <v>137</v>
      </c>
      <c r="C3044" s="7">
        <v>0.73499999999999999</v>
      </c>
      <c r="D3044" s="7">
        <v>15.25</v>
      </c>
      <c r="E3044" s="85">
        <f>C3044*D3044</f>
        <v>11.20875</v>
      </c>
    </row>
    <row r="3045" spans="1:5" ht="18" x14ac:dyDescent="0.35">
      <c r="A3045" s="5"/>
      <c r="B3045" s="50" t="s">
        <v>35</v>
      </c>
      <c r="C3045" s="7">
        <v>4</v>
      </c>
      <c r="D3045" s="7">
        <v>2.91</v>
      </c>
      <c r="E3045" s="85">
        <f>C3045*D3045</f>
        <v>11.64</v>
      </c>
    </row>
    <row r="3046" spans="1:5" ht="18" x14ac:dyDescent="0.35">
      <c r="A3046" s="5"/>
      <c r="B3046" s="50" t="s">
        <v>36</v>
      </c>
      <c r="C3046" s="7">
        <v>4</v>
      </c>
      <c r="D3046" s="7">
        <v>0.61</v>
      </c>
      <c r="E3046" s="85">
        <f>C3046*D3046</f>
        <v>2.44</v>
      </c>
    </row>
    <row r="3047" spans="1:5" ht="18" x14ac:dyDescent="0.35">
      <c r="A3047" s="5"/>
      <c r="B3047" s="50"/>
      <c r="C3047" s="87"/>
      <c r="D3047" s="88"/>
      <c r="E3047" s="85">
        <f>SUM(E3042:E3046)</f>
        <v>79.63718999999999</v>
      </c>
    </row>
    <row r="3048" spans="1:5" ht="18" x14ac:dyDescent="0.35">
      <c r="A3048" s="5"/>
      <c r="B3048" s="50"/>
      <c r="C3048" s="87"/>
      <c r="D3048" s="88" t="s">
        <v>1085</v>
      </c>
      <c r="E3048" s="85">
        <f>E3047+E3047*10%</f>
        <v>87.600908999999987</v>
      </c>
    </row>
    <row r="3049" spans="1:5" ht="18" x14ac:dyDescent="0.35">
      <c r="A3049" s="5"/>
      <c r="B3049" s="50" t="s">
        <v>37</v>
      </c>
      <c r="C3049" s="54">
        <v>0.2</v>
      </c>
      <c r="D3049" s="86">
        <v>85</v>
      </c>
      <c r="E3049" s="85">
        <f>C3049*D3049</f>
        <v>17</v>
      </c>
    </row>
    <row r="3050" spans="1:5" ht="18" x14ac:dyDescent="0.35">
      <c r="A3050" s="5"/>
      <c r="B3050" s="5"/>
      <c r="C3050" s="54"/>
      <c r="D3050" s="54"/>
      <c r="E3050" s="85">
        <f>SUM(E3048:E3049)</f>
        <v>104.60090899999999</v>
      </c>
    </row>
  </sheetData>
  <pageMargins left="0.11811023622047245" right="0.11811023622047245" top="0.74803149606299213" bottom="0.74803149606299213" header="0.31496062992125984" footer="0.31496062992125984"/>
  <pageSetup paperSize="9" scale="95" orientation="portrait" horizontalDpi="0" verticalDpi="0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67"/>
  <sheetViews>
    <sheetView topLeftCell="A46" workbookViewId="0">
      <selection activeCell="C58" sqref="C58"/>
    </sheetView>
  </sheetViews>
  <sheetFormatPr baseColWidth="10" defaultRowHeight="14.4" x14ac:dyDescent="0.3"/>
  <cols>
    <col min="1" max="1" width="15.5546875" customWidth="1"/>
    <col min="3" max="3" width="19.5546875" customWidth="1"/>
    <col min="4" max="4" width="16.5546875" customWidth="1"/>
    <col min="5" max="5" width="22.109375" customWidth="1"/>
  </cols>
  <sheetData>
    <row r="2" spans="1:5" ht="21" x14ac:dyDescent="0.4">
      <c r="A2" s="40" t="s">
        <v>618</v>
      </c>
      <c r="B2" s="40"/>
      <c r="C2" s="40"/>
    </row>
    <row r="5" spans="1:5" ht="18" x14ac:dyDescent="0.35">
      <c r="A5" s="5"/>
      <c r="B5" s="5"/>
      <c r="C5" s="7" t="s">
        <v>28</v>
      </c>
      <c r="D5" s="7" t="s">
        <v>29</v>
      </c>
      <c r="E5" s="7" t="s">
        <v>30</v>
      </c>
    </row>
    <row r="6" spans="1:5" ht="18" x14ac:dyDescent="0.35">
      <c r="A6" s="5" t="s">
        <v>123</v>
      </c>
      <c r="B6" s="50" t="s">
        <v>32</v>
      </c>
      <c r="C6" s="7">
        <v>3.226</v>
      </c>
      <c r="D6" s="7">
        <v>30.29</v>
      </c>
      <c r="E6" s="85">
        <f t="shared" ref="E6:E11" si="0">C6*D6</f>
        <v>97.71553999999999</v>
      </c>
    </row>
    <row r="7" spans="1:5" ht="18" x14ac:dyDescent="0.35">
      <c r="A7" s="5" t="s">
        <v>168</v>
      </c>
      <c r="B7" s="50" t="s">
        <v>33</v>
      </c>
      <c r="C7" s="7">
        <v>30.145</v>
      </c>
      <c r="D7" s="7">
        <v>10.86</v>
      </c>
      <c r="E7" s="85">
        <f t="shared" si="0"/>
        <v>327.37469999999996</v>
      </c>
    </row>
    <row r="8" spans="1:5" ht="18" x14ac:dyDescent="0.35">
      <c r="A8" s="5" t="s">
        <v>595</v>
      </c>
      <c r="B8" s="50" t="s">
        <v>137</v>
      </c>
      <c r="C8" s="7">
        <v>1.6</v>
      </c>
      <c r="D8" s="7">
        <v>17.190000000000001</v>
      </c>
      <c r="E8" s="85">
        <f t="shared" si="0"/>
        <v>27.504000000000005</v>
      </c>
    </row>
    <row r="9" spans="1:5" ht="18" x14ac:dyDescent="0.35">
      <c r="A9" s="5"/>
      <c r="B9" s="50" t="s">
        <v>35</v>
      </c>
      <c r="C9" s="7">
        <v>4</v>
      </c>
      <c r="D9" s="7">
        <v>2.89</v>
      </c>
      <c r="E9" s="85">
        <f t="shared" si="0"/>
        <v>11.56</v>
      </c>
    </row>
    <row r="10" spans="1:5" ht="18" x14ac:dyDescent="0.35">
      <c r="A10" s="5"/>
      <c r="B10" s="50" t="s">
        <v>36</v>
      </c>
      <c r="C10" s="7">
        <v>4</v>
      </c>
      <c r="D10" s="7">
        <v>0.6</v>
      </c>
      <c r="E10" s="85">
        <f t="shared" si="0"/>
        <v>2.4</v>
      </c>
    </row>
    <row r="11" spans="1:5" ht="18" x14ac:dyDescent="0.35">
      <c r="A11" s="5"/>
      <c r="B11" s="50" t="s">
        <v>37</v>
      </c>
      <c r="C11" s="7">
        <v>1.5</v>
      </c>
      <c r="D11" s="93">
        <v>101.32</v>
      </c>
      <c r="E11" s="85">
        <f t="shared" si="0"/>
        <v>151.97999999999999</v>
      </c>
    </row>
    <row r="12" spans="1:5" ht="18" x14ac:dyDescent="0.35">
      <c r="A12" s="5"/>
      <c r="B12" s="5"/>
      <c r="C12" s="54"/>
      <c r="D12" s="54"/>
      <c r="E12" s="85">
        <f>SUM(E6:E11)</f>
        <v>618.53423999999995</v>
      </c>
    </row>
    <row r="15" spans="1:5" ht="18" x14ac:dyDescent="0.35">
      <c r="A15" s="5"/>
      <c r="B15" s="5"/>
      <c r="C15" s="7" t="s">
        <v>28</v>
      </c>
      <c r="D15" s="7" t="s">
        <v>29</v>
      </c>
      <c r="E15" s="7" t="s">
        <v>30</v>
      </c>
    </row>
    <row r="16" spans="1:5" ht="18" x14ac:dyDescent="0.35">
      <c r="A16" s="5" t="s">
        <v>124</v>
      </c>
      <c r="B16" s="50" t="s">
        <v>32</v>
      </c>
      <c r="C16" s="7">
        <v>3.4980000000000002</v>
      </c>
      <c r="D16" s="7">
        <v>30.29</v>
      </c>
      <c r="E16" s="85">
        <f t="shared" ref="E16:E21" si="1">C16*D16</f>
        <v>105.95442</v>
      </c>
    </row>
    <row r="17" spans="1:5" ht="18" x14ac:dyDescent="0.35">
      <c r="A17" s="5" t="s">
        <v>168</v>
      </c>
      <c r="B17" s="50" t="s">
        <v>33</v>
      </c>
      <c r="C17" s="7">
        <v>36.235999999999997</v>
      </c>
      <c r="D17" s="7">
        <v>10.86</v>
      </c>
      <c r="E17" s="85">
        <f t="shared" si="1"/>
        <v>393.52295999999996</v>
      </c>
    </row>
    <row r="18" spans="1:5" ht="18" x14ac:dyDescent="0.35">
      <c r="A18" s="5" t="s">
        <v>615</v>
      </c>
      <c r="B18" s="50" t="s">
        <v>137</v>
      </c>
      <c r="C18" s="7">
        <v>1.6</v>
      </c>
      <c r="D18" s="7">
        <v>17.190000000000001</v>
      </c>
      <c r="E18" s="85">
        <f t="shared" si="1"/>
        <v>27.504000000000005</v>
      </c>
    </row>
    <row r="19" spans="1:5" ht="18" x14ac:dyDescent="0.35">
      <c r="A19" s="5"/>
      <c r="B19" s="50" t="s">
        <v>35</v>
      </c>
      <c r="C19" s="7">
        <v>8</v>
      </c>
      <c r="D19" s="7">
        <v>2.89</v>
      </c>
      <c r="E19" s="85">
        <f t="shared" si="1"/>
        <v>23.12</v>
      </c>
    </row>
    <row r="20" spans="1:5" ht="18" x14ac:dyDescent="0.35">
      <c r="A20" s="5"/>
      <c r="B20" s="50" t="s">
        <v>36</v>
      </c>
      <c r="C20" s="7">
        <v>4</v>
      </c>
      <c r="D20" s="7">
        <v>0.6</v>
      </c>
      <c r="E20" s="85">
        <f t="shared" si="1"/>
        <v>2.4</v>
      </c>
    </row>
    <row r="21" spans="1:5" ht="18" x14ac:dyDescent="0.35">
      <c r="A21" s="5"/>
      <c r="B21" s="50" t="s">
        <v>37</v>
      </c>
      <c r="C21" s="54">
        <v>1.5</v>
      </c>
      <c r="D21" s="86">
        <v>101.32</v>
      </c>
      <c r="E21" s="85">
        <f t="shared" si="1"/>
        <v>151.97999999999999</v>
      </c>
    </row>
    <row r="22" spans="1:5" ht="18" x14ac:dyDescent="0.35">
      <c r="A22" s="5"/>
      <c r="B22" s="5"/>
      <c r="C22" s="54"/>
      <c r="D22" s="54"/>
      <c r="E22" s="85">
        <f>SUM(E16:E21)</f>
        <v>704.48137999999994</v>
      </c>
    </row>
    <row r="25" spans="1:5" ht="18" x14ac:dyDescent="0.35">
      <c r="A25" s="5"/>
      <c r="B25" s="5"/>
      <c r="C25" s="7" t="s">
        <v>28</v>
      </c>
      <c r="D25" s="7" t="s">
        <v>29</v>
      </c>
      <c r="E25" s="7" t="s">
        <v>30</v>
      </c>
    </row>
    <row r="26" spans="1:5" ht="18" x14ac:dyDescent="0.35">
      <c r="A26" s="5" t="s">
        <v>79</v>
      </c>
      <c r="B26" s="50" t="s">
        <v>32</v>
      </c>
      <c r="C26" s="7">
        <v>2.2389999999999999</v>
      </c>
      <c r="D26" s="7">
        <v>30.29</v>
      </c>
      <c r="E26" s="85">
        <f t="shared" ref="E26:E31" si="2">C26*D26</f>
        <v>67.819310000000002</v>
      </c>
    </row>
    <row r="27" spans="1:5" ht="18" x14ac:dyDescent="0.35">
      <c r="A27" s="5" t="s">
        <v>53</v>
      </c>
      <c r="B27" s="50" t="s">
        <v>33</v>
      </c>
      <c r="C27" s="7">
        <v>11.613</v>
      </c>
      <c r="D27" s="7">
        <v>10.86</v>
      </c>
      <c r="E27" s="85">
        <f t="shared" si="2"/>
        <v>126.11717999999999</v>
      </c>
    </row>
    <row r="28" spans="1:5" ht="18" x14ac:dyDescent="0.35">
      <c r="A28" s="5" t="s">
        <v>617</v>
      </c>
      <c r="B28" s="50" t="s">
        <v>137</v>
      </c>
      <c r="C28" s="7">
        <v>1</v>
      </c>
      <c r="D28" s="7">
        <v>17.190000000000001</v>
      </c>
      <c r="E28" s="85">
        <f t="shared" si="2"/>
        <v>17.190000000000001</v>
      </c>
    </row>
    <row r="29" spans="1:5" ht="18" x14ac:dyDescent="0.35">
      <c r="A29" s="5"/>
      <c r="B29" s="50" t="s">
        <v>35</v>
      </c>
      <c r="C29" s="7">
        <v>8</v>
      </c>
      <c r="D29" s="7">
        <v>2.89</v>
      </c>
      <c r="E29" s="85">
        <f t="shared" si="2"/>
        <v>23.12</v>
      </c>
    </row>
    <row r="30" spans="1:5" ht="18" x14ac:dyDescent="0.35">
      <c r="A30" s="5"/>
      <c r="B30" s="50" t="s">
        <v>36</v>
      </c>
      <c r="C30" s="7">
        <v>4</v>
      </c>
      <c r="D30" s="7">
        <v>0.6</v>
      </c>
      <c r="E30" s="85">
        <f t="shared" si="2"/>
        <v>2.4</v>
      </c>
    </row>
    <row r="31" spans="1:5" ht="18" x14ac:dyDescent="0.35">
      <c r="A31" s="5"/>
      <c r="B31" s="50" t="s">
        <v>37</v>
      </c>
      <c r="C31" s="7">
        <v>0.5</v>
      </c>
      <c r="D31" s="93">
        <v>101.32</v>
      </c>
      <c r="E31" s="85">
        <f t="shared" si="2"/>
        <v>50.66</v>
      </c>
    </row>
    <row r="32" spans="1:5" ht="18" x14ac:dyDescent="0.35">
      <c r="A32" s="5"/>
      <c r="B32" s="5"/>
      <c r="C32" s="54"/>
      <c r="D32" s="54"/>
      <c r="E32" s="85">
        <f>SUM(E26:E31)</f>
        <v>287.30649</v>
      </c>
    </row>
    <row r="34" spans="1:6" ht="18" x14ac:dyDescent="0.35">
      <c r="A34" s="5"/>
      <c r="B34" s="5"/>
      <c r="C34" s="7" t="s">
        <v>28</v>
      </c>
      <c r="D34" s="7" t="s">
        <v>29</v>
      </c>
      <c r="E34" s="7" t="s">
        <v>30</v>
      </c>
    </row>
    <row r="35" spans="1:6" ht="18" x14ac:dyDescent="0.35">
      <c r="A35" s="5" t="s">
        <v>38</v>
      </c>
      <c r="B35" s="50" t="s">
        <v>32</v>
      </c>
      <c r="C35" s="7">
        <v>0.97799999999999998</v>
      </c>
      <c r="D35" s="7">
        <v>30.29</v>
      </c>
      <c r="E35" s="85">
        <f>C35*D35</f>
        <v>29.623619999999999</v>
      </c>
    </row>
    <row r="36" spans="1:6" ht="18" x14ac:dyDescent="0.35">
      <c r="A36" s="5" t="s">
        <v>63</v>
      </c>
      <c r="B36" s="50" t="s">
        <v>33</v>
      </c>
      <c r="C36" s="7">
        <v>1.827</v>
      </c>
      <c r="D36" s="7">
        <v>10.86</v>
      </c>
      <c r="E36" s="85">
        <f>C36*D36</f>
        <v>19.84122</v>
      </c>
    </row>
    <row r="37" spans="1:6" ht="18" x14ac:dyDescent="0.35">
      <c r="A37" s="5" t="s">
        <v>619</v>
      </c>
      <c r="B37" s="50" t="s">
        <v>137</v>
      </c>
      <c r="C37" s="7">
        <v>0.21</v>
      </c>
      <c r="D37" s="7">
        <v>17.190000000000001</v>
      </c>
      <c r="E37" s="85">
        <f>C37*D37</f>
        <v>3.6099000000000001</v>
      </c>
    </row>
    <row r="38" spans="1:6" ht="18" x14ac:dyDescent="0.35">
      <c r="A38" s="5"/>
      <c r="B38" s="50" t="s">
        <v>35</v>
      </c>
      <c r="C38" s="7">
        <v>4</v>
      </c>
      <c r="D38" s="7">
        <v>2.89</v>
      </c>
      <c r="E38" s="85">
        <f>C38*D38</f>
        <v>11.56</v>
      </c>
    </row>
    <row r="39" spans="1:6" ht="18" x14ac:dyDescent="0.35">
      <c r="A39" s="5"/>
      <c r="B39" s="50" t="s">
        <v>36</v>
      </c>
      <c r="C39" s="7">
        <v>4</v>
      </c>
      <c r="D39" s="7">
        <v>0.6</v>
      </c>
      <c r="E39" s="85">
        <f>C39*D39</f>
        <v>2.4</v>
      </c>
      <c r="F39" s="9">
        <f>SUM(E35:E39)</f>
        <v>67.034739999999999</v>
      </c>
    </row>
    <row r="40" spans="1:6" ht="18" x14ac:dyDescent="0.35">
      <c r="A40" s="5"/>
      <c r="B40" s="50" t="s">
        <v>37</v>
      </c>
      <c r="C40" s="7">
        <v>0.5</v>
      </c>
      <c r="D40" s="93">
        <v>101.32</v>
      </c>
      <c r="E40" s="85">
        <v>16</v>
      </c>
    </row>
    <row r="41" spans="1:6" ht="18" x14ac:dyDescent="0.35">
      <c r="A41" s="5"/>
      <c r="B41" s="5"/>
      <c r="C41" s="54"/>
      <c r="D41" s="54"/>
      <c r="E41" s="85">
        <f>SUM(E35:E40)</f>
        <v>83.034739999999999</v>
      </c>
    </row>
    <row r="44" spans="1:6" ht="21" x14ac:dyDescent="0.4">
      <c r="A44" s="40" t="s">
        <v>599</v>
      </c>
      <c r="B44" s="40"/>
      <c r="C44" s="84"/>
      <c r="D44" s="12"/>
      <c r="E44" s="12"/>
    </row>
    <row r="45" spans="1:6" x14ac:dyDescent="0.3">
      <c r="C45" s="12"/>
      <c r="D45" s="12"/>
      <c r="E45" s="12"/>
    </row>
    <row r="46" spans="1:6" ht="18" x14ac:dyDescent="0.35">
      <c r="A46" s="5"/>
      <c r="B46" s="5"/>
      <c r="C46" s="7" t="s">
        <v>28</v>
      </c>
      <c r="D46" s="7" t="s">
        <v>29</v>
      </c>
      <c r="E46" s="7" t="s">
        <v>30</v>
      </c>
    </row>
    <row r="47" spans="1:6" ht="18" x14ac:dyDescent="0.35">
      <c r="A47" s="5" t="s">
        <v>636</v>
      </c>
      <c r="B47" s="50" t="s">
        <v>32</v>
      </c>
      <c r="C47" s="7">
        <v>10.67</v>
      </c>
      <c r="D47" s="7">
        <v>30.29</v>
      </c>
      <c r="E47" s="85">
        <f t="shared" ref="E47:E52" si="3">C47*D47</f>
        <v>323.1943</v>
      </c>
    </row>
    <row r="48" spans="1:6" ht="18" x14ac:dyDescent="0.35">
      <c r="A48" s="5" t="s">
        <v>638</v>
      </c>
      <c r="B48" s="50" t="s">
        <v>33</v>
      </c>
      <c r="C48" s="7">
        <v>153.09</v>
      </c>
      <c r="D48" s="7">
        <v>16.09</v>
      </c>
      <c r="E48" s="85">
        <f t="shared" si="3"/>
        <v>2463.2181</v>
      </c>
    </row>
    <row r="49" spans="1:5" ht="18" x14ac:dyDescent="0.35">
      <c r="A49" s="5" t="s">
        <v>637</v>
      </c>
      <c r="B49" s="50" t="s">
        <v>88</v>
      </c>
      <c r="C49" s="7">
        <v>2</v>
      </c>
      <c r="D49" s="7">
        <v>3.01</v>
      </c>
      <c r="E49" s="85">
        <f t="shared" si="3"/>
        <v>6.02</v>
      </c>
    </row>
    <row r="50" spans="1:5" ht="18" x14ac:dyDescent="0.35">
      <c r="A50" s="5"/>
      <c r="B50" s="50" t="s">
        <v>34</v>
      </c>
      <c r="C50" s="7">
        <v>6</v>
      </c>
      <c r="D50" s="7">
        <v>14.61</v>
      </c>
      <c r="E50" s="85">
        <f t="shared" si="3"/>
        <v>87.66</v>
      </c>
    </row>
    <row r="51" spans="1:5" ht="18" x14ac:dyDescent="0.35">
      <c r="A51" s="5"/>
      <c r="B51" s="50" t="s">
        <v>35</v>
      </c>
      <c r="C51" s="7">
        <v>10</v>
      </c>
      <c r="D51" s="7">
        <v>2.89</v>
      </c>
      <c r="E51" s="85">
        <f t="shared" si="3"/>
        <v>28.900000000000002</v>
      </c>
    </row>
    <row r="52" spans="1:5" ht="18" x14ac:dyDescent="0.35">
      <c r="A52" s="5"/>
      <c r="B52" s="50" t="s">
        <v>36</v>
      </c>
      <c r="C52" s="7">
        <v>4</v>
      </c>
      <c r="D52" s="7">
        <v>0.6</v>
      </c>
      <c r="E52" s="85">
        <f t="shared" si="3"/>
        <v>2.4</v>
      </c>
    </row>
    <row r="53" spans="1:5" ht="18" x14ac:dyDescent="0.35">
      <c r="A53" s="5"/>
      <c r="B53" s="5"/>
      <c r="C53" s="54"/>
      <c r="D53" s="54"/>
      <c r="E53" s="89">
        <f>SUM(E47:E52)</f>
        <v>2911.3924000000002</v>
      </c>
    </row>
    <row r="54" spans="1:5" ht="18" x14ac:dyDescent="0.35">
      <c r="A54" s="5"/>
      <c r="B54" s="50" t="s">
        <v>37</v>
      </c>
      <c r="C54" s="54">
        <v>8</v>
      </c>
      <c r="D54" s="54">
        <v>101.32</v>
      </c>
      <c r="E54" s="85">
        <f>C54*D54</f>
        <v>810.56</v>
      </c>
    </row>
    <row r="55" spans="1:5" ht="18" x14ac:dyDescent="0.35">
      <c r="A55" s="5"/>
      <c r="B55" s="5"/>
      <c r="C55" s="54"/>
      <c r="D55" s="54"/>
      <c r="E55" s="85">
        <f>SUM(E53:E54)</f>
        <v>3721.9524000000001</v>
      </c>
    </row>
    <row r="56" spans="1:5" x14ac:dyDescent="0.3">
      <c r="C56" s="12"/>
      <c r="D56" s="12"/>
      <c r="E56" s="12" t="s">
        <v>639</v>
      </c>
    </row>
    <row r="57" spans="1:5" ht="21" x14ac:dyDescent="0.4">
      <c r="A57" s="40" t="s">
        <v>978</v>
      </c>
      <c r="B57" s="40"/>
      <c r="C57" s="40"/>
      <c r="D57" s="12"/>
      <c r="E57" s="12"/>
    </row>
    <row r="58" spans="1:5" ht="18" x14ac:dyDescent="0.35">
      <c r="A58" s="5"/>
      <c r="B58" s="5"/>
      <c r="C58" s="7" t="s">
        <v>28</v>
      </c>
      <c r="D58" s="7" t="s">
        <v>29</v>
      </c>
      <c r="E58" s="7" t="s">
        <v>30</v>
      </c>
    </row>
    <row r="59" spans="1:5" ht="18" x14ac:dyDescent="0.35">
      <c r="A59" s="5" t="s">
        <v>82</v>
      </c>
      <c r="B59" s="50" t="s">
        <v>32</v>
      </c>
      <c r="C59" s="7">
        <v>3.0779999999999998</v>
      </c>
      <c r="D59" s="7">
        <v>10.34</v>
      </c>
      <c r="E59" s="85">
        <f>C59*D59</f>
        <v>31.826519999999999</v>
      </c>
    </row>
    <row r="60" spans="1:5" ht="18" x14ac:dyDescent="0.35">
      <c r="A60" s="5" t="s">
        <v>217</v>
      </c>
      <c r="B60" s="50" t="s">
        <v>33</v>
      </c>
      <c r="C60" s="7">
        <v>17.492999999999999</v>
      </c>
      <c r="D60" s="7">
        <v>17.059999999999999</v>
      </c>
      <c r="E60" s="85">
        <f>C60*D60</f>
        <v>298.43057999999996</v>
      </c>
    </row>
    <row r="61" spans="1:5" ht="18" x14ac:dyDescent="0.35">
      <c r="A61" s="5" t="s">
        <v>673</v>
      </c>
      <c r="B61" s="50" t="s">
        <v>137</v>
      </c>
      <c r="C61" s="7">
        <v>1</v>
      </c>
      <c r="D61" s="7">
        <v>15.25</v>
      </c>
      <c r="E61" s="85">
        <f>C61*D61</f>
        <v>15.25</v>
      </c>
    </row>
    <row r="62" spans="1:5" ht="18" x14ac:dyDescent="0.35">
      <c r="A62" s="5"/>
      <c r="B62" s="50" t="s">
        <v>35</v>
      </c>
      <c r="C62" s="7">
        <v>4</v>
      </c>
      <c r="D62" s="7">
        <v>2.91</v>
      </c>
      <c r="E62" s="85">
        <f>C62*D62</f>
        <v>11.64</v>
      </c>
    </row>
    <row r="63" spans="1:5" ht="18" x14ac:dyDescent="0.35">
      <c r="A63" s="5"/>
      <c r="B63" s="50" t="s">
        <v>36</v>
      </c>
      <c r="C63" s="7">
        <v>4</v>
      </c>
      <c r="D63" s="7">
        <v>0.61</v>
      </c>
      <c r="E63" s="85">
        <f>C63*D63</f>
        <v>2.44</v>
      </c>
    </row>
    <row r="64" spans="1:5" ht="18" x14ac:dyDescent="0.35">
      <c r="A64" s="5"/>
      <c r="B64" s="50"/>
      <c r="C64" s="87"/>
      <c r="D64" s="88"/>
      <c r="E64" s="85">
        <f>SUM(E59:E63)</f>
        <v>359.58709999999996</v>
      </c>
    </row>
    <row r="65" spans="1:5" ht="18" x14ac:dyDescent="0.35">
      <c r="A65" s="5"/>
      <c r="B65" s="50"/>
      <c r="C65" s="87"/>
      <c r="D65" s="88" t="s">
        <v>1266</v>
      </c>
      <c r="E65" s="85">
        <f>E64+E64*10%</f>
        <v>395.54580999999996</v>
      </c>
    </row>
    <row r="66" spans="1:5" ht="18" x14ac:dyDescent="0.35">
      <c r="A66" s="5"/>
      <c r="B66" s="50" t="s">
        <v>37</v>
      </c>
      <c r="C66" s="54">
        <v>0.75</v>
      </c>
      <c r="D66" s="86">
        <v>200</v>
      </c>
      <c r="E66" s="85">
        <f>C66*D66</f>
        <v>150</v>
      </c>
    </row>
    <row r="67" spans="1:5" ht="18" x14ac:dyDescent="0.35">
      <c r="A67" s="5"/>
      <c r="B67" s="5"/>
      <c r="C67" s="54"/>
      <c r="D67" s="54"/>
      <c r="E67" s="85">
        <f>SUM(E65:E66)</f>
        <v>545.54580999999996</v>
      </c>
    </row>
  </sheetData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C83"/>
  <sheetViews>
    <sheetView workbookViewId="0">
      <selection activeCell="B14" sqref="B14"/>
    </sheetView>
  </sheetViews>
  <sheetFormatPr baseColWidth="10" defaultRowHeight="14.4" x14ac:dyDescent="0.3"/>
  <cols>
    <col min="1" max="1" width="22.5546875" customWidth="1"/>
    <col min="2" max="2" width="22.6640625" customWidth="1"/>
    <col min="3" max="3" width="21.5546875" customWidth="1"/>
  </cols>
  <sheetData>
    <row r="2" spans="1:3" ht="21" x14ac:dyDescent="0.4">
      <c r="A2" s="40" t="s">
        <v>2070</v>
      </c>
      <c r="B2" s="40"/>
      <c r="C2" s="84"/>
    </row>
    <row r="4" spans="1:3" ht="15.6" x14ac:dyDescent="0.3">
      <c r="A4" s="148" t="s">
        <v>2069</v>
      </c>
      <c r="B4" s="149" t="s">
        <v>2067</v>
      </c>
      <c r="C4" s="149" t="s">
        <v>2068</v>
      </c>
    </row>
    <row r="5" spans="1:3" ht="18" x14ac:dyDescent="0.35">
      <c r="A5" s="50" t="s">
        <v>31</v>
      </c>
      <c r="B5" s="7">
        <v>110</v>
      </c>
      <c r="C5" s="7">
        <v>120</v>
      </c>
    </row>
    <row r="6" spans="1:3" ht="18" x14ac:dyDescent="0.35">
      <c r="A6" s="50" t="s">
        <v>38</v>
      </c>
      <c r="B6" s="7">
        <v>125</v>
      </c>
      <c r="C6" s="7">
        <v>135</v>
      </c>
    </row>
    <row r="7" spans="1:3" ht="18" x14ac:dyDescent="0.35">
      <c r="A7" s="50" t="s">
        <v>40</v>
      </c>
      <c r="B7" s="7">
        <v>150</v>
      </c>
      <c r="C7" s="7">
        <v>160</v>
      </c>
    </row>
    <row r="8" spans="1:3" ht="18" x14ac:dyDescent="0.35">
      <c r="A8" s="50" t="s">
        <v>41</v>
      </c>
      <c r="B8" s="7">
        <v>160</v>
      </c>
      <c r="C8" s="7">
        <v>170</v>
      </c>
    </row>
    <row r="9" spans="1:3" ht="18" x14ac:dyDescent="0.35">
      <c r="A9" s="50" t="s">
        <v>44</v>
      </c>
      <c r="B9" s="7">
        <v>175</v>
      </c>
      <c r="C9" s="7">
        <v>185</v>
      </c>
    </row>
    <row r="10" spans="1:3" ht="18" x14ac:dyDescent="0.35">
      <c r="A10" s="50" t="s">
        <v>45</v>
      </c>
      <c r="B10" s="7">
        <v>185</v>
      </c>
      <c r="C10" s="7">
        <v>195</v>
      </c>
    </row>
    <row r="11" spans="1:3" ht="18" x14ac:dyDescent="0.35">
      <c r="A11" s="50" t="s">
        <v>46</v>
      </c>
      <c r="B11" s="7">
        <v>195</v>
      </c>
      <c r="C11" s="7">
        <v>208</v>
      </c>
    </row>
    <row r="12" spans="1:3" ht="18" x14ac:dyDescent="0.35">
      <c r="A12" s="50" t="s">
        <v>47</v>
      </c>
      <c r="B12" s="7">
        <v>230</v>
      </c>
      <c r="C12" s="7">
        <v>245</v>
      </c>
    </row>
    <row r="13" spans="1:3" ht="18" x14ac:dyDescent="0.35">
      <c r="A13" s="50" t="s">
        <v>48</v>
      </c>
      <c r="B13" s="7">
        <v>260</v>
      </c>
      <c r="C13" s="7">
        <v>275</v>
      </c>
    </row>
    <row r="14" spans="1:3" ht="18" x14ac:dyDescent="0.35">
      <c r="A14" s="50" t="s">
        <v>62</v>
      </c>
      <c r="B14" s="7"/>
      <c r="C14" s="7"/>
    </row>
    <row r="15" spans="1:3" ht="18" x14ac:dyDescent="0.35">
      <c r="A15" s="50" t="s">
        <v>64</v>
      </c>
      <c r="B15" s="7"/>
      <c r="C15" s="7"/>
    </row>
    <row r="16" spans="1:3" ht="18" x14ac:dyDescent="0.35">
      <c r="A16" s="50" t="s">
        <v>65</v>
      </c>
      <c r="B16" s="7"/>
      <c r="C16" s="7"/>
    </row>
    <row r="17" spans="1:3" ht="18" x14ac:dyDescent="0.35">
      <c r="A17" s="50" t="s">
        <v>66</v>
      </c>
      <c r="B17" s="7"/>
      <c r="C17" s="7"/>
    </row>
    <row r="18" spans="1:3" ht="18" x14ac:dyDescent="0.35">
      <c r="A18" s="50" t="s">
        <v>67</v>
      </c>
      <c r="B18" s="7"/>
      <c r="C18" s="7"/>
    </row>
    <row r="19" spans="1:3" ht="18" x14ac:dyDescent="0.35">
      <c r="A19" s="50" t="s">
        <v>68</v>
      </c>
      <c r="B19" s="7"/>
      <c r="C19" s="7"/>
    </row>
    <row r="20" spans="1:3" ht="18" x14ac:dyDescent="0.35">
      <c r="A20" s="50" t="s">
        <v>69</v>
      </c>
      <c r="B20" s="7"/>
      <c r="C20" s="7"/>
    </row>
    <row r="21" spans="1:3" ht="18" x14ac:dyDescent="0.35">
      <c r="A21" s="50" t="s">
        <v>70</v>
      </c>
      <c r="B21" s="7"/>
      <c r="C21" s="7"/>
    </row>
    <row r="22" spans="1:3" ht="18" x14ac:dyDescent="0.35">
      <c r="A22" s="50" t="s">
        <v>71</v>
      </c>
      <c r="B22" s="7"/>
      <c r="C22" s="7"/>
    </row>
    <row r="23" spans="1:3" ht="18" x14ac:dyDescent="0.35">
      <c r="A23" s="96"/>
      <c r="B23" s="87"/>
      <c r="C23" s="87"/>
    </row>
    <row r="24" spans="1:3" ht="18" x14ac:dyDescent="0.35">
      <c r="A24" s="96"/>
      <c r="B24" s="87"/>
      <c r="C24" s="87"/>
    </row>
    <row r="25" spans="1:3" ht="18" x14ac:dyDescent="0.35">
      <c r="A25" s="96"/>
      <c r="B25" s="87"/>
      <c r="C25" s="87"/>
    </row>
    <row r="26" spans="1:3" ht="18" x14ac:dyDescent="0.35">
      <c r="A26" s="96"/>
      <c r="B26" s="87"/>
      <c r="C26" s="87"/>
    </row>
    <row r="27" spans="1:3" ht="18" x14ac:dyDescent="0.35">
      <c r="A27" s="96"/>
      <c r="B27" s="87"/>
      <c r="C27" s="87"/>
    </row>
    <row r="28" spans="1:3" ht="18" x14ac:dyDescent="0.35">
      <c r="A28" s="96"/>
      <c r="B28" s="87"/>
      <c r="C28" s="87"/>
    </row>
    <row r="29" spans="1:3" ht="18" x14ac:dyDescent="0.35">
      <c r="A29" s="96"/>
      <c r="B29" s="87"/>
      <c r="C29" s="87"/>
    </row>
    <row r="30" spans="1:3" ht="18" x14ac:dyDescent="0.35">
      <c r="A30" s="96"/>
      <c r="B30" s="87"/>
      <c r="C30" s="87"/>
    </row>
    <row r="31" spans="1:3" ht="18" x14ac:dyDescent="0.35">
      <c r="A31" s="96"/>
      <c r="B31" s="87"/>
      <c r="C31" s="87"/>
    </row>
    <row r="32" spans="1:3" ht="18" x14ac:dyDescent="0.35">
      <c r="A32" s="96"/>
      <c r="B32" s="87"/>
      <c r="C32" s="87"/>
    </row>
    <row r="33" spans="1:3" ht="18" x14ac:dyDescent="0.35">
      <c r="A33" s="96"/>
      <c r="B33" s="87"/>
      <c r="C33" s="87"/>
    </row>
    <row r="34" spans="1:3" ht="18" x14ac:dyDescent="0.35">
      <c r="A34" s="96"/>
      <c r="B34" s="87"/>
      <c r="C34" s="87"/>
    </row>
    <row r="35" spans="1:3" ht="18" x14ac:dyDescent="0.35">
      <c r="A35" s="96"/>
      <c r="B35" s="87"/>
      <c r="C35" s="87"/>
    </row>
    <row r="36" spans="1:3" ht="18" x14ac:dyDescent="0.35">
      <c r="A36" s="96"/>
      <c r="B36" s="87"/>
      <c r="C36" s="87"/>
    </row>
    <row r="37" spans="1:3" ht="18" x14ac:dyDescent="0.35">
      <c r="A37" s="96"/>
      <c r="B37" s="87"/>
      <c r="C37" s="87"/>
    </row>
    <row r="38" spans="1:3" ht="18" x14ac:dyDescent="0.35">
      <c r="A38" s="96"/>
      <c r="B38" s="87"/>
      <c r="C38" s="87"/>
    </row>
    <row r="39" spans="1:3" ht="18" x14ac:dyDescent="0.35">
      <c r="A39" s="96"/>
      <c r="B39" s="87"/>
      <c r="C39" s="87"/>
    </row>
    <row r="40" spans="1:3" ht="18" x14ac:dyDescent="0.35">
      <c r="A40" s="96"/>
      <c r="B40" s="87"/>
      <c r="C40" s="87"/>
    </row>
    <row r="41" spans="1:3" ht="18" x14ac:dyDescent="0.35">
      <c r="A41" s="96"/>
      <c r="B41" s="87"/>
      <c r="C41" s="87"/>
    </row>
    <row r="42" spans="1:3" ht="18" x14ac:dyDescent="0.35">
      <c r="A42" s="96"/>
      <c r="B42" s="87"/>
      <c r="C42" s="87"/>
    </row>
    <row r="43" spans="1:3" ht="18" x14ac:dyDescent="0.35">
      <c r="A43" s="96"/>
      <c r="B43" s="87"/>
      <c r="C43" s="87"/>
    </row>
    <row r="44" spans="1:3" ht="18" x14ac:dyDescent="0.35">
      <c r="A44" s="96"/>
      <c r="B44" s="87"/>
      <c r="C44" s="87"/>
    </row>
    <row r="45" spans="1:3" ht="18" x14ac:dyDescent="0.35">
      <c r="A45" s="96"/>
      <c r="B45" s="87"/>
      <c r="C45" s="87"/>
    </row>
    <row r="46" spans="1:3" ht="18" x14ac:dyDescent="0.35">
      <c r="A46" s="96"/>
      <c r="B46" s="87"/>
      <c r="C46" s="87"/>
    </row>
    <row r="47" spans="1:3" ht="18" x14ac:dyDescent="0.35">
      <c r="A47" s="96"/>
      <c r="B47" s="87"/>
      <c r="C47" s="87"/>
    </row>
    <row r="48" spans="1:3" ht="18" x14ac:dyDescent="0.35">
      <c r="A48" s="96"/>
      <c r="B48" s="87"/>
      <c r="C48" s="87"/>
    </row>
    <row r="49" spans="1:3" ht="18" x14ac:dyDescent="0.35">
      <c r="A49" s="96"/>
      <c r="B49" s="87"/>
      <c r="C49" s="87"/>
    </row>
    <row r="50" spans="1:3" ht="18" x14ac:dyDescent="0.35">
      <c r="A50" s="96"/>
      <c r="B50" s="87"/>
      <c r="C50" s="87"/>
    </row>
    <row r="51" spans="1:3" ht="18" x14ac:dyDescent="0.35">
      <c r="A51" s="96"/>
      <c r="B51" s="87"/>
      <c r="C51" s="87"/>
    </row>
    <row r="52" spans="1:3" ht="18" x14ac:dyDescent="0.35">
      <c r="A52" s="96"/>
      <c r="B52" s="87"/>
      <c r="C52" s="87"/>
    </row>
    <row r="53" spans="1:3" ht="18" x14ac:dyDescent="0.35">
      <c r="A53" s="96"/>
      <c r="B53" s="87"/>
      <c r="C53" s="87"/>
    </row>
    <row r="54" spans="1:3" ht="18" x14ac:dyDescent="0.35">
      <c r="A54" s="96"/>
      <c r="B54" s="87"/>
      <c r="C54" s="87"/>
    </row>
    <row r="55" spans="1:3" ht="18" x14ac:dyDescent="0.35">
      <c r="A55" s="96"/>
      <c r="B55" s="87"/>
      <c r="C55" s="87"/>
    </row>
    <row r="56" spans="1:3" ht="18" x14ac:dyDescent="0.35">
      <c r="A56" s="96"/>
      <c r="B56" s="87"/>
      <c r="C56" s="87"/>
    </row>
    <row r="57" spans="1:3" ht="16.8" customHeight="1" x14ac:dyDescent="0.45">
      <c r="A57" s="36"/>
      <c r="B57" s="36"/>
    </row>
    <row r="59" spans="1:3" ht="21" x14ac:dyDescent="0.4">
      <c r="A59" s="40" t="s">
        <v>2071</v>
      </c>
      <c r="B59" s="40"/>
      <c r="C59" s="84"/>
    </row>
    <row r="61" spans="1:3" ht="15.6" x14ac:dyDescent="0.3">
      <c r="A61" s="148" t="s">
        <v>2069</v>
      </c>
      <c r="B61" s="149" t="s">
        <v>2067</v>
      </c>
      <c r="C61" s="149" t="s">
        <v>2068</v>
      </c>
    </row>
    <row r="62" spans="1:3" ht="18" x14ac:dyDescent="0.35">
      <c r="A62" s="50" t="s">
        <v>31</v>
      </c>
      <c r="B62" s="7"/>
      <c r="C62" s="7"/>
    </row>
    <row r="63" spans="1:3" ht="18" x14ac:dyDescent="0.35">
      <c r="A63" s="50" t="s">
        <v>38</v>
      </c>
      <c r="B63" s="7"/>
      <c r="C63" s="7"/>
    </row>
    <row r="64" spans="1:3" ht="18" x14ac:dyDescent="0.35">
      <c r="A64" s="50" t="s">
        <v>40</v>
      </c>
      <c r="B64" s="7"/>
      <c r="C64" s="7"/>
    </row>
    <row r="65" spans="1:3" ht="18" x14ac:dyDescent="0.35">
      <c r="A65" s="50" t="s">
        <v>41</v>
      </c>
      <c r="B65" s="7"/>
      <c r="C65" s="7"/>
    </row>
    <row r="66" spans="1:3" ht="18" x14ac:dyDescent="0.35">
      <c r="A66" s="50" t="s">
        <v>44</v>
      </c>
      <c r="B66" s="7"/>
      <c r="C66" s="7"/>
    </row>
    <row r="67" spans="1:3" ht="18" x14ac:dyDescent="0.35">
      <c r="A67" s="50" t="s">
        <v>45</v>
      </c>
      <c r="B67" s="7"/>
      <c r="C67" s="7"/>
    </row>
    <row r="68" spans="1:3" ht="18" x14ac:dyDescent="0.35">
      <c r="A68" s="50" t="s">
        <v>46</v>
      </c>
      <c r="B68" s="7"/>
      <c r="C68" s="7"/>
    </row>
    <row r="69" spans="1:3" ht="18" x14ac:dyDescent="0.35">
      <c r="A69" s="50" t="s">
        <v>47</v>
      </c>
      <c r="B69" s="7"/>
      <c r="C69" s="7"/>
    </row>
    <row r="70" spans="1:3" ht="18" x14ac:dyDescent="0.35">
      <c r="A70" s="50" t="s">
        <v>48</v>
      </c>
      <c r="B70" s="7"/>
      <c r="C70" s="7"/>
    </row>
    <row r="72" spans="1:3" ht="21" x14ac:dyDescent="0.4">
      <c r="A72" s="40" t="s">
        <v>2072</v>
      </c>
      <c r="B72" s="40"/>
      <c r="C72" s="84"/>
    </row>
    <row r="74" spans="1:3" ht="15.6" x14ac:dyDescent="0.3">
      <c r="A74" s="148" t="s">
        <v>2069</v>
      </c>
      <c r="B74" s="149" t="s">
        <v>2067</v>
      </c>
      <c r="C74" s="149" t="s">
        <v>2068</v>
      </c>
    </row>
    <row r="75" spans="1:3" ht="18" x14ac:dyDescent="0.35">
      <c r="A75" s="50" t="s">
        <v>31</v>
      </c>
      <c r="B75" s="7"/>
      <c r="C75" s="7"/>
    </row>
    <row r="76" spans="1:3" ht="18" x14ac:dyDescent="0.35">
      <c r="A76" s="50" t="s">
        <v>38</v>
      </c>
      <c r="B76" s="7"/>
      <c r="C76" s="7"/>
    </row>
    <row r="77" spans="1:3" ht="18" x14ac:dyDescent="0.35">
      <c r="A77" s="50" t="s">
        <v>40</v>
      </c>
      <c r="B77" s="7"/>
      <c r="C77" s="7"/>
    </row>
    <row r="78" spans="1:3" ht="18" x14ac:dyDescent="0.35">
      <c r="A78" s="50" t="s">
        <v>41</v>
      </c>
      <c r="B78" s="7"/>
      <c r="C78" s="7"/>
    </row>
    <row r="79" spans="1:3" ht="18" x14ac:dyDescent="0.35">
      <c r="A79" s="50" t="s">
        <v>44</v>
      </c>
      <c r="B79" s="7"/>
      <c r="C79" s="7"/>
    </row>
    <row r="80" spans="1:3" ht="18" x14ac:dyDescent="0.35">
      <c r="A80" s="50" t="s">
        <v>45</v>
      </c>
      <c r="B80" s="7"/>
      <c r="C80" s="7"/>
    </row>
    <row r="81" spans="1:3" ht="18" x14ac:dyDescent="0.35">
      <c r="A81" s="50" t="s">
        <v>46</v>
      </c>
      <c r="B81" s="7"/>
      <c r="C81" s="7"/>
    </row>
    <row r="82" spans="1:3" ht="18" x14ac:dyDescent="0.35">
      <c r="A82" s="50" t="s">
        <v>47</v>
      </c>
      <c r="B82" s="7"/>
      <c r="C82" s="7"/>
    </row>
    <row r="83" spans="1:3" ht="18" x14ac:dyDescent="0.35">
      <c r="A83" s="50" t="s">
        <v>48</v>
      </c>
      <c r="B83" s="7"/>
      <c r="C83" s="7"/>
    </row>
  </sheetData>
  <pageMargins left="0.70866141732283472" right="0.70866141732283472" top="0.74803149606299213" bottom="0.74803149606299213" header="0.31496062992125984" footer="0.31496062992125984"/>
  <pageSetup paperSize="9" orientation="portrait" horizontalDpi="0" verticalDpi="0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186"/>
  <sheetViews>
    <sheetView topLeftCell="A172" workbookViewId="0">
      <selection activeCell="E188" sqref="E188"/>
    </sheetView>
  </sheetViews>
  <sheetFormatPr baseColWidth="10" defaultRowHeight="14.4" x14ac:dyDescent="0.3"/>
  <sheetData>
    <row r="2" spans="1:5" ht="21" x14ac:dyDescent="0.4">
      <c r="A2" s="40" t="s">
        <v>1923</v>
      </c>
      <c r="B2" s="40"/>
      <c r="C2" s="84"/>
    </row>
    <row r="4" spans="1:5" ht="18" x14ac:dyDescent="0.35">
      <c r="A4" s="5" t="s">
        <v>31</v>
      </c>
      <c r="B4" s="5"/>
      <c r="C4" s="7" t="s">
        <v>28</v>
      </c>
      <c r="D4" s="7" t="s">
        <v>29</v>
      </c>
      <c r="E4" s="7" t="s">
        <v>30</v>
      </c>
    </row>
    <row r="5" spans="1:5" ht="18" x14ac:dyDescent="0.35">
      <c r="A5" s="5" t="s">
        <v>1120</v>
      </c>
      <c r="B5" s="50" t="s">
        <v>32</v>
      </c>
      <c r="C5" s="7">
        <v>0.76800000000000002</v>
      </c>
      <c r="D5" s="7">
        <v>10.34</v>
      </c>
      <c r="E5" s="85">
        <f t="shared" ref="E5:E10" si="0">C5*D5</f>
        <v>7.9411199999999997</v>
      </c>
    </row>
    <row r="6" spans="1:5" ht="18" x14ac:dyDescent="0.35">
      <c r="A6" s="5"/>
      <c r="B6" s="50" t="s">
        <v>33</v>
      </c>
      <c r="C6" s="7">
        <v>0.79800000000000004</v>
      </c>
      <c r="D6" s="7">
        <v>10</v>
      </c>
      <c r="E6" s="85">
        <f t="shared" si="0"/>
        <v>7.98</v>
      </c>
    </row>
    <row r="7" spans="1:5" ht="18" x14ac:dyDescent="0.35">
      <c r="A7" s="102"/>
      <c r="B7" s="50" t="s">
        <v>42</v>
      </c>
      <c r="C7" s="7">
        <v>2</v>
      </c>
      <c r="D7" s="7">
        <v>1.1499999999999999</v>
      </c>
      <c r="E7" s="85">
        <f t="shared" si="0"/>
        <v>2.2999999999999998</v>
      </c>
    </row>
    <row r="8" spans="1:5" ht="18" x14ac:dyDescent="0.35">
      <c r="A8" s="5"/>
      <c r="B8" s="50" t="s">
        <v>34</v>
      </c>
      <c r="C8" s="7"/>
      <c r="D8" s="7">
        <v>3.4</v>
      </c>
      <c r="E8" s="85">
        <f t="shared" si="0"/>
        <v>0</v>
      </c>
    </row>
    <row r="9" spans="1:5" ht="18" x14ac:dyDescent="0.35">
      <c r="A9" s="5"/>
      <c r="B9" s="50" t="s">
        <v>35</v>
      </c>
      <c r="C9" s="7">
        <v>4</v>
      </c>
      <c r="D9" s="7">
        <v>2.91</v>
      </c>
      <c r="E9" s="85">
        <f t="shared" si="0"/>
        <v>11.64</v>
      </c>
    </row>
    <row r="10" spans="1:5" ht="18" x14ac:dyDescent="0.35">
      <c r="A10" s="5"/>
      <c r="B10" s="50" t="s">
        <v>36</v>
      </c>
      <c r="C10" s="7">
        <v>4</v>
      </c>
      <c r="D10" s="7">
        <v>0.61</v>
      </c>
      <c r="E10" s="85">
        <f t="shared" si="0"/>
        <v>2.44</v>
      </c>
    </row>
    <row r="11" spans="1:5" ht="18" x14ac:dyDescent="0.35">
      <c r="A11" s="5"/>
      <c r="B11" s="5"/>
      <c r="C11" s="54"/>
      <c r="D11" s="54"/>
      <c r="E11" s="89">
        <f>SUM(E5:E10)</f>
        <v>32.301119999999997</v>
      </c>
    </row>
    <row r="12" spans="1:5" ht="18" x14ac:dyDescent="0.35">
      <c r="A12" s="5"/>
      <c r="B12" s="5"/>
      <c r="C12" s="54"/>
      <c r="D12" s="54" t="s">
        <v>1066</v>
      </c>
      <c r="E12" s="89">
        <f>E11+E11*40%</f>
        <v>45.221567999999998</v>
      </c>
    </row>
    <row r="13" spans="1:5" ht="18" x14ac:dyDescent="0.35">
      <c r="A13" s="5"/>
      <c r="B13" s="50" t="s">
        <v>37</v>
      </c>
      <c r="C13" s="54">
        <v>0.2</v>
      </c>
      <c r="D13" s="54">
        <v>200</v>
      </c>
      <c r="E13" s="85">
        <f>C13*D13</f>
        <v>40</v>
      </c>
    </row>
    <row r="14" spans="1:5" ht="18" x14ac:dyDescent="0.35">
      <c r="A14" s="5"/>
      <c r="B14" s="5"/>
      <c r="C14" s="54"/>
      <c r="D14" s="54"/>
      <c r="E14" s="85">
        <f>SUM(E12:E13)</f>
        <v>85.221567999999991</v>
      </c>
    </row>
    <row r="15" spans="1:5" x14ac:dyDescent="0.3">
      <c r="E15" s="133">
        <v>110</v>
      </c>
    </row>
    <row r="16" spans="1:5" ht="21" x14ac:dyDescent="0.4">
      <c r="A16" s="40" t="s">
        <v>1923</v>
      </c>
      <c r="B16" s="40"/>
      <c r="C16" s="84"/>
    </row>
    <row r="18" spans="1:5" ht="18" x14ac:dyDescent="0.35">
      <c r="A18" s="5" t="s">
        <v>38</v>
      </c>
      <c r="B18" s="5"/>
      <c r="C18" s="7" t="s">
        <v>28</v>
      </c>
      <c r="D18" s="7" t="s">
        <v>29</v>
      </c>
      <c r="E18" s="7" t="s">
        <v>30</v>
      </c>
    </row>
    <row r="19" spans="1:5" ht="18" x14ac:dyDescent="0.35">
      <c r="A19" s="5" t="s">
        <v>1120</v>
      </c>
      <c r="B19" s="50" t="s">
        <v>32</v>
      </c>
      <c r="C19" s="7">
        <v>0.97799999999999998</v>
      </c>
      <c r="D19" s="7">
        <v>10.34</v>
      </c>
      <c r="E19" s="85">
        <f t="shared" ref="E19:E24" si="1">C19*D19</f>
        <v>10.11252</v>
      </c>
    </row>
    <row r="20" spans="1:5" ht="18" x14ac:dyDescent="0.35">
      <c r="A20" s="5"/>
      <c r="B20" s="50" t="s">
        <v>33</v>
      </c>
      <c r="C20" s="7">
        <v>1.218</v>
      </c>
      <c r="D20" s="7">
        <v>10</v>
      </c>
      <c r="E20" s="85">
        <f t="shared" si="1"/>
        <v>12.18</v>
      </c>
    </row>
    <row r="21" spans="1:5" ht="18" x14ac:dyDescent="0.35">
      <c r="A21" s="102"/>
      <c r="B21" s="50" t="s">
        <v>42</v>
      </c>
      <c r="C21" s="7">
        <v>2</v>
      </c>
      <c r="D21" s="7">
        <v>1.1499999999999999</v>
      </c>
      <c r="E21" s="85">
        <f t="shared" si="1"/>
        <v>2.2999999999999998</v>
      </c>
    </row>
    <row r="22" spans="1:5" ht="18" x14ac:dyDescent="0.35">
      <c r="A22" s="5"/>
      <c r="B22" s="50" t="s">
        <v>34</v>
      </c>
      <c r="C22" s="7"/>
      <c r="D22" s="7">
        <v>3.4</v>
      </c>
      <c r="E22" s="85">
        <f t="shared" si="1"/>
        <v>0</v>
      </c>
    </row>
    <row r="23" spans="1:5" ht="18" x14ac:dyDescent="0.35">
      <c r="A23" s="5"/>
      <c r="B23" s="50" t="s">
        <v>35</v>
      </c>
      <c r="C23" s="7">
        <v>4</v>
      </c>
      <c r="D23" s="7">
        <v>2.91</v>
      </c>
      <c r="E23" s="85">
        <f t="shared" si="1"/>
        <v>11.64</v>
      </c>
    </row>
    <row r="24" spans="1:5" ht="18" x14ac:dyDescent="0.35">
      <c r="A24" s="5"/>
      <c r="B24" s="50" t="s">
        <v>36</v>
      </c>
      <c r="C24" s="7">
        <v>4</v>
      </c>
      <c r="D24" s="7">
        <v>0.61</v>
      </c>
      <c r="E24" s="85">
        <f t="shared" si="1"/>
        <v>2.44</v>
      </c>
    </row>
    <row r="25" spans="1:5" ht="18" x14ac:dyDescent="0.35">
      <c r="A25" s="5"/>
      <c r="B25" s="5"/>
      <c r="C25" s="54"/>
      <c r="D25" s="54"/>
      <c r="E25" s="89">
        <f>SUM(E19:E24)</f>
        <v>38.672519999999999</v>
      </c>
    </row>
    <row r="26" spans="1:5" ht="18" x14ac:dyDescent="0.35">
      <c r="A26" s="5"/>
      <c r="B26" s="5"/>
      <c r="C26" s="54"/>
      <c r="D26" s="54" t="s">
        <v>1066</v>
      </c>
      <c r="E26" s="89">
        <f>E25+E25*40%</f>
        <v>54.141528000000001</v>
      </c>
    </row>
    <row r="27" spans="1:5" ht="18" x14ac:dyDescent="0.35">
      <c r="A27" s="5"/>
      <c r="B27" s="50" t="s">
        <v>37</v>
      </c>
      <c r="C27" s="54">
        <v>0.2</v>
      </c>
      <c r="D27" s="54">
        <v>200</v>
      </c>
      <c r="E27" s="85">
        <f>C27*D27</f>
        <v>40</v>
      </c>
    </row>
    <row r="28" spans="1:5" ht="18" x14ac:dyDescent="0.35">
      <c r="A28" s="5"/>
      <c r="B28" s="5"/>
      <c r="C28" s="54"/>
      <c r="D28" s="54"/>
      <c r="E28" s="85">
        <f>SUM(E26:E27)</f>
        <v>94.141527999999994</v>
      </c>
    </row>
    <row r="29" spans="1:5" x14ac:dyDescent="0.3">
      <c r="E29" s="133">
        <v>125</v>
      </c>
    </row>
    <row r="30" spans="1:5" ht="21" x14ac:dyDescent="0.4">
      <c r="A30" s="40" t="s">
        <v>1923</v>
      </c>
      <c r="B30" s="40"/>
      <c r="C30" s="84"/>
      <c r="E30" s="133"/>
    </row>
    <row r="31" spans="1:5" ht="18" x14ac:dyDescent="0.35">
      <c r="A31" s="5" t="s">
        <v>40</v>
      </c>
      <c r="B31" s="5"/>
      <c r="C31" s="7" t="s">
        <v>28</v>
      </c>
      <c r="D31" s="7" t="s">
        <v>29</v>
      </c>
      <c r="E31" s="7" t="s">
        <v>30</v>
      </c>
    </row>
    <row r="32" spans="1:5" ht="18" x14ac:dyDescent="0.35">
      <c r="A32" s="5" t="s">
        <v>1120</v>
      </c>
      <c r="B32" s="50" t="s">
        <v>32</v>
      </c>
      <c r="C32" s="7">
        <v>1.1879999999999999</v>
      </c>
      <c r="D32" s="7">
        <v>10.34</v>
      </c>
      <c r="E32" s="85">
        <f t="shared" ref="E32:E37" si="2">C32*D32</f>
        <v>12.283919999999998</v>
      </c>
    </row>
    <row r="33" spans="1:5" ht="18" x14ac:dyDescent="0.35">
      <c r="A33" s="5"/>
      <c r="B33" s="50" t="s">
        <v>33</v>
      </c>
      <c r="C33" s="7">
        <v>1.6379999999999999</v>
      </c>
      <c r="D33" s="7">
        <v>10</v>
      </c>
      <c r="E33" s="85">
        <f t="shared" si="2"/>
        <v>16.38</v>
      </c>
    </row>
    <row r="34" spans="1:5" ht="18" x14ac:dyDescent="0.35">
      <c r="A34" s="102"/>
      <c r="B34" s="50" t="s">
        <v>42</v>
      </c>
      <c r="C34" s="7">
        <v>2</v>
      </c>
      <c r="D34" s="7">
        <v>1.1499999999999999</v>
      </c>
      <c r="E34" s="85">
        <f t="shared" si="2"/>
        <v>2.2999999999999998</v>
      </c>
    </row>
    <row r="35" spans="1:5" ht="18" x14ac:dyDescent="0.35">
      <c r="A35" s="5"/>
      <c r="B35" s="50" t="s">
        <v>34</v>
      </c>
      <c r="C35" s="7"/>
      <c r="D35" s="7">
        <v>3.4</v>
      </c>
      <c r="E35" s="85">
        <f t="shared" si="2"/>
        <v>0</v>
      </c>
    </row>
    <row r="36" spans="1:5" ht="18" x14ac:dyDescent="0.35">
      <c r="A36" s="5"/>
      <c r="B36" s="50" t="s">
        <v>35</v>
      </c>
      <c r="C36" s="7">
        <v>4</v>
      </c>
      <c r="D36" s="7">
        <v>2.91</v>
      </c>
      <c r="E36" s="85">
        <f t="shared" si="2"/>
        <v>11.64</v>
      </c>
    </row>
    <row r="37" spans="1:5" ht="18" x14ac:dyDescent="0.35">
      <c r="A37" s="5"/>
      <c r="B37" s="50" t="s">
        <v>36</v>
      </c>
      <c r="C37" s="7">
        <v>4</v>
      </c>
      <c r="D37" s="7">
        <v>0.61</v>
      </c>
      <c r="E37" s="85">
        <f t="shared" si="2"/>
        <v>2.44</v>
      </c>
    </row>
    <row r="38" spans="1:5" ht="18" x14ac:dyDescent="0.35">
      <c r="A38" s="5"/>
      <c r="B38" s="5"/>
      <c r="C38" s="54"/>
      <c r="D38" s="54"/>
      <c r="E38" s="89">
        <f>SUM(E32:E37)</f>
        <v>45.04392</v>
      </c>
    </row>
    <row r="39" spans="1:5" ht="18" x14ac:dyDescent="0.35">
      <c r="A39" s="5"/>
      <c r="B39" s="5"/>
      <c r="C39" s="54"/>
      <c r="D39" s="54" t="s">
        <v>1066</v>
      </c>
      <c r="E39" s="89">
        <f>E38+E38*40%</f>
        <v>63.061487999999997</v>
      </c>
    </row>
    <row r="40" spans="1:5" ht="18" x14ac:dyDescent="0.35">
      <c r="A40" s="5"/>
      <c r="B40" s="50" t="s">
        <v>37</v>
      </c>
      <c r="C40" s="54">
        <v>0.25</v>
      </c>
      <c r="D40" s="54">
        <v>200</v>
      </c>
      <c r="E40" s="85">
        <f>C40*D40</f>
        <v>50</v>
      </c>
    </row>
    <row r="41" spans="1:5" ht="18" x14ac:dyDescent="0.35">
      <c r="A41" s="5"/>
      <c r="B41" s="5"/>
      <c r="C41" s="54"/>
      <c r="D41" s="54"/>
      <c r="E41" s="85">
        <f>SUM(E39:E40)</f>
        <v>113.061488</v>
      </c>
    </row>
    <row r="42" spans="1:5" x14ac:dyDescent="0.3">
      <c r="E42" s="133">
        <v>150</v>
      </c>
    </row>
    <row r="43" spans="1:5" ht="21" x14ac:dyDescent="0.4">
      <c r="A43" s="40" t="s">
        <v>1923</v>
      </c>
      <c r="B43" s="40"/>
      <c r="C43" s="84"/>
    </row>
    <row r="45" spans="1:5" ht="18" x14ac:dyDescent="0.35">
      <c r="A45" s="5" t="s">
        <v>41</v>
      </c>
      <c r="B45" s="5"/>
      <c r="C45" s="7" t="s">
        <v>28</v>
      </c>
      <c r="D45" s="7" t="s">
        <v>29</v>
      </c>
      <c r="E45" s="7" t="s">
        <v>30</v>
      </c>
    </row>
    <row r="46" spans="1:5" ht="18" x14ac:dyDescent="0.35">
      <c r="A46" s="5" t="s">
        <v>1120</v>
      </c>
      <c r="B46" s="50" t="s">
        <v>32</v>
      </c>
      <c r="C46" s="7">
        <v>1.3979999999999999</v>
      </c>
      <c r="D46" s="7">
        <v>10.34</v>
      </c>
      <c r="E46" s="85">
        <f t="shared" ref="E46:E51" si="3">C46*D46</f>
        <v>14.455319999999999</v>
      </c>
    </row>
    <row r="47" spans="1:5" ht="18" x14ac:dyDescent="0.35">
      <c r="A47" s="5"/>
      <c r="B47" s="50" t="s">
        <v>33</v>
      </c>
      <c r="C47" s="7">
        <v>2.0579999999999998</v>
      </c>
      <c r="D47" s="7">
        <v>10</v>
      </c>
      <c r="E47" s="85">
        <f t="shared" si="3"/>
        <v>20.58</v>
      </c>
    </row>
    <row r="48" spans="1:5" ht="18" x14ac:dyDescent="0.35">
      <c r="A48" s="102"/>
      <c r="B48" s="50" t="s">
        <v>42</v>
      </c>
      <c r="C48" s="7">
        <v>2</v>
      </c>
      <c r="D48" s="7">
        <v>1.1499999999999999</v>
      </c>
      <c r="E48" s="85">
        <f t="shared" si="3"/>
        <v>2.2999999999999998</v>
      </c>
    </row>
    <row r="49" spans="1:5" ht="18" x14ac:dyDescent="0.35">
      <c r="A49" s="5"/>
      <c r="B49" s="50" t="s">
        <v>34</v>
      </c>
      <c r="C49" s="7"/>
      <c r="D49" s="7">
        <v>3.4</v>
      </c>
      <c r="E49" s="85">
        <f t="shared" si="3"/>
        <v>0</v>
      </c>
    </row>
    <row r="50" spans="1:5" ht="18" x14ac:dyDescent="0.35">
      <c r="A50" s="5"/>
      <c r="B50" s="50" t="s">
        <v>35</v>
      </c>
      <c r="C50" s="7">
        <v>4</v>
      </c>
      <c r="D50" s="7">
        <v>2.91</v>
      </c>
      <c r="E50" s="85">
        <f t="shared" si="3"/>
        <v>11.64</v>
      </c>
    </row>
    <row r="51" spans="1:5" ht="18" x14ac:dyDescent="0.35">
      <c r="A51" s="5"/>
      <c r="B51" s="50" t="s">
        <v>36</v>
      </c>
      <c r="C51" s="7">
        <v>4</v>
      </c>
      <c r="D51" s="7">
        <v>0.61</v>
      </c>
      <c r="E51" s="85">
        <f t="shared" si="3"/>
        <v>2.44</v>
      </c>
    </row>
    <row r="52" spans="1:5" ht="18" x14ac:dyDescent="0.35">
      <c r="A52" s="5"/>
      <c r="B52" s="5"/>
      <c r="C52" s="54"/>
      <c r="D52" s="54"/>
      <c r="E52" s="89">
        <f>SUM(E46:E51)</f>
        <v>51.415319999999994</v>
      </c>
    </row>
    <row r="53" spans="1:5" ht="18" x14ac:dyDescent="0.35">
      <c r="A53" s="5"/>
      <c r="B53" s="5"/>
      <c r="C53" s="54"/>
      <c r="D53" s="54" t="s">
        <v>1066</v>
      </c>
      <c r="E53" s="89">
        <f>E52+E52*40%</f>
        <v>71.981448</v>
      </c>
    </row>
    <row r="54" spans="1:5" ht="18" x14ac:dyDescent="0.35">
      <c r="A54" s="5"/>
      <c r="B54" s="50" t="s">
        <v>37</v>
      </c>
      <c r="C54" s="54">
        <v>0.25</v>
      </c>
      <c r="D54" s="54">
        <v>200</v>
      </c>
      <c r="E54" s="85">
        <f>C54*D54</f>
        <v>50</v>
      </c>
    </row>
    <row r="55" spans="1:5" ht="18" x14ac:dyDescent="0.35">
      <c r="A55" s="5"/>
      <c r="B55" s="5"/>
      <c r="C55" s="54"/>
      <c r="D55" s="54"/>
      <c r="E55" s="85">
        <f>SUM(E53:E54)</f>
        <v>121.981448</v>
      </c>
    </row>
    <row r="56" spans="1:5" x14ac:dyDescent="0.3">
      <c r="E56" s="133">
        <v>160</v>
      </c>
    </row>
    <row r="57" spans="1:5" ht="21" x14ac:dyDescent="0.4">
      <c r="A57" s="40" t="s">
        <v>1923</v>
      </c>
      <c r="B57" s="40"/>
      <c r="C57" s="84"/>
    </row>
    <row r="58" spans="1:5" ht="18" x14ac:dyDescent="0.35">
      <c r="A58" s="5" t="s">
        <v>44</v>
      </c>
      <c r="B58" s="5"/>
      <c r="C58" s="7" t="s">
        <v>28</v>
      </c>
      <c r="D58" s="7" t="s">
        <v>29</v>
      </c>
      <c r="E58" s="7" t="s">
        <v>30</v>
      </c>
    </row>
    <row r="59" spans="1:5" ht="18" x14ac:dyDescent="0.35">
      <c r="A59" s="5" t="s">
        <v>1120</v>
      </c>
      <c r="B59" s="50" t="s">
        <v>32</v>
      </c>
      <c r="C59" s="7">
        <v>1.61</v>
      </c>
      <c r="D59" s="7">
        <v>10.34</v>
      </c>
      <c r="E59" s="85">
        <f t="shared" ref="E59:E64" si="4">C59*D59</f>
        <v>16.647400000000001</v>
      </c>
    </row>
    <row r="60" spans="1:5" ht="18" x14ac:dyDescent="0.35">
      <c r="A60" s="5"/>
      <c r="B60" s="50" t="s">
        <v>33</v>
      </c>
      <c r="C60" s="7">
        <v>2.4780000000000002</v>
      </c>
      <c r="D60" s="7">
        <v>10</v>
      </c>
      <c r="E60" s="85">
        <f t="shared" si="4"/>
        <v>24.78</v>
      </c>
    </row>
    <row r="61" spans="1:5" ht="18" x14ac:dyDescent="0.35">
      <c r="A61" s="102"/>
      <c r="B61" s="50" t="s">
        <v>42</v>
      </c>
      <c r="C61" s="7">
        <v>2</v>
      </c>
      <c r="D61" s="7">
        <v>1.1499999999999999</v>
      </c>
      <c r="E61" s="85">
        <f t="shared" si="4"/>
        <v>2.2999999999999998</v>
      </c>
    </row>
    <row r="62" spans="1:5" ht="18" x14ac:dyDescent="0.35">
      <c r="A62" s="5"/>
      <c r="B62" s="50" t="s">
        <v>34</v>
      </c>
      <c r="C62" s="7">
        <v>0.105</v>
      </c>
      <c r="D62" s="7">
        <v>3.4</v>
      </c>
      <c r="E62" s="85">
        <f t="shared" si="4"/>
        <v>0.35699999999999998</v>
      </c>
    </row>
    <row r="63" spans="1:5" ht="18" x14ac:dyDescent="0.35">
      <c r="A63" s="5"/>
      <c r="B63" s="50" t="s">
        <v>35</v>
      </c>
      <c r="C63" s="7">
        <v>4</v>
      </c>
      <c r="D63" s="7">
        <v>2.91</v>
      </c>
      <c r="E63" s="85">
        <f t="shared" si="4"/>
        <v>11.64</v>
      </c>
    </row>
    <row r="64" spans="1:5" ht="18" x14ac:dyDescent="0.35">
      <c r="A64" s="5"/>
      <c r="B64" s="50" t="s">
        <v>36</v>
      </c>
      <c r="C64" s="7">
        <v>4</v>
      </c>
      <c r="D64" s="7">
        <v>0.61</v>
      </c>
      <c r="E64" s="85">
        <f t="shared" si="4"/>
        <v>2.44</v>
      </c>
    </row>
    <row r="65" spans="1:5" ht="18" x14ac:dyDescent="0.35">
      <c r="A65" s="5"/>
      <c r="B65" s="5"/>
      <c r="C65" s="54"/>
      <c r="D65" s="54"/>
      <c r="E65" s="89">
        <f>SUM(E59:E64)</f>
        <v>58.164400000000001</v>
      </c>
    </row>
    <row r="66" spans="1:5" ht="18" x14ac:dyDescent="0.35">
      <c r="A66" s="5"/>
      <c r="B66" s="5"/>
      <c r="C66" s="54"/>
      <c r="D66" s="54" t="s">
        <v>1066</v>
      </c>
      <c r="E66" s="89">
        <f>E65+E65*40%</f>
        <v>81.430160000000001</v>
      </c>
    </row>
    <row r="67" spans="1:5" ht="18" x14ac:dyDescent="0.35">
      <c r="A67" s="5"/>
      <c r="B67" s="50" t="s">
        <v>37</v>
      </c>
      <c r="C67" s="54">
        <v>0.25</v>
      </c>
      <c r="D67" s="54">
        <v>200</v>
      </c>
      <c r="E67" s="85">
        <f>C67*D67</f>
        <v>50</v>
      </c>
    </row>
    <row r="68" spans="1:5" ht="18" x14ac:dyDescent="0.35">
      <c r="A68" s="5"/>
      <c r="B68" s="5"/>
      <c r="C68" s="54"/>
      <c r="D68" s="54"/>
      <c r="E68" s="85">
        <f>SUM(E66:E67)</f>
        <v>131.43016</v>
      </c>
    </row>
    <row r="69" spans="1:5" x14ac:dyDescent="0.3">
      <c r="E69" s="133">
        <v>175</v>
      </c>
    </row>
    <row r="71" spans="1:5" ht="21" x14ac:dyDescent="0.4">
      <c r="A71" s="40" t="s">
        <v>1923</v>
      </c>
      <c r="B71" s="40"/>
      <c r="C71" s="84"/>
    </row>
    <row r="72" spans="1:5" ht="18" x14ac:dyDescent="0.35">
      <c r="A72" s="5" t="s">
        <v>45</v>
      </c>
      <c r="B72" s="5"/>
      <c r="C72" s="7" t="s">
        <v>28</v>
      </c>
      <c r="D72" s="7" t="s">
        <v>29</v>
      </c>
      <c r="E72" s="7" t="s">
        <v>30</v>
      </c>
    </row>
    <row r="73" spans="1:5" ht="18" x14ac:dyDescent="0.35">
      <c r="A73" s="5" t="s">
        <v>1120</v>
      </c>
      <c r="B73" s="50" t="s">
        <v>32</v>
      </c>
      <c r="C73" s="7">
        <v>1.8120000000000001</v>
      </c>
      <c r="D73" s="7">
        <v>10.34</v>
      </c>
      <c r="E73" s="85">
        <f t="shared" ref="E73:E78" si="5">C73*D73</f>
        <v>18.736080000000001</v>
      </c>
    </row>
    <row r="74" spans="1:5" ht="18" x14ac:dyDescent="0.35">
      <c r="A74" s="5"/>
      <c r="B74" s="50" t="s">
        <v>33</v>
      </c>
      <c r="C74" s="7">
        <v>2.8980000000000001</v>
      </c>
      <c r="D74" s="7">
        <v>10</v>
      </c>
      <c r="E74" s="85">
        <f t="shared" si="5"/>
        <v>28.98</v>
      </c>
    </row>
    <row r="75" spans="1:5" ht="18" x14ac:dyDescent="0.35">
      <c r="A75" s="102"/>
      <c r="B75" s="50" t="s">
        <v>42</v>
      </c>
      <c r="C75" s="7">
        <v>2</v>
      </c>
      <c r="D75" s="7">
        <v>1.1499999999999999</v>
      </c>
      <c r="E75" s="85">
        <f t="shared" si="5"/>
        <v>2.2999999999999998</v>
      </c>
    </row>
    <row r="76" spans="1:5" ht="18" x14ac:dyDescent="0.35">
      <c r="A76" s="5"/>
      <c r="B76" s="50" t="s">
        <v>34</v>
      </c>
      <c r="C76" s="7">
        <v>0.105</v>
      </c>
      <c r="D76" s="7">
        <v>3.4</v>
      </c>
      <c r="E76" s="85">
        <f t="shared" si="5"/>
        <v>0.35699999999999998</v>
      </c>
    </row>
    <row r="77" spans="1:5" ht="18" x14ac:dyDescent="0.35">
      <c r="A77" s="5"/>
      <c r="B77" s="50" t="s">
        <v>35</v>
      </c>
      <c r="C77" s="7">
        <v>4</v>
      </c>
      <c r="D77" s="7">
        <v>2.91</v>
      </c>
      <c r="E77" s="85">
        <f t="shared" si="5"/>
        <v>11.64</v>
      </c>
    </row>
    <row r="78" spans="1:5" ht="18" x14ac:dyDescent="0.35">
      <c r="A78" s="5"/>
      <c r="B78" s="50" t="s">
        <v>36</v>
      </c>
      <c r="C78" s="7">
        <v>4</v>
      </c>
      <c r="D78" s="7">
        <v>0.61</v>
      </c>
      <c r="E78" s="85">
        <f t="shared" si="5"/>
        <v>2.44</v>
      </c>
    </row>
    <row r="79" spans="1:5" ht="18" x14ac:dyDescent="0.35">
      <c r="A79" s="5"/>
      <c r="B79" s="5"/>
      <c r="C79" s="54"/>
      <c r="D79" s="54"/>
      <c r="E79" s="89">
        <f>SUM(E73:E78)</f>
        <v>64.45308</v>
      </c>
    </row>
    <row r="80" spans="1:5" ht="18" x14ac:dyDescent="0.35">
      <c r="A80" s="5"/>
      <c r="B80" s="5"/>
      <c r="C80" s="54"/>
      <c r="D80" s="54" t="s">
        <v>1066</v>
      </c>
      <c r="E80" s="89">
        <f>E79+E79*40%</f>
        <v>90.234312000000003</v>
      </c>
    </row>
    <row r="81" spans="1:5" ht="18" x14ac:dyDescent="0.35">
      <c r="A81" s="5"/>
      <c r="B81" s="50" t="s">
        <v>37</v>
      </c>
      <c r="C81" s="54">
        <v>0.25</v>
      </c>
      <c r="D81" s="54">
        <v>200</v>
      </c>
      <c r="E81" s="85">
        <f>C81*D81</f>
        <v>50</v>
      </c>
    </row>
    <row r="82" spans="1:5" ht="18" x14ac:dyDescent="0.35">
      <c r="A82" s="5"/>
      <c r="B82" s="5"/>
      <c r="C82" s="54"/>
      <c r="D82" s="54"/>
      <c r="E82" s="85">
        <f>SUM(E80:E81)</f>
        <v>140.23431199999999</v>
      </c>
    </row>
    <row r="83" spans="1:5" x14ac:dyDescent="0.3">
      <c r="E83" s="133">
        <v>185</v>
      </c>
    </row>
    <row r="85" spans="1:5" ht="21" x14ac:dyDescent="0.4">
      <c r="A85" s="40" t="s">
        <v>1923</v>
      </c>
      <c r="B85" s="40"/>
      <c r="C85" s="84"/>
    </row>
    <row r="86" spans="1:5" ht="18" x14ac:dyDescent="0.35">
      <c r="A86" s="5" t="s">
        <v>46</v>
      </c>
      <c r="B86" s="5"/>
      <c r="C86" s="7" t="s">
        <v>28</v>
      </c>
      <c r="D86" s="7" t="s">
        <v>29</v>
      </c>
      <c r="E86" s="7" t="s">
        <v>30</v>
      </c>
    </row>
    <row r="87" spans="1:5" ht="18" x14ac:dyDescent="0.35">
      <c r="A87" s="5" t="s">
        <v>1120</v>
      </c>
      <c r="B87" s="50" t="s">
        <v>32</v>
      </c>
      <c r="C87" s="7">
        <v>2.028</v>
      </c>
      <c r="D87" s="7">
        <v>10.34</v>
      </c>
      <c r="E87" s="85">
        <f t="shared" ref="E87:E92" si="6">C87*D87</f>
        <v>20.969519999999999</v>
      </c>
    </row>
    <row r="88" spans="1:5" ht="18" x14ac:dyDescent="0.35">
      <c r="A88" s="5"/>
      <c r="B88" s="50" t="s">
        <v>33</v>
      </c>
      <c r="C88" s="7">
        <v>3.3180000000000001</v>
      </c>
      <c r="D88" s="7">
        <v>10</v>
      </c>
      <c r="E88" s="85">
        <f t="shared" si="6"/>
        <v>33.18</v>
      </c>
    </row>
    <row r="89" spans="1:5" ht="18" x14ac:dyDescent="0.35">
      <c r="A89" s="102"/>
      <c r="B89" s="50" t="s">
        <v>42</v>
      </c>
      <c r="C89" s="7">
        <v>2</v>
      </c>
      <c r="D89" s="7">
        <v>1.1499999999999999</v>
      </c>
      <c r="E89" s="85">
        <f t="shared" si="6"/>
        <v>2.2999999999999998</v>
      </c>
    </row>
    <row r="90" spans="1:5" ht="18" x14ac:dyDescent="0.35">
      <c r="A90" s="5"/>
      <c r="B90" s="50" t="s">
        <v>34</v>
      </c>
      <c r="C90" s="7">
        <v>0.105</v>
      </c>
      <c r="D90" s="7">
        <v>3.4</v>
      </c>
      <c r="E90" s="85">
        <f t="shared" si="6"/>
        <v>0.35699999999999998</v>
      </c>
    </row>
    <row r="91" spans="1:5" ht="18" x14ac:dyDescent="0.35">
      <c r="A91" s="5"/>
      <c r="B91" s="50" t="s">
        <v>35</v>
      </c>
      <c r="C91" s="7">
        <v>4</v>
      </c>
      <c r="D91" s="7">
        <v>2.91</v>
      </c>
      <c r="E91" s="85">
        <f t="shared" si="6"/>
        <v>11.64</v>
      </c>
    </row>
    <row r="92" spans="1:5" ht="18" x14ac:dyDescent="0.35">
      <c r="A92" s="5"/>
      <c r="B92" s="50" t="s">
        <v>36</v>
      </c>
      <c r="C92" s="7">
        <v>4</v>
      </c>
      <c r="D92" s="7">
        <v>0.61</v>
      </c>
      <c r="E92" s="85">
        <f t="shared" si="6"/>
        <v>2.44</v>
      </c>
    </row>
    <row r="93" spans="1:5" ht="18" x14ac:dyDescent="0.35">
      <c r="A93" s="5"/>
      <c r="B93" s="5"/>
      <c r="C93" s="54"/>
      <c r="D93" s="54"/>
      <c r="E93" s="89">
        <f>SUM(E87:E92)</f>
        <v>70.88651999999999</v>
      </c>
    </row>
    <row r="94" spans="1:5" ht="18" x14ac:dyDescent="0.35">
      <c r="A94" s="5"/>
      <c r="B94" s="5"/>
      <c r="C94" s="54"/>
      <c r="D94" s="54" t="s">
        <v>1066</v>
      </c>
      <c r="E94" s="89">
        <f>E93+E93*40%</f>
        <v>99.241127999999989</v>
      </c>
    </row>
    <row r="95" spans="1:5" ht="18" x14ac:dyDescent="0.35">
      <c r="A95" s="5"/>
      <c r="B95" s="50" t="s">
        <v>37</v>
      </c>
      <c r="C95" s="54">
        <v>0.25</v>
      </c>
      <c r="D95" s="54">
        <v>200</v>
      </c>
      <c r="E95" s="85">
        <f>C95*D95</f>
        <v>50</v>
      </c>
    </row>
    <row r="96" spans="1:5" ht="18" x14ac:dyDescent="0.35">
      <c r="A96" s="5"/>
      <c r="B96" s="5"/>
      <c r="C96" s="54"/>
      <c r="D96" s="54"/>
      <c r="E96" s="85">
        <f>SUM(E94:E95)</f>
        <v>149.241128</v>
      </c>
    </row>
    <row r="97" spans="1:5" x14ac:dyDescent="0.3">
      <c r="E97" s="133">
        <v>195</v>
      </c>
    </row>
    <row r="100" spans="1:5" ht="21" x14ac:dyDescent="0.4">
      <c r="A100" s="40" t="s">
        <v>1923</v>
      </c>
      <c r="B100" s="40"/>
      <c r="C100" s="84"/>
    </row>
    <row r="101" spans="1:5" ht="18" x14ac:dyDescent="0.35">
      <c r="A101" s="5" t="s">
        <v>47</v>
      </c>
      <c r="B101" s="5"/>
      <c r="C101" s="7" t="s">
        <v>28</v>
      </c>
      <c r="D101" s="7" t="s">
        <v>29</v>
      </c>
      <c r="E101" s="7" t="s">
        <v>30</v>
      </c>
    </row>
    <row r="102" spans="1:5" ht="18" x14ac:dyDescent="0.35">
      <c r="A102" s="5" t="s">
        <v>1120</v>
      </c>
      <c r="B102" s="50" t="s">
        <v>32</v>
      </c>
      <c r="C102" s="7">
        <v>2.238</v>
      </c>
      <c r="D102" s="7">
        <v>10.34</v>
      </c>
      <c r="E102" s="85">
        <f t="shared" ref="E102:E107" si="7">C102*D102</f>
        <v>23.140920000000001</v>
      </c>
    </row>
    <row r="103" spans="1:5" ht="18" x14ac:dyDescent="0.35">
      <c r="A103" s="5"/>
      <c r="B103" s="50" t="s">
        <v>33</v>
      </c>
      <c r="C103" s="7">
        <v>3.738</v>
      </c>
      <c r="D103" s="7">
        <v>10</v>
      </c>
      <c r="E103" s="85">
        <f t="shared" si="7"/>
        <v>37.380000000000003</v>
      </c>
    </row>
    <row r="104" spans="1:5" ht="18" x14ac:dyDescent="0.35">
      <c r="A104" s="102"/>
      <c r="B104" s="50" t="s">
        <v>42</v>
      </c>
      <c r="C104" s="7">
        <v>2</v>
      </c>
      <c r="D104" s="7">
        <v>1.1499999999999999</v>
      </c>
      <c r="E104" s="85">
        <f t="shared" si="7"/>
        <v>2.2999999999999998</v>
      </c>
    </row>
    <row r="105" spans="1:5" ht="18" x14ac:dyDescent="0.35">
      <c r="A105" s="5"/>
      <c r="B105" s="50" t="s">
        <v>34</v>
      </c>
      <c r="C105" s="7">
        <v>0.105</v>
      </c>
      <c r="D105" s="7">
        <v>3.4</v>
      </c>
      <c r="E105" s="85">
        <f t="shared" si="7"/>
        <v>0.35699999999999998</v>
      </c>
    </row>
    <row r="106" spans="1:5" ht="18" x14ac:dyDescent="0.35">
      <c r="A106" s="5"/>
      <c r="B106" s="50" t="s">
        <v>35</v>
      </c>
      <c r="C106" s="7">
        <v>4</v>
      </c>
      <c r="D106" s="7">
        <v>2.91</v>
      </c>
      <c r="E106" s="85">
        <f t="shared" si="7"/>
        <v>11.64</v>
      </c>
    </row>
    <row r="107" spans="1:5" ht="18" x14ac:dyDescent="0.35">
      <c r="A107" s="5"/>
      <c r="B107" s="50" t="s">
        <v>36</v>
      </c>
      <c r="C107" s="7">
        <v>4</v>
      </c>
      <c r="D107" s="7">
        <v>0.61</v>
      </c>
      <c r="E107" s="85">
        <f t="shared" si="7"/>
        <v>2.44</v>
      </c>
    </row>
    <row r="108" spans="1:5" ht="18" x14ac:dyDescent="0.35">
      <c r="A108" s="5"/>
      <c r="B108" s="5"/>
      <c r="C108" s="54"/>
      <c r="D108" s="54"/>
      <c r="E108" s="89">
        <f>SUM(E102:E107)</f>
        <v>77.257919999999999</v>
      </c>
    </row>
    <row r="109" spans="1:5" ht="18" x14ac:dyDescent="0.35">
      <c r="A109" s="5"/>
      <c r="B109" s="5"/>
      <c r="C109" s="54"/>
      <c r="D109" s="54" t="s">
        <v>1066</v>
      </c>
      <c r="E109" s="89">
        <f>E108+E108*40%</f>
        <v>108.16108800000001</v>
      </c>
    </row>
    <row r="110" spans="1:5" ht="18" x14ac:dyDescent="0.35">
      <c r="A110" s="5"/>
      <c r="B110" s="50" t="s">
        <v>37</v>
      </c>
      <c r="C110" s="54">
        <v>0.35</v>
      </c>
      <c r="D110" s="54">
        <v>200</v>
      </c>
      <c r="E110" s="85">
        <f>C110*D110</f>
        <v>70</v>
      </c>
    </row>
    <row r="111" spans="1:5" ht="18" x14ac:dyDescent="0.35">
      <c r="A111" s="5"/>
      <c r="B111" s="5"/>
      <c r="C111" s="54"/>
      <c r="D111" s="54"/>
      <c r="E111" s="85">
        <f>SUM(E109:E110)</f>
        <v>178.16108800000001</v>
      </c>
    </row>
    <row r="112" spans="1:5" x14ac:dyDescent="0.3">
      <c r="E112" s="133">
        <v>230</v>
      </c>
    </row>
    <row r="114" spans="1:5" ht="21" x14ac:dyDescent="0.4">
      <c r="A114" s="40" t="s">
        <v>1923</v>
      </c>
      <c r="B114" s="40"/>
      <c r="C114" s="84"/>
    </row>
    <row r="115" spans="1:5" ht="18" x14ac:dyDescent="0.35">
      <c r="A115" s="5" t="s">
        <v>48</v>
      </c>
      <c r="B115" s="5"/>
      <c r="C115" s="7" t="s">
        <v>28</v>
      </c>
      <c r="D115" s="7" t="s">
        <v>29</v>
      </c>
      <c r="E115" s="7" t="s">
        <v>30</v>
      </c>
    </row>
    <row r="116" spans="1:5" ht="18" x14ac:dyDescent="0.35">
      <c r="A116" s="5" t="s">
        <v>1120</v>
      </c>
      <c r="B116" s="50" t="s">
        <v>32</v>
      </c>
      <c r="C116" s="7">
        <v>2.448</v>
      </c>
      <c r="D116" s="7">
        <v>10.34</v>
      </c>
      <c r="E116" s="85">
        <f t="shared" ref="E116:E121" si="8">C116*D116</f>
        <v>25.31232</v>
      </c>
    </row>
    <row r="117" spans="1:5" ht="18" x14ac:dyDescent="0.35">
      <c r="A117" s="5"/>
      <c r="B117" s="50" t="s">
        <v>33</v>
      </c>
      <c r="C117" s="7">
        <v>4.1580000000000004</v>
      </c>
      <c r="D117" s="7">
        <v>10</v>
      </c>
      <c r="E117" s="85">
        <f t="shared" si="8"/>
        <v>41.580000000000005</v>
      </c>
    </row>
    <row r="118" spans="1:5" ht="18" x14ac:dyDescent="0.35">
      <c r="A118" s="102"/>
      <c r="B118" s="50" t="s">
        <v>42</v>
      </c>
      <c r="C118" s="7">
        <v>2</v>
      </c>
      <c r="D118" s="7">
        <v>1.1499999999999999</v>
      </c>
      <c r="E118" s="85">
        <f t="shared" si="8"/>
        <v>2.2999999999999998</v>
      </c>
    </row>
    <row r="119" spans="1:5" ht="18" x14ac:dyDescent="0.35">
      <c r="A119" s="5"/>
      <c r="B119" s="50" t="s">
        <v>34</v>
      </c>
      <c r="C119" s="7">
        <v>0.105</v>
      </c>
      <c r="D119" s="7">
        <v>3.4</v>
      </c>
      <c r="E119" s="85">
        <f t="shared" si="8"/>
        <v>0.35699999999999998</v>
      </c>
    </row>
    <row r="120" spans="1:5" ht="18" x14ac:dyDescent="0.35">
      <c r="A120" s="5"/>
      <c r="B120" s="50" t="s">
        <v>35</v>
      </c>
      <c r="C120" s="7">
        <v>4</v>
      </c>
      <c r="D120" s="7">
        <v>2.91</v>
      </c>
      <c r="E120" s="85">
        <f t="shared" si="8"/>
        <v>11.64</v>
      </c>
    </row>
    <row r="121" spans="1:5" ht="18" x14ac:dyDescent="0.35">
      <c r="A121" s="5"/>
      <c r="B121" s="50" t="s">
        <v>36</v>
      </c>
      <c r="C121" s="7">
        <v>4</v>
      </c>
      <c r="D121" s="7">
        <v>0.61</v>
      </c>
      <c r="E121" s="85">
        <f t="shared" si="8"/>
        <v>2.44</v>
      </c>
    </row>
    <row r="122" spans="1:5" ht="18" x14ac:dyDescent="0.35">
      <c r="A122" s="5"/>
      <c r="B122" s="5"/>
      <c r="C122" s="54"/>
      <c r="D122" s="54"/>
      <c r="E122" s="89">
        <f>SUM(E116:E121)</f>
        <v>83.629320000000007</v>
      </c>
    </row>
    <row r="123" spans="1:5" ht="18" x14ac:dyDescent="0.35">
      <c r="A123" s="5"/>
      <c r="B123" s="5"/>
      <c r="C123" s="54"/>
      <c r="D123" s="54" t="s">
        <v>1066</v>
      </c>
      <c r="E123" s="89">
        <f>E122+E122*40%</f>
        <v>117.08104800000001</v>
      </c>
    </row>
    <row r="124" spans="1:5" ht="18" x14ac:dyDescent="0.35">
      <c r="A124" s="5"/>
      <c r="B124" s="50" t="s">
        <v>37</v>
      </c>
      <c r="C124" s="54">
        <v>0.4</v>
      </c>
      <c r="D124" s="54">
        <v>200</v>
      </c>
      <c r="E124" s="85">
        <f>C124*D124</f>
        <v>80</v>
      </c>
    </row>
    <row r="125" spans="1:5" ht="18" x14ac:dyDescent="0.35">
      <c r="A125" s="5"/>
      <c r="B125" s="5"/>
      <c r="C125" s="54"/>
      <c r="D125" s="54"/>
      <c r="E125" s="85">
        <f>SUM(E123:E124)</f>
        <v>197.08104800000001</v>
      </c>
    </row>
    <row r="126" spans="1:5" x14ac:dyDescent="0.3">
      <c r="E126" s="133">
        <v>260</v>
      </c>
    </row>
    <row r="128" spans="1:5" ht="21" x14ac:dyDescent="0.4">
      <c r="A128" s="40" t="s">
        <v>1923</v>
      </c>
      <c r="B128" s="40"/>
      <c r="C128" s="84"/>
    </row>
    <row r="130" spans="1:5" ht="18" x14ac:dyDescent="0.35">
      <c r="A130" s="5" t="s">
        <v>62</v>
      </c>
      <c r="B130" s="5"/>
      <c r="C130" s="7" t="s">
        <v>28</v>
      </c>
      <c r="D130" s="7" t="s">
        <v>29</v>
      </c>
      <c r="E130" s="7" t="s">
        <v>30</v>
      </c>
    </row>
    <row r="131" spans="1:5" ht="18" x14ac:dyDescent="0.35">
      <c r="A131" s="5" t="s">
        <v>526</v>
      </c>
      <c r="B131" s="50" t="s">
        <v>32</v>
      </c>
      <c r="C131" s="7">
        <v>0.874</v>
      </c>
      <c r="D131" s="7">
        <v>10.34</v>
      </c>
      <c r="E131" s="85">
        <f t="shared" ref="E131:E136" si="9">C131*D131</f>
        <v>9.0371600000000001</v>
      </c>
    </row>
    <row r="132" spans="1:5" ht="18" x14ac:dyDescent="0.35">
      <c r="A132" s="5"/>
      <c r="B132" s="50" t="s">
        <v>33</v>
      </c>
      <c r="C132" s="7">
        <v>1.1970000000000001</v>
      </c>
      <c r="D132" s="7">
        <v>10</v>
      </c>
      <c r="E132" s="85">
        <f t="shared" si="9"/>
        <v>11.97</v>
      </c>
    </row>
    <row r="133" spans="1:5" ht="18" x14ac:dyDescent="0.35">
      <c r="A133" s="102"/>
      <c r="B133" s="50" t="s">
        <v>84</v>
      </c>
      <c r="C133" s="7">
        <v>2</v>
      </c>
      <c r="D133" s="7">
        <v>1.6</v>
      </c>
      <c r="E133" s="85">
        <f t="shared" si="9"/>
        <v>3.2</v>
      </c>
    </row>
    <row r="134" spans="1:5" ht="18" x14ac:dyDescent="0.35">
      <c r="A134" s="5"/>
      <c r="B134" s="50" t="s">
        <v>34</v>
      </c>
      <c r="C134" s="7"/>
      <c r="D134" s="7">
        <v>3.4</v>
      </c>
      <c r="E134" s="85">
        <f t="shared" si="9"/>
        <v>0</v>
      </c>
    </row>
    <row r="135" spans="1:5" ht="18" x14ac:dyDescent="0.35">
      <c r="A135" s="5"/>
      <c r="B135" s="50" t="s">
        <v>35</v>
      </c>
      <c r="C135" s="7">
        <v>4</v>
      </c>
      <c r="D135" s="7">
        <v>2.91</v>
      </c>
      <c r="E135" s="85">
        <f t="shared" si="9"/>
        <v>11.64</v>
      </c>
    </row>
    <row r="136" spans="1:5" ht="18" x14ac:dyDescent="0.35">
      <c r="A136" s="5"/>
      <c r="B136" s="50" t="s">
        <v>36</v>
      </c>
      <c r="C136" s="7">
        <v>4</v>
      </c>
      <c r="D136" s="7">
        <v>0.61</v>
      </c>
      <c r="E136" s="85">
        <f t="shared" si="9"/>
        <v>2.44</v>
      </c>
    </row>
    <row r="137" spans="1:5" ht="18" x14ac:dyDescent="0.35">
      <c r="A137" s="5"/>
      <c r="B137" s="5"/>
      <c r="C137" s="54"/>
      <c r="D137" s="54"/>
      <c r="E137" s="89">
        <f>SUM(E131:E136)</f>
        <v>38.28716</v>
      </c>
    </row>
    <row r="138" spans="1:5" ht="18" x14ac:dyDescent="0.35">
      <c r="A138" s="5"/>
      <c r="B138" s="5"/>
      <c r="C138" s="54"/>
      <c r="D138" s="54" t="s">
        <v>1066</v>
      </c>
      <c r="E138" s="89">
        <f>E137+E137*40%</f>
        <v>53.602024</v>
      </c>
    </row>
    <row r="139" spans="1:5" ht="18" x14ac:dyDescent="0.35">
      <c r="A139" s="5"/>
      <c r="B139" s="50" t="s">
        <v>37</v>
      </c>
      <c r="C139" s="54">
        <v>0.2</v>
      </c>
      <c r="D139" s="54">
        <v>200</v>
      </c>
      <c r="E139" s="85">
        <f>C139*D139</f>
        <v>40</v>
      </c>
    </row>
    <row r="140" spans="1:5" ht="18" x14ac:dyDescent="0.35">
      <c r="A140" s="5"/>
      <c r="B140" s="5"/>
      <c r="C140" s="54"/>
      <c r="D140" s="54"/>
      <c r="E140" s="85">
        <f>SUM(E138:E139)</f>
        <v>93.602024</v>
      </c>
    </row>
    <row r="141" spans="1:5" x14ac:dyDescent="0.3">
      <c r="D141" s="99">
        <v>0.3</v>
      </c>
      <c r="E141" s="133">
        <v>122</v>
      </c>
    </row>
    <row r="143" spans="1:5" ht="21" x14ac:dyDescent="0.4">
      <c r="A143" s="40" t="s">
        <v>1923</v>
      </c>
      <c r="B143" s="40"/>
      <c r="C143" s="84"/>
    </row>
    <row r="145" spans="1:5" ht="18" x14ac:dyDescent="0.35">
      <c r="A145" s="5" t="s">
        <v>64</v>
      </c>
      <c r="B145" s="5"/>
      <c r="C145" s="7" t="s">
        <v>28</v>
      </c>
      <c r="D145" s="7" t="s">
        <v>29</v>
      </c>
      <c r="E145" s="7" t="s">
        <v>30</v>
      </c>
    </row>
    <row r="146" spans="1:5" ht="18" x14ac:dyDescent="0.35">
      <c r="A146" s="5" t="s">
        <v>526</v>
      </c>
      <c r="B146" s="50" t="s">
        <v>32</v>
      </c>
      <c r="C146" s="7">
        <v>1.0840000000000001</v>
      </c>
      <c r="D146" s="7">
        <v>10.34</v>
      </c>
      <c r="E146" s="85">
        <f t="shared" ref="E146:E151" si="10">C146*D146</f>
        <v>11.20856</v>
      </c>
    </row>
    <row r="147" spans="1:5" ht="18" x14ac:dyDescent="0.35">
      <c r="A147" s="5"/>
      <c r="B147" s="50" t="s">
        <v>33</v>
      </c>
      <c r="C147" s="7">
        <v>1.827</v>
      </c>
      <c r="D147" s="7">
        <v>10</v>
      </c>
      <c r="E147" s="85">
        <f t="shared" si="10"/>
        <v>18.27</v>
      </c>
    </row>
    <row r="148" spans="1:5" ht="18" x14ac:dyDescent="0.35">
      <c r="A148" s="102"/>
      <c r="B148" s="50" t="s">
        <v>84</v>
      </c>
      <c r="C148" s="7">
        <v>2</v>
      </c>
      <c r="D148" s="7">
        <v>1.6</v>
      </c>
      <c r="E148" s="85">
        <f t="shared" si="10"/>
        <v>3.2</v>
      </c>
    </row>
    <row r="149" spans="1:5" ht="18" x14ac:dyDescent="0.35">
      <c r="A149" s="5"/>
      <c r="B149" s="50" t="s">
        <v>34</v>
      </c>
      <c r="C149" s="7"/>
      <c r="D149" s="7">
        <v>3.4</v>
      </c>
      <c r="E149" s="85">
        <f t="shared" si="10"/>
        <v>0</v>
      </c>
    </row>
    <row r="150" spans="1:5" ht="18" x14ac:dyDescent="0.35">
      <c r="A150" s="5"/>
      <c r="B150" s="50" t="s">
        <v>35</v>
      </c>
      <c r="C150" s="7">
        <v>4</v>
      </c>
      <c r="D150" s="7">
        <v>2.91</v>
      </c>
      <c r="E150" s="85">
        <f t="shared" si="10"/>
        <v>11.64</v>
      </c>
    </row>
    <row r="151" spans="1:5" ht="18" x14ac:dyDescent="0.35">
      <c r="A151" s="5"/>
      <c r="B151" s="50" t="s">
        <v>36</v>
      </c>
      <c r="C151" s="7">
        <v>4</v>
      </c>
      <c r="D151" s="7">
        <v>0.61</v>
      </c>
      <c r="E151" s="85">
        <f t="shared" si="10"/>
        <v>2.44</v>
      </c>
    </row>
    <row r="152" spans="1:5" ht="18" x14ac:dyDescent="0.35">
      <c r="A152" s="5"/>
      <c r="B152" s="5"/>
      <c r="C152" s="54"/>
      <c r="D152" s="54"/>
      <c r="E152" s="89">
        <f>SUM(E146:E151)</f>
        <v>46.758560000000003</v>
      </c>
    </row>
    <row r="153" spans="1:5" ht="18" x14ac:dyDescent="0.35">
      <c r="A153" s="5"/>
      <c r="B153" s="5"/>
      <c r="C153" s="54"/>
      <c r="D153" s="54" t="s">
        <v>1066</v>
      </c>
      <c r="E153" s="89">
        <f>E152+E152*40%</f>
        <v>65.461984000000001</v>
      </c>
    </row>
    <row r="154" spans="1:5" ht="18" x14ac:dyDescent="0.35">
      <c r="A154" s="5"/>
      <c r="B154" s="50" t="s">
        <v>37</v>
      </c>
      <c r="C154" s="54">
        <v>0.2</v>
      </c>
      <c r="D154" s="54">
        <v>200</v>
      </c>
      <c r="E154" s="85">
        <f>C154*D154</f>
        <v>40</v>
      </c>
    </row>
    <row r="155" spans="1:5" ht="18" x14ac:dyDescent="0.35">
      <c r="A155" s="5"/>
      <c r="B155" s="5"/>
      <c r="C155" s="54"/>
      <c r="D155" s="54"/>
      <c r="E155" s="85">
        <f>SUM(E153:E154)</f>
        <v>105.461984</v>
      </c>
    </row>
    <row r="156" spans="1:5" x14ac:dyDescent="0.3">
      <c r="D156" s="99">
        <v>0.3</v>
      </c>
      <c r="E156" s="133">
        <v>138</v>
      </c>
    </row>
    <row r="158" spans="1:5" ht="21" x14ac:dyDescent="0.4">
      <c r="A158" s="40" t="s">
        <v>1923</v>
      </c>
      <c r="B158" s="40"/>
      <c r="C158" s="84"/>
    </row>
    <row r="160" spans="1:5" ht="18" x14ac:dyDescent="0.35">
      <c r="A160" s="5" t="s">
        <v>65</v>
      </c>
      <c r="B160" s="5"/>
      <c r="C160" s="7" t="s">
        <v>28</v>
      </c>
      <c r="D160" s="7" t="s">
        <v>29</v>
      </c>
      <c r="E160" s="7" t="s">
        <v>30</v>
      </c>
    </row>
    <row r="161" spans="1:5" ht="18" x14ac:dyDescent="0.35">
      <c r="A161" s="5" t="s">
        <v>526</v>
      </c>
      <c r="B161" s="50" t="s">
        <v>32</v>
      </c>
      <c r="C161" s="7">
        <v>1.294</v>
      </c>
      <c r="D161" s="7">
        <v>10.34</v>
      </c>
      <c r="E161" s="85">
        <f t="shared" ref="E161:E166" si="11">C161*D161</f>
        <v>13.379960000000001</v>
      </c>
    </row>
    <row r="162" spans="1:5" ht="18" x14ac:dyDescent="0.35">
      <c r="A162" s="5"/>
      <c r="B162" s="50" t="s">
        <v>33</v>
      </c>
      <c r="C162" s="7">
        <v>2.4569999999999999</v>
      </c>
      <c r="D162" s="7">
        <v>10</v>
      </c>
      <c r="E162" s="85">
        <f t="shared" si="11"/>
        <v>24.57</v>
      </c>
    </row>
    <row r="163" spans="1:5" ht="18" x14ac:dyDescent="0.35">
      <c r="A163" s="102"/>
      <c r="B163" s="50" t="s">
        <v>84</v>
      </c>
      <c r="C163" s="7">
        <v>2</v>
      </c>
      <c r="D163" s="7">
        <v>1.6</v>
      </c>
      <c r="E163" s="85">
        <f t="shared" si="11"/>
        <v>3.2</v>
      </c>
    </row>
    <row r="164" spans="1:5" ht="18" x14ac:dyDescent="0.35">
      <c r="A164" s="5"/>
      <c r="B164" s="50" t="s">
        <v>34</v>
      </c>
      <c r="C164" s="7"/>
      <c r="D164" s="7">
        <v>3.4</v>
      </c>
      <c r="E164" s="85">
        <f t="shared" si="11"/>
        <v>0</v>
      </c>
    </row>
    <row r="165" spans="1:5" ht="18" x14ac:dyDescent="0.35">
      <c r="A165" s="5"/>
      <c r="B165" s="50" t="s">
        <v>35</v>
      </c>
      <c r="C165" s="7">
        <v>4</v>
      </c>
      <c r="D165" s="7">
        <v>2.91</v>
      </c>
      <c r="E165" s="85">
        <f t="shared" si="11"/>
        <v>11.64</v>
      </c>
    </row>
    <row r="166" spans="1:5" ht="18" x14ac:dyDescent="0.35">
      <c r="A166" s="5"/>
      <c r="B166" s="50" t="s">
        <v>36</v>
      </c>
      <c r="C166" s="7">
        <v>4</v>
      </c>
      <c r="D166" s="7">
        <v>0.61</v>
      </c>
      <c r="E166" s="85">
        <f t="shared" si="11"/>
        <v>2.44</v>
      </c>
    </row>
    <row r="167" spans="1:5" ht="18" x14ac:dyDescent="0.35">
      <c r="A167" s="5"/>
      <c r="B167" s="5"/>
      <c r="C167" s="54"/>
      <c r="D167" s="54"/>
      <c r="E167" s="89">
        <f>SUM(E161:E166)</f>
        <v>55.229960000000005</v>
      </c>
    </row>
    <row r="168" spans="1:5" ht="18" x14ac:dyDescent="0.35">
      <c r="A168" s="5"/>
      <c r="B168" s="5"/>
      <c r="C168" s="54"/>
      <c r="D168" s="54" t="s">
        <v>1066</v>
      </c>
      <c r="E168" s="89">
        <f>E167+E167*40%</f>
        <v>77.321944000000002</v>
      </c>
    </row>
    <row r="169" spans="1:5" ht="18" x14ac:dyDescent="0.35">
      <c r="A169" s="5"/>
      <c r="B169" s="50" t="s">
        <v>37</v>
      </c>
      <c r="C169" s="54">
        <v>0.2</v>
      </c>
      <c r="D169" s="54">
        <v>200</v>
      </c>
      <c r="E169" s="85">
        <f>C169*D169</f>
        <v>40</v>
      </c>
    </row>
    <row r="170" spans="1:5" ht="18" x14ac:dyDescent="0.35">
      <c r="A170" s="5"/>
      <c r="B170" s="5"/>
      <c r="C170" s="54"/>
      <c r="D170" s="54"/>
      <c r="E170" s="85">
        <f>SUM(E168:E169)</f>
        <v>117.321944</v>
      </c>
    </row>
    <row r="171" spans="1:5" x14ac:dyDescent="0.3">
      <c r="D171" s="99">
        <v>0.3</v>
      </c>
      <c r="E171" s="133">
        <v>154</v>
      </c>
    </row>
    <row r="173" spans="1:5" ht="21" x14ac:dyDescent="0.4">
      <c r="A173" s="40" t="s">
        <v>1923</v>
      </c>
      <c r="B173" s="40"/>
      <c r="C173" s="84"/>
    </row>
    <row r="175" spans="1:5" ht="18" x14ac:dyDescent="0.35">
      <c r="A175" s="5" t="s">
        <v>66</v>
      </c>
      <c r="B175" s="5"/>
      <c r="C175" s="7" t="s">
        <v>28</v>
      </c>
      <c r="D175" s="7" t="s">
        <v>29</v>
      </c>
      <c r="E175" s="7" t="s">
        <v>30</v>
      </c>
    </row>
    <row r="176" spans="1:5" ht="18" x14ac:dyDescent="0.35">
      <c r="A176" s="5" t="s">
        <v>526</v>
      </c>
      <c r="B176" s="50" t="s">
        <v>32</v>
      </c>
      <c r="C176" s="7">
        <v>1.5029999999999999</v>
      </c>
      <c r="D176" s="7">
        <v>10.34</v>
      </c>
      <c r="E176" s="85">
        <f t="shared" ref="E176:E181" si="12">C176*D176</f>
        <v>15.541019999999998</v>
      </c>
    </row>
    <row r="177" spans="1:5" ht="18" x14ac:dyDescent="0.35">
      <c r="A177" s="5"/>
      <c r="B177" s="50" t="s">
        <v>33</v>
      </c>
      <c r="C177" s="7">
        <v>3.0870000000000002</v>
      </c>
      <c r="D177" s="7">
        <v>10</v>
      </c>
      <c r="E177" s="85">
        <f t="shared" si="12"/>
        <v>30.87</v>
      </c>
    </row>
    <row r="178" spans="1:5" ht="18" x14ac:dyDescent="0.35">
      <c r="A178" s="102"/>
      <c r="B178" s="50" t="s">
        <v>84</v>
      </c>
      <c r="C178" s="7">
        <v>2</v>
      </c>
      <c r="D178" s="7">
        <v>1.6</v>
      </c>
      <c r="E178" s="85">
        <f t="shared" si="12"/>
        <v>3.2</v>
      </c>
    </row>
    <row r="179" spans="1:5" ht="18" x14ac:dyDescent="0.35">
      <c r="A179" s="5"/>
      <c r="B179" s="50" t="s">
        <v>34</v>
      </c>
      <c r="C179" s="7"/>
      <c r="D179" s="7">
        <v>3.4</v>
      </c>
      <c r="E179" s="85">
        <f t="shared" si="12"/>
        <v>0</v>
      </c>
    </row>
    <row r="180" spans="1:5" ht="18" x14ac:dyDescent="0.35">
      <c r="A180" s="5"/>
      <c r="B180" s="50" t="s">
        <v>35</v>
      </c>
      <c r="C180" s="7">
        <v>4</v>
      </c>
      <c r="D180" s="7">
        <v>2.91</v>
      </c>
      <c r="E180" s="85">
        <f t="shared" si="12"/>
        <v>11.64</v>
      </c>
    </row>
    <row r="181" spans="1:5" ht="18" x14ac:dyDescent="0.35">
      <c r="A181" s="5"/>
      <c r="B181" s="50" t="s">
        <v>36</v>
      </c>
      <c r="C181" s="7">
        <v>4</v>
      </c>
      <c r="D181" s="7">
        <v>0.61</v>
      </c>
      <c r="E181" s="85">
        <f t="shared" si="12"/>
        <v>2.44</v>
      </c>
    </row>
    <row r="182" spans="1:5" ht="18" x14ac:dyDescent="0.35">
      <c r="A182" s="5"/>
      <c r="B182" s="5"/>
      <c r="C182" s="54"/>
      <c r="D182" s="54"/>
      <c r="E182" s="89">
        <f>SUM(E176:E181)</f>
        <v>63.691020000000002</v>
      </c>
    </row>
    <row r="183" spans="1:5" ht="18" x14ac:dyDescent="0.35">
      <c r="A183" s="5"/>
      <c r="B183" s="5"/>
      <c r="C183" s="54"/>
      <c r="D183" s="54" t="s">
        <v>1066</v>
      </c>
      <c r="E183" s="89">
        <f>E182+E182*40%</f>
        <v>89.167428000000001</v>
      </c>
    </row>
    <row r="184" spans="1:5" ht="18" x14ac:dyDescent="0.35">
      <c r="A184" s="5"/>
      <c r="B184" s="50" t="s">
        <v>37</v>
      </c>
      <c r="C184" s="54">
        <v>0.2</v>
      </c>
      <c r="D184" s="54">
        <v>200</v>
      </c>
      <c r="E184" s="85">
        <f>C184*D184</f>
        <v>40</v>
      </c>
    </row>
    <row r="185" spans="1:5" ht="18" x14ac:dyDescent="0.35">
      <c r="A185" s="5"/>
      <c r="B185" s="5"/>
      <c r="C185" s="54"/>
      <c r="D185" s="54"/>
      <c r="E185" s="85">
        <f>SUM(E183:E184)</f>
        <v>129.167428</v>
      </c>
    </row>
    <row r="186" spans="1:5" x14ac:dyDescent="0.3">
      <c r="D186" s="99">
        <v>0.3</v>
      </c>
      <c r="E186" s="133">
        <v>170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6"/>
  <sheetViews>
    <sheetView tabSelected="1" workbookViewId="0">
      <selection activeCell="B8" sqref="B8"/>
    </sheetView>
  </sheetViews>
  <sheetFormatPr baseColWidth="10" defaultRowHeight="14.4" x14ac:dyDescent="0.3"/>
  <sheetData>
    <row r="3" spans="1:3" x14ac:dyDescent="0.3">
      <c r="A3" t="s">
        <v>605</v>
      </c>
    </row>
    <row r="4" spans="1:3" x14ac:dyDescent="0.3">
      <c r="A4" t="s">
        <v>606</v>
      </c>
      <c r="B4">
        <v>2700</v>
      </c>
      <c r="C4" t="s">
        <v>607</v>
      </c>
    </row>
    <row r="5" spans="1:3" x14ac:dyDescent="0.3">
      <c r="A5" t="s">
        <v>608</v>
      </c>
      <c r="B5">
        <v>3000</v>
      </c>
      <c r="C5" t="s">
        <v>607</v>
      </c>
    </row>
    <row r="6" spans="1:3" x14ac:dyDescent="0.3">
      <c r="A6" t="s">
        <v>455</v>
      </c>
      <c r="B6">
        <v>1800</v>
      </c>
      <c r="C6" t="s">
        <v>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34</vt:i4>
      </vt:variant>
    </vt:vector>
  </HeadingPairs>
  <TitlesOfParts>
    <vt:vector size="34" baseType="lpstr">
      <vt:lpstr>TABLEAU</vt:lpstr>
      <vt:lpstr>Feuil1</vt:lpstr>
      <vt:lpstr>FOUR MISE A JOUR</vt:lpstr>
      <vt:lpstr>CALCUL EN m2</vt:lpstr>
      <vt:lpstr>FOURNITURES</vt:lpstr>
      <vt:lpstr>GSD DD LARG 100 G </vt:lpstr>
      <vt:lpstr>GSD DD 150 G </vt:lpstr>
      <vt:lpstr>COMPARAISON GRILLE LOC IMP</vt:lpstr>
      <vt:lpstr>GSD DD LAR 200 G </vt:lpstr>
      <vt:lpstr>GSD DD LAR 300 G </vt:lpstr>
      <vt:lpstr>GSD DD LAR 400 G</vt:lpstr>
      <vt:lpstr>GSD DD LARG 100 BL</vt:lpstr>
      <vt:lpstr>GSD DD LARG 150 BL</vt:lpstr>
      <vt:lpstr>GSD DD LARG 200 BL</vt:lpstr>
      <vt:lpstr>GSD DD LARG 300 BL</vt:lpstr>
      <vt:lpstr>GSD DD LARG 400 BL</vt:lpstr>
      <vt:lpstr>GBF  ALU GR ET BL</vt:lpstr>
      <vt:lpstr>GDD GRIS HSD</vt:lpstr>
      <vt:lpstr>GDD BL HSD</vt:lpstr>
      <vt:lpstr>GSD BL HSD</vt:lpstr>
      <vt:lpstr>GBF GR HSD</vt:lpstr>
      <vt:lpstr>GSD GRIS HSD</vt:lpstr>
      <vt:lpstr>GBF BL HSD</vt:lpstr>
      <vt:lpstr>GAINAIR GDD29 AOUT</vt:lpstr>
      <vt:lpstr>Feuil2</vt:lpstr>
      <vt:lpstr> GAINAIR</vt:lpstr>
      <vt:lpstr>GRILLES HST VERTICALE</vt:lpstr>
      <vt:lpstr>ETS EL HARTI</vt:lpstr>
      <vt:lpstr>FICHE FOURNITURE</vt:lpstr>
      <vt:lpstr>GLOBALE contract</vt:lpstr>
      <vt:lpstr>GAINAIR GRILLES</vt:lpstr>
      <vt:lpstr>TARIF GRILLES ALI BABA</vt:lpstr>
      <vt:lpstr>DETAIL GRIS ALI BABA</vt:lpstr>
      <vt:lpstr>chiffrage icat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2025-12-03T09:32:43Z</dcterms:modified>
</cp:coreProperties>
</file>